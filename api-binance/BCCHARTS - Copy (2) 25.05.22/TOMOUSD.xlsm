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D3341CE-A3CA-45B2-B095-FFC90952B6C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92" i="1"/>
  <c r="Q892" i="1" s="1"/>
  <c r="R892" i="1" s="1"/>
  <c r="S892" i="1" s="1"/>
  <c r="T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6" i="4"/>
  <c r="C118" i="4"/>
  <c r="C122" i="3"/>
  <c r="C133" i="3" s="1"/>
  <c r="D136" i="3" s="1"/>
  <c r="C116" i="3"/>
  <c r="D136" i="4"/>
  <c r="C136" i="4"/>
  <c r="R891" i="1"/>
  <c r="C136" i="5" l="1"/>
  <c r="C138" i="5" s="1"/>
  <c r="C136" i="3"/>
  <c r="C138" i="3" s="1"/>
  <c r="C138" i="4"/>
  <c r="R890" i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S289" i="1" l="1"/>
  <c r="T289" i="1" s="1"/>
  <c r="R288" i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S277" i="1" l="1"/>
  <c r="T277" i="1" s="1"/>
  <c r="R276" i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S253" i="1" l="1"/>
  <c r="T253" i="1" s="1"/>
  <c r="R252" i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S241" i="1" l="1"/>
  <c r="T241" i="1" s="1"/>
  <c r="R240" i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S229" i="1" l="1"/>
  <c r="T229" i="1" s="1"/>
  <c r="R228" i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<sst xmlns="http://schemas.openxmlformats.org/spreadsheetml/2006/main" count="8849" uniqueCount="34">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</sst>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1.0880000000000001</c:v>
                </c:pt>
                <c:pt idx="1">
                  <c:v>1.107</c:v>
                </c:pt>
                <c:pt idx="2">
                  <c:v>1.1140000000000001</c:v>
                </c:pt>
                <c:pt idx="3">
                  <c:v>1.069</c:v>
                </c:pt>
                <c:pt idx="4">
                  <c:v>1.159</c:v>
                </c:pt>
                <c:pt idx="5">
                  <c:v>1.121</c:v>
                </c:pt>
                <c:pt idx="6">
                  <c:v>1.2210000000000001</c:v>
                </c:pt>
                <c:pt idx="7">
                  <c:v>1.3640000000000001</c:v>
                </c:pt>
                <c:pt idx="8">
                  <c:v>1.411</c:v>
                </c:pt>
                <c:pt idx="9">
                  <c:v>1.46</c:v>
                </c:pt>
                <c:pt idx="10">
                  <c:v>1.486</c:v>
                </c:pt>
                <c:pt idx="11">
                  <c:v>1.5640000000000001</c:v>
                </c:pt>
                <c:pt idx="12">
                  <c:v>1.5349999999999999</c:v>
                </c:pt>
                <c:pt idx="13">
                  <c:v>1.5349999999999999</c:v>
                </c:pt>
                <c:pt idx="14">
                  <c:v>1.524</c:v>
                </c:pt>
                <c:pt idx="15">
                  <c:v>1.581</c:v>
                </c:pt>
                <c:pt idx="16">
                  <c:v>1.526</c:v>
                </c:pt>
                <c:pt idx="17">
                  <c:v>1.486</c:v>
                </c:pt>
                <c:pt idx="18">
                  <c:v>1.5880000000000001</c:v>
                </c:pt>
                <c:pt idx="19">
                  <c:v>1.5529999999999999</c:v>
                </c:pt>
                <c:pt idx="20">
                  <c:v>1.63</c:v>
                </c:pt>
                <c:pt idx="21">
                  <c:v>1.6850000000000001</c:v>
                </c:pt>
                <c:pt idx="22">
                  <c:v>1.708</c:v>
                </c:pt>
                <c:pt idx="23">
                  <c:v>1.887</c:v>
                </c:pt>
                <c:pt idx="24">
                  <c:v>1.93</c:v>
                </c:pt>
                <c:pt idx="25">
                  <c:v>1.994</c:v>
                </c:pt>
                <c:pt idx="26">
                  <c:v>1.978</c:v>
                </c:pt>
                <c:pt idx="27">
                  <c:v>1.871</c:v>
                </c:pt>
                <c:pt idx="28">
                  <c:v>1.9119999999999999</c:v>
                </c:pt>
                <c:pt idx="29">
                  <c:v>1.85</c:v>
                </c:pt>
                <c:pt idx="30">
                  <c:v>1.9159999999999999</c:v>
                </c:pt>
                <c:pt idx="31">
                  <c:v>2.1</c:v>
                </c:pt>
                <c:pt idx="32">
                  <c:v>2.0939999999999999</c:v>
                </c:pt>
                <c:pt idx="33">
                  <c:v>2.0539999999999998</c:v>
                </c:pt>
                <c:pt idx="34">
                  <c:v>1.9690000000000001</c:v>
                </c:pt>
                <c:pt idx="35">
                  <c:v>2.0030000000000001</c:v>
                </c:pt>
                <c:pt idx="36">
                  <c:v>1.871</c:v>
                </c:pt>
                <c:pt idx="37">
                  <c:v>1.8660000000000001</c:v>
                </c:pt>
                <c:pt idx="38">
                  <c:v>1.8120000000000001</c:v>
                </c:pt>
                <c:pt idx="39">
                  <c:v>1.9319999999999999</c:v>
                </c:pt>
                <c:pt idx="40">
                  <c:v>1.9690000000000001</c:v>
                </c:pt>
                <c:pt idx="41">
                  <c:v>1.9119999999999999</c:v>
                </c:pt>
                <c:pt idx="42">
                  <c:v>1.9359999999999999</c:v>
                </c:pt>
                <c:pt idx="43">
                  <c:v>1.9950000000000001</c:v>
                </c:pt>
                <c:pt idx="44">
                  <c:v>1.923</c:v>
                </c:pt>
                <c:pt idx="45">
                  <c:v>1.839</c:v>
                </c:pt>
                <c:pt idx="46">
                  <c:v>2.1080000000000001</c:v>
                </c:pt>
                <c:pt idx="47">
                  <c:v>1.9830000000000001</c:v>
                </c:pt>
                <c:pt idx="48">
                  <c:v>1.9830000000000001</c:v>
                </c:pt>
                <c:pt idx="49">
                  <c:v>2.0550000000000002</c:v>
                </c:pt>
                <c:pt idx="50">
                  <c:v>2.2989999999999999</c:v>
                </c:pt>
                <c:pt idx="51">
                  <c:v>2.121</c:v>
                </c:pt>
                <c:pt idx="52">
                  <c:v>2.1829999999999998</c:v>
                </c:pt>
                <c:pt idx="53">
                  <c:v>2.2450000000000001</c:v>
                </c:pt>
                <c:pt idx="54">
                  <c:v>2.4420000000000002</c:v>
                </c:pt>
                <c:pt idx="55">
                  <c:v>3.1259999999999999</c:v>
                </c:pt>
                <c:pt idx="56">
                  <c:v>3.0230000000000001</c:v>
                </c:pt>
                <c:pt idx="57">
                  <c:v>2.9020000000000001</c:v>
                </c:pt>
                <c:pt idx="58">
                  <c:v>2.8879999999999999</c:v>
                </c:pt>
                <c:pt idx="59">
                  <c:v>2.956</c:v>
                </c:pt>
                <c:pt idx="60">
                  <c:v>3.0249999999999999</c:v>
                </c:pt>
                <c:pt idx="61">
                  <c:v>3.194</c:v>
                </c:pt>
                <c:pt idx="62">
                  <c:v>3.0430000000000001</c:v>
                </c:pt>
                <c:pt idx="63">
                  <c:v>3.2250000000000001</c:v>
                </c:pt>
                <c:pt idx="64">
                  <c:v>3.5720000000000001</c:v>
                </c:pt>
                <c:pt idx="65">
                  <c:v>3.5179999999999998</c:v>
                </c:pt>
                <c:pt idx="66">
                  <c:v>3.2669999999999999</c:v>
                </c:pt>
                <c:pt idx="67">
                  <c:v>3.246</c:v>
                </c:pt>
                <c:pt idx="68">
                  <c:v>3.2240000000000002</c:v>
                </c:pt>
                <c:pt idx="69">
                  <c:v>3.1789999999999998</c:v>
                </c:pt>
                <c:pt idx="70">
                  <c:v>3.177</c:v>
                </c:pt>
                <c:pt idx="71">
                  <c:v>3.3490000000000002</c:v>
                </c:pt>
                <c:pt idx="72">
                  <c:v>3.0760000000000001</c:v>
                </c:pt>
                <c:pt idx="73">
                  <c:v>3.0110000000000001</c:v>
                </c:pt>
                <c:pt idx="74">
                  <c:v>2.9649999999999999</c:v>
                </c:pt>
                <c:pt idx="75">
                  <c:v>2.742</c:v>
                </c:pt>
                <c:pt idx="76">
                  <c:v>2.5760000000000001</c:v>
                </c:pt>
                <c:pt idx="77">
                  <c:v>2.532</c:v>
                </c:pt>
                <c:pt idx="78">
                  <c:v>2.4750000000000001</c:v>
                </c:pt>
                <c:pt idx="79">
                  <c:v>2.66</c:v>
                </c:pt>
                <c:pt idx="80">
                  <c:v>2.778</c:v>
                </c:pt>
                <c:pt idx="81">
                  <c:v>2.6059999999999999</c:v>
                </c:pt>
                <c:pt idx="82">
                  <c:v>2.6429999999999998</c:v>
                </c:pt>
                <c:pt idx="83">
                  <c:v>2.7269999999999999</c:v>
                </c:pt>
                <c:pt idx="84">
                  <c:v>2.6760000000000002</c:v>
                </c:pt>
                <c:pt idx="85">
                  <c:v>2.71</c:v>
                </c:pt>
                <c:pt idx="86">
                  <c:v>2.8090000000000002</c:v>
                </c:pt>
                <c:pt idx="87">
                  <c:v>2.6190000000000002</c:v>
                </c:pt>
                <c:pt idx="88">
                  <c:v>2.605</c:v>
                </c:pt>
                <c:pt idx="89">
                  <c:v>2.544</c:v>
                </c:pt>
                <c:pt idx="90">
                  <c:v>2.472</c:v>
                </c:pt>
                <c:pt idx="91">
                  <c:v>2.3849999999999998</c:v>
                </c:pt>
                <c:pt idx="92">
                  <c:v>2.2570000000000001</c:v>
                </c:pt>
                <c:pt idx="93">
                  <c:v>2.556</c:v>
                </c:pt>
                <c:pt idx="94">
                  <c:v>2.5590000000000002</c:v>
                </c:pt>
                <c:pt idx="95">
                  <c:v>2.488</c:v>
                </c:pt>
                <c:pt idx="96">
                  <c:v>2.581</c:v>
                </c:pt>
                <c:pt idx="97">
                  <c:v>2.5979999999999999</c:v>
                </c:pt>
                <c:pt idx="98">
                  <c:v>2.5720000000000001</c:v>
                </c:pt>
                <c:pt idx="99">
                  <c:v>2.508</c:v>
                </c:pt>
                <c:pt idx="100">
                  <c:v>2.39</c:v>
                </c:pt>
                <c:pt idx="101">
                  <c:v>2.3279999999999998</c:v>
                </c:pt>
                <c:pt idx="102">
                  <c:v>2.3050000000000002</c:v>
                </c:pt>
                <c:pt idx="103">
                  <c:v>2.4</c:v>
                </c:pt>
                <c:pt idx="104">
                  <c:v>2.37</c:v>
                </c:pt>
                <c:pt idx="105">
                  <c:v>2.2909999999999999</c:v>
                </c:pt>
                <c:pt idx="106">
                  <c:v>2.2719999999999998</c:v>
                </c:pt>
                <c:pt idx="107">
                  <c:v>2.1549999999999998</c:v>
                </c:pt>
                <c:pt idx="108">
                  <c:v>2.1659999999999999</c:v>
                </c:pt>
                <c:pt idx="109">
                  <c:v>2.1680000000000001</c:v>
                </c:pt>
                <c:pt idx="110">
                  <c:v>2.2890000000000001</c:v>
                </c:pt>
                <c:pt idx="111">
                  <c:v>2.3069999999999999</c:v>
                </c:pt>
                <c:pt idx="112">
                  <c:v>2.4430000000000001</c:v>
                </c:pt>
                <c:pt idx="113">
                  <c:v>2.4460000000000002</c:v>
                </c:pt>
                <c:pt idx="114">
                  <c:v>2.4750000000000001</c:v>
                </c:pt>
                <c:pt idx="115">
                  <c:v>2.5329999999999999</c:v>
                </c:pt>
                <c:pt idx="116">
                  <c:v>2.3769999999999998</c:v>
                </c:pt>
                <c:pt idx="117">
                  <c:v>2.387</c:v>
                </c:pt>
                <c:pt idx="118">
                  <c:v>2.38</c:v>
                </c:pt>
                <c:pt idx="119">
                  <c:v>2.141</c:v>
                </c:pt>
                <c:pt idx="120">
                  <c:v>2.0249999999999999</c:v>
                </c:pt>
                <c:pt idx="121">
                  <c:v>1.9950000000000001</c:v>
                </c:pt>
                <c:pt idx="122">
                  <c:v>1.9970000000000001</c:v>
                </c:pt>
                <c:pt idx="123">
                  <c:v>2.0910000000000002</c:v>
                </c:pt>
                <c:pt idx="124">
                  <c:v>2.198</c:v>
                </c:pt>
                <c:pt idx="125">
                  <c:v>2.3239999999999998</c:v>
                </c:pt>
                <c:pt idx="126">
                  <c:v>2.2999999999999998</c:v>
                </c:pt>
                <c:pt idx="127">
                  <c:v>2.2269999999999999</c:v>
                </c:pt>
                <c:pt idx="128">
                  <c:v>2.0459999999999998</c:v>
                </c:pt>
                <c:pt idx="129">
                  <c:v>2.097</c:v>
                </c:pt>
                <c:pt idx="130">
                  <c:v>2.2469999999999999</c:v>
                </c:pt>
                <c:pt idx="131">
                  <c:v>2.2759999999999998</c:v>
                </c:pt>
                <c:pt idx="132">
                  <c:v>2.254</c:v>
                </c:pt>
                <c:pt idx="133">
                  <c:v>2.37</c:v>
                </c:pt>
                <c:pt idx="134">
                  <c:v>2.4340000000000002</c:v>
                </c:pt>
                <c:pt idx="135">
                  <c:v>2.35</c:v>
                </c:pt>
                <c:pt idx="136">
                  <c:v>2.2170000000000001</c:v>
                </c:pt>
                <c:pt idx="137">
                  <c:v>2.2949999999999999</c:v>
                </c:pt>
                <c:pt idx="138">
                  <c:v>2.1720000000000002</c:v>
                </c:pt>
                <c:pt idx="139">
                  <c:v>2.16</c:v>
                </c:pt>
                <c:pt idx="140">
                  <c:v>2.3940000000000001</c:v>
                </c:pt>
                <c:pt idx="141">
                  <c:v>2.391</c:v>
                </c:pt>
                <c:pt idx="142">
                  <c:v>2.5150000000000001</c:v>
                </c:pt>
                <c:pt idx="143">
                  <c:v>3.758</c:v>
                </c:pt>
                <c:pt idx="144">
                  <c:v>3.6120000000000001</c:v>
                </c:pt>
                <c:pt idx="145">
                  <c:v>3.6749999999999998</c:v>
                </c:pt>
                <c:pt idx="146">
                  <c:v>3.4550000000000001</c:v>
                </c:pt>
                <c:pt idx="147">
                  <c:v>3.4</c:v>
                </c:pt>
                <c:pt idx="148">
                  <c:v>3.274</c:v>
                </c:pt>
                <c:pt idx="149">
                  <c:v>3.181</c:v>
                </c:pt>
                <c:pt idx="150">
                  <c:v>3.13</c:v>
                </c:pt>
                <c:pt idx="151">
                  <c:v>3.3570000000000002</c:v>
                </c:pt>
                <c:pt idx="152">
                  <c:v>3.2930000000000001</c:v>
                </c:pt>
                <c:pt idx="153">
                  <c:v>3.234</c:v>
                </c:pt>
                <c:pt idx="154">
                  <c:v>3.0670000000000002</c:v>
                </c:pt>
                <c:pt idx="155">
                  <c:v>3.4079000000000002</c:v>
                </c:pt>
                <c:pt idx="156">
                  <c:v>3.3249</c:v>
                </c:pt>
                <c:pt idx="157">
                  <c:v>3.4939</c:v>
                </c:pt>
                <c:pt idx="158">
                  <c:v>3.3687</c:v>
                </c:pt>
                <c:pt idx="159">
                  <c:v>3.2023000000000001</c:v>
                </c:pt>
                <c:pt idx="160">
                  <c:v>3.2722000000000002</c:v>
                </c:pt>
                <c:pt idx="161">
                  <c:v>2.9056999999999999</c:v>
                </c:pt>
                <c:pt idx="162">
                  <c:v>2.8134999999999999</c:v>
                </c:pt>
                <c:pt idx="163">
                  <c:v>2.7761999999999998</c:v>
                </c:pt>
                <c:pt idx="164">
                  <c:v>2.9198</c:v>
                </c:pt>
                <c:pt idx="165">
                  <c:v>3.0699000000000001</c:v>
                </c:pt>
                <c:pt idx="166">
                  <c:v>2.9506000000000001</c:v>
                </c:pt>
                <c:pt idx="167">
                  <c:v>3.0192000000000001</c:v>
                </c:pt>
                <c:pt idx="168">
                  <c:v>2.7898999999999998</c:v>
                </c:pt>
                <c:pt idx="169">
                  <c:v>2.8967999999999998</c:v>
                </c:pt>
                <c:pt idx="170">
                  <c:v>2.9056999999999999</c:v>
                </c:pt>
                <c:pt idx="171">
                  <c:v>2.9045999999999998</c:v>
                </c:pt>
                <c:pt idx="172">
                  <c:v>2.7505999999999999</c:v>
                </c:pt>
                <c:pt idx="173">
                  <c:v>2.9597000000000002</c:v>
                </c:pt>
                <c:pt idx="174">
                  <c:v>2.984</c:v>
                </c:pt>
                <c:pt idx="175">
                  <c:v>2.9992000000000001</c:v>
                </c:pt>
                <c:pt idx="176">
                  <c:v>2.8952</c:v>
                </c:pt>
                <c:pt idx="177">
                  <c:v>2.7646000000000002</c:v>
                </c:pt>
                <c:pt idx="178">
                  <c:v>2.7130000000000001</c:v>
                </c:pt>
                <c:pt idx="179">
                  <c:v>2.6313</c:v>
                </c:pt>
                <c:pt idx="180">
                  <c:v>2.7742</c:v>
                </c:pt>
                <c:pt idx="181">
                  <c:v>2.6429999999999998</c:v>
                </c:pt>
                <c:pt idx="182">
                  <c:v>2.6835</c:v>
                </c:pt>
                <c:pt idx="183">
                  <c:v>2.7490000000000001</c:v>
                </c:pt>
                <c:pt idx="184">
                  <c:v>2.7332999999999998</c:v>
                </c:pt>
                <c:pt idx="185">
                  <c:v>2.7218</c:v>
                </c:pt>
                <c:pt idx="186">
                  <c:v>2.7427999999999999</c:v>
                </c:pt>
                <c:pt idx="187">
                  <c:v>2.7458</c:v>
                </c:pt>
                <c:pt idx="188">
                  <c:v>2.9279999999999999</c:v>
                </c:pt>
                <c:pt idx="189">
                  <c:v>2.6116999999999999</c:v>
                </c:pt>
                <c:pt idx="190">
                  <c:v>2.3946000000000001</c:v>
                </c:pt>
                <c:pt idx="191">
                  <c:v>2.1936</c:v>
                </c:pt>
                <c:pt idx="192">
                  <c:v>2.4150999999999998</c:v>
                </c:pt>
                <c:pt idx="193">
                  <c:v>2.4964</c:v>
                </c:pt>
                <c:pt idx="194">
                  <c:v>2.3407</c:v>
                </c:pt>
                <c:pt idx="195">
                  <c:v>2.4916999999999998</c:v>
                </c:pt>
                <c:pt idx="196">
                  <c:v>2.4498000000000002</c:v>
                </c:pt>
                <c:pt idx="197">
                  <c:v>2.4742999999999999</c:v>
                </c:pt>
                <c:pt idx="198">
                  <c:v>2.2887</c:v>
                </c:pt>
                <c:pt idx="199">
                  <c:v>2.2307000000000001</c:v>
                </c:pt>
                <c:pt idx="200">
                  <c:v>2.4609999999999999</c:v>
                </c:pt>
                <c:pt idx="201">
                  <c:v>2.4035000000000002</c:v>
                </c:pt>
                <c:pt idx="202">
                  <c:v>2.2302</c:v>
                </c:pt>
                <c:pt idx="203">
                  <c:v>2.2726999999999999</c:v>
                </c:pt>
                <c:pt idx="204">
                  <c:v>2.0122</c:v>
                </c:pt>
                <c:pt idx="205">
                  <c:v>2.1680999999999999</c:v>
                </c:pt>
                <c:pt idx="206">
                  <c:v>1.8413999999999999</c:v>
                </c:pt>
                <c:pt idx="207">
                  <c:v>1.9068000000000001</c:v>
                </c:pt>
                <c:pt idx="208">
                  <c:v>1.7745</c:v>
                </c:pt>
                <c:pt idx="209">
                  <c:v>1.7265999999999999</c:v>
                </c:pt>
                <c:pt idx="210">
                  <c:v>1.6612</c:v>
                </c:pt>
                <c:pt idx="211">
                  <c:v>1.6831</c:v>
                </c:pt>
                <c:pt idx="212">
                  <c:v>1.7547999999999999</c:v>
                </c:pt>
                <c:pt idx="213">
                  <c:v>1.4601</c:v>
                </c:pt>
                <c:pt idx="214">
                  <c:v>1.4357</c:v>
                </c:pt>
                <c:pt idx="215">
                  <c:v>1.3332999999999999</c:v>
                </c:pt>
                <c:pt idx="216">
                  <c:v>1.35</c:v>
                </c:pt>
                <c:pt idx="217">
                  <c:v>1.4521999999999999</c:v>
                </c:pt>
                <c:pt idx="218">
                  <c:v>1.5720000000000001</c:v>
                </c:pt>
                <c:pt idx="219">
                  <c:v>1.4452</c:v>
                </c:pt>
                <c:pt idx="220">
                  <c:v>1.4792000000000001</c:v>
                </c:pt>
                <c:pt idx="221">
                  <c:v>1.7834000000000001</c:v>
                </c:pt>
                <c:pt idx="222">
                  <c:v>1.7401</c:v>
                </c:pt>
                <c:pt idx="223">
                  <c:v>1.8287</c:v>
                </c:pt>
                <c:pt idx="224">
                  <c:v>1.9307000000000001</c:v>
                </c:pt>
                <c:pt idx="225">
                  <c:v>1.8307</c:v>
                </c:pt>
                <c:pt idx="226">
                  <c:v>1.8156000000000001</c:v>
                </c:pt>
                <c:pt idx="227">
                  <c:v>1.6175999999999999</c:v>
                </c:pt>
                <c:pt idx="228">
                  <c:v>1.5264</c:v>
                </c:pt>
                <c:pt idx="229">
                  <c:v>1.4362999999999999</c:v>
                </c:pt>
                <c:pt idx="230">
                  <c:v>1.4603999999999999</c:v>
                </c:pt>
                <c:pt idx="231">
                  <c:v>1.4934000000000001</c:v>
                </c:pt>
                <c:pt idx="232">
                  <c:v>1.595</c:v>
                </c:pt>
                <c:pt idx="233">
                  <c:v>1.47</c:v>
                </c:pt>
                <c:pt idx="234">
                  <c:v>1.5188999999999999</c:v>
                </c:pt>
                <c:pt idx="235">
                  <c:v>1.6586000000000001</c:v>
                </c:pt>
                <c:pt idx="236">
                  <c:v>1.6142000000000001</c:v>
                </c:pt>
                <c:pt idx="237">
                  <c:v>1.6846000000000001</c:v>
                </c:pt>
                <c:pt idx="238">
                  <c:v>1.7886</c:v>
                </c:pt>
                <c:pt idx="239">
                  <c:v>1.6858</c:v>
                </c:pt>
                <c:pt idx="240">
                  <c:v>1.7117</c:v>
                </c:pt>
                <c:pt idx="241">
                  <c:v>1.5135000000000001</c:v>
                </c:pt>
                <c:pt idx="242">
                  <c:v>1.4492</c:v>
                </c:pt>
                <c:pt idx="243">
                  <c:v>1.4086000000000001</c:v>
                </c:pt>
                <c:pt idx="244">
                  <c:v>1.3224</c:v>
                </c:pt>
                <c:pt idx="245">
                  <c:v>1.4931000000000001</c:v>
                </c:pt>
                <c:pt idx="246">
                  <c:v>1.6023000000000001</c:v>
                </c:pt>
                <c:pt idx="247">
                  <c:v>1.5414000000000001</c:v>
                </c:pt>
                <c:pt idx="248">
                  <c:v>1.6227</c:v>
                </c:pt>
                <c:pt idx="249">
                  <c:v>1.2847</c:v>
                </c:pt>
                <c:pt idx="250">
                  <c:v>1.4240999999999999</c:v>
                </c:pt>
                <c:pt idx="251">
                  <c:v>1.3745000000000001</c:v>
                </c:pt>
                <c:pt idx="252">
                  <c:v>1.5697000000000001</c:v>
                </c:pt>
                <c:pt idx="253">
                  <c:v>1.26</c:v>
                </c:pt>
                <c:pt idx="254">
                  <c:v>1.9209000000000001</c:v>
                </c:pt>
                <c:pt idx="255">
                  <c:v>1.8367</c:v>
                </c:pt>
                <c:pt idx="256">
                  <c:v>1.9703999999999999</c:v>
                </c:pt>
                <c:pt idx="257">
                  <c:v>1.9690000000000001</c:v>
                </c:pt>
                <c:pt idx="258">
                  <c:v>2.1962000000000002</c:v>
                </c:pt>
                <c:pt idx="259">
                  <c:v>2.1436999999999999</c:v>
                </c:pt>
                <c:pt idx="260">
                  <c:v>2.1537000000000002</c:v>
                </c:pt>
                <c:pt idx="261">
                  <c:v>2.5501999999999998</c:v>
                </c:pt>
                <c:pt idx="262">
                  <c:v>2.4420000000000002</c:v>
                </c:pt>
                <c:pt idx="263">
                  <c:v>2.7195999999999998</c:v>
                </c:pt>
                <c:pt idx="264">
                  <c:v>2.7761999999999998</c:v>
                </c:pt>
                <c:pt idx="265">
                  <c:v>2.8376999999999999</c:v>
                </c:pt>
                <c:pt idx="266">
                  <c:v>2.8374000000000001</c:v>
                </c:pt>
                <c:pt idx="267">
                  <c:v>2.8944999999999999</c:v>
                </c:pt>
                <c:pt idx="268">
                  <c:v>2.6852999999999998</c:v>
                </c:pt>
                <c:pt idx="269">
                  <c:v>2.8025000000000002</c:v>
                </c:pt>
                <c:pt idx="270">
                  <c:v>2.4838</c:v>
                </c:pt>
                <c:pt idx="271">
                  <c:v>2.5739999999999998</c:v>
                </c:pt>
                <c:pt idx="272">
                  <c:v>2.5</c:v>
                </c:pt>
                <c:pt idx="273">
                  <c:v>2.4554</c:v>
                </c:pt>
                <c:pt idx="274">
                  <c:v>2.2751000000000001</c:v>
                </c:pt>
                <c:pt idx="275">
                  <c:v>2.3365</c:v>
                </c:pt>
                <c:pt idx="276">
                  <c:v>2.2044000000000001</c:v>
                </c:pt>
                <c:pt idx="277">
                  <c:v>1.8738999999999999</c:v>
                </c:pt>
                <c:pt idx="278">
                  <c:v>1.8634999999999999</c:v>
                </c:pt>
                <c:pt idx="279">
                  <c:v>2.0177999999999998</c:v>
                </c:pt>
                <c:pt idx="280">
                  <c:v>2.1858</c:v>
                </c:pt>
                <c:pt idx="281">
                  <c:v>2.2284999999999999</c:v>
                </c:pt>
                <c:pt idx="282">
                  <c:v>2.4567999999999999</c:v>
                </c:pt>
                <c:pt idx="283">
                  <c:v>2.3060999999999998</c:v>
                </c:pt>
                <c:pt idx="284">
                  <c:v>2.6469</c:v>
                </c:pt>
                <c:pt idx="285">
                  <c:v>3.1301000000000001</c:v>
                </c:pt>
                <c:pt idx="286">
                  <c:v>3.1383999999999999</c:v>
                </c:pt>
                <c:pt idx="287">
                  <c:v>3.2566999999999999</c:v>
                </c:pt>
                <c:pt idx="288">
                  <c:v>3.1196999999999999</c:v>
                </c:pt>
                <c:pt idx="289">
                  <c:v>3.1337999999999999</c:v>
                </c:pt>
                <c:pt idx="290">
                  <c:v>3.1183999999999998</c:v>
                </c:pt>
                <c:pt idx="291">
                  <c:v>3.2766999999999999</c:v>
                </c:pt>
                <c:pt idx="292">
                  <c:v>3.4567999999999999</c:v>
                </c:pt>
                <c:pt idx="293">
                  <c:v>3.0983000000000001</c:v>
                </c:pt>
                <c:pt idx="294">
                  <c:v>3.1663999999999999</c:v>
                </c:pt>
                <c:pt idx="295">
                  <c:v>2.8803000000000001</c:v>
                </c:pt>
                <c:pt idx="296">
                  <c:v>2.9933999999999998</c:v>
                </c:pt>
                <c:pt idx="297">
                  <c:v>3.09</c:v>
                </c:pt>
                <c:pt idx="298">
                  <c:v>3.1863999999999999</c:v>
                </c:pt>
                <c:pt idx="299">
                  <c:v>2.5709</c:v>
                </c:pt>
                <c:pt idx="300">
                  <c:v>2.7984</c:v>
                </c:pt>
                <c:pt idx="301">
                  <c:v>2.9291</c:v>
                </c:pt>
                <c:pt idx="302">
                  <c:v>2.6753</c:v>
                </c:pt>
                <c:pt idx="303">
                  <c:v>2.77</c:v>
                </c:pt>
                <c:pt idx="304">
                  <c:v>2.6549999999999998</c:v>
                </c:pt>
                <c:pt idx="305">
                  <c:v>2.5807000000000002</c:v>
                </c:pt>
                <c:pt idx="306">
                  <c:v>2.5413999999999999</c:v>
                </c:pt>
                <c:pt idx="307">
                  <c:v>2.4925000000000002</c:v>
                </c:pt>
                <c:pt idx="308">
                  <c:v>2.2200000000000002</c:v>
                </c:pt>
                <c:pt idx="309">
                  <c:v>2.3984999999999999</c:v>
                </c:pt>
                <c:pt idx="310">
                  <c:v>2.3736000000000002</c:v>
                </c:pt>
                <c:pt idx="311">
                  <c:v>2.52</c:v>
                </c:pt>
                <c:pt idx="312">
                  <c:v>2.8426999999999998</c:v>
                </c:pt>
                <c:pt idx="313">
                  <c:v>2.4615999999999998</c:v>
                </c:pt>
                <c:pt idx="314">
                  <c:v>2.4112</c:v>
                </c:pt>
                <c:pt idx="315">
                  <c:v>2.4535999999999998</c:v>
                </c:pt>
                <c:pt idx="316">
                  <c:v>2.4</c:v>
                </c:pt>
                <c:pt idx="317">
                  <c:v>2.3900999999999999</c:v>
                </c:pt>
                <c:pt idx="318">
                  <c:v>2.3054000000000001</c:v>
                </c:pt>
                <c:pt idx="319">
                  <c:v>2.5291999999999999</c:v>
                </c:pt>
                <c:pt idx="320">
                  <c:v>2.3914</c:v>
                </c:pt>
                <c:pt idx="321">
                  <c:v>2.2972999999999999</c:v>
                </c:pt>
                <c:pt idx="322">
                  <c:v>2.4781</c:v>
                </c:pt>
                <c:pt idx="323">
                  <c:v>2.6032000000000002</c:v>
                </c:pt>
                <c:pt idx="324">
                  <c:v>2.5956000000000001</c:v>
                </c:pt>
                <c:pt idx="325">
                  <c:v>2.5531999999999999</c:v>
                </c:pt>
                <c:pt idx="326">
                  <c:v>2.7726999999999999</c:v>
                </c:pt>
                <c:pt idx="327">
                  <c:v>2.0537999999999998</c:v>
                </c:pt>
                <c:pt idx="328">
                  <c:v>1.8641000000000001</c:v>
                </c:pt>
                <c:pt idx="329">
                  <c:v>1.885</c:v>
                </c:pt>
                <c:pt idx="330">
                  <c:v>2.0394000000000001</c:v>
                </c:pt>
                <c:pt idx="331">
                  <c:v>1.7818000000000001</c:v>
                </c:pt>
                <c:pt idx="332">
                  <c:v>1.7909999999999999</c:v>
                </c:pt>
                <c:pt idx="333">
                  <c:v>1.6999</c:v>
                </c:pt>
                <c:pt idx="334">
                  <c:v>1.8170999999999999</c:v>
                </c:pt>
                <c:pt idx="335">
                  <c:v>1.8787</c:v>
                </c:pt>
                <c:pt idx="336">
                  <c:v>1.8540000000000001</c:v>
                </c:pt>
                <c:pt idx="337">
                  <c:v>2.1120999999999999</c:v>
                </c:pt>
                <c:pt idx="338">
                  <c:v>2.3391999999999999</c:v>
                </c:pt>
                <c:pt idx="339">
                  <c:v>2.0592000000000001</c:v>
                </c:pt>
                <c:pt idx="340">
                  <c:v>1.9855</c:v>
                </c:pt>
                <c:pt idx="341">
                  <c:v>1.9</c:v>
                </c:pt>
                <c:pt idx="342">
                  <c:v>2.0884999999999998</c:v>
                </c:pt>
                <c:pt idx="343">
                  <c:v>2.1472000000000002</c:v>
                </c:pt>
                <c:pt idx="344">
                  <c:v>1.9839</c:v>
                </c:pt>
                <c:pt idx="345">
                  <c:v>1.9160999999999999</c:v>
                </c:pt>
                <c:pt idx="346">
                  <c:v>1.9547000000000001</c:v>
                </c:pt>
                <c:pt idx="347">
                  <c:v>2.1533000000000002</c:v>
                </c:pt>
                <c:pt idx="348">
                  <c:v>2.3881999999999999</c:v>
                </c:pt>
                <c:pt idx="349">
                  <c:v>2.2250000000000001</c:v>
                </c:pt>
                <c:pt idx="350">
                  <c:v>1.9107000000000001</c:v>
                </c:pt>
                <c:pt idx="351">
                  <c:v>1.9391</c:v>
                </c:pt>
                <c:pt idx="352">
                  <c:v>1.9726999999999999</c:v>
                </c:pt>
                <c:pt idx="353">
                  <c:v>1.6766000000000001</c:v>
                </c:pt>
                <c:pt idx="354">
                  <c:v>1.6444000000000001</c:v>
                </c:pt>
                <c:pt idx="355">
                  <c:v>1.6101000000000001</c:v>
                </c:pt>
                <c:pt idx="356">
                  <c:v>1.8008999999999999</c:v>
                </c:pt>
                <c:pt idx="357">
                  <c:v>1.6117999999999999</c:v>
                </c:pt>
                <c:pt idx="358">
                  <c:v>1.484</c:v>
                </c:pt>
                <c:pt idx="359">
                  <c:v>1.3620000000000001</c:v>
                </c:pt>
                <c:pt idx="360">
                  <c:v>1.335</c:v>
                </c:pt>
                <c:pt idx="361">
                  <c:v>1.2572000000000001</c:v>
                </c:pt>
                <c:pt idx="362">
                  <c:v>1.3250999999999999</c:v>
                </c:pt>
                <c:pt idx="363">
                  <c:v>1.2071000000000001</c:v>
                </c:pt>
                <c:pt idx="364">
                  <c:v>1.2101999999999999</c:v>
                </c:pt>
                <c:pt idx="365">
                  <c:v>1.1840999999999999</c:v>
                </c:pt>
                <c:pt idx="366">
                  <c:v>1.2196</c:v>
                </c:pt>
                <c:pt idx="367">
                  <c:v>1.2378</c:v>
                </c:pt>
                <c:pt idx="368">
                  <c:v>1.2978000000000001</c:v>
                </c:pt>
                <c:pt idx="369">
                  <c:v>1.296</c:v>
                </c:pt>
                <c:pt idx="370">
                  <c:v>1.2131000000000001</c:v>
                </c:pt>
                <c:pt idx="371">
                  <c:v>1.1393</c:v>
                </c:pt>
                <c:pt idx="372">
                  <c:v>1.3431</c:v>
                </c:pt>
                <c:pt idx="373">
                  <c:v>1.2617</c:v>
                </c:pt>
                <c:pt idx="374">
                  <c:v>1.3746</c:v>
                </c:pt>
                <c:pt idx="375">
                  <c:v>1.3281000000000001</c:v>
                </c:pt>
                <c:pt idx="376">
                  <c:v>1.357</c:v>
                </c:pt>
                <c:pt idx="377">
                  <c:v>1.2875000000000001</c:v>
                </c:pt>
                <c:pt idx="378">
                  <c:v>1.3324</c:v>
                </c:pt>
                <c:pt idx="379">
                  <c:v>1.2259</c:v>
                </c:pt>
                <c:pt idx="380">
                  <c:v>1.1355</c:v>
                </c:pt>
                <c:pt idx="381">
                  <c:v>1.2176</c:v>
                </c:pt>
                <c:pt idx="382">
                  <c:v>1.1604000000000001</c:v>
                </c:pt>
                <c:pt idx="383">
                  <c:v>1.1299999999999999</c:v>
                </c:pt>
                <c:pt idx="384">
                  <c:v>1.1459999999999999</c:v>
                </c:pt>
                <c:pt idx="385">
                  <c:v>0.92620000000000002</c:v>
                </c:pt>
                <c:pt idx="386">
                  <c:v>0.97729999999999995</c:v>
                </c:pt>
                <c:pt idx="387">
                  <c:v>0.92749999999999999</c:v>
                </c:pt>
                <c:pt idx="388">
                  <c:v>0.96160000000000001</c:v>
                </c:pt>
                <c:pt idx="389">
                  <c:v>0.81989999999999996</c:v>
                </c:pt>
                <c:pt idx="390">
                  <c:v>0.70250000000000001</c:v>
                </c:pt>
                <c:pt idx="391">
                  <c:v>0.67500000000000004</c:v>
                </c:pt>
                <c:pt idx="392">
                  <c:v>0.6754</c:v>
                </c:pt>
                <c:pt idx="393">
                  <c:v>0.66839999999999999</c:v>
                </c:pt>
                <c:pt idx="394">
                  <c:v>0.69069999999999998</c:v>
                </c:pt>
                <c:pt idx="395">
                  <c:v>0.71289999999999998</c:v>
                </c:pt>
                <c:pt idx="396">
                  <c:v>0.68659999999999999</c:v>
                </c:pt>
                <c:pt idx="397">
                  <c:v>0.69230000000000003</c:v>
                </c:pt>
                <c:pt idx="398">
                  <c:v>0.67769999999999997</c:v>
                </c:pt>
                <c:pt idx="399">
                  <c:v>0.68910000000000005</c:v>
                </c:pt>
                <c:pt idx="400">
                  <c:v>0.63319999999999999</c:v>
                </c:pt>
                <c:pt idx="401">
                  <c:v>0.77190000000000003</c:v>
                </c:pt>
                <c:pt idx="402">
                  <c:v>0.74609999999999999</c:v>
                </c:pt>
                <c:pt idx="403">
                  <c:v>0.78110000000000002</c:v>
                </c:pt>
                <c:pt idx="404">
                  <c:v>0.8609</c:v>
                </c:pt>
                <c:pt idx="405">
                  <c:v>0.84599999999999997</c:v>
                </c:pt>
                <c:pt idx="406">
                  <c:v>0.79249999999999998</c:v>
                </c:pt>
                <c:pt idx="407">
                  <c:v>0.80720000000000003</c:v>
                </c:pt>
                <c:pt idx="408">
                  <c:v>0.75129999999999997</c:v>
                </c:pt>
                <c:pt idx="409">
                  <c:v>0.752</c:v>
                </c:pt>
                <c:pt idx="410">
                  <c:v>0.70669999999999999</c:v>
                </c:pt>
                <c:pt idx="411">
                  <c:v>0.68110000000000004</c:v>
                </c:pt>
                <c:pt idx="412">
                  <c:v>0.64549999999999996</c:v>
                </c:pt>
                <c:pt idx="413">
                  <c:v>0.67969999999999997</c:v>
                </c:pt>
                <c:pt idx="414">
                  <c:v>0.70509999999999995</c:v>
                </c:pt>
                <c:pt idx="415">
                  <c:v>0.68440000000000001</c:v>
                </c:pt>
                <c:pt idx="416">
                  <c:v>0.748</c:v>
                </c:pt>
                <c:pt idx="417">
                  <c:v>0.72260000000000002</c:v>
                </c:pt>
                <c:pt idx="418">
                  <c:v>0.745</c:v>
                </c:pt>
                <c:pt idx="419">
                  <c:v>0.69089999999999996</c:v>
                </c:pt>
                <c:pt idx="420">
                  <c:v>0.78490000000000004</c:v>
                </c:pt>
                <c:pt idx="421">
                  <c:v>0.74650000000000005</c:v>
                </c:pt>
                <c:pt idx="422">
                  <c:v>0.69630000000000003</c:v>
                </c:pt>
                <c:pt idx="423">
                  <c:v>0.70609999999999995</c:v>
                </c:pt>
                <c:pt idx="424">
                  <c:v>0.66590000000000005</c:v>
                </c:pt>
                <c:pt idx="425">
                  <c:v>0.64480000000000004</c:v>
                </c:pt>
                <c:pt idx="426">
                  <c:v>0.64580000000000004</c:v>
                </c:pt>
                <c:pt idx="427">
                  <c:v>0.69159999999999999</c:v>
                </c:pt>
                <c:pt idx="428">
                  <c:v>0.75560000000000005</c:v>
                </c:pt>
                <c:pt idx="429">
                  <c:v>0.81179999999999997</c:v>
                </c:pt>
                <c:pt idx="430">
                  <c:v>0.84450000000000003</c:v>
                </c:pt>
                <c:pt idx="431">
                  <c:v>0.75619999999999998</c:v>
                </c:pt>
                <c:pt idx="432">
                  <c:v>0.8</c:v>
                </c:pt>
                <c:pt idx="433">
                  <c:v>0.71220000000000006</c:v>
                </c:pt>
                <c:pt idx="434">
                  <c:v>0.67259999999999998</c:v>
                </c:pt>
                <c:pt idx="435">
                  <c:v>0.63300000000000001</c:v>
                </c:pt>
                <c:pt idx="436">
                  <c:v>0.64459999999999995</c:v>
                </c:pt>
                <c:pt idx="437">
                  <c:v>0.61119999999999997</c:v>
                </c:pt>
                <c:pt idx="438">
                  <c:v>0.57809999999999995</c:v>
                </c:pt>
                <c:pt idx="439">
                  <c:v>0.57709999999999995</c:v>
                </c:pt>
                <c:pt idx="440">
                  <c:v>0.59560000000000002</c:v>
                </c:pt>
                <c:pt idx="441">
                  <c:v>0.57010000000000005</c:v>
                </c:pt>
                <c:pt idx="442">
                  <c:v>0.59819999999999995</c:v>
                </c:pt>
                <c:pt idx="443">
                  <c:v>0.61050000000000004</c:v>
                </c:pt>
                <c:pt idx="444">
                  <c:v>0.58679999999999999</c:v>
                </c:pt>
                <c:pt idx="445">
                  <c:v>0.59389999999999998</c:v>
                </c:pt>
                <c:pt idx="446">
                  <c:v>0.54710000000000003</c:v>
                </c:pt>
                <c:pt idx="447">
                  <c:v>0.58540000000000003</c:v>
                </c:pt>
                <c:pt idx="448">
                  <c:v>0.5212</c:v>
                </c:pt>
                <c:pt idx="449">
                  <c:v>0.48880000000000001</c:v>
                </c:pt>
                <c:pt idx="450">
                  <c:v>0.50519999999999998</c:v>
                </c:pt>
                <c:pt idx="451">
                  <c:v>0.51480000000000004</c:v>
                </c:pt>
                <c:pt idx="452">
                  <c:v>0.55359999999999998</c:v>
                </c:pt>
                <c:pt idx="453">
                  <c:v>0.5444</c:v>
                </c:pt>
                <c:pt idx="454">
                  <c:v>0.56200000000000006</c:v>
                </c:pt>
                <c:pt idx="455">
                  <c:v>0.58240000000000003</c:v>
                </c:pt>
                <c:pt idx="456">
                  <c:v>0.63380000000000003</c:v>
                </c:pt>
                <c:pt idx="457">
                  <c:v>0.626</c:v>
                </c:pt>
                <c:pt idx="458">
                  <c:v>0.62849999999999995</c:v>
                </c:pt>
                <c:pt idx="459">
                  <c:v>0.6391</c:v>
                </c:pt>
                <c:pt idx="460">
                  <c:v>0.66069999999999995</c:v>
                </c:pt>
                <c:pt idx="461">
                  <c:v>0.68520000000000003</c:v>
                </c:pt>
                <c:pt idx="462">
                  <c:v>0.66420000000000001</c:v>
                </c:pt>
                <c:pt idx="463">
                  <c:v>0.63460000000000005</c:v>
                </c:pt>
                <c:pt idx="464">
                  <c:v>0.61460000000000004</c:v>
                </c:pt>
                <c:pt idx="465">
                  <c:v>0.68400000000000005</c:v>
                </c:pt>
                <c:pt idx="466">
                  <c:v>0.71630000000000005</c:v>
                </c:pt>
                <c:pt idx="467">
                  <c:v>0.69010000000000005</c:v>
                </c:pt>
                <c:pt idx="468">
                  <c:v>0.68389999999999995</c:v>
                </c:pt>
                <c:pt idx="469">
                  <c:v>0.73829999999999996</c:v>
                </c:pt>
                <c:pt idx="470">
                  <c:v>0.79549999999999998</c:v>
                </c:pt>
                <c:pt idx="471">
                  <c:v>0.80189999999999995</c:v>
                </c:pt>
                <c:pt idx="472">
                  <c:v>0.73870000000000002</c:v>
                </c:pt>
                <c:pt idx="473">
                  <c:v>0.73</c:v>
                </c:pt>
                <c:pt idx="474">
                  <c:v>0.72640000000000005</c:v>
                </c:pt>
                <c:pt idx="475">
                  <c:v>0.73980000000000001</c:v>
                </c:pt>
                <c:pt idx="476">
                  <c:v>0.72250000000000003</c:v>
                </c:pt>
                <c:pt idx="477">
                  <c:v>0.71009999999999995</c:v>
                </c:pt>
                <c:pt idx="478">
                  <c:v>0.69289999999999996</c:v>
                </c:pt>
                <c:pt idx="479">
                  <c:v>0.8226</c:v>
                </c:pt>
                <c:pt idx="480">
                  <c:v>0.91849999999999998</c:v>
                </c:pt>
                <c:pt idx="481">
                  <c:v>0.93600000000000005</c:v>
                </c:pt>
                <c:pt idx="482">
                  <c:v>0.90939999999999999</c:v>
                </c:pt>
                <c:pt idx="483">
                  <c:v>0.93799999999999994</c:v>
                </c:pt>
                <c:pt idx="484">
                  <c:v>1.1171</c:v>
                </c:pt>
                <c:pt idx="485">
                  <c:v>1.0416000000000001</c:v>
                </c:pt>
                <c:pt idx="486">
                  <c:v>0.81340000000000001</c:v>
                </c:pt>
                <c:pt idx="487">
                  <c:v>0.76859999999999995</c:v>
                </c:pt>
                <c:pt idx="488">
                  <c:v>0.79869999999999997</c:v>
                </c:pt>
                <c:pt idx="489">
                  <c:v>0.8075</c:v>
                </c:pt>
                <c:pt idx="490">
                  <c:v>0.91020000000000001</c:v>
                </c:pt>
                <c:pt idx="491">
                  <c:v>0.79700000000000004</c:v>
                </c:pt>
                <c:pt idx="492">
                  <c:v>0.7782</c:v>
                </c:pt>
                <c:pt idx="493">
                  <c:v>0.70330000000000004</c:v>
                </c:pt>
                <c:pt idx="494">
                  <c:v>0.63890000000000002</c:v>
                </c:pt>
                <c:pt idx="495">
                  <c:v>0.68610000000000004</c:v>
                </c:pt>
                <c:pt idx="496">
                  <c:v>0.64329999999999998</c:v>
                </c:pt>
                <c:pt idx="497">
                  <c:v>0.628</c:v>
                </c:pt>
                <c:pt idx="498">
                  <c:v>0.61729999999999996</c:v>
                </c:pt>
                <c:pt idx="499">
                  <c:v>0.62350000000000005</c:v>
                </c:pt>
                <c:pt idx="500">
                  <c:v>0.65959999999999996</c:v>
                </c:pt>
                <c:pt idx="501">
                  <c:v>0.66820000000000002</c:v>
                </c:pt>
                <c:pt idx="502">
                  <c:v>0.73280000000000001</c:v>
                </c:pt>
                <c:pt idx="503">
                  <c:v>0.67600000000000005</c:v>
                </c:pt>
                <c:pt idx="504">
                  <c:v>0.68330000000000002</c:v>
                </c:pt>
                <c:pt idx="505">
                  <c:v>0.64390000000000003</c:v>
                </c:pt>
                <c:pt idx="506">
                  <c:v>0.61280000000000001</c:v>
                </c:pt>
                <c:pt idx="507">
                  <c:v>0.63880000000000003</c:v>
                </c:pt>
                <c:pt idx="508">
                  <c:v>0.66320000000000001</c:v>
                </c:pt>
                <c:pt idx="509">
                  <c:v>0.59289999999999998</c:v>
                </c:pt>
                <c:pt idx="510">
                  <c:v>0.74119999999999997</c:v>
                </c:pt>
                <c:pt idx="511">
                  <c:v>0.70050000000000001</c:v>
                </c:pt>
                <c:pt idx="512">
                  <c:v>0.92800000000000005</c:v>
                </c:pt>
                <c:pt idx="513">
                  <c:v>0.99060000000000004</c:v>
                </c:pt>
                <c:pt idx="514">
                  <c:v>1.0348999999999999</c:v>
                </c:pt>
                <c:pt idx="515">
                  <c:v>1.0942000000000001</c:v>
                </c:pt>
                <c:pt idx="516">
                  <c:v>1.0962000000000001</c:v>
                </c:pt>
                <c:pt idx="517">
                  <c:v>1.0261</c:v>
                </c:pt>
                <c:pt idx="518">
                  <c:v>0.97189999999999999</c:v>
                </c:pt>
                <c:pt idx="519">
                  <c:v>1.0164</c:v>
                </c:pt>
                <c:pt idx="520">
                  <c:v>1.0298</c:v>
                </c:pt>
                <c:pt idx="521">
                  <c:v>1.1080000000000001</c:v>
                </c:pt>
                <c:pt idx="522">
                  <c:v>1.0767</c:v>
                </c:pt>
                <c:pt idx="523">
                  <c:v>1.1100000000000001</c:v>
                </c:pt>
                <c:pt idx="524">
                  <c:v>1.0686</c:v>
                </c:pt>
                <c:pt idx="525">
                  <c:v>1.2519</c:v>
                </c:pt>
                <c:pt idx="526">
                  <c:v>1.1332</c:v>
                </c:pt>
                <c:pt idx="527">
                  <c:v>1.1901999999999999</c:v>
                </c:pt>
                <c:pt idx="528">
                  <c:v>1.28</c:v>
                </c:pt>
                <c:pt idx="529">
                  <c:v>1.4209000000000001</c:v>
                </c:pt>
                <c:pt idx="530">
                  <c:v>1.3532999999999999</c:v>
                </c:pt>
                <c:pt idx="531">
                  <c:v>1.3782000000000001</c:v>
                </c:pt>
                <c:pt idx="532">
                  <c:v>1.4092</c:v>
                </c:pt>
                <c:pt idx="533">
                  <c:v>1.2868999999999999</c:v>
                </c:pt>
                <c:pt idx="534">
                  <c:v>1.1134999999999999</c:v>
                </c:pt>
                <c:pt idx="535">
                  <c:v>1.1946000000000001</c:v>
                </c:pt>
                <c:pt idx="536">
                  <c:v>1.2783</c:v>
                </c:pt>
                <c:pt idx="537">
                  <c:v>1.028</c:v>
                </c:pt>
                <c:pt idx="538">
                  <c:v>1.0384</c:v>
                </c:pt>
                <c:pt idx="539">
                  <c:v>0.99080000000000001</c:v>
                </c:pt>
                <c:pt idx="540">
                  <c:v>0.92549999999999999</c:v>
                </c:pt>
                <c:pt idx="541">
                  <c:v>0.93779999999999997</c:v>
                </c:pt>
                <c:pt idx="542">
                  <c:v>0.91390000000000005</c:v>
                </c:pt>
                <c:pt idx="543">
                  <c:v>0.86799999999999999</c:v>
                </c:pt>
                <c:pt idx="544">
                  <c:v>0.93840000000000001</c:v>
                </c:pt>
                <c:pt idx="545">
                  <c:v>0.85699999999999998</c:v>
                </c:pt>
                <c:pt idx="546">
                  <c:v>0.91490000000000005</c:v>
                </c:pt>
                <c:pt idx="547">
                  <c:v>0.91269999999999996</c:v>
                </c:pt>
                <c:pt idx="548">
                  <c:v>0.95579999999999998</c:v>
                </c:pt>
                <c:pt idx="549">
                  <c:v>0.9012</c:v>
                </c:pt>
                <c:pt idx="550">
                  <c:v>1.0579000000000001</c:v>
                </c:pt>
                <c:pt idx="551">
                  <c:v>1.0658000000000001</c:v>
                </c:pt>
                <c:pt idx="552">
                  <c:v>0.98819999999999997</c:v>
                </c:pt>
                <c:pt idx="553">
                  <c:v>0.93589999999999995</c:v>
                </c:pt>
                <c:pt idx="554">
                  <c:v>0.89100000000000001</c:v>
                </c:pt>
                <c:pt idx="555">
                  <c:v>0.89180000000000004</c:v>
                </c:pt>
                <c:pt idx="556">
                  <c:v>0.90649999999999997</c:v>
                </c:pt>
                <c:pt idx="557">
                  <c:v>0.89500000000000002</c:v>
                </c:pt>
                <c:pt idx="558">
                  <c:v>0.72719999999999996</c:v>
                </c:pt>
                <c:pt idx="559">
                  <c:v>0.74719999999999998</c:v>
                </c:pt>
                <c:pt idx="560">
                  <c:v>0.74</c:v>
                </c:pt>
                <c:pt idx="561">
                  <c:v>0.71970000000000001</c:v>
                </c:pt>
                <c:pt idx="562">
                  <c:v>0.70189999999999997</c:v>
                </c:pt>
                <c:pt idx="563">
                  <c:v>0.74260000000000004</c:v>
                </c:pt>
                <c:pt idx="564">
                  <c:v>0.70899999999999996</c:v>
                </c:pt>
                <c:pt idx="565">
                  <c:v>0.70489999999999997</c:v>
                </c:pt>
                <c:pt idx="566">
                  <c:v>0.66969999999999996</c:v>
                </c:pt>
                <c:pt idx="567">
                  <c:v>0.64370000000000005</c:v>
                </c:pt>
                <c:pt idx="568">
                  <c:v>0.6804</c:v>
                </c:pt>
                <c:pt idx="569">
                  <c:v>0.70709999999999995</c:v>
                </c:pt>
                <c:pt idx="570">
                  <c:v>0.6593</c:v>
                </c:pt>
                <c:pt idx="571">
                  <c:v>0.56920000000000004</c:v>
                </c:pt>
                <c:pt idx="572">
                  <c:v>0.58909999999999996</c:v>
                </c:pt>
                <c:pt idx="573">
                  <c:v>0.56989999999999996</c:v>
                </c:pt>
                <c:pt idx="574">
                  <c:v>0.51200000000000001</c:v>
                </c:pt>
                <c:pt idx="575">
                  <c:v>0.50680000000000003</c:v>
                </c:pt>
                <c:pt idx="576">
                  <c:v>0.4879</c:v>
                </c:pt>
                <c:pt idx="577">
                  <c:v>0.51219999999999999</c:v>
                </c:pt>
                <c:pt idx="578">
                  <c:v>0.50490000000000002</c:v>
                </c:pt>
                <c:pt idx="579">
                  <c:v>0.49459999999999998</c:v>
                </c:pt>
                <c:pt idx="580">
                  <c:v>0.5595</c:v>
                </c:pt>
                <c:pt idx="581">
                  <c:v>0.51549999999999996</c:v>
                </c:pt>
                <c:pt idx="582">
                  <c:v>0.46110000000000001</c:v>
                </c:pt>
                <c:pt idx="583">
                  <c:v>0.4516</c:v>
                </c:pt>
                <c:pt idx="584">
                  <c:v>0.44130000000000003</c:v>
                </c:pt>
                <c:pt idx="585">
                  <c:v>0.4365</c:v>
                </c:pt>
                <c:pt idx="586">
                  <c:v>0.46300000000000002</c:v>
                </c:pt>
                <c:pt idx="587">
                  <c:v>0.47749999999999998</c:v>
                </c:pt>
                <c:pt idx="588">
                  <c:v>0.4446</c:v>
                </c:pt>
                <c:pt idx="589">
                  <c:v>0.42920000000000003</c:v>
                </c:pt>
                <c:pt idx="590">
                  <c:v>0.42930000000000001</c:v>
                </c:pt>
                <c:pt idx="591">
                  <c:v>0.41720000000000002</c:v>
                </c:pt>
                <c:pt idx="592">
                  <c:v>0.41360000000000002</c:v>
                </c:pt>
                <c:pt idx="593">
                  <c:v>0.43859999999999999</c:v>
                </c:pt>
                <c:pt idx="594">
                  <c:v>0.44940000000000002</c:v>
                </c:pt>
                <c:pt idx="595">
                  <c:v>0.43049999999999999</c:v>
                </c:pt>
                <c:pt idx="596">
                  <c:v>0.51749999999999996</c:v>
                </c:pt>
                <c:pt idx="597">
                  <c:v>0.45329999999999998</c:v>
                </c:pt>
                <c:pt idx="598">
                  <c:v>0.44929999999999998</c:v>
                </c:pt>
                <c:pt idx="599">
                  <c:v>0.41589999999999999</c:v>
                </c:pt>
                <c:pt idx="600">
                  <c:v>0.40339999999999998</c:v>
                </c:pt>
                <c:pt idx="601">
                  <c:v>0.3997</c:v>
                </c:pt>
                <c:pt idx="602">
                  <c:v>0.39960000000000001</c:v>
                </c:pt>
                <c:pt idx="603">
                  <c:v>0.40039999999999998</c:v>
                </c:pt>
                <c:pt idx="604">
                  <c:v>0.39950000000000002</c:v>
                </c:pt>
                <c:pt idx="605">
                  <c:v>0.40500000000000003</c:v>
                </c:pt>
                <c:pt idx="606">
                  <c:v>0.38850000000000001</c:v>
                </c:pt>
                <c:pt idx="607">
                  <c:v>0.40660000000000002</c:v>
                </c:pt>
                <c:pt idx="608">
                  <c:v>0.39800000000000002</c:v>
                </c:pt>
                <c:pt idx="609">
                  <c:v>0.39950000000000002</c:v>
                </c:pt>
                <c:pt idx="610">
                  <c:v>0.40379999999999999</c:v>
                </c:pt>
                <c:pt idx="611">
                  <c:v>0.42170000000000002</c:v>
                </c:pt>
                <c:pt idx="612">
                  <c:v>0.40939999999999999</c:v>
                </c:pt>
                <c:pt idx="613">
                  <c:v>0.3705</c:v>
                </c:pt>
                <c:pt idx="614">
                  <c:v>0.38</c:v>
                </c:pt>
                <c:pt idx="615">
                  <c:v>0.39179999999999998</c:v>
                </c:pt>
                <c:pt idx="616">
                  <c:v>0.36990000000000001</c:v>
                </c:pt>
                <c:pt idx="617">
                  <c:v>0.37709999999999999</c:v>
                </c:pt>
                <c:pt idx="618">
                  <c:v>0.38319999999999999</c:v>
                </c:pt>
                <c:pt idx="619">
                  <c:v>0.37909999999999999</c:v>
                </c:pt>
                <c:pt idx="620">
                  <c:v>0.38919999999999999</c:v>
                </c:pt>
                <c:pt idx="621">
                  <c:v>0.3851</c:v>
                </c:pt>
                <c:pt idx="622">
                  <c:v>0.36399999999999999</c:v>
                </c:pt>
                <c:pt idx="623">
                  <c:v>0.37709999999999999</c:v>
                </c:pt>
                <c:pt idx="624">
                  <c:v>0.37630000000000002</c:v>
                </c:pt>
                <c:pt idx="625">
                  <c:v>0.375</c:v>
                </c:pt>
                <c:pt idx="626">
                  <c:v>0.37640000000000001</c:v>
                </c:pt>
                <c:pt idx="627">
                  <c:v>0.38719999999999999</c:v>
                </c:pt>
                <c:pt idx="628">
                  <c:v>0.42670000000000002</c:v>
                </c:pt>
                <c:pt idx="629">
                  <c:v>0.42980000000000002</c:v>
                </c:pt>
                <c:pt idx="630">
                  <c:v>0.3962</c:v>
                </c:pt>
                <c:pt idx="631">
                  <c:v>0.3619</c:v>
                </c:pt>
                <c:pt idx="632">
                  <c:v>0.36430000000000001</c:v>
                </c:pt>
                <c:pt idx="633">
                  <c:v>0.36680000000000001</c:v>
                </c:pt>
                <c:pt idx="634">
                  <c:v>0.35709999999999997</c:v>
                </c:pt>
                <c:pt idx="635">
                  <c:v>0.3765</c:v>
                </c:pt>
                <c:pt idx="636">
                  <c:v>0.35980000000000001</c:v>
                </c:pt>
                <c:pt idx="637">
                  <c:v>0.35539999999999999</c:v>
                </c:pt>
                <c:pt idx="638">
                  <c:v>0.36409999999999998</c:v>
                </c:pt>
                <c:pt idx="639">
                  <c:v>0.34799999999999998</c:v>
                </c:pt>
                <c:pt idx="640">
                  <c:v>0.34510000000000002</c:v>
                </c:pt>
                <c:pt idx="641">
                  <c:v>0.35070000000000001</c:v>
                </c:pt>
                <c:pt idx="642">
                  <c:v>0.3518</c:v>
                </c:pt>
                <c:pt idx="643">
                  <c:v>0.33879999999999999</c:v>
                </c:pt>
                <c:pt idx="644">
                  <c:v>0.32969999999999999</c:v>
                </c:pt>
                <c:pt idx="645">
                  <c:v>0.32600000000000001</c:v>
                </c:pt>
                <c:pt idx="646">
                  <c:v>0.31380000000000002</c:v>
                </c:pt>
                <c:pt idx="647">
                  <c:v>0.30230000000000001</c:v>
                </c:pt>
                <c:pt idx="648">
                  <c:v>0.31640000000000001</c:v>
                </c:pt>
                <c:pt idx="649">
                  <c:v>0.3392</c:v>
                </c:pt>
                <c:pt idx="650">
                  <c:v>0.33810000000000001</c:v>
                </c:pt>
                <c:pt idx="651">
                  <c:v>0.33069999999999999</c:v>
                </c:pt>
                <c:pt idx="652">
                  <c:v>0.2873</c:v>
                </c:pt>
                <c:pt idx="653">
                  <c:v>0.27229999999999999</c:v>
                </c:pt>
                <c:pt idx="654">
                  <c:v>0.2681</c:v>
                </c:pt>
                <c:pt idx="655">
                  <c:v>0.27260000000000001</c:v>
                </c:pt>
                <c:pt idx="656">
                  <c:v>0.26989999999999997</c:v>
                </c:pt>
                <c:pt idx="657">
                  <c:v>0.26450000000000001</c:v>
                </c:pt>
                <c:pt idx="658">
                  <c:v>0.29480000000000001</c:v>
                </c:pt>
                <c:pt idx="659">
                  <c:v>0.30149999999999999</c:v>
                </c:pt>
                <c:pt idx="660">
                  <c:v>0.28589999999999999</c:v>
                </c:pt>
                <c:pt idx="661">
                  <c:v>0.28060000000000002</c:v>
                </c:pt>
                <c:pt idx="662">
                  <c:v>0.25969999999999999</c:v>
                </c:pt>
                <c:pt idx="663">
                  <c:v>0.26419999999999999</c:v>
                </c:pt>
                <c:pt idx="664">
                  <c:v>0.26590000000000003</c:v>
                </c:pt>
                <c:pt idx="665">
                  <c:v>0.26</c:v>
                </c:pt>
                <c:pt idx="666">
                  <c:v>0.25840000000000002</c:v>
                </c:pt>
                <c:pt idx="667">
                  <c:v>0.24210000000000001</c:v>
                </c:pt>
                <c:pt idx="668">
                  <c:v>0.23350000000000001</c:v>
                </c:pt>
                <c:pt idx="669">
                  <c:v>0.21290000000000001</c:v>
                </c:pt>
                <c:pt idx="670">
                  <c:v>0.22770000000000001</c:v>
                </c:pt>
                <c:pt idx="671">
                  <c:v>0.23</c:v>
                </c:pt>
                <c:pt idx="672">
                  <c:v>0.25419999999999998</c:v>
                </c:pt>
                <c:pt idx="673">
                  <c:v>0.24529999999999999</c:v>
                </c:pt>
                <c:pt idx="674">
                  <c:v>0.2369</c:v>
                </c:pt>
                <c:pt idx="675">
                  <c:v>0.2349</c:v>
                </c:pt>
                <c:pt idx="676">
                  <c:v>0.2162</c:v>
                </c:pt>
                <c:pt idx="677">
                  <c:v>0.23780000000000001</c:v>
                </c:pt>
                <c:pt idx="678">
                  <c:v>0.23580000000000001</c:v>
                </c:pt>
                <c:pt idx="679">
                  <c:v>0.25040000000000001</c:v>
                </c:pt>
                <c:pt idx="680">
                  <c:v>0.2278</c:v>
                </c:pt>
                <c:pt idx="681">
                  <c:v>0.2422</c:v>
                </c:pt>
                <c:pt idx="682">
                  <c:v>0.18590000000000001</c:v>
                </c:pt>
                <c:pt idx="683">
                  <c:v>0.20660000000000001</c:v>
                </c:pt>
                <c:pt idx="684">
                  <c:v>0.20430000000000001</c:v>
                </c:pt>
                <c:pt idx="685">
                  <c:v>0.22140000000000001</c:v>
                </c:pt>
                <c:pt idx="686">
                  <c:v>0.18770000000000001</c:v>
                </c:pt>
                <c:pt idx="687">
                  <c:v>0.41439999999999999</c:v>
                </c:pt>
                <c:pt idx="688">
                  <c:v>0.44090000000000001</c:v>
                </c:pt>
                <c:pt idx="689">
                  <c:v>0.44019999999999998</c:v>
                </c:pt>
                <c:pt idx="690">
                  <c:v>0.4274</c:v>
                </c:pt>
                <c:pt idx="691">
                  <c:v>0.52339999999999998</c:v>
                </c:pt>
                <c:pt idx="692">
                  <c:v>0.53790000000000004</c:v>
                </c:pt>
                <c:pt idx="693">
                  <c:v>0.52849999999999997</c:v>
                </c:pt>
                <c:pt idx="694">
                  <c:v>0.52790000000000004</c:v>
                </c:pt>
                <c:pt idx="695">
                  <c:v>0.50309999999999999</c:v>
                </c:pt>
                <c:pt idx="696">
                  <c:v>0.51880000000000004</c:v>
                </c:pt>
                <c:pt idx="697">
                  <c:v>0.4733</c:v>
                </c:pt>
                <c:pt idx="698">
                  <c:v>0.49630000000000002</c:v>
                </c:pt>
                <c:pt idx="699">
                  <c:v>0.5081</c:v>
                </c:pt>
                <c:pt idx="700">
                  <c:v>0.52759999999999996</c:v>
                </c:pt>
                <c:pt idx="701">
                  <c:v>0.48899999999999999</c:v>
                </c:pt>
                <c:pt idx="702">
                  <c:v>0.54859999999999998</c:v>
                </c:pt>
                <c:pt idx="703">
                  <c:v>0.60129999999999995</c:v>
                </c:pt>
                <c:pt idx="704">
                  <c:v>0.58919999999999995</c:v>
                </c:pt>
                <c:pt idx="705">
                  <c:v>0.56569999999999998</c:v>
                </c:pt>
                <c:pt idx="706">
                  <c:v>0.56130000000000002</c:v>
                </c:pt>
                <c:pt idx="707">
                  <c:v>0.58250000000000002</c:v>
                </c:pt>
                <c:pt idx="708">
                  <c:v>0.50939999999999996</c:v>
                </c:pt>
                <c:pt idx="709">
                  <c:v>0.55779999999999996</c:v>
                </c:pt>
                <c:pt idx="710">
                  <c:v>0.52659999999999996</c:v>
                </c:pt>
                <c:pt idx="711">
                  <c:v>0.54859999999999998</c:v>
                </c:pt>
                <c:pt idx="712">
                  <c:v>0.56220000000000003</c:v>
                </c:pt>
                <c:pt idx="713">
                  <c:v>0.60529999999999995</c:v>
                </c:pt>
                <c:pt idx="714">
                  <c:v>0.57609999999999995</c:v>
                </c:pt>
                <c:pt idx="715">
                  <c:v>0.59719999999999995</c:v>
                </c:pt>
                <c:pt idx="716">
                  <c:v>0.56659999999999999</c:v>
                </c:pt>
                <c:pt idx="717">
                  <c:v>0.49159999999999998</c:v>
                </c:pt>
                <c:pt idx="718">
                  <c:v>0.49120000000000003</c:v>
                </c:pt>
                <c:pt idx="719">
                  <c:v>0.48780000000000001</c:v>
                </c:pt>
                <c:pt idx="720">
                  <c:v>0.52769999999999995</c:v>
                </c:pt>
                <c:pt idx="721">
                  <c:v>0.52349999999999997</c:v>
                </c:pt>
                <c:pt idx="722">
                  <c:v>0.53159999999999996</c:v>
                </c:pt>
                <c:pt idx="723">
                  <c:v>0.53169999999999995</c:v>
                </c:pt>
                <c:pt idx="724">
                  <c:v>0.50819999999999999</c:v>
                </c:pt>
                <c:pt idx="725">
                  <c:v>0.49170000000000003</c:v>
                </c:pt>
                <c:pt idx="726">
                  <c:v>0.4854</c:v>
                </c:pt>
                <c:pt idx="727">
                  <c:v>0.46929999999999999</c:v>
                </c:pt>
                <c:pt idx="728">
                  <c:v>0.42499999999999999</c:v>
                </c:pt>
                <c:pt idx="729">
                  <c:v>0.42209999999999998</c:v>
                </c:pt>
                <c:pt idx="730">
                  <c:v>0.43169999999999997</c:v>
                </c:pt>
                <c:pt idx="731">
                  <c:v>0.45590000000000003</c:v>
                </c:pt>
                <c:pt idx="732">
                  <c:v>0.45479999999999998</c:v>
                </c:pt>
                <c:pt idx="733">
                  <c:v>0.4446</c:v>
                </c:pt>
                <c:pt idx="734">
                  <c:v>0.44840000000000002</c:v>
                </c:pt>
                <c:pt idx="735">
                  <c:v>0.4481</c:v>
                </c:pt>
                <c:pt idx="736">
                  <c:v>0.4824</c:v>
                </c:pt>
                <c:pt idx="737">
                  <c:v>0.46899999999999997</c:v>
                </c:pt>
                <c:pt idx="738">
                  <c:v>0.45639999999999997</c:v>
                </c:pt>
                <c:pt idx="739">
                  <c:v>0.45579999999999998</c:v>
                </c:pt>
                <c:pt idx="740">
                  <c:v>0.47570000000000001</c:v>
                </c:pt>
                <c:pt idx="741">
                  <c:v>0.48449999999999999</c:v>
                </c:pt>
                <c:pt idx="742">
                  <c:v>0.46379999999999999</c:v>
                </c:pt>
                <c:pt idx="743">
                  <c:v>0.4819</c:v>
                </c:pt>
                <c:pt idx="744">
                  <c:v>0.47149999999999997</c:v>
                </c:pt>
                <c:pt idx="745">
                  <c:v>0.50190000000000001</c:v>
                </c:pt>
                <c:pt idx="746">
                  <c:v>0.45900000000000002</c:v>
                </c:pt>
                <c:pt idx="747">
                  <c:v>0.42809999999999998</c:v>
                </c:pt>
                <c:pt idx="748">
                  <c:v>0.43330000000000002</c:v>
                </c:pt>
                <c:pt idx="749">
                  <c:v>0.4264</c:v>
                </c:pt>
                <c:pt idx="750">
                  <c:v>0.45879999999999999</c:v>
                </c:pt>
                <c:pt idx="751">
                  <c:v>0.44109999999999999</c:v>
                </c:pt>
                <c:pt idx="752">
                  <c:v>0.45079999999999998</c:v>
                </c:pt>
                <c:pt idx="753">
                  <c:v>0.443</c:v>
                </c:pt>
                <c:pt idx="754">
                  <c:v>0.46949999999999997</c:v>
                </c:pt>
                <c:pt idx="755">
                  <c:v>0.42859999999999998</c:v>
                </c:pt>
                <c:pt idx="756">
                  <c:v>0.41949999999999998</c:v>
                </c:pt>
                <c:pt idx="757">
                  <c:v>0.44579999999999997</c:v>
                </c:pt>
                <c:pt idx="758">
                  <c:v>0.44030000000000002</c:v>
                </c:pt>
                <c:pt idx="759">
                  <c:v>0.50439999999999996</c:v>
                </c:pt>
                <c:pt idx="760">
                  <c:v>0.50880000000000003</c:v>
                </c:pt>
                <c:pt idx="761">
                  <c:v>0.56679999999999997</c:v>
                </c:pt>
                <c:pt idx="762">
                  <c:v>0.59279999999999999</c:v>
                </c:pt>
                <c:pt idx="763">
                  <c:v>0.64290000000000003</c:v>
                </c:pt>
                <c:pt idx="764">
                  <c:v>0.6502</c:v>
                </c:pt>
                <c:pt idx="765">
                  <c:v>0.57620000000000005</c:v>
                </c:pt>
                <c:pt idx="766">
                  <c:v>0.56989999999999996</c:v>
                </c:pt>
                <c:pt idx="767">
                  <c:v>0.56030000000000002</c:v>
                </c:pt>
                <c:pt idx="768">
                  <c:v>0.6018</c:v>
                </c:pt>
                <c:pt idx="769">
                  <c:v>0.56930000000000003</c:v>
                </c:pt>
                <c:pt idx="770">
                  <c:v>0.60509999999999997</c:v>
                </c:pt>
                <c:pt idx="771">
                  <c:v>0.54890000000000005</c:v>
                </c:pt>
                <c:pt idx="772">
                  <c:v>0.46200000000000002</c:v>
                </c:pt>
                <c:pt idx="773">
                  <c:v>0.54020000000000001</c:v>
                </c:pt>
                <c:pt idx="774">
                  <c:v>0.502</c:v>
                </c:pt>
                <c:pt idx="775">
                  <c:v>0.41820000000000002</c:v>
                </c:pt>
                <c:pt idx="776">
                  <c:v>0.35749999999999998</c:v>
                </c:pt>
                <c:pt idx="777">
                  <c:v>0.36870000000000003</c:v>
                </c:pt>
                <c:pt idx="778">
                  <c:v>0.33400000000000002</c:v>
                </c:pt>
                <c:pt idx="779">
                  <c:v>0.32029999999999997</c:v>
                </c:pt>
                <c:pt idx="780">
                  <c:v>0.34089999999999998</c:v>
                </c:pt>
                <c:pt idx="781">
                  <c:v>0.30830000000000002</c:v>
                </c:pt>
                <c:pt idx="782">
                  <c:v>0.26939999999999997</c:v>
                </c:pt>
                <c:pt idx="783">
                  <c:v>0.2702</c:v>
                </c:pt>
                <c:pt idx="784">
                  <c:v>0.2666</c:v>
                </c:pt>
                <c:pt idx="785">
                  <c:v>0.27029999999999998</c:v>
                </c:pt>
                <c:pt idx="786">
                  <c:v>0.2641</c:v>
                </c:pt>
                <c:pt idx="787">
                  <c:v>0.26569999999999999</c:v>
                </c:pt>
                <c:pt idx="788">
                  <c:v>0.26290000000000002</c:v>
                </c:pt>
                <c:pt idx="789">
                  <c:v>0.27039999999999997</c:v>
                </c:pt>
                <c:pt idx="790">
                  <c:v>0.29170000000000001</c:v>
                </c:pt>
                <c:pt idx="791">
                  <c:v>0.26919999999999999</c:v>
                </c:pt>
                <c:pt idx="792">
                  <c:v>0.26910000000000001</c:v>
                </c:pt>
                <c:pt idx="793">
                  <c:v>0.27079999999999999</c:v>
                </c:pt>
                <c:pt idx="794">
                  <c:v>0.2596</c:v>
                </c:pt>
                <c:pt idx="795">
                  <c:v>0.2417</c:v>
                </c:pt>
                <c:pt idx="796">
                  <c:v>0.27389999999999998</c:v>
                </c:pt>
                <c:pt idx="797">
                  <c:v>0.26590000000000003</c:v>
                </c:pt>
                <c:pt idx="798">
                  <c:v>0.28499999999999998</c:v>
                </c:pt>
                <c:pt idx="799">
                  <c:v>0.30880000000000002</c:v>
                </c:pt>
                <c:pt idx="800">
                  <c:v>0.31490000000000001</c:v>
                </c:pt>
                <c:pt idx="801">
                  <c:v>0.3155</c:v>
                </c:pt>
                <c:pt idx="802">
                  <c:v>0.34739999999999999</c:v>
                </c:pt>
                <c:pt idx="803">
                  <c:v>0.35499999999999998</c:v>
                </c:pt>
                <c:pt idx="804">
                  <c:v>0.34620000000000001</c:v>
                </c:pt>
                <c:pt idx="805">
                  <c:v>0.36270000000000002</c:v>
                </c:pt>
                <c:pt idx="806">
                  <c:v>0.3982</c:v>
                </c:pt>
                <c:pt idx="807">
                  <c:v>0.37540000000000001</c:v>
                </c:pt>
                <c:pt idx="808">
                  <c:v>0.38</c:v>
                </c:pt>
                <c:pt idx="809">
                  <c:v>0.3589</c:v>
                </c:pt>
                <c:pt idx="810">
                  <c:v>0.375</c:v>
                </c:pt>
                <c:pt idx="811">
                  <c:v>0.36830000000000002</c:v>
                </c:pt>
                <c:pt idx="812">
                  <c:v>0.3775</c:v>
                </c:pt>
                <c:pt idx="813">
                  <c:v>0.39560000000000001</c:v>
                </c:pt>
                <c:pt idx="814">
                  <c:v>0.42549999999999999</c:v>
                </c:pt>
                <c:pt idx="815">
                  <c:v>0.46579999999999999</c:v>
                </c:pt>
                <c:pt idx="816">
                  <c:v>0.46779999999999999</c:v>
                </c:pt>
                <c:pt idx="817">
                  <c:v>0.41760000000000003</c:v>
                </c:pt>
                <c:pt idx="818">
                  <c:v>0.43890000000000001</c:v>
                </c:pt>
                <c:pt idx="819">
                  <c:v>0.3785</c:v>
                </c:pt>
                <c:pt idx="820">
                  <c:v>0.36120000000000002</c:v>
                </c:pt>
                <c:pt idx="821">
                  <c:v>0.38080000000000003</c:v>
                </c:pt>
                <c:pt idx="822">
                  <c:v>0.39960000000000001</c:v>
                </c:pt>
                <c:pt idx="823">
                  <c:v>0.3039</c:v>
                </c:pt>
                <c:pt idx="824">
                  <c:v>0.28960000000000002</c:v>
                </c:pt>
                <c:pt idx="825">
                  <c:v>0.30209999999999998</c:v>
                </c:pt>
                <c:pt idx="826">
                  <c:v>0.28520000000000001</c:v>
                </c:pt>
                <c:pt idx="827">
                  <c:v>0.28339999999999999</c:v>
                </c:pt>
                <c:pt idx="828">
                  <c:v>0.31669999999999998</c:v>
                </c:pt>
                <c:pt idx="829">
                  <c:v>0.312</c:v>
                </c:pt>
                <c:pt idx="830">
                  <c:v>0.31269999999999998</c:v>
                </c:pt>
                <c:pt idx="831">
                  <c:v>0.31290000000000001</c:v>
                </c:pt>
                <c:pt idx="832">
                  <c:v>0.32579999999999998</c:v>
                </c:pt>
                <c:pt idx="833">
                  <c:v>0.3196</c:v>
                </c:pt>
                <c:pt idx="834">
                  <c:v>0.32819999999999999</c:v>
                </c:pt>
                <c:pt idx="835">
                  <c:v>0.33900000000000002</c:v>
                </c:pt>
                <c:pt idx="836">
                  <c:v>0.34460000000000002</c:v>
                </c:pt>
                <c:pt idx="837">
                  <c:v>0.3347</c:v>
                </c:pt>
                <c:pt idx="838">
                  <c:v>0.34499999999999997</c:v>
                </c:pt>
                <c:pt idx="839">
                  <c:v>0.3498</c:v>
                </c:pt>
                <c:pt idx="840">
                  <c:v>0.3523</c:v>
                </c:pt>
                <c:pt idx="841">
                  <c:v>0.3599</c:v>
                </c:pt>
                <c:pt idx="842">
                  <c:v>0.35360000000000003</c:v>
                </c:pt>
                <c:pt idx="843">
                  <c:v>0.33700000000000002</c:v>
                </c:pt>
                <c:pt idx="844">
                  <c:v>0.31709999999999999</c:v>
                </c:pt>
                <c:pt idx="845">
                  <c:v>0.32219999999999999</c:v>
                </c:pt>
                <c:pt idx="846">
                  <c:v>0.32169999999999999</c:v>
                </c:pt>
                <c:pt idx="847">
                  <c:v>0.3201</c:v>
                </c:pt>
                <c:pt idx="848">
                  <c:v>0.32129999999999997</c:v>
                </c:pt>
                <c:pt idx="849">
                  <c:v>0.30199999999999999</c:v>
                </c:pt>
                <c:pt idx="850">
                  <c:v>0.3105</c:v>
                </c:pt>
                <c:pt idx="851">
                  <c:v>0.29770000000000002</c:v>
                </c:pt>
                <c:pt idx="852">
                  <c:v>0.31530000000000002</c:v>
                </c:pt>
                <c:pt idx="853">
                  <c:v>0.30959999999999999</c:v>
                </c:pt>
                <c:pt idx="854">
                  <c:v>0.2858</c:v>
                </c:pt>
                <c:pt idx="855">
                  <c:v>0.29809999999999998</c:v>
                </c:pt>
                <c:pt idx="856">
                  <c:v>0.29770000000000002</c:v>
                </c:pt>
                <c:pt idx="857">
                  <c:v>0.35</c:v>
                </c:pt>
                <c:pt idx="858">
                  <c:v>0.3659</c:v>
                </c:pt>
                <c:pt idx="859">
                  <c:v>0.39629999999999999</c:v>
                </c:pt>
                <c:pt idx="860">
                  <c:v>0.41639999999999999</c:v>
                </c:pt>
                <c:pt idx="861">
                  <c:v>0.3957</c:v>
                </c:pt>
                <c:pt idx="862">
                  <c:v>0.41320000000000001</c:v>
                </c:pt>
                <c:pt idx="863">
                  <c:v>0.379</c:v>
                </c:pt>
                <c:pt idx="864">
                  <c:v>0.36699999999999999</c:v>
                </c:pt>
                <c:pt idx="865">
                  <c:v>0.38200000000000001</c:v>
                </c:pt>
                <c:pt idx="866">
                  <c:v>0.36459999999999998</c:v>
                </c:pt>
                <c:pt idx="867">
                  <c:v>0.35809999999999997</c:v>
                </c:pt>
                <c:pt idx="868">
                  <c:v>0.36109999999999998</c:v>
                </c:pt>
                <c:pt idx="869">
                  <c:v>0.38869999999999999</c:v>
                </c:pt>
                <c:pt idx="870">
                  <c:v>0.40479999999999999</c:v>
                </c:pt>
                <c:pt idx="871">
                  <c:v>0.4078</c:v>
                </c:pt>
                <c:pt idx="872">
                  <c:v>0.43240000000000001</c:v>
                </c:pt>
                <c:pt idx="873">
                  <c:v>0.41070000000000001</c:v>
                </c:pt>
                <c:pt idx="874">
                  <c:v>0.40150000000000002</c:v>
                </c:pt>
                <c:pt idx="875">
                  <c:v>0.43969999999999998</c:v>
                </c:pt>
                <c:pt idx="876">
                  <c:v>0.44009999999999999</c:v>
                </c:pt>
                <c:pt idx="877">
                  <c:v>0.45800000000000002</c:v>
                </c:pt>
                <c:pt idx="878">
                  <c:v>0.46300000000000002</c:v>
                </c:pt>
                <c:pt idx="879">
                  <c:v>0.47499999999999998</c:v>
                </c:pt>
                <c:pt idx="880">
                  <c:v>0.47149999999999997</c:v>
                </c:pt>
                <c:pt idx="881">
                  <c:v>0.48</c:v>
                </c:pt>
                <c:pt idx="882">
                  <c:v>0.47620000000000001</c:v>
                </c:pt>
                <c:pt idx="883">
                  <c:v>0.4899</c:v>
                </c:pt>
                <c:pt idx="884">
                  <c:v>0.57050000000000001</c:v>
                </c:pt>
                <c:pt idx="885">
                  <c:v>0.62050000000000005</c:v>
                </c:pt>
                <c:pt idx="886">
                  <c:v>0.70489999999999997</c:v>
                </c:pt>
                <c:pt idx="887">
                  <c:v>0.53900000000000003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76-40E7-BD99-ED4468048A3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0.84389123337442251</c:v>
                </c:pt>
                <c:pt idx="1">
                  <c:v>0.84432050226331146</c:v>
                </c:pt>
                <c:pt idx="2">
                  <c:v>0.85203164290847266</c:v>
                </c:pt>
                <c:pt idx="3">
                  <c:v>0.84570554824180599</c:v>
                </c:pt>
                <c:pt idx="4">
                  <c:v>0.84130343723219059</c:v>
                </c:pt>
                <c:pt idx="5">
                  <c:v>0.83256457369730696</c:v>
                </c:pt>
                <c:pt idx="6">
                  <c:v>0.83969154171591165</c:v>
                </c:pt>
                <c:pt idx="7">
                  <c:v>0.85766982560245864</c:v>
                </c:pt>
                <c:pt idx="8">
                  <c:v>0.86403156531356984</c:v>
                </c:pt>
                <c:pt idx="9">
                  <c:v>0.87024221621679554</c:v>
                </c:pt>
                <c:pt idx="10">
                  <c:v>0.87016385494406834</c:v>
                </c:pt>
                <c:pt idx="11">
                  <c:v>0.8727767810028918</c:v>
                </c:pt>
                <c:pt idx="12">
                  <c:v>0.87008945986003461</c:v>
                </c:pt>
                <c:pt idx="13">
                  <c:v>0.87095296926003463</c:v>
                </c:pt>
                <c:pt idx="14">
                  <c:v>0.86826216470831052</c:v>
                </c:pt>
                <c:pt idx="15">
                  <c:v>0.87959868392142515</c:v>
                </c:pt>
                <c:pt idx="16">
                  <c:v>0.87348895984896135</c:v>
                </c:pt>
                <c:pt idx="17">
                  <c:v>0.86904883509615238</c:v>
                </c:pt>
                <c:pt idx="18">
                  <c:v>0.87461664498442049</c:v>
                </c:pt>
                <c:pt idx="19">
                  <c:v>0.87421109625714777</c:v>
                </c:pt>
                <c:pt idx="20">
                  <c:v>0.87791464022123622</c:v>
                </c:pt>
                <c:pt idx="21">
                  <c:v>0.87799835922123626</c:v>
                </c:pt>
                <c:pt idx="22">
                  <c:v>0.87454405938487267</c:v>
                </c:pt>
                <c:pt idx="23">
                  <c:v>0.88126497251428437</c:v>
                </c:pt>
                <c:pt idx="24">
                  <c:v>0.88903563269946961</c:v>
                </c:pt>
                <c:pt idx="25">
                  <c:v>0.89060566283808351</c:v>
                </c:pt>
                <c:pt idx="26">
                  <c:v>0.88794304283808356</c:v>
                </c:pt>
                <c:pt idx="27">
                  <c:v>0.88393293344358814</c:v>
                </c:pt>
                <c:pt idx="28">
                  <c:v>0.88557823084208442</c:v>
                </c:pt>
                <c:pt idx="29">
                  <c:v>0.87932239930637013</c:v>
                </c:pt>
                <c:pt idx="30">
                  <c:v>0.88567831612989956</c:v>
                </c:pt>
                <c:pt idx="31">
                  <c:v>0.89897795053374563</c:v>
                </c:pt>
                <c:pt idx="32">
                  <c:v>0.91393190650433398</c:v>
                </c:pt>
                <c:pt idx="33">
                  <c:v>0.9057471464885859</c:v>
                </c:pt>
                <c:pt idx="34">
                  <c:v>0.9043626971402714</c:v>
                </c:pt>
                <c:pt idx="35">
                  <c:v>0.91360196686249351</c:v>
                </c:pt>
                <c:pt idx="36">
                  <c:v>0.89609686703334779</c:v>
                </c:pt>
                <c:pt idx="37">
                  <c:v>0.90093780592223671</c:v>
                </c:pt>
                <c:pt idx="38">
                  <c:v>0.89810818637294099</c:v>
                </c:pt>
                <c:pt idx="39">
                  <c:v>0.90575192181438235</c:v>
                </c:pt>
                <c:pt idx="40">
                  <c:v>0.90796148495555884</c:v>
                </c:pt>
                <c:pt idx="41">
                  <c:v>0.90723888186253543</c:v>
                </c:pt>
                <c:pt idx="42">
                  <c:v>0.90572329246898708</c:v>
                </c:pt>
                <c:pt idx="43">
                  <c:v>0.91173045515912809</c:v>
                </c:pt>
                <c:pt idx="44">
                  <c:v>0.90351053778624668</c:v>
                </c:pt>
                <c:pt idx="45">
                  <c:v>0.89696395027958009</c:v>
                </c:pt>
                <c:pt idx="46">
                  <c:v>0.90705133892699641</c:v>
                </c:pt>
                <c:pt idx="47">
                  <c:v>0.90600954136289391</c:v>
                </c:pt>
                <c:pt idx="48">
                  <c:v>0.90546988656837335</c:v>
                </c:pt>
                <c:pt idx="49">
                  <c:v>0.91242742310683489</c:v>
                </c:pt>
                <c:pt idx="50">
                  <c:v>0.92677039709190945</c:v>
                </c:pt>
                <c:pt idx="51">
                  <c:v>0.91441268084125682</c:v>
                </c:pt>
                <c:pt idx="52">
                  <c:v>0.92719679413473499</c:v>
                </c:pt>
                <c:pt idx="53">
                  <c:v>0.91521066875189672</c:v>
                </c:pt>
                <c:pt idx="54">
                  <c:v>0.92670869912456744</c:v>
                </c:pt>
                <c:pt idx="55">
                  <c:v>0.93682649844778321</c:v>
                </c:pt>
                <c:pt idx="56">
                  <c:v>0.93328847652392544</c:v>
                </c:pt>
                <c:pt idx="57">
                  <c:v>0.92440554190854074</c:v>
                </c:pt>
                <c:pt idx="58">
                  <c:v>0.9410631357884206</c:v>
                </c:pt>
                <c:pt idx="59">
                  <c:v>0.9436601410900598</c:v>
                </c:pt>
                <c:pt idx="60">
                  <c:v>0.94721433244344333</c:v>
                </c:pt>
                <c:pt idx="61">
                  <c:v>0.94472938259086359</c:v>
                </c:pt>
                <c:pt idx="62">
                  <c:v>0.94025230139623273</c:v>
                </c:pt>
                <c:pt idx="63">
                  <c:v>0.9521679893386984</c:v>
                </c:pt>
                <c:pt idx="64">
                  <c:v>0.96235151852179701</c:v>
                </c:pt>
                <c:pt idx="65">
                  <c:v>0.95880089744071606</c:v>
                </c:pt>
                <c:pt idx="66">
                  <c:v>0.96695398144723077</c:v>
                </c:pt>
                <c:pt idx="67">
                  <c:v>0.9725834468082063</c:v>
                </c:pt>
                <c:pt idx="68">
                  <c:v>0.96223303912212199</c:v>
                </c:pt>
                <c:pt idx="69">
                  <c:v>0.93989270648807943</c:v>
                </c:pt>
                <c:pt idx="70">
                  <c:v>0.94146168732841573</c:v>
                </c:pt>
                <c:pt idx="71">
                  <c:v>0.99618040420867449</c:v>
                </c:pt>
                <c:pt idx="72">
                  <c:v>0.97401476410135757</c:v>
                </c:pt>
                <c:pt idx="73">
                  <c:v>0.94435585983629722</c:v>
                </c:pt>
                <c:pt idx="74">
                  <c:v>0.92922269130865898</c:v>
                </c:pt>
                <c:pt idx="75">
                  <c:v>0.90394850535343518</c:v>
                </c:pt>
                <c:pt idx="76">
                  <c:v>0.89424404289106951</c:v>
                </c:pt>
                <c:pt idx="77">
                  <c:v>0.89011223304258469</c:v>
                </c:pt>
                <c:pt idx="78">
                  <c:v>0.88703319229724298</c:v>
                </c:pt>
                <c:pt idx="79">
                  <c:v>0.89542042878922168</c:v>
                </c:pt>
                <c:pt idx="80">
                  <c:v>0.91181904016890081</c:v>
                </c:pt>
                <c:pt idx="81">
                  <c:v>0.896304815181453</c:v>
                </c:pt>
                <c:pt idx="82">
                  <c:v>0.90683248702355834</c:v>
                </c:pt>
                <c:pt idx="83">
                  <c:v>0.9101367056296189</c:v>
                </c:pt>
                <c:pt idx="84">
                  <c:v>0.90890762169844497</c:v>
                </c:pt>
                <c:pt idx="85">
                  <c:v>0.9094050967596693</c:v>
                </c:pt>
                <c:pt idx="86">
                  <c:v>0.91515564319104192</c:v>
                </c:pt>
                <c:pt idx="87">
                  <c:v>0.90386401075495171</c:v>
                </c:pt>
                <c:pt idx="88">
                  <c:v>0.93151963919226044</c:v>
                </c:pt>
                <c:pt idx="89">
                  <c:v>0.91853673519226053</c:v>
                </c:pt>
                <c:pt idx="90">
                  <c:v>0.92702296462548517</c:v>
                </c:pt>
                <c:pt idx="91">
                  <c:v>0.92248270384850684</c:v>
                </c:pt>
                <c:pt idx="92">
                  <c:v>0.91671278380483878</c:v>
                </c:pt>
                <c:pt idx="93">
                  <c:v>0.93695339991483872</c:v>
                </c:pt>
                <c:pt idx="94">
                  <c:v>0.94632549559636747</c:v>
                </c:pt>
                <c:pt idx="95">
                  <c:v>0.93911961382066644</c:v>
                </c:pt>
                <c:pt idx="96">
                  <c:v>0.95430241348609401</c:v>
                </c:pt>
                <c:pt idx="97">
                  <c:v>0.95156619447343571</c:v>
                </c:pt>
                <c:pt idx="98">
                  <c:v>0.96705644090559661</c:v>
                </c:pt>
                <c:pt idx="99">
                  <c:v>0.95174649991683247</c:v>
                </c:pt>
                <c:pt idx="100">
                  <c:v>0.93904822160433254</c:v>
                </c:pt>
                <c:pt idx="101">
                  <c:v>0.93226715687060457</c:v>
                </c:pt>
                <c:pt idx="102">
                  <c:v>0.92300506752481037</c:v>
                </c:pt>
                <c:pt idx="103">
                  <c:v>0.93144483948992651</c:v>
                </c:pt>
                <c:pt idx="104">
                  <c:v>0.93214097920421224</c:v>
                </c:pt>
                <c:pt idx="105">
                  <c:v>0.91820333642372443</c:v>
                </c:pt>
                <c:pt idx="106">
                  <c:v>0.9286552203094387</c:v>
                </c:pt>
                <c:pt idx="107">
                  <c:v>0.90601578214155554</c:v>
                </c:pt>
                <c:pt idx="108">
                  <c:v>0.88852336915488894</c:v>
                </c:pt>
                <c:pt idx="109">
                  <c:v>0.89266157820250802</c:v>
                </c:pt>
                <c:pt idx="110">
                  <c:v>0.91014295733949435</c:v>
                </c:pt>
                <c:pt idx="111">
                  <c:v>0.91465765932744603</c:v>
                </c:pt>
                <c:pt idx="112">
                  <c:v>0.94578075205788092</c:v>
                </c:pt>
                <c:pt idx="113">
                  <c:v>0.94042869319368338</c:v>
                </c:pt>
                <c:pt idx="114">
                  <c:v>0.93102150882568335</c:v>
                </c:pt>
                <c:pt idx="115">
                  <c:v>0.94102097930187367</c:v>
                </c:pt>
                <c:pt idx="116">
                  <c:v>0.9116158483949669</c:v>
                </c:pt>
                <c:pt idx="117">
                  <c:v>0.92197280585557317</c:v>
                </c:pt>
                <c:pt idx="118">
                  <c:v>0.93239770249790888</c:v>
                </c:pt>
                <c:pt idx="119">
                  <c:v>0.90515823736716683</c:v>
                </c:pt>
                <c:pt idx="120">
                  <c:v>0.8934093222706152</c:v>
                </c:pt>
                <c:pt idx="121">
                  <c:v>0.90600353047840743</c:v>
                </c:pt>
                <c:pt idx="122">
                  <c:v>0.92981638279419687</c:v>
                </c:pt>
                <c:pt idx="123">
                  <c:v>0.95874418574094233</c:v>
                </c:pt>
                <c:pt idx="124">
                  <c:v>0.96636802408895983</c:v>
                </c:pt>
                <c:pt idx="125">
                  <c:v>1.0194535079010405</c:v>
                </c:pt>
                <c:pt idx="126">
                  <c:v>0.99296458007009492</c:v>
                </c:pt>
                <c:pt idx="127">
                  <c:v>0.97985335054628531</c:v>
                </c:pt>
                <c:pt idx="128">
                  <c:v>0.94368735347165855</c:v>
                </c:pt>
                <c:pt idx="129">
                  <c:v>0.92549795772669208</c:v>
                </c:pt>
                <c:pt idx="130">
                  <c:v>0.9386612306981208</c:v>
                </c:pt>
                <c:pt idx="131">
                  <c:v>0.94912027217140338</c:v>
                </c:pt>
                <c:pt idx="132">
                  <c:v>0.95124340318529221</c:v>
                </c:pt>
                <c:pt idx="133">
                  <c:v>0.96562907271897103</c:v>
                </c:pt>
                <c:pt idx="134">
                  <c:v>1.0020511206533971</c:v>
                </c:pt>
                <c:pt idx="135">
                  <c:v>0.96870640278562825</c:v>
                </c:pt>
                <c:pt idx="136">
                  <c:v>0.92827994299396155</c:v>
                </c:pt>
                <c:pt idx="137">
                  <c:v>0.91236182370530172</c:v>
                </c:pt>
                <c:pt idx="138">
                  <c:v>0.89944961581573113</c:v>
                </c:pt>
                <c:pt idx="139">
                  <c:v>0.91901432945447459</c:v>
                </c:pt>
                <c:pt idx="140">
                  <c:v>1.0004679936573733</c:v>
                </c:pt>
                <c:pt idx="141">
                  <c:v>0.95696361911191874</c:v>
                </c:pt>
                <c:pt idx="142">
                  <c:v>0.97271634499100978</c:v>
                </c:pt>
                <c:pt idx="143">
                  <c:v>1.2311835748950097</c:v>
                </c:pt>
                <c:pt idx="144">
                  <c:v>1.2272229145753246</c:v>
                </c:pt>
                <c:pt idx="145">
                  <c:v>1.226616971917097</c:v>
                </c:pt>
                <c:pt idx="146">
                  <c:v>1.2176976898407152</c:v>
                </c:pt>
                <c:pt idx="147">
                  <c:v>1.2206945553475743</c:v>
                </c:pt>
                <c:pt idx="148">
                  <c:v>1.2218990423401561</c:v>
                </c:pt>
                <c:pt idx="149">
                  <c:v>1.2092011261990772</c:v>
                </c:pt>
                <c:pt idx="150">
                  <c:v>1.2112784233597915</c:v>
                </c:pt>
                <c:pt idx="151">
                  <c:v>1.2287645390479636</c:v>
                </c:pt>
                <c:pt idx="152">
                  <c:v>1.2214039243868375</c:v>
                </c:pt>
                <c:pt idx="153">
                  <c:v>1.2214964416802647</c:v>
                </c:pt>
                <c:pt idx="154">
                  <c:v>1.2008527276328074</c:v>
                </c:pt>
                <c:pt idx="155">
                  <c:v>1.2183385933093871</c:v>
                </c:pt>
                <c:pt idx="156">
                  <c:v>1.2014061812589871</c:v>
                </c:pt>
                <c:pt idx="157">
                  <c:v>1.2517091572346875</c:v>
                </c:pt>
                <c:pt idx="158">
                  <c:v>1.2556620024228069</c:v>
                </c:pt>
                <c:pt idx="159">
                  <c:v>1.2526780812252869</c:v>
                </c:pt>
                <c:pt idx="160">
                  <c:v>1.2621060472419661</c:v>
                </c:pt>
                <c:pt idx="161">
                  <c:v>1.237661222013051</c:v>
                </c:pt>
                <c:pt idx="162">
                  <c:v>1.2214036529879608</c:v>
                </c:pt>
                <c:pt idx="163">
                  <c:v>1.2071946658225734</c:v>
                </c:pt>
                <c:pt idx="164">
                  <c:v>1.2208856491913846</c:v>
                </c:pt>
                <c:pt idx="165">
                  <c:v>1.2360048618288646</c:v>
                </c:pt>
                <c:pt idx="166">
                  <c:v>1.222059334850996</c:v>
                </c:pt>
                <c:pt idx="167">
                  <c:v>1.229862308343596</c:v>
                </c:pt>
                <c:pt idx="168">
                  <c:v>1.2147166453671254</c:v>
                </c:pt>
                <c:pt idx="169">
                  <c:v>1.2214365428767806</c:v>
                </c:pt>
                <c:pt idx="170">
                  <c:v>1.2372605680620123</c:v>
                </c:pt>
                <c:pt idx="171">
                  <c:v>1.2391687570174137</c:v>
                </c:pt>
                <c:pt idx="172">
                  <c:v>1.226284375051043</c:v>
                </c:pt>
                <c:pt idx="173">
                  <c:v>1.2389665958497644</c:v>
                </c:pt>
                <c:pt idx="174">
                  <c:v>1.2491952598540736</c:v>
                </c:pt>
                <c:pt idx="175">
                  <c:v>1.2641781515022972</c:v>
                </c:pt>
                <c:pt idx="176">
                  <c:v>1.2604234027772974</c:v>
                </c:pt>
                <c:pt idx="177">
                  <c:v>1.2473943928702222</c:v>
                </c:pt>
                <c:pt idx="178">
                  <c:v>1.238026806767452</c:v>
                </c:pt>
                <c:pt idx="179">
                  <c:v>1.2349199480888955</c:v>
                </c:pt>
                <c:pt idx="180">
                  <c:v>1.2503277807753526</c:v>
                </c:pt>
                <c:pt idx="181">
                  <c:v>1.2418030127171562</c:v>
                </c:pt>
                <c:pt idx="182">
                  <c:v>1.2392551824350284</c:v>
                </c:pt>
                <c:pt idx="183">
                  <c:v>1.2425126444629615</c:v>
                </c:pt>
                <c:pt idx="184">
                  <c:v>1.2313746082579835</c:v>
                </c:pt>
                <c:pt idx="185">
                  <c:v>1.2251592879380988</c:v>
                </c:pt>
                <c:pt idx="186">
                  <c:v>1.2328354711348162</c:v>
                </c:pt>
                <c:pt idx="187">
                  <c:v>1.216003703282585</c:v>
                </c:pt>
                <c:pt idx="188">
                  <c:v>1.2320480548505204</c:v>
                </c:pt>
                <c:pt idx="189">
                  <c:v>1.192185096204547</c:v>
                </c:pt>
                <c:pt idx="190">
                  <c:v>1.1531489192727291</c:v>
                </c:pt>
                <c:pt idx="191">
                  <c:v>1.1381717586617144</c:v>
                </c:pt>
                <c:pt idx="192">
                  <c:v>1.1760916419601763</c:v>
                </c:pt>
                <c:pt idx="193">
                  <c:v>1.1623419487764555</c:v>
                </c:pt>
                <c:pt idx="194">
                  <c:v>1.1694348848638738</c:v>
                </c:pt>
                <c:pt idx="195">
                  <c:v>1.2148603199402594</c:v>
                </c:pt>
                <c:pt idx="196">
                  <c:v>1.2314413177558139</c:v>
                </c:pt>
                <c:pt idx="197">
                  <c:v>1.2398775067986489</c:v>
                </c:pt>
                <c:pt idx="198">
                  <c:v>1.2042082279181514</c:v>
                </c:pt>
                <c:pt idx="199">
                  <c:v>1.1958179990803135</c:v>
                </c:pt>
                <c:pt idx="200">
                  <c:v>1.2166903679198755</c:v>
                </c:pt>
                <c:pt idx="201">
                  <c:v>1.1886539902748778</c:v>
                </c:pt>
                <c:pt idx="202">
                  <c:v>1.166311911252528</c:v>
                </c:pt>
                <c:pt idx="203">
                  <c:v>1.1468148142601391</c:v>
                </c:pt>
                <c:pt idx="204">
                  <c:v>1.0933051520119959</c:v>
                </c:pt>
                <c:pt idx="205">
                  <c:v>1.1203189772224225</c:v>
                </c:pt>
                <c:pt idx="206">
                  <c:v>1.0784250499326415</c:v>
                </c:pt>
                <c:pt idx="207">
                  <c:v>1.1307208908282618</c:v>
                </c:pt>
                <c:pt idx="208">
                  <c:v>1.1076188157361226</c:v>
                </c:pt>
                <c:pt idx="209">
                  <c:v>1.0971615379828681</c:v>
                </c:pt>
                <c:pt idx="210">
                  <c:v>1.0806630124246974</c:v>
                </c:pt>
                <c:pt idx="211">
                  <c:v>1.0710276733098776</c:v>
                </c:pt>
                <c:pt idx="212">
                  <c:v>1.0773553491488037</c:v>
                </c:pt>
                <c:pt idx="213">
                  <c:v>1.047985704725501</c:v>
                </c:pt>
                <c:pt idx="214">
                  <c:v>1.0494791327516855</c:v>
                </c:pt>
                <c:pt idx="215">
                  <c:v>1.0258246565516853</c:v>
                </c:pt>
                <c:pt idx="216">
                  <c:v>1.0235275722634789</c:v>
                </c:pt>
                <c:pt idx="217">
                  <c:v>1.0370262643188652</c:v>
                </c:pt>
                <c:pt idx="218">
                  <c:v>1.0670219918358359</c:v>
                </c:pt>
                <c:pt idx="219">
                  <c:v>1.0499766527691974</c:v>
                </c:pt>
                <c:pt idx="220">
                  <c:v>1.0384100984353728</c:v>
                </c:pt>
                <c:pt idx="221">
                  <c:v>1.0937397909263515</c:v>
                </c:pt>
                <c:pt idx="222">
                  <c:v>1.068239564007553</c:v>
                </c:pt>
                <c:pt idx="223">
                  <c:v>1.0901303276469565</c:v>
                </c:pt>
                <c:pt idx="224">
                  <c:v>1.1145816895017924</c:v>
                </c:pt>
                <c:pt idx="225">
                  <c:v>1.1002096549071436</c:v>
                </c:pt>
                <c:pt idx="226">
                  <c:v>1.1254218019186351</c:v>
                </c:pt>
                <c:pt idx="227">
                  <c:v>1.0966309039909663</c:v>
                </c:pt>
                <c:pt idx="228">
                  <c:v>1.0770099922663507</c:v>
                </c:pt>
                <c:pt idx="229">
                  <c:v>1.0578006680032086</c:v>
                </c:pt>
                <c:pt idx="230">
                  <c:v>1.0547873306274129</c:v>
                </c:pt>
                <c:pt idx="231">
                  <c:v>1.0652539289709142</c:v>
                </c:pt>
                <c:pt idx="232">
                  <c:v>1.0766452494081997</c:v>
                </c:pt>
                <c:pt idx="233">
                  <c:v>1.044853923857175</c:v>
                </c:pt>
                <c:pt idx="234">
                  <c:v>1.0298278254845523</c:v>
                </c:pt>
                <c:pt idx="235">
                  <c:v>1.0529487128178856</c:v>
                </c:pt>
                <c:pt idx="236">
                  <c:v>1.0393235338269522</c:v>
                </c:pt>
                <c:pt idx="237">
                  <c:v>1.0594575004518019</c:v>
                </c:pt>
                <c:pt idx="238">
                  <c:v>1.0583756716550952</c:v>
                </c:pt>
                <c:pt idx="239">
                  <c:v>1.0301012254454016</c:v>
                </c:pt>
                <c:pt idx="240">
                  <c:v>1.0313018151780549</c:v>
                </c:pt>
                <c:pt idx="241">
                  <c:v>0.96095364058069999</c:v>
                </c:pt>
                <c:pt idx="242">
                  <c:v>0.93009165595645127</c:v>
                </c:pt>
                <c:pt idx="243">
                  <c:v>0.91074864723403648</c:v>
                </c:pt>
                <c:pt idx="244">
                  <c:v>0.87693515569185843</c:v>
                </c:pt>
                <c:pt idx="245">
                  <c:v>0.90394325270220177</c:v>
                </c:pt>
                <c:pt idx="246">
                  <c:v>0.92338633468594111</c:v>
                </c:pt>
                <c:pt idx="247">
                  <c:v>0.877113693349589</c:v>
                </c:pt>
                <c:pt idx="248">
                  <c:v>0.87200224530389769</c:v>
                </c:pt>
                <c:pt idx="249">
                  <c:v>0.77196701687873737</c:v>
                </c:pt>
                <c:pt idx="250">
                  <c:v>0.75856517482940045</c:v>
                </c:pt>
                <c:pt idx="251">
                  <c:v>0.74817770493169322</c:v>
                </c:pt>
                <c:pt idx="252">
                  <c:v>0.7592925075987591</c:v>
                </c:pt>
                <c:pt idx="253">
                  <c:v>0.69421222256071835</c:v>
                </c:pt>
                <c:pt idx="254">
                  <c:v>0.73765163575775539</c:v>
                </c:pt>
                <c:pt idx="255">
                  <c:v>0.71903962372164609</c:v>
                </c:pt>
                <c:pt idx="256">
                  <c:v>0.72904905221997662</c:v>
                </c:pt>
                <c:pt idx="257">
                  <c:v>0.73658064293001091</c:v>
                </c:pt>
                <c:pt idx="258">
                  <c:v>0.77377440597042524</c:v>
                </c:pt>
                <c:pt idx="259">
                  <c:v>0.76148640167277271</c:v>
                </c:pt>
                <c:pt idx="260">
                  <c:v>0.77131922290613952</c:v>
                </c:pt>
                <c:pt idx="261">
                  <c:v>0.80821400012092603</c:v>
                </c:pt>
                <c:pt idx="262">
                  <c:v>0.78145075182794832</c:v>
                </c:pt>
                <c:pt idx="263">
                  <c:v>0.79753116701701698</c:v>
                </c:pt>
                <c:pt idx="264">
                  <c:v>0.78974845196503241</c:v>
                </c:pt>
                <c:pt idx="265">
                  <c:v>0.81112839953494165</c:v>
                </c:pt>
                <c:pt idx="266">
                  <c:v>0.83442617863399549</c:v>
                </c:pt>
                <c:pt idx="267">
                  <c:v>0.83329818942774547</c:v>
                </c:pt>
                <c:pt idx="268">
                  <c:v>0.81559422606495013</c:v>
                </c:pt>
                <c:pt idx="269">
                  <c:v>0.85951804998443393</c:v>
                </c:pt>
                <c:pt idx="270">
                  <c:v>0.82475004445765188</c:v>
                </c:pt>
                <c:pt idx="271">
                  <c:v>0.82603040520809434</c:v>
                </c:pt>
                <c:pt idx="272">
                  <c:v>0.81533246596723241</c:v>
                </c:pt>
                <c:pt idx="273">
                  <c:v>0.81374251641863882</c:v>
                </c:pt>
                <c:pt idx="274">
                  <c:v>0.75338013536294179</c:v>
                </c:pt>
                <c:pt idx="275">
                  <c:v>0.75385999164874129</c:v>
                </c:pt>
                <c:pt idx="276">
                  <c:v>0.74413428561184125</c:v>
                </c:pt>
                <c:pt idx="277">
                  <c:v>0.68533674402445532</c:v>
                </c:pt>
                <c:pt idx="278">
                  <c:v>0.68847125926335884</c:v>
                </c:pt>
                <c:pt idx="279">
                  <c:v>0.72619550978318081</c:v>
                </c:pt>
                <c:pt idx="280">
                  <c:v>0.70601703326705856</c:v>
                </c:pt>
                <c:pt idx="281">
                  <c:v>0.7663439490697036</c:v>
                </c:pt>
                <c:pt idx="282">
                  <c:v>0.8035387852141036</c:v>
                </c:pt>
                <c:pt idx="283">
                  <c:v>0.76122728744102441</c:v>
                </c:pt>
                <c:pt idx="284">
                  <c:v>0.81656921605568622</c:v>
                </c:pt>
                <c:pt idx="285">
                  <c:v>0.79773031443217179</c:v>
                </c:pt>
                <c:pt idx="286">
                  <c:v>0.84279987308045501</c:v>
                </c:pt>
                <c:pt idx="287">
                  <c:v>0.85099554736815797</c:v>
                </c:pt>
                <c:pt idx="288">
                  <c:v>0.81949855842345221</c:v>
                </c:pt>
                <c:pt idx="289">
                  <c:v>0.81812676039324261</c:v>
                </c:pt>
                <c:pt idx="290">
                  <c:v>0.81101053635851139</c:v>
                </c:pt>
                <c:pt idx="291">
                  <c:v>0.83776494772224697</c:v>
                </c:pt>
                <c:pt idx="292">
                  <c:v>0.87688432720548337</c:v>
                </c:pt>
                <c:pt idx="293">
                  <c:v>0.84661687864658786</c:v>
                </c:pt>
                <c:pt idx="294">
                  <c:v>0.85729063156310359</c:v>
                </c:pt>
                <c:pt idx="295">
                  <c:v>0.79945610054518546</c:v>
                </c:pt>
                <c:pt idx="296">
                  <c:v>0.80032360924853641</c:v>
                </c:pt>
                <c:pt idx="297">
                  <c:v>0.82850458819510131</c:v>
                </c:pt>
                <c:pt idx="298">
                  <c:v>0.88484606662981036</c:v>
                </c:pt>
                <c:pt idx="299">
                  <c:v>0.79834754846086176</c:v>
                </c:pt>
                <c:pt idx="300">
                  <c:v>0.84704403784763871</c:v>
                </c:pt>
                <c:pt idx="301">
                  <c:v>0.89424086057729235</c:v>
                </c:pt>
                <c:pt idx="302">
                  <c:v>0.84056774034644133</c:v>
                </c:pt>
                <c:pt idx="303">
                  <c:v>0.83869970497652557</c:v>
                </c:pt>
                <c:pt idx="304">
                  <c:v>0.78984361886491616</c:v>
                </c:pt>
                <c:pt idx="305">
                  <c:v>0.75837787197993456</c:v>
                </c:pt>
                <c:pt idx="306">
                  <c:v>0.7511679765553152</c:v>
                </c:pt>
                <c:pt idx="307">
                  <c:v>0.7470246304695165</c:v>
                </c:pt>
                <c:pt idx="308">
                  <c:v>0.70825113014976393</c:v>
                </c:pt>
                <c:pt idx="309">
                  <c:v>0.75953416390455541</c:v>
                </c:pt>
                <c:pt idx="310">
                  <c:v>0.80305260797838529</c:v>
                </c:pt>
                <c:pt idx="311">
                  <c:v>0.86911554458147178</c:v>
                </c:pt>
                <c:pt idx="312">
                  <c:v>0.96215718992099075</c:v>
                </c:pt>
                <c:pt idx="313">
                  <c:v>0.88820749492259088</c:v>
                </c:pt>
                <c:pt idx="314">
                  <c:v>0.90810710878548939</c:v>
                </c:pt>
                <c:pt idx="315">
                  <c:v>0.92273835531688242</c:v>
                </c:pt>
                <c:pt idx="316">
                  <c:v>0.94154057428620108</c:v>
                </c:pt>
                <c:pt idx="317">
                  <c:v>0.92024372270033605</c:v>
                </c:pt>
                <c:pt idx="318">
                  <c:v>0.88066597807234015</c:v>
                </c:pt>
                <c:pt idx="319">
                  <c:v>0.96011060363971468</c:v>
                </c:pt>
                <c:pt idx="320">
                  <c:v>0.9353161069654734</c:v>
                </c:pt>
                <c:pt idx="321">
                  <c:v>0.90561730005007957</c:v>
                </c:pt>
                <c:pt idx="322">
                  <c:v>0.95230268585783706</c:v>
                </c:pt>
                <c:pt idx="323">
                  <c:v>1.0056009827881534</c:v>
                </c:pt>
                <c:pt idx="324">
                  <c:v>1.0194911469347219</c:v>
                </c:pt>
                <c:pt idx="325">
                  <c:v>1.0253061667923227</c:v>
                </c:pt>
                <c:pt idx="326">
                  <c:v>1.0465264336091544</c:v>
                </c:pt>
                <c:pt idx="327">
                  <c:v>0.71005679465136673</c:v>
                </c:pt>
                <c:pt idx="328">
                  <c:v>0.64142380855874048</c:v>
                </c:pt>
                <c:pt idx="329">
                  <c:v>0.62393413287249888</c:v>
                </c:pt>
                <c:pt idx="330">
                  <c:v>0.65422045657172434</c:v>
                </c:pt>
                <c:pt idx="331">
                  <c:v>0.63996453294924971</c:v>
                </c:pt>
                <c:pt idx="332">
                  <c:v>0.66473562310357215</c:v>
                </c:pt>
                <c:pt idx="333">
                  <c:v>0.64458208616119939</c:v>
                </c:pt>
                <c:pt idx="334">
                  <c:v>0.62689508208333022</c:v>
                </c:pt>
                <c:pt idx="335">
                  <c:v>0.68144803529435827</c:v>
                </c:pt>
                <c:pt idx="336">
                  <c:v>0.70885243173415158</c:v>
                </c:pt>
                <c:pt idx="337">
                  <c:v>0.84702693777009308</c:v>
                </c:pt>
                <c:pt idx="338">
                  <c:v>1.0809498091413576</c:v>
                </c:pt>
                <c:pt idx="339">
                  <c:v>0.74935172162492825</c:v>
                </c:pt>
                <c:pt idx="340">
                  <c:v>0.60511919347854992</c:v>
                </c:pt>
                <c:pt idx="341">
                  <c:v>0.5938840913657194</c:v>
                </c:pt>
                <c:pt idx="342">
                  <c:v>0.62890752019202367</c:v>
                </c:pt>
                <c:pt idx="343">
                  <c:v>0.61826790755123218</c:v>
                </c:pt>
                <c:pt idx="344">
                  <c:v>0.590561782898962</c:v>
                </c:pt>
                <c:pt idx="345">
                  <c:v>0.50546232168925809</c:v>
                </c:pt>
                <c:pt idx="346">
                  <c:v>0.55295186972964494</c:v>
                </c:pt>
                <c:pt idx="347">
                  <c:v>0.55693998084368124</c:v>
                </c:pt>
                <c:pt idx="348">
                  <c:v>0.58902647113557305</c:v>
                </c:pt>
                <c:pt idx="349">
                  <c:v>0.49054512916171972</c:v>
                </c:pt>
                <c:pt idx="350">
                  <c:v>0.41953537368780536</c:v>
                </c:pt>
                <c:pt idx="351">
                  <c:v>0.45427672143273284</c:v>
                </c:pt>
                <c:pt idx="352">
                  <c:v>0.37363791563962928</c:v>
                </c:pt>
                <c:pt idx="353">
                  <c:v>0.31868666867843526</c:v>
                </c:pt>
                <c:pt idx="354">
                  <c:v>0.33065307072749478</c:v>
                </c:pt>
                <c:pt idx="355">
                  <c:v>0.32466318827777407</c:v>
                </c:pt>
                <c:pt idx="356">
                  <c:v>0.38915621043921589</c:v>
                </c:pt>
                <c:pt idx="357">
                  <c:v>0.35331557940407304</c:v>
                </c:pt>
                <c:pt idx="358">
                  <c:v>0.31161837375256812</c:v>
                </c:pt>
                <c:pt idx="359">
                  <c:v>0.27980655763592605</c:v>
                </c:pt>
                <c:pt idx="360">
                  <c:v>0.27699989753623944</c:v>
                </c:pt>
                <c:pt idx="361">
                  <c:v>0.24887588100913177</c:v>
                </c:pt>
                <c:pt idx="362">
                  <c:v>0.26846938174043605</c:v>
                </c:pt>
                <c:pt idx="363">
                  <c:v>0.2426370882377781</c:v>
                </c:pt>
                <c:pt idx="364">
                  <c:v>0.25466900677368626</c:v>
                </c:pt>
                <c:pt idx="365">
                  <c:v>0.25568240765926098</c:v>
                </c:pt>
                <c:pt idx="366">
                  <c:v>0.30187361644725613</c:v>
                </c:pt>
                <c:pt idx="367">
                  <c:v>0.29490529858990955</c:v>
                </c:pt>
                <c:pt idx="368">
                  <c:v>0.32336877008100479</c:v>
                </c:pt>
                <c:pt idx="369">
                  <c:v>0.32708356907765218</c:v>
                </c:pt>
                <c:pt idx="370">
                  <c:v>0.32238748764387337</c:v>
                </c:pt>
                <c:pt idx="371">
                  <c:v>0.30432027024152414</c:v>
                </c:pt>
                <c:pt idx="372">
                  <c:v>0.34299586777048413</c:v>
                </c:pt>
                <c:pt idx="373">
                  <c:v>0.29519352459033776</c:v>
                </c:pt>
                <c:pt idx="374">
                  <c:v>0.33108897609033772</c:v>
                </c:pt>
                <c:pt idx="375">
                  <c:v>0.31949334564033766</c:v>
                </c:pt>
                <c:pt idx="376">
                  <c:v>0.32605154290580401</c:v>
                </c:pt>
                <c:pt idx="377">
                  <c:v>0.3295696875313614</c:v>
                </c:pt>
                <c:pt idx="378">
                  <c:v>0.33608849228929033</c:v>
                </c:pt>
                <c:pt idx="379">
                  <c:v>0.30857316003390572</c:v>
                </c:pt>
                <c:pt idx="380">
                  <c:v>0.27252425103688721</c:v>
                </c:pt>
                <c:pt idx="381">
                  <c:v>0.33992510680100874</c:v>
                </c:pt>
                <c:pt idx="382">
                  <c:v>0.23270381050970099</c:v>
                </c:pt>
                <c:pt idx="383">
                  <c:v>0.20471003518682271</c:v>
                </c:pt>
                <c:pt idx="384">
                  <c:v>0.28936196001000336</c:v>
                </c:pt>
                <c:pt idx="385">
                  <c:v>0.17604556749235634</c:v>
                </c:pt>
                <c:pt idx="386">
                  <c:v>0.21315557905297172</c:v>
                </c:pt>
                <c:pt idx="387">
                  <c:v>0.18332938146427613</c:v>
                </c:pt>
                <c:pt idx="388">
                  <c:v>0.26549314505427618</c:v>
                </c:pt>
                <c:pt idx="389">
                  <c:v>0.20614531566007327</c:v>
                </c:pt>
                <c:pt idx="390">
                  <c:v>0.15786128513422504</c:v>
                </c:pt>
                <c:pt idx="391">
                  <c:v>0.15123679545090726</c:v>
                </c:pt>
                <c:pt idx="392">
                  <c:v>0.15763652210968856</c:v>
                </c:pt>
                <c:pt idx="393">
                  <c:v>0.13927807708848375</c:v>
                </c:pt>
                <c:pt idx="394">
                  <c:v>0.14867163709121323</c:v>
                </c:pt>
                <c:pt idx="395">
                  <c:v>0.1519771691716256</c:v>
                </c:pt>
                <c:pt idx="396">
                  <c:v>0.1588442301400998</c:v>
                </c:pt>
                <c:pt idx="397">
                  <c:v>0.16664515783876649</c:v>
                </c:pt>
                <c:pt idx="398">
                  <c:v>0.15662716390090239</c:v>
                </c:pt>
                <c:pt idx="399">
                  <c:v>0.16327615258201691</c:v>
                </c:pt>
                <c:pt idx="400">
                  <c:v>0.11942414441149533</c:v>
                </c:pt>
                <c:pt idx="401">
                  <c:v>0.13809213728521796</c:v>
                </c:pt>
                <c:pt idx="402">
                  <c:v>0.1241878157236795</c:v>
                </c:pt>
                <c:pt idx="403">
                  <c:v>0.13212412719855873</c:v>
                </c:pt>
                <c:pt idx="404">
                  <c:v>0.15165973377372846</c:v>
                </c:pt>
                <c:pt idx="405">
                  <c:v>0.14385891813065804</c:v>
                </c:pt>
                <c:pt idx="406">
                  <c:v>0.12005855463617958</c:v>
                </c:pt>
                <c:pt idx="407">
                  <c:v>0.14635118795268445</c:v>
                </c:pt>
                <c:pt idx="408">
                  <c:v>0.11831446386746373</c:v>
                </c:pt>
                <c:pt idx="409">
                  <c:v>0.14886791392509091</c:v>
                </c:pt>
                <c:pt idx="410">
                  <c:v>0.1376810260572052</c:v>
                </c:pt>
                <c:pt idx="411">
                  <c:v>0.13192601240466284</c:v>
                </c:pt>
                <c:pt idx="412">
                  <c:v>0.12363101360376995</c:v>
                </c:pt>
                <c:pt idx="413">
                  <c:v>0.1298478786586087</c:v>
                </c:pt>
                <c:pt idx="414">
                  <c:v>0.13262066791133201</c:v>
                </c:pt>
                <c:pt idx="415">
                  <c:v>0.11650305254341763</c:v>
                </c:pt>
                <c:pt idx="416">
                  <c:v>0.14202677521072357</c:v>
                </c:pt>
                <c:pt idx="417">
                  <c:v>0.12634483291339998</c:v>
                </c:pt>
                <c:pt idx="418">
                  <c:v>0.12825521772794543</c:v>
                </c:pt>
                <c:pt idx="419">
                  <c:v>0.11433752135670024</c:v>
                </c:pt>
                <c:pt idx="420">
                  <c:v>0.14367172953541277</c:v>
                </c:pt>
                <c:pt idx="421">
                  <c:v>0.13294131147904206</c:v>
                </c:pt>
                <c:pt idx="422">
                  <c:v>0.1154900636433441</c:v>
                </c:pt>
                <c:pt idx="423">
                  <c:v>0.12487123090645709</c:v>
                </c:pt>
                <c:pt idx="424">
                  <c:v>0.10103747251156425</c:v>
                </c:pt>
                <c:pt idx="425">
                  <c:v>9.4479861904741946E-2</c:v>
                </c:pt>
                <c:pt idx="426">
                  <c:v>0.10674807210351238</c:v>
                </c:pt>
                <c:pt idx="427">
                  <c:v>0.11369599835086298</c:v>
                </c:pt>
                <c:pt idx="428">
                  <c:v>0.11066155901038532</c:v>
                </c:pt>
                <c:pt idx="429">
                  <c:v>0.13007938343228731</c:v>
                </c:pt>
                <c:pt idx="430">
                  <c:v>0.156852223394568</c:v>
                </c:pt>
                <c:pt idx="431">
                  <c:v>0.12550683843342467</c:v>
                </c:pt>
                <c:pt idx="432">
                  <c:v>0.1207906600488093</c:v>
                </c:pt>
                <c:pt idx="433">
                  <c:v>7.2940928849450706E-2</c:v>
                </c:pt>
                <c:pt idx="434">
                  <c:v>8.918833738588608E-2</c:v>
                </c:pt>
                <c:pt idx="435">
                  <c:v>7.1458155077228677E-2</c:v>
                </c:pt>
                <c:pt idx="436">
                  <c:v>4.9304127611965558E-2</c:v>
                </c:pt>
                <c:pt idx="437">
                  <c:v>3.4828930325298969E-2</c:v>
                </c:pt>
                <c:pt idx="438">
                  <c:v>1.8941619483677417E-2</c:v>
                </c:pt>
                <c:pt idx="439">
                  <c:v>3.80727431308008E-2</c:v>
                </c:pt>
                <c:pt idx="440">
                  <c:v>3.9578521268267129E-2</c:v>
                </c:pt>
                <c:pt idx="441">
                  <c:v>3.0943507158062999E-2</c:v>
                </c:pt>
                <c:pt idx="442">
                  <c:v>4.1248846833339729E-2</c:v>
                </c:pt>
                <c:pt idx="443">
                  <c:v>6.7903941207758445E-2</c:v>
                </c:pt>
                <c:pt idx="444">
                  <c:v>5.7335589930026486E-2</c:v>
                </c:pt>
                <c:pt idx="445">
                  <c:v>4.548645975612943E-2</c:v>
                </c:pt>
                <c:pt idx="446">
                  <c:v>1.8485346128360107E-2</c:v>
                </c:pt>
                <c:pt idx="447">
                  <c:v>8.9738359762464956E-2</c:v>
                </c:pt>
                <c:pt idx="448">
                  <c:v>6.1559351202058812E-2</c:v>
                </c:pt>
                <c:pt idx="449">
                  <c:v>4.5295379365512645E-2</c:v>
                </c:pt>
                <c:pt idx="450">
                  <c:v>4.1596226512077505E-2</c:v>
                </c:pt>
                <c:pt idx="451">
                  <c:v>3.7005198403339663E-2</c:v>
                </c:pt>
                <c:pt idx="452">
                  <c:v>7.5925954575777804E-2</c:v>
                </c:pt>
                <c:pt idx="453">
                  <c:v>6.0612496694323267E-2</c:v>
                </c:pt>
                <c:pt idx="454">
                  <c:v>6.8137121481447765E-2</c:v>
                </c:pt>
                <c:pt idx="455">
                  <c:v>6.3335344492200352E-2</c:v>
                </c:pt>
                <c:pt idx="456">
                  <c:v>0.11016381819372409</c:v>
                </c:pt>
                <c:pt idx="457">
                  <c:v>8.1297752862954778E-2</c:v>
                </c:pt>
                <c:pt idx="458">
                  <c:v>7.61727191671214E-2</c:v>
                </c:pt>
                <c:pt idx="459">
                  <c:v>7.8846268183788079E-2</c:v>
                </c:pt>
                <c:pt idx="460">
                  <c:v>9.2688725540496994E-2</c:v>
                </c:pt>
                <c:pt idx="461">
                  <c:v>0.1056047483427893</c:v>
                </c:pt>
                <c:pt idx="462">
                  <c:v>9.9404887655289306E-2</c:v>
                </c:pt>
                <c:pt idx="463">
                  <c:v>8.2585390635069533E-2</c:v>
                </c:pt>
                <c:pt idx="464">
                  <c:v>8.1289128827377127E-2</c:v>
                </c:pt>
                <c:pt idx="465">
                  <c:v>0.10157365410332921</c:v>
                </c:pt>
                <c:pt idx="466">
                  <c:v>0.11426497038786523</c:v>
                </c:pt>
                <c:pt idx="467">
                  <c:v>0.10394630826268701</c:v>
                </c:pt>
                <c:pt idx="468">
                  <c:v>9.3081305622802563E-2</c:v>
                </c:pt>
                <c:pt idx="469">
                  <c:v>0.11562881274265641</c:v>
                </c:pt>
                <c:pt idx="470">
                  <c:v>0.1269698854829773</c:v>
                </c:pt>
                <c:pt idx="471">
                  <c:v>0.12569859941591327</c:v>
                </c:pt>
                <c:pt idx="472">
                  <c:v>7.2877409426040013E-2</c:v>
                </c:pt>
                <c:pt idx="473">
                  <c:v>7.2405589675959919E-2</c:v>
                </c:pt>
                <c:pt idx="474">
                  <c:v>8.1869107704937216E-2</c:v>
                </c:pt>
                <c:pt idx="475">
                  <c:v>0.11164110345039167</c:v>
                </c:pt>
                <c:pt idx="476">
                  <c:v>9.096812600115306E-2</c:v>
                </c:pt>
                <c:pt idx="477">
                  <c:v>6.4719896325443241E-2</c:v>
                </c:pt>
                <c:pt idx="478">
                  <c:v>3.8127999211646474E-2</c:v>
                </c:pt>
                <c:pt idx="479">
                  <c:v>7.0632522024565728E-2</c:v>
                </c:pt>
                <c:pt idx="480">
                  <c:v>9.042601301848345E-2</c:v>
                </c:pt>
                <c:pt idx="481">
                  <c:v>9.7902816834699674E-2</c:v>
                </c:pt>
                <c:pt idx="482">
                  <c:v>8.7598715480968273E-2</c:v>
                </c:pt>
                <c:pt idx="483">
                  <c:v>5.6087020840968345E-2</c:v>
                </c:pt>
                <c:pt idx="484">
                  <c:v>0.14959205107902471</c:v>
                </c:pt>
                <c:pt idx="485">
                  <c:v>0.11684365488703038</c:v>
                </c:pt>
                <c:pt idx="486">
                  <c:v>7.2434421087470714E-3</c:v>
                </c:pt>
                <c:pt idx="487">
                  <c:v>-1.2844396483259459E-2</c:v>
                </c:pt>
                <c:pt idx="488">
                  <c:v>-7.9245061927972638E-3</c:v>
                </c:pt>
                <c:pt idx="489">
                  <c:v>-3.3113076054053767E-2</c:v>
                </c:pt>
                <c:pt idx="490">
                  <c:v>7.0349766903041372E-2</c:v>
                </c:pt>
                <c:pt idx="491">
                  <c:v>-8.2613189503357633E-3</c:v>
                </c:pt>
                <c:pt idx="492">
                  <c:v>-2.2077341217357088E-2</c:v>
                </c:pt>
                <c:pt idx="493">
                  <c:v>-6.3478631632193097E-2</c:v>
                </c:pt>
                <c:pt idx="494">
                  <c:v>-6.7261785948938932E-2</c:v>
                </c:pt>
                <c:pt idx="495">
                  <c:v>-4.6626896396791725E-2</c:v>
                </c:pt>
                <c:pt idx="496">
                  <c:v>-6.7272017460428116E-2</c:v>
                </c:pt>
                <c:pt idx="497">
                  <c:v>-6.5093358183731936E-2</c:v>
                </c:pt>
                <c:pt idx="498">
                  <c:v>-6.7585128087731927E-2</c:v>
                </c:pt>
                <c:pt idx="499">
                  <c:v>-7.4252347018476217E-2</c:v>
                </c:pt>
                <c:pt idx="500">
                  <c:v>-3.7569248640097856E-2</c:v>
                </c:pt>
                <c:pt idx="501">
                  <c:v>-2.6987143341155973E-2</c:v>
                </c:pt>
                <c:pt idx="502">
                  <c:v>3.1093601817355912E-3</c:v>
                </c:pt>
                <c:pt idx="503">
                  <c:v>-2.465169332489835E-2</c:v>
                </c:pt>
                <c:pt idx="504">
                  <c:v>-3.2608728915496737E-2</c:v>
                </c:pt>
                <c:pt idx="505">
                  <c:v>-4.2331219448930972E-2</c:v>
                </c:pt>
                <c:pt idx="506">
                  <c:v>-5.2950233980997498E-2</c:v>
                </c:pt>
                <c:pt idx="507">
                  <c:v>-4.7337085874201407E-2</c:v>
                </c:pt>
                <c:pt idx="508">
                  <c:v>-7.1779318696167854E-2</c:v>
                </c:pt>
                <c:pt idx="509">
                  <c:v>-0.11724502860825574</c:v>
                </c:pt>
                <c:pt idx="510">
                  <c:v>-7.7871994851295714E-2</c:v>
                </c:pt>
                <c:pt idx="511">
                  <c:v>-9.1423447649695649E-2</c:v>
                </c:pt>
                <c:pt idx="512">
                  <c:v>-5.7643591647386187E-2</c:v>
                </c:pt>
                <c:pt idx="513">
                  <c:v>-6.0802642839717473E-2</c:v>
                </c:pt>
                <c:pt idx="514">
                  <c:v>-3.557245255659252E-2</c:v>
                </c:pt>
                <c:pt idx="515">
                  <c:v>-2.2262618885870042E-2</c:v>
                </c:pt>
                <c:pt idx="516">
                  <c:v>-1.9788038811705266E-2</c:v>
                </c:pt>
                <c:pt idx="517">
                  <c:v>-2.4767531693042365E-2</c:v>
                </c:pt>
                <c:pt idx="518">
                  <c:v>-3.664572855573571E-2</c:v>
                </c:pt>
                <c:pt idx="519">
                  <c:v>-3.2474849692104929E-2</c:v>
                </c:pt>
                <c:pt idx="520">
                  <c:v>-3.8146194991630425E-2</c:v>
                </c:pt>
                <c:pt idx="521">
                  <c:v>-3.4492550264664149E-2</c:v>
                </c:pt>
                <c:pt idx="522">
                  <c:v>-3.1766376087657908E-2</c:v>
                </c:pt>
                <c:pt idx="523">
                  <c:v>-2.5354647314930659E-2</c:v>
                </c:pt>
                <c:pt idx="524">
                  <c:v>-3.8066891549433081E-2</c:v>
                </c:pt>
                <c:pt idx="525">
                  <c:v>-5.4757891520875977E-3</c:v>
                </c:pt>
                <c:pt idx="526">
                  <c:v>-2.2125051530419906E-2</c:v>
                </c:pt>
                <c:pt idx="527">
                  <c:v>-2.3059320327432953E-2</c:v>
                </c:pt>
                <c:pt idx="528">
                  <c:v>-1.0800223363469507E-2</c:v>
                </c:pt>
                <c:pt idx="529">
                  <c:v>-2.210222276419151E-3</c:v>
                </c:pt>
                <c:pt idx="530">
                  <c:v>-9.3472218589094706E-3</c:v>
                </c:pt>
                <c:pt idx="531">
                  <c:v>-3.7136877728591814E-3</c:v>
                </c:pt>
                <c:pt idx="532">
                  <c:v>1.5148528606483505E-2</c:v>
                </c:pt>
                <c:pt idx="533">
                  <c:v>1.4389916840569747E-2</c:v>
                </c:pt>
                <c:pt idx="534">
                  <c:v>-1.0783300389487573E-2</c:v>
                </c:pt>
                <c:pt idx="535">
                  <c:v>9.4604145451006993E-3</c:v>
                </c:pt>
                <c:pt idx="536">
                  <c:v>1.3256413270928502E-2</c:v>
                </c:pt>
                <c:pt idx="537">
                  <c:v>-1.1768685045679253E-2</c:v>
                </c:pt>
                <c:pt idx="538">
                  <c:v>4.9967840015105666E-3</c:v>
                </c:pt>
                <c:pt idx="539">
                  <c:v>-8.9872887988521229E-3</c:v>
                </c:pt>
                <c:pt idx="540">
                  <c:v>-2.6535966236352081E-2</c:v>
                </c:pt>
                <c:pt idx="541">
                  <c:v>-3.2866469098421058E-2</c:v>
                </c:pt>
                <c:pt idx="542">
                  <c:v>-3.448082661302778E-2</c:v>
                </c:pt>
                <c:pt idx="543">
                  <c:v>-4.5246901042990333E-2</c:v>
                </c:pt>
                <c:pt idx="544">
                  <c:v>-4.4001030023383556E-2</c:v>
                </c:pt>
                <c:pt idx="545">
                  <c:v>-6.3028041737290361E-2</c:v>
                </c:pt>
                <c:pt idx="546">
                  <c:v>-4.4763035351576073E-2</c:v>
                </c:pt>
                <c:pt idx="547">
                  <c:v>-4.9238602355630157E-2</c:v>
                </c:pt>
                <c:pt idx="548">
                  <c:v>-4.5653240920562263E-2</c:v>
                </c:pt>
                <c:pt idx="549">
                  <c:v>-6.6099053177593528E-2</c:v>
                </c:pt>
                <c:pt idx="550">
                  <c:v>-2.1155049827294145E-2</c:v>
                </c:pt>
                <c:pt idx="551">
                  <c:v>-9.0494185476660566E-3</c:v>
                </c:pt>
                <c:pt idx="552">
                  <c:v>-1.0154758609951827E-2</c:v>
                </c:pt>
                <c:pt idx="553">
                  <c:v>-1.6528506829850607E-2</c:v>
                </c:pt>
                <c:pt idx="554">
                  <c:v>-1.8784014426240815E-2</c:v>
                </c:pt>
                <c:pt idx="555">
                  <c:v>-8.4556905159295355E-4</c:v>
                </c:pt>
                <c:pt idx="556">
                  <c:v>1.3921200623029984E-3</c:v>
                </c:pt>
                <c:pt idx="557">
                  <c:v>3.428983542121062E-2</c:v>
                </c:pt>
                <c:pt idx="558">
                  <c:v>2.1957590355490527E-3</c:v>
                </c:pt>
                <c:pt idx="559">
                  <c:v>3.8239763688824083E-3</c:v>
                </c:pt>
                <c:pt idx="560">
                  <c:v>1.6128279488824174E-3</c:v>
                </c:pt>
                <c:pt idx="561">
                  <c:v>6.7649246799503793E-3</c:v>
                </c:pt>
                <c:pt idx="562">
                  <c:v>6.5529305196897871E-3</c:v>
                </c:pt>
                <c:pt idx="563">
                  <c:v>1.0013875030648699E-2</c:v>
                </c:pt>
                <c:pt idx="564">
                  <c:v>1.0174229256369299E-2</c:v>
                </c:pt>
                <c:pt idx="565">
                  <c:v>-2.2376768828571481E-3</c:v>
                </c:pt>
                <c:pt idx="566">
                  <c:v>-8.7447005999303114E-3</c:v>
                </c:pt>
                <c:pt idx="567">
                  <c:v>-1.4396114376783538E-2</c:v>
                </c:pt>
                <c:pt idx="568">
                  <c:v>-4.7247772639309174E-3</c:v>
                </c:pt>
                <c:pt idx="569">
                  <c:v>6.2140330344416083E-3</c:v>
                </c:pt>
                <c:pt idx="570">
                  <c:v>-9.8577955515886193E-3</c:v>
                </c:pt>
                <c:pt idx="571">
                  <c:v>-3.8247446809579852E-2</c:v>
                </c:pt>
                <c:pt idx="572">
                  <c:v>-3.3746181893268702E-2</c:v>
                </c:pt>
                <c:pt idx="573">
                  <c:v>-3.268207712674235E-2</c:v>
                </c:pt>
                <c:pt idx="574">
                  <c:v>-4.4986435333646553E-2</c:v>
                </c:pt>
                <c:pt idx="575">
                  <c:v>-4.537232568557352E-2</c:v>
                </c:pt>
                <c:pt idx="576">
                  <c:v>-4.548145448775693E-2</c:v>
                </c:pt>
                <c:pt idx="577">
                  <c:v>-3.9435856641361941E-2</c:v>
                </c:pt>
                <c:pt idx="578">
                  <c:v>-4.785074040067426E-2</c:v>
                </c:pt>
                <c:pt idx="579">
                  <c:v>-4.8059860478824573E-2</c:v>
                </c:pt>
                <c:pt idx="580">
                  <c:v>-3.41893571471025E-2</c:v>
                </c:pt>
                <c:pt idx="581">
                  <c:v>-8.6331795138322551E-2</c:v>
                </c:pt>
                <c:pt idx="582">
                  <c:v>-0.12034337836264682</c:v>
                </c:pt>
                <c:pt idx="583">
                  <c:v>-0.12399624947620616</c:v>
                </c:pt>
                <c:pt idx="584">
                  <c:v>-0.1231118969980402</c:v>
                </c:pt>
                <c:pt idx="585">
                  <c:v>-0.12361390265324024</c:v>
                </c:pt>
                <c:pt idx="586">
                  <c:v>-0.11816031650520874</c:v>
                </c:pt>
                <c:pt idx="587">
                  <c:v>-0.1202548617712465</c:v>
                </c:pt>
                <c:pt idx="588">
                  <c:v>-0.13800679705989119</c:v>
                </c:pt>
                <c:pt idx="589">
                  <c:v>-0.14378887659544673</c:v>
                </c:pt>
                <c:pt idx="590">
                  <c:v>-0.14739942806335721</c:v>
                </c:pt>
                <c:pt idx="591">
                  <c:v>-0.14857392798245106</c:v>
                </c:pt>
                <c:pt idx="592">
                  <c:v>-0.16182765196329615</c:v>
                </c:pt>
                <c:pt idx="593">
                  <c:v>-0.15589087069500349</c:v>
                </c:pt>
                <c:pt idx="594">
                  <c:v>-0.14739646793176359</c:v>
                </c:pt>
                <c:pt idx="595">
                  <c:v>-0.15364220129976364</c:v>
                </c:pt>
                <c:pt idx="596">
                  <c:v>-0.14186208342626699</c:v>
                </c:pt>
                <c:pt idx="597">
                  <c:v>-0.16929447552626697</c:v>
                </c:pt>
                <c:pt idx="598">
                  <c:v>-0.16865231023564198</c:v>
                </c:pt>
                <c:pt idx="599">
                  <c:v>-0.18490290361463357</c:v>
                </c:pt>
                <c:pt idx="600">
                  <c:v>-0.19298592955450286</c:v>
                </c:pt>
                <c:pt idx="601">
                  <c:v>-0.18981849978783616</c:v>
                </c:pt>
                <c:pt idx="602">
                  <c:v>-0.18871341268551062</c:v>
                </c:pt>
                <c:pt idx="603">
                  <c:v>-0.19086701277630813</c:v>
                </c:pt>
                <c:pt idx="604">
                  <c:v>-0.19141408053289349</c:v>
                </c:pt>
                <c:pt idx="605">
                  <c:v>-0.19229849785642292</c:v>
                </c:pt>
                <c:pt idx="606">
                  <c:v>-0.1881113640771126</c:v>
                </c:pt>
                <c:pt idx="607">
                  <c:v>-0.18383569605271399</c:v>
                </c:pt>
                <c:pt idx="608">
                  <c:v>-0.17636483583522766</c:v>
                </c:pt>
                <c:pt idx="609">
                  <c:v>-0.17271318582346296</c:v>
                </c:pt>
                <c:pt idx="610">
                  <c:v>-0.17157113907609453</c:v>
                </c:pt>
                <c:pt idx="611">
                  <c:v>-0.17063099077254126</c:v>
                </c:pt>
                <c:pt idx="612">
                  <c:v>-0.18172996110472517</c:v>
                </c:pt>
                <c:pt idx="613">
                  <c:v>-0.20317649916542385</c:v>
                </c:pt>
                <c:pt idx="614">
                  <c:v>-0.19186028847359995</c:v>
                </c:pt>
                <c:pt idx="615">
                  <c:v>-0.18154169570196874</c:v>
                </c:pt>
                <c:pt idx="616">
                  <c:v>-0.18941632674720099</c:v>
                </c:pt>
                <c:pt idx="617">
                  <c:v>-0.19206143201605347</c:v>
                </c:pt>
                <c:pt idx="618">
                  <c:v>-0.18980890936703385</c:v>
                </c:pt>
                <c:pt idx="619">
                  <c:v>-0.18578361076950295</c:v>
                </c:pt>
                <c:pt idx="620">
                  <c:v>-0.1864600638511423</c:v>
                </c:pt>
                <c:pt idx="621">
                  <c:v>-0.18352523830041767</c:v>
                </c:pt>
                <c:pt idx="622">
                  <c:v>-0.19004502552077163</c:v>
                </c:pt>
                <c:pt idx="623">
                  <c:v>-0.1884293477659329</c:v>
                </c:pt>
                <c:pt idx="624">
                  <c:v>-0.18343561144648846</c:v>
                </c:pt>
                <c:pt idx="625">
                  <c:v>-0.18509069830750544</c:v>
                </c:pt>
                <c:pt idx="626">
                  <c:v>-0.17755119025956029</c:v>
                </c:pt>
                <c:pt idx="627">
                  <c:v>-0.18166852997223634</c:v>
                </c:pt>
                <c:pt idx="628">
                  <c:v>-0.19506042127452008</c:v>
                </c:pt>
                <c:pt idx="629">
                  <c:v>-0.19512012354862934</c:v>
                </c:pt>
                <c:pt idx="630">
                  <c:v>-0.21205953865455396</c:v>
                </c:pt>
                <c:pt idx="631">
                  <c:v>-0.23414587899801073</c:v>
                </c:pt>
                <c:pt idx="632">
                  <c:v>-0.22633689762391004</c:v>
                </c:pt>
                <c:pt idx="633">
                  <c:v>-0.22702005991906424</c:v>
                </c:pt>
                <c:pt idx="634">
                  <c:v>-0.23699302719612847</c:v>
                </c:pt>
                <c:pt idx="635">
                  <c:v>-0.2297797081502268</c:v>
                </c:pt>
                <c:pt idx="636">
                  <c:v>-0.23660888432222682</c:v>
                </c:pt>
                <c:pt idx="637">
                  <c:v>-0.23242182019179203</c:v>
                </c:pt>
                <c:pt idx="638">
                  <c:v>-0.22733880813981697</c:v>
                </c:pt>
                <c:pt idx="639">
                  <c:v>-0.22650477961908866</c:v>
                </c:pt>
                <c:pt idx="640">
                  <c:v>-0.22770054845142393</c:v>
                </c:pt>
                <c:pt idx="641">
                  <c:v>-0.22770054845142393</c:v>
                </c:pt>
                <c:pt idx="642">
                  <c:v>-0.2315129846671328</c:v>
                </c:pt>
                <c:pt idx="643">
                  <c:v>-0.23062119935595454</c:v>
                </c:pt>
                <c:pt idx="644">
                  <c:v>-0.2330971867195013</c:v>
                </c:pt>
                <c:pt idx="645">
                  <c:v>-0.23366154408474954</c:v>
                </c:pt>
                <c:pt idx="646">
                  <c:v>-0.24027772120855909</c:v>
                </c:pt>
                <c:pt idx="647">
                  <c:v>-0.23860623462394373</c:v>
                </c:pt>
                <c:pt idx="648">
                  <c:v>-0.23608631942751515</c:v>
                </c:pt>
                <c:pt idx="649">
                  <c:v>-0.22299424908708967</c:v>
                </c:pt>
                <c:pt idx="650">
                  <c:v>-0.21840663702420018</c:v>
                </c:pt>
                <c:pt idx="651">
                  <c:v>-0.19034043828302372</c:v>
                </c:pt>
                <c:pt idx="652">
                  <c:v>-0.21443882622418273</c:v>
                </c:pt>
                <c:pt idx="653">
                  <c:v>-0.21747647985648513</c:v>
                </c:pt>
                <c:pt idx="654">
                  <c:v>-0.22192242545320642</c:v>
                </c:pt>
                <c:pt idx="655">
                  <c:v>-0.22757323052292072</c:v>
                </c:pt>
                <c:pt idx="656">
                  <c:v>-0.22543754787708742</c:v>
                </c:pt>
                <c:pt idx="657">
                  <c:v>-0.2274612150967765</c:v>
                </c:pt>
                <c:pt idx="658">
                  <c:v>-0.22200002380706732</c:v>
                </c:pt>
                <c:pt idx="659">
                  <c:v>-0.22173993979255952</c:v>
                </c:pt>
                <c:pt idx="660">
                  <c:v>-0.22574578659823638</c:v>
                </c:pt>
                <c:pt idx="661">
                  <c:v>-0.21869786655520967</c:v>
                </c:pt>
                <c:pt idx="662">
                  <c:v>-0.2277359845909821</c:v>
                </c:pt>
                <c:pt idx="663">
                  <c:v>-0.22388961450007297</c:v>
                </c:pt>
                <c:pt idx="664">
                  <c:v>-0.21908593875255911</c:v>
                </c:pt>
                <c:pt idx="665">
                  <c:v>-0.21065222919673096</c:v>
                </c:pt>
                <c:pt idx="666">
                  <c:v>-0.19677749034687425</c:v>
                </c:pt>
                <c:pt idx="667">
                  <c:v>-0.20420390427792121</c:v>
                </c:pt>
                <c:pt idx="668">
                  <c:v>-0.20819454214552688</c:v>
                </c:pt>
                <c:pt idx="669">
                  <c:v>-0.20995801980788642</c:v>
                </c:pt>
                <c:pt idx="670">
                  <c:v>-0.2011590272918222</c:v>
                </c:pt>
                <c:pt idx="671">
                  <c:v>-0.20388132142497137</c:v>
                </c:pt>
                <c:pt idx="672">
                  <c:v>-0.18631367049570313</c:v>
                </c:pt>
                <c:pt idx="673">
                  <c:v>-0.19425083373538563</c:v>
                </c:pt>
                <c:pt idx="674">
                  <c:v>-0.19507741973788562</c:v>
                </c:pt>
                <c:pt idx="675">
                  <c:v>-0.20019482672418695</c:v>
                </c:pt>
                <c:pt idx="676">
                  <c:v>-0.20838045356276375</c:v>
                </c:pt>
                <c:pt idx="677">
                  <c:v>-0.19697195373441731</c:v>
                </c:pt>
                <c:pt idx="678">
                  <c:v>-0.19754033773441729</c:v>
                </c:pt>
                <c:pt idx="679">
                  <c:v>-0.18538526809913639</c:v>
                </c:pt>
                <c:pt idx="680">
                  <c:v>-0.18928646351874426</c:v>
                </c:pt>
                <c:pt idx="681">
                  <c:v>-0.17635158702734377</c:v>
                </c:pt>
                <c:pt idx="682">
                  <c:v>-0.18217614475362714</c:v>
                </c:pt>
                <c:pt idx="683">
                  <c:v>-0.17720876851674644</c:v>
                </c:pt>
                <c:pt idx="684">
                  <c:v>-0.1731416705886889</c:v>
                </c:pt>
                <c:pt idx="685">
                  <c:v>-0.16398565415543045</c:v>
                </c:pt>
                <c:pt idx="686">
                  <c:v>-0.17522515595208268</c:v>
                </c:pt>
                <c:pt idx="687">
                  <c:v>-0.13804022243638159</c:v>
                </c:pt>
                <c:pt idx="688">
                  <c:v>-0.13719289344733165</c:v>
                </c:pt>
                <c:pt idx="689">
                  <c:v>-0.13679539306779676</c:v>
                </c:pt>
                <c:pt idx="690">
                  <c:v>-0.14414832667446342</c:v>
                </c:pt>
                <c:pt idx="691">
                  <c:v>-0.12810599988149857</c:v>
                </c:pt>
                <c:pt idx="692">
                  <c:v>-0.11925669755601676</c:v>
                </c:pt>
                <c:pt idx="693">
                  <c:v>-0.12175148153256851</c:v>
                </c:pt>
                <c:pt idx="694">
                  <c:v>-0.10899623319186053</c:v>
                </c:pt>
                <c:pt idx="695">
                  <c:v>-0.11468269372745378</c:v>
                </c:pt>
                <c:pt idx="696">
                  <c:v>-0.10844689550858586</c:v>
                </c:pt>
                <c:pt idx="697">
                  <c:v>-0.11477220017196615</c:v>
                </c:pt>
                <c:pt idx="698">
                  <c:v>-0.10945439843975137</c:v>
                </c:pt>
                <c:pt idx="699">
                  <c:v>-0.10348796281209183</c:v>
                </c:pt>
                <c:pt idx="700">
                  <c:v>-0.10348796281209183</c:v>
                </c:pt>
                <c:pt idx="701">
                  <c:v>-0.11186531997937504</c:v>
                </c:pt>
                <c:pt idx="702">
                  <c:v>-0.1082600694770209</c:v>
                </c:pt>
                <c:pt idx="703">
                  <c:v>-9.2946053928179007E-2</c:v>
                </c:pt>
                <c:pt idx="704">
                  <c:v>-0.10097756192963035</c:v>
                </c:pt>
                <c:pt idx="705">
                  <c:v>-0.10093435968785819</c:v>
                </c:pt>
                <c:pt idx="706">
                  <c:v>-9.8209985360252564E-2</c:v>
                </c:pt>
                <c:pt idx="707">
                  <c:v>-7.9914297319091596E-2</c:v>
                </c:pt>
                <c:pt idx="708">
                  <c:v>-9.1462245167025502E-2</c:v>
                </c:pt>
                <c:pt idx="709">
                  <c:v>-8.7074375423205272E-2</c:v>
                </c:pt>
                <c:pt idx="710">
                  <c:v>-9.559074537929306E-2</c:v>
                </c:pt>
                <c:pt idx="711">
                  <c:v>-9.7906215856904982E-2</c:v>
                </c:pt>
                <c:pt idx="712">
                  <c:v>-0.10101303505298341</c:v>
                </c:pt>
                <c:pt idx="713">
                  <c:v>-8.8939432538364768E-2</c:v>
                </c:pt>
                <c:pt idx="714">
                  <c:v>-8.8977192908793662E-2</c:v>
                </c:pt>
                <c:pt idx="715">
                  <c:v>-8.2440155980375837E-2</c:v>
                </c:pt>
                <c:pt idx="716">
                  <c:v>-6.8842423573113959E-2</c:v>
                </c:pt>
                <c:pt idx="717">
                  <c:v>-8.7435769891649431E-2</c:v>
                </c:pt>
                <c:pt idx="718">
                  <c:v>-9.0325411241488671E-2</c:v>
                </c:pt>
                <c:pt idx="719">
                  <c:v>-8.7802408803190818E-2</c:v>
                </c:pt>
                <c:pt idx="720">
                  <c:v>-8.1528640532971389E-2</c:v>
                </c:pt>
                <c:pt idx="721">
                  <c:v>-7.1754716245647374E-2</c:v>
                </c:pt>
                <c:pt idx="722">
                  <c:v>-6.7742368786544452E-2</c:v>
                </c:pt>
                <c:pt idx="723">
                  <c:v>-7.9618393256923034E-2</c:v>
                </c:pt>
                <c:pt idx="724">
                  <c:v>-8.3231556614280347E-2</c:v>
                </c:pt>
                <c:pt idx="725">
                  <c:v>-8.6616671848322918E-2</c:v>
                </c:pt>
                <c:pt idx="726">
                  <c:v>-8.6732065462376995E-2</c:v>
                </c:pt>
                <c:pt idx="727">
                  <c:v>-9.0490779209077499E-2</c:v>
                </c:pt>
                <c:pt idx="728">
                  <c:v>-0.10438397864805803</c:v>
                </c:pt>
                <c:pt idx="729">
                  <c:v>-0.10658348066703238</c:v>
                </c:pt>
                <c:pt idx="730">
                  <c:v>-9.7255305649254581E-2</c:v>
                </c:pt>
                <c:pt idx="731">
                  <c:v>-8.5696018322094072E-2</c:v>
                </c:pt>
                <c:pt idx="732">
                  <c:v>-8.1526082769244362E-2</c:v>
                </c:pt>
                <c:pt idx="733">
                  <c:v>-8.33944937257661E-2</c:v>
                </c:pt>
                <c:pt idx="734">
                  <c:v>-8.4129753694996853E-2</c:v>
                </c:pt>
                <c:pt idx="735">
                  <c:v>-8.9233570858759922E-2</c:v>
                </c:pt>
                <c:pt idx="736">
                  <c:v>-8.3680303072616743E-2</c:v>
                </c:pt>
                <c:pt idx="737">
                  <c:v>-8.8424188461805914E-2</c:v>
                </c:pt>
                <c:pt idx="738">
                  <c:v>-8.9537819766915397E-2</c:v>
                </c:pt>
                <c:pt idx="739">
                  <c:v>-9.2568238845420023E-2</c:v>
                </c:pt>
                <c:pt idx="740">
                  <c:v>-8.6895582435093932E-2</c:v>
                </c:pt>
                <c:pt idx="741">
                  <c:v>-8.6605465035878251E-2</c:v>
                </c:pt>
                <c:pt idx="742">
                  <c:v>-8.9620593872241888E-2</c:v>
                </c:pt>
                <c:pt idx="743">
                  <c:v>-8.4767414256713899E-2</c:v>
                </c:pt>
                <c:pt idx="744">
                  <c:v>-7.6457638140985731E-2</c:v>
                </c:pt>
                <c:pt idx="745">
                  <c:v>-4.7779852047882251E-2</c:v>
                </c:pt>
                <c:pt idx="746">
                  <c:v>-7.2044345040008229E-2</c:v>
                </c:pt>
                <c:pt idx="747">
                  <c:v>-8.4826454744356058E-2</c:v>
                </c:pt>
                <c:pt idx="748">
                  <c:v>-7.6593577213491845E-2</c:v>
                </c:pt>
                <c:pt idx="749">
                  <c:v>-8.6206223389353923E-2</c:v>
                </c:pt>
                <c:pt idx="750">
                  <c:v>-7.6374388586595288E-2</c:v>
                </c:pt>
                <c:pt idx="751">
                  <c:v>-9.3925294740587653E-2</c:v>
                </c:pt>
                <c:pt idx="752">
                  <c:v>-9.9320337680464943E-2</c:v>
                </c:pt>
                <c:pt idx="753">
                  <c:v>-0.10110945863523522</c:v>
                </c:pt>
                <c:pt idx="754">
                  <c:v>-8.551407069304115E-2</c:v>
                </c:pt>
                <c:pt idx="755">
                  <c:v>-9.4102845911273117E-2</c:v>
                </c:pt>
                <c:pt idx="756">
                  <c:v>-0.10946195978238418</c:v>
                </c:pt>
                <c:pt idx="757">
                  <c:v>-9.3513716719723222E-2</c:v>
                </c:pt>
                <c:pt idx="758">
                  <c:v>-9.6765779684511929E-2</c:v>
                </c:pt>
                <c:pt idx="759">
                  <c:v>-7.6566341852405878E-2</c:v>
                </c:pt>
                <c:pt idx="760">
                  <c:v>-6.7842274626341154E-2</c:v>
                </c:pt>
                <c:pt idx="761">
                  <c:v>-5.1699390567789355E-2</c:v>
                </c:pt>
                <c:pt idx="762">
                  <c:v>-4.9893553057532868E-2</c:v>
                </c:pt>
                <c:pt idx="763">
                  <c:v>-2.9965015605215872E-2</c:v>
                </c:pt>
                <c:pt idx="764">
                  <c:v>7.1836364210122452E-3</c:v>
                </c:pt>
                <c:pt idx="765">
                  <c:v>-1.6985793850249863E-2</c:v>
                </c:pt>
                <c:pt idx="766">
                  <c:v>-1.274251832976798E-2</c:v>
                </c:pt>
                <c:pt idx="767">
                  <c:v>-6.1624290131279237E-3</c:v>
                </c:pt>
                <c:pt idx="768">
                  <c:v>-1.0769895538826893E-3</c:v>
                </c:pt>
                <c:pt idx="769">
                  <c:v>-3.0179204955652603E-2</c:v>
                </c:pt>
                <c:pt idx="770">
                  <c:v>3.8160581978957924E-3</c:v>
                </c:pt>
                <c:pt idx="771">
                  <c:v>6.9496193702232182E-3</c:v>
                </c:pt>
                <c:pt idx="772">
                  <c:v>-3.7452258884670186E-2</c:v>
                </c:pt>
                <c:pt idx="773">
                  <c:v>9.1999409467725633E-3</c:v>
                </c:pt>
                <c:pt idx="774">
                  <c:v>-3.1711436077577045E-2</c:v>
                </c:pt>
                <c:pt idx="775">
                  <c:v>-7.5085703756167091E-2</c:v>
                </c:pt>
                <c:pt idx="776">
                  <c:v>6.3434559690344505E-2</c:v>
                </c:pt>
                <c:pt idx="777">
                  <c:v>6.5474871446158489E-2</c:v>
                </c:pt>
                <c:pt idx="778">
                  <c:v>5.0245913147771375E-2</c:v>
                </c:pt>
                <c:pt idx="779">
                  <c:v>4.9908222809796669E-2</c:v>
                </c:pt>
                <c:pt idx="780">
                  <c:v>6.2902322996869847E-2</c:v>
                </c:pt>
                <c:pt idx="781">
                  <c:v>0.10312508137063132</c:v>
                </c:pt>
                <c:pt idx="782">
                  <c:v>0.11804314595741729</c:v>
                </c:pt>
                <c:pt idx="783">
                  <c:v>0.11866113811499306</c:v>
                </c:pt>
                <c:pt idx="784">
                  <c:v>0.11781955847577737</c:v>
                </c:pt>
                <c:pt idx="785">
                  <c:v>0.11783268498560398</c:v>
                </c:pt>
                <c:pt idx="786">
                  <c:v>0.11847246542481966</c:v>
                </c:pt>
                <c:pt idx="787">
                  <c:v>0.11959783979394717</c:v>
                </c:pt>
                <c:pt idx="788">
                  <c:v>0.11809891091963524</c:v>
                </c:pt>
                <c:pt idx="789">
                  <c:v>0.12122920353660492</c:v>
                </c:pt>
                <c:pt idx="790">
                  <c:v>0.12337330703195376</c:v>
                </c:pt>
                <c:pt idx="791">
                  <c:v>0.11993458203493884</c:v>
                </c:pt>
                <c:pt idx="792">
                  <c:v>0.12107854003048026</c:v>
                </c:pt>
                <c:pt idx="793">
                  <c:v>0.12019471199780697</c:v>
                </c:pt>
                <c:pt idx="794">
                  <c:v>0.11778827795443347</c:v>
                </c:pt>
                <c:pt idx="795">
                  <c:v>0.11602655290875209</c:v>
                </c:pt>
                <c:pt idx="796">
                  <c:v>0.11943426153212872</c:v>
                </c:pt>
                <c:pt idx="797">
                  <c:v>0.11796736537910381</c:v>
                </c:pt>
                <c:pt idx="798">
                  <c:v>0.11710790585884656</c:v>
                </c:pt>
                <c:pt idx="799">
                  <c:v>0.11885471319659939</c:v>
                </c:pt>
                <c:pt idx="800">
                  <c:v>0.12299794450850413</c:v>
                </c:pt>
                <c:pt idx="801">
                  <c:v>0.12088454995720878</c:v>
                </c:pt>
                <c:pt idx="802">
                  <c:v>0.1273326045232282</c:v>
                </c:pt>
                <c:pt idx="803">
                  <c:v>0.12964149622322818</c:v>
                </c:pt>
                <c:pt idx="804">
                  <c:v>0.12882541375050094</c:v>
                </c:pt>
                <c:pt idx="805">
                  <c:v>0.13498357524846705</c:v>
                </c:pt>
                <c:pt idx="806">
                  <c:v>0.13963686362392716</c:v>
                </c:pt>
                <c:pt idx="807">
                  <c:v>0.13316628366085023</c:v>
                </c:pt>
                <c:pt idx="808">
                  <c:v>0.13657340108085023</c:v>
                </c:pt>
                <c:pt idx="809">
                  <c:v>0.12725283298085022</c:v>
                </c:pt>
                <c:pt idx="810">
                  <c:v>0.13138777826314688</c:v>
                </c:pt>
                <c:pt idx="811">
                  <c:v>0.12929380621571099</c:v>
                </c:pt>
                <c:pt idx="812">
                  <c:v>0.1278889413423297</c:v>
                </c:pt>
                <c:pt idx="813">
                  <c:v>0.1293945325412961</c:v>
                </c:pt>
                <c:pt idx="814">
                  <c:v>0.14406446487462943</c:v>
                </c:pt>
                <c:pt idx="815">
                  <c:v>0.16432233947783587</c:v>
                </c:pt>
                <c:pt idx="816">
                  <c:v>0.36456462887400171</c:v>
                </c:pt>
                <c:pt idx="817">
                  <c:v>0.22602731924252775</c:v>
                </c:pt>
                <c:pt idx="818">
                  <c:v>0.29742189770846161</c:v>
                </c:pt>
                <c:pt idx="819">
                  <c:v>0.12928789813740205</c:v>
                </c:pt>
                <c:pt idx="820">
                  <c:v>-0.11040422462309199</c:v>
                </c:pt>
                <c:pt idx="821">
                  <c:v>-5.9402222957828994E-2</c:v>
                </c:pt>
                <c:pt idx="822">
                  <c:v>-4.3936469667585194E-2</c:v>
                </c:pt>
                <c:pt idx="823">
                  <c:v>-5.9483850226918537E-2</c:v>
                </c:pt>
                <c:pt idx="824">
                  <c:v>-5.9311641296433543E-2</c:v>
                </c:pt>
                <c:pt idx="825">
                  <c:v>-5.7840481976433544E-2</c:v>
                </c:pt>
                <c:pt idx="826">
                  <c:v>-5.8904163679427544E-2</c:v>
                </c:pt>
                <c:pt idx="827">
                  <c:v>-5.9796978635042519E-2</c:v>
                </c:pt>
                <c:pt idx="828">
                  <c:v>-5.8796484032894544E-2</c:v>
                </c:pt>
                <c:pt idx="829">
                  <c:v>-5.8548043455679349E-2</c:v>
                </c:pt>
                <c:pt idx="830">
                  <c:v>-5.9154281835495856E-2</c:v>
                </c:pt>
                <c:pt idx="831">
                  <c:v>-5.9564889911051411E-2</c:v>
                </c:pt>
                <c:pt idx="832">
                  <c:v>-5.7652004963894228E-2</c:v>
                </c:pt>
                <c:pt idx="833">
                  <c:v>-5.7522054396937708E-2</c:v>
                </c:pt>
                <c:pt idx="834">
                  <c:v>-5.7753736851483155E-2</c:v>
                </c:pt>
                <c:pt idx="835">
                  <c:v>-5.76749737656908E-2</c:v>
                </c:pt>
                <c:pt idx="836">
                  <c:v>-5.6302914788475614E-2</c:v>
                </c:pt>
                <c:pt idx="837">
                  <c:v>-5.7040729841495753E-2</c:v>
                </c:pt>
                <c:pt idx="838">
                  <c:v>-5.6848491835350505E-2</c:v>
                </c:pt>
                <c:pt idx="839">
                  <c:v>-5.697354493346371E-2</c:v>
                </c:pt>
                <c:pt idx="840">
                  <c:v>-5.5020241233175525E-2</c:v>
                </c:pt>
                <c:pt idx="841">
                  <c:v>-5.3535838056032674E-2</c:v>
                </c:pt>
                <c:pt idx="842">
                  <c:v>-5.5264687682673598E-2</c:v>
                </c:pt>
                <c:pt idx="843">
                  <c:v>-5.5264687682673598E-2</c:v>
                </c:pt>
                <c:pt idx="844">
                  <c:v>-5.6190255362673594E-2</c:v>
                </c:pt>
                <c:pt idx="845">
                  <c:v>-5.6414723676776163E-2</c:v>
                </c:pt>
                <c:pt idx="846">
                  <c:v>-5.6775850228246744E-2</c:v>
                </c:pt>
                <c:pt idx="847">
                  <c:v>-5.6932548723221628E-2</c:v>
                </c:pt>
                <c:pt idx="848">
                  <c:v>-5.6837371195016494E-2</c:v>
                </c:pt>
                <c:pt idx="849">
                  <c:v>-5.7961407592484845E-2</c:v>
                </c:pt>
                <c:pt idx="850">
                  <c:v>-5.713399053521212E-2</c:v>
                </c:pt>
                <c:pt idx="851">
                  <c:v>-5.7275581369540474E-2</c:v>
                </c:pt>
                <c:pt idx="852">
                  <c:v>-5.6988903180564099E-2</c:v>
                </c:pt>
                <c:pt idx="853">
                  <c:v>-5.7323101119214404E-2</c:v>
                </c:pt>
                <c:pt idx="854">
                  <c:v>-5.8268162530902716E-2</c:v>
                </c:pt>
                <c:pt idx="855">
                  <c:v>-5.7485003883130888E-2</c:v>
                </c:pt>
                <c:pt idx="856">
                  <c:v>-5.7695282732403229E-2</c:v>
                </c:pt>
                <c:pt idx="857">
                  <c:v>-5.6766660326735614E-2</c:v>
                </c:pt>
                <c:pt idx="858">
                  <c:v>-5.5397157819112287E-2</c:v>
                </c:pt>
                <c:pt idx="859">
                  <c:v>-5.3825274299881522E-2</c:v>
                </c:pt>
                <c:pt idx="860">
                  <c:v>-5.2957574319749068E-2</c:v>
                </c:pt>
                <c:pt idx="861">
                  <c:v>-5.3295442947221605E-2</c:v>
                </c:pt>
                <c:pt idx="862">
                  <c:v>-5.3096404586615541E-2</c:v>
                </c:pt>
                <c:pt idx="863">
                  <c:v>-5.3482037340381781E-2</c:v>
                </c:pt>
                <c:pt idx="864">
                  <c:v>-5.473057918038178E-2</c:v>
                </c:pt>
                <c:pt idx="865">
                  <c:v>-5.4906948827906532E-2</c:v>
                </c:pt>
                <c:pt idx="866">
                  <c:v>-5.5350209883207394E-2</c:v>
                </c:pt>
                <c:pt idx="867">
                  <c:v>-5.5651112197185888E-2</c:v>
                </c:pt>
                <c:pt idx="868">
                  <c:v>-5.4643164817875532E-2</c:v>
                </c:pt>
                <c:pt idx="869">
                  <c:v>-5.3160580422255084E-2</c:v>
                </c:pt>
                <c:pt idx="870">
                  <c:v>-5.2551006144704059E-2</c:v>
                </c:pt>
                <c:pt idx="871">
                  <c:v>-5.1296657687994102E-2</c:v>
                </c:pt>
                <c:pt idx="872">
                  <c:v>-4.8812025867605746E-2</c:v>
                </c:pt>
                <c:pt idx="873">
                  <c:v>-4.8750872485787571E-2</c:v>
                </c:pt>
                <c:pt idx="874">
                  <c:v>-4.8253742165617716E-2</c:v>
                </c:pt>
                <c:pt idx="875">
                  <c:v>-4.6699035893617721E-2</c:v>
                </c:pt>
                <c:pt idx="876">
                  <c:v>-4.5173700150760582E-2</c:v>
                </c:pt>
                <c:pt idx="877">
                  <c:v>-4.2858080288195592E-2</c:v>
                </c:pt>
                <c:pt idx="878">
                  <c:v>-4.428239338141593E-2</c:v>
                </c:pt>
                <c:pt idx="879">
                  <c:v>-4.3677129333589852E-2</c:v>
                </c:pt>
                <c:pt idx="880">
                  <c:v>-4.2086782606938357E-2</c:v>
                </c:pt>
                <c:pt idx="881">
                  <c:v>-4.1076203921224061E-2</c:v>
                </c:pt>
                <c:pt idx="882">
                  <c:v>-3.694461542581122E-2</c:v>
                </c:pt>
                <c:pt idx="883">
                  <c:v>-3.5188588535335026E-2</c:v>
                </c:pt>
                <c:pt idx="884">
                  <c:v>-2.8500053790598188E-2</c:v>
                </c:pt>
                <c:pt idx="885">
                  <c:v>-2.1019665188410003E-2</c:v>
                </c:pt>
                <c:pt idx="886">
                  <c:v>1.0598699675419774E-2</c:v>
                </c:pt>
                <c:pt idx="887">
                  <c:v>-2.6896980701303995E-2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76-40E7-BD99-ED4468048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2731792"/>
        <c:axId val="652730128"/>
      </c:lineChart>
      <c:dateAx>
        <c:axId val="652731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30128"/>
        <c:crosses val="autoZero"/>
        <c:auto val="1"/>
        <c:lblOffset val="100"/>
        <c:baseTimeUnit val="days"/>
      </c:dateAx>
      <c:valAx>
        <c:axId val="65273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3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65D6D29-E675-4583-9958-FA9E83135D14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08B7B7-C66C-4A4C-967F-42982AE06BE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3.92</v>
      </c>
      <c r="D2" s="4">
        <f>MIN(D3:D1912)</f>
        <v>0.1181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1.107</v>
      </c>
      <c r="C5">
        <v>1.123</v>
      </c>
      <c r="D5">
        <v>1.087</v>
      </c>
      <c r="E5">
        <v>1.0880000000000001</v>
      </c>
      <c r="F5">
        <v>45452</v>
      </c>
      <c r="G5">
        <v>1.0880000000000001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-0.94444444444443831</v>
      </c>
      <c r="Q5">
        <f t="shared" ref="Q5" si="1">F5*P5</f>
        <v>-42926.888888888607</v>
      </c>
      <c r="R5">
        <f t="shared" ref="R5" si="2">R6+Q5</f>
        <v>84389123.337442249</v>
      </c>
      <c r="S5">
        <f t="shared" ref="S5" si="3">R5/100000</f>
        <v>843.89123337442254</v>
      </c>
      <c r="T5">
        <f t="shared" ref="T5" si="4">S5/1000</f>
        <v>0.84389123337442251</v>
      </c>
    </row>
    <row r="6" spans="1:20" x14ac:dyDescent="0.25">
      <c r="A6" s="5">
        <v>44587</v>
      </c>
      <c r="B6">
        <v>1.115</v>
      </c>
      <c r="C6">
        <v>1.2090000000000001</v>
      </c>
      <c r="D6">
        <v>1.085</v>
      </c>
      <c r="E6">
        <v>1.107</v>
      </c>
      <c r="F6">
        <v>1195226.8</v>
      </c>
      <c r="G6">
        <v>1.107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-0.64516129032258063</v>
      </c>
      <c r="Q6">
        <f t="shared" ref="Q6" si="6">F6*P6</f>
        <v>-771114.06451612909</v>
      </c>
      <c r="R6">
        <f t="shared" ref="R6" si="7">R7+Q6</f>
        <v>84432050.226331145</v>
      </c>
      <c r="S6">
        <f t="shared" ref="S6" si="8">R6/100000</f>
        <v>844.32050226331148</v>
      </c>
      <c r="T6">
        <f t="shared" ref="T6" si="9">S6/1000</f>
        <v>0.84432050226331146</v>
      </c>
    </row>
    <row r="7" spans="1:20" x14ac:dyDescent="0.25">
      <c r="A7" s="5">
        <v>44586</v>
      </c>
      <c r="B7">
        <v>1.069</v>
      </c>
      <c r="C7">
        <v>1.1279999999999999</v>
      </c>
      <c r="D7">
        <v>1.044</v>
      </c>
      <c r="E7">
        <v>1.1140000000000001</v>
      </c>
      <c r="F7">
        <v>948914.2</v>
      </c>
      <c r="G7">
        <v>1.1140000000000001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0.66666666666667107</v>
      </c>
      <c r="Q7">
        <f t="shared" ref="Q7" si="11">F7*P7</f>
        <v>632609.46666667087</v>
      </c>
      <c r="R7">
        <f t="shared" ref="R7" si="12">R8+Q7</f>
        <v>85203164.290847272</v>
      </c>
      <c r="S7">
        <f t="shared" ref="S7" si="13">R7/100000</f>
        <v>852.03164290847269</v>
      </c>
      <c r="T7">
        <f t="shared" ref="T7" si="14">S7/1000</f>
        <v>0.85203164290847266</v>
      </c>
    </row>
    <row r="8" spans="1:20" x14ac:dyDescent="0.25">
      <c r="A8" s="5">
        <v>44585</v>
      </c>
      <c r="B8">
        <v>1.1579999999999999</v>
      </c>
      <c r="C8">
        <v>1.1579999999999999</v>
      </c>
      <c r="D8">
        <v>0.95</v>
      </c>
      <c r="E8">
        <v>1.069</v>
      </c>
      <c r="F8">
        <v>3052130.3</v>
      </c>
      <c r="G8">
        <v>1.069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0.14423076923076938</v>
      </c>
      <c r="Q8">
        <f t="shared" ref="Q8" si="16">F8*P8</f>
        <v>440211.1009615389</v>
      </c>
      <c r="R8">
        <f t="shared" ref="R8" si="17">R9+Q8</f>
        <v>84570554.824180603</v>
      </c>
      <c r="S8">
        <f t="shared" ref="S8" si="18">R8/100000</f>
        <v>845.70554824180601</v>
      </c>
      <c r="T8">
        <f t="shared" ref="T8" si="19">S8/1000</f>
        <v>0.84570554824180599</v>
      </c>
    </row>
    <row r="9" spans="1:20" x14ac:dyDescent="0.25">
      <c r="A9" s="5">
        <v>44584</v>
      </c>
      <c r="B9">
        <v>1.1220000000000001</v>
      </c>
      <c r="C9">
        <v>1.18</v>
      </c>
      <c r="D9">
        <v>1.0940000000000001</v>
      </c>
      <c r="E9">
        <v>1.159</v>
      </c>
      <c r="F9">
        <v>1708050.6</v>
      </c>
      <c r="G9">
        <v>1.159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0.51162790697674554</v>
      </c>
      <c r="Q9">
        <f t="shared" ref="Q9" si="21">F9*P9</f>
        <v>873886.3534883745</v>
      </c>
      <c r="R9">
        <f t="shared" ref="R9" si="22">R10+Q9</f>
        <v>84130343.723219067</v>
      </c>
      <c r="S9">
        <f t="shared" ref="S9" si="23">R9/100000</f>
        <v>841.30343723219062</v>
      </c>
      <c r="T9">
        <f t="shared" ref="T9" si="24">S9/1000</f>
        <v>0.84130343723219059</v>
      </c>
    </row>
    <row r="10" spans="1:20" x14ac:dyDescent="0.25">
      <c r="A10" s="5">
        <v>44583</v>
      </c>
      <c r="B10">
        <v>1.218</v>
      </c>
      <c r="C10">
        <v>1.274</v>
      </c>
      <c r="D10">
        <v>1.016</v>
      </c>
      <c r="E10">
        <v>1.121</v>
      </c>
      <c r="F10">
        <v>3830745.31</v>
      </c>
      <c r="G10">
        <v>1.121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-0.18604651162790714</v>
      </c>
      <c r="Q10">
        <f t="shared" ref="Q10" si="26">F10*P10</f>
        <v>-712696.80186046578</v>
      </c>
      <c r="R10">
        <f t="shared" ref="R10" si="27">R11+Q10</f>
        <v>83256457.369730696</v>
      </c>
      <c r="S10">
        <f t="shared" ref="S10" si="28">R10/100000</f>
        <v>832.56457369730697</v>
      </c>
      <c r="T10">
        <f t="shared" ref="T10" si="29">S10/1000</f>
        <v>0.83256457369730696</v>
      </c>
    </row>
    <row r="11" spans="1:20" x14ac:dyDescent="0.25">
      <c r="A11" s="5">
        <v>44582</v>
      </c>
      <c r="B11">
        <v>1.361</v>
      </c>
      <c r="C11">
        <v>1.417</v>
      </c>
      <c r="D11">
        <v>1.194</v>
      </c>
      <c r="E11">
        <v>1.2210000000000001</v>
      </c>
      <c r="F11">
        <v>2372282.4300000002</v>
      </c>
      <c r="G11">
        <v>1.2210000000000001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-0.75784753363228585</v>
      </c>
      <c r="Q11">
        <f t="shared" ref="Q11" si="31">F11*P11</f>
        <v>-1797828.3886547058</v>
      </c>
      <c r="R11">
        <f t="shared" ref="R11" si="32">R12+Q11</f>
        <v>83969154.171591163</v>
      </c>
      <c r="S11">
        <f t="shared" ref="S11" si="33">R11/100000</f>
        <v>839.69154171591163</v>
      </c>
      <c r="T11">
        <f t="shared" ref="T11" si="34">S11/1000</f>
        <v>0.83969154171591165</v>
      </c>
    </row>
    <row r="12" spans="1:20" x14ac:dyDescent="0.25">
      <c r="A12" s="5">
        <v>44581</v>
      </c>
      <c r="B12">
        <v>1.4159999999999999</v>
      </c>
      <c r="C12">
        <v>1.4870000000000001</v>
      </c>
      <c r="D12">
        <v>1.3520000000000001</v>
      </c>
      <c r="E12">
        <v>1.3640000000000001</v>
      </c>
      <c r="F12">
        <v>773725.1</v>
      </c>
      <c r="G12">
        <v>1.3640000000000001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-0.82222222222222208</v>
      </c>
      <c r="Q12">
        <f t="shared" ref="Q12" si="36">F12*P12</f>
        <v>-636173.97111111099</v>
      </c>
      <c r="R12">
        <f t="shared" ref="R12" si="37">R13+Q12</f>
        <v>85766982.560245872</v>
      </c>
      <c r="S12">
        <f t="shared" ref="S12" si="38">R12/100000</f>
        <v>857.66982560245867</v>
      </c>
      <c r="T12">
        <f t="shared" ref="T12" si="39">S12/1000</f>
        <v>0.85766982560245864</v>
      </c>
    </row>
    <row r="13" spans="1:20" x14ac:dyDescent="0.25">
      <c r="A13" s="5">
        <v>44580</v>
      </c>
      <c r="B13">
        <v>1.462</v>
      </c>
      <c r="C13">
        <v>1.4790000000000001</v>
      </c>
      <c r="D13">
        <v>1.3859999999999999</v>
      </c>
      <c r="E13">
        <v>1.411</v>
      </c>
      <c r="F13">
        <v>1343233.8</v>
      </c>
      <c r="G13">
        <v>1.411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-0.46236559139784772</v>
      </c>
      <c r="Q13">
        <f t="shared" ref="Q13" si="41">F13*P13</f>
        <v>-621065.09032257833</v>
      </c>
      <c r="R13">
        <f t="shared" ref="R13" si="42">R14+Q13</f>
        <v>86403156.531356975</v>
      </c>
      <c r="S13">
        <f t="shared" ref="S13" si="43">R13/100000</f>
        <v>864.03156531356979</v>
      </c>
      <c r="T13">
        <f t="shared" ref="T13" si="44">S13/1000</f>
        <v>0.86403156531356984</v>
      </c>
    </row>
    <row r="14" spans="1:20" x14ac:dyDescent="0.25">
      <c r="A14" s="5">
        <v>44579</v>
      </c>
      <c r="B14">
        <v>1.486</v>
      </c>
      <c r="C14">
        <v>1.498</v>
      </c>
      <c r="D14">
        <v>1.421</v>
      </c>
      <c r="E14">
        <v>1.46</v>
      </c>
      <c r="F14">
        <v>603381.80000000005</v>
      </c>
      <c r="G14">
        <v>1.46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1.2987012987011564E-2</v>
      </c>
      <c r="Q14">
        <f t="shared" ref="Q14" si="46">F14*P14</f>
        <v>7836.127272726415</v>
      </c>
      <c r="R14">
        <f t="shared" ref="R14" si="47">R15+Q14</f>
        <v>87024221.621679559</v>
      </c>
      <c r="S14">
        <f t="shared" ref="S14" si="48">R14/100000</f>
        <v>870.24221621679555</v>
      </c>
      <c r="T14">
        <f t="shared" ref="T14" si="49">S14/1000</f>
        <v>0.87024221621679554</v>
      </c>
    </row>
    <row r="15" spans="1:20" x14ac:dyDescent="0.25">
      <c r="A15" s="5">
        <v>44578</v>
      </c>
      <c r="B15">
        <v>1.5640000000000001</v>
      </c>
      <c r="C15">
        <v>1.577</v>
      </c>
      <c r="D15">
        <v>1.458</v>
      </c>
      <c r="E15">
        <v>1.486</v>
      </c>
      <c r="F15">
        <v>493552.7</v>
      </c>
      <c r="G15">
        <v>1.486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-0.52941176470588192</v>
      </c>
      <c r="Q15">
        <f t="shared" ref="Q15" si="51">F15*P15</f>
        <v>-261292.60588235274</v>
      </c>
      <c r="R15">
        <f t="shared" ref="R15" si="52">R16+Q15</f>
        <v>87016385.494406834</v>
      </c>
      <c r="S15">
        <f t="shared" ref="S15" si="53">R15/100000</f>
        <v>870.16385494406836</v>
      </c>
      <c r="T15">
        <f t="shared" ref="T15" si="54">S15/1000</f>
        <v>0.87016385494406834</v>
      </c>
    </row>
    <row r="16" spans="1:20" x14ac:dyDescent="0.25">
      <c r="A16" s="5">
        <v>44577</v>
      </c>
      <c r="B16">
        <v>1.534</v>
      </c>
      <c r="C16">
        <v>1.583</v>
      </c>
      <c r="D16">
        <v>1.5129999999999999</v>
      </c>
      <c r="E16">
        <v>1.5640000000000001</v>
      </c>
      <c r="F16">
        <v>587851.5</v>
      </c>
      <c r="G16">
        <v>1.5640000000000001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0.45714285714286029</v>
      </c>
      <c r="Q16">
        <f t="shared" ref="Q16" si="56">F16*P16</f>
        <v>268732.11428571615</v>
      </c>
      <c r="R16">
        <f t="shared" ref="R16" si="57">R17+Q16</f>
        <v>87277678.100289181</v>
      </c>
      <c r="S16">
        <f t="shared" ref="S16" si="58">R16/100000</f>
        <v>872.77678100289177</v>
      </c>
      <c r="T16">
        <f t="shared" ref="T16" si="59">S16/1000</f>
        <v>0.8727767810028918</v>
      </c>
    </row>
    <row r="17" spans="1:20" x14ac:dyDescent="0.25">
      <c r="A17" s="5">
        <v>44576</v>
      </c>
      <c r="B17">
        <v>1.5349999999999999</v>
      </c>
      <c r="C17">
        <v>1.5589999999999999</v>
      </c>
      <c r="D17">
        <v>1.5189999999999999</v>
      </c>
      <c r="E17">
        <v>1.5349999999999999</v>
      </c>
      <c r="F17">
        <v>431754.7</v>
      </c>
      <c r="G17">
        <v>1.5349999999999999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-0.2</v>
      </c>
      <c r="Q17">
        <f t="shared" ref="Q17" si="61">F17*P17</f>
        <v>-86350.94</v>
      </c>
      <c r="R17">
        <f t="shared" ref="R17" si="62">R18+Q17</f>
        <v>87008945.986003458</v>
      </c>
      <c r="S17">
        <f t="shared" ref="S17" si="63">R17/100000</f>
        <v>870.08945986003459</v>
      </c>
      <c r="T17">
        <f t="shared" ref="T17" si="64">S17/1000</f>
        <v>0.87008945986003461</v>
      </c>
    </row>
    <row r="18" spans="1:20" x14ac:dyDescent="0.25">
      <c r="A18" s="5">
        <v>44575</v>
      </c>
      <c r="B18">
        <v>1.5209999999999999</v>
      </c>
      <c r="C18">
        <v>1.5580000000000001</v>
      </c>
      <c r="D18">
        <v>1.4710000000000001</v>
      </c>
      <c r="E18">
        <v>1.5349999999999999</v>
      </c>
      <c r="F18">
        <v>570975.6</v>
      </c>
      <c r="G18">
        <v>1.5349999999999999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0.47126436781608871</v>
      </c>
      <c r="Q18">
        <f t="shared" ref="Q18" si="66">F18*P18</f>
        <v>269080.45517241192</v>
      </c>
      <c r="R18">
        <f t="shared" ref="R18" si="67">R19+Q18</f>
        <v>87095296.926003456</v>
      </c>
      <c r="S18">
        <f t="shared" ref="S18" si="68">R18/100000</f>
        <v>870.95296926003459</v>
      </c>
      <c r="T18">
        <f t="shared" ref="T18" si="69">S18/1000</f>
        <v>0.87095296926003463</v>
      </c>
    </row>
    <row r="19" spans="1:20" x14ac:dyDescent="0.25">
      <c r="A19" s="5">
        <v>44574</v>
      </c>
      <c r="B19">
        <v>1.581</v>
      </c>
      <c r="C19">
        <v>1.639</v>
      </c>
      <c r="D19">
        <v>1.5169999999999999</v>
      </c>
      <c r="E19">
        <v>1.524</v>
      </c>
      <c r="F19">
        <v>1280606.8</v>
      </c>
      <c r="G19">
        <v>1.524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-0.88524590163934247</v>
      </c>
      <c r="Q19">
        <f t="shared" ref="Q19" si="71">F19*P19</f>
        <v>-1133651.9213114732</v>
      </c>
      <c r="R19">
        <f t="shared" ref="R19" si="72">R20+Q19</f>
        <v>86826216.470831051</v>
      </c>
      <c r="S19">
        <f t="shared" ref="S19" si="73">R19/100000</f>
        <v>868.26216470831048</v>
      </c>
      <c r="T19">
        <f t="shared" ref="T19" si="74">S19/1000</f>
        <v>0.86826216470831052</v>
      </c>
    </row>
    <row r="20" spans="1:20" x14ac:dyDescent="0.25">
      <c r="A20" s="5">
        <v>44573</v>
      </c>
      <c r="B20">
        <v>1.524</v>
      </c>
      <c r="C20">
        <v>1.591</v>
      </c>
      <c r="D20">
        <v>1.522</v>
      </c>
      <c r="E20">
        <v>1.581</v>
      </c>
      <c r="F20">
        <v>860348.9</v>
      </c>
      <c r="G20">
        <v>1.581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0.71014492753623137</v>
      </c>
      <c r="Q20">
        <f t="shared" ref="Q20" si="76">F20*P20</f>
        <v>610972.40724637639</v>
      </c>
      <c r="R20">
        <f t="shared" ref="R20" si="77">R21+Q20</f>
        <v>87959868.392142519</v>
      </c>
      <c r="S20">
        <f t="shared" ref="S20" si="78">R20/100000</f>
        <v>879.59868392142516</v>
      </c>
      <c r="T20">
        <f t="shared" ref="T20" si="79">S20/1000</f>
        <v>0.87959868392142515</v>
      </c>
    </row>
    <row r="21" spans="1:20" x14ac:dyDescent="0.25">
      <c r="A21" s="5">
        <v>44572</v>
      </c>
      <c r="B21">
        <v>1.484</v>
      </c>
      <c r="C21">
        <v>1.5449999999999999</v>
      </c>
      <c r="D21">
        <v>1.456</v>
      </c>
      <c r="E21">
        <v>1.526</v>
      </c>
      <c r="F21">
        <v>774845.3</v>
      </c>
      <c r="G21">
        <v>1.526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0.57303370786517049</v>
      </c>
      <c r="Q21">
        <f t="shared" ref="Q21" si="81">F21*P21</f>
        <v>444012.47528090043</v>
      </c>
      <c r="R21">
        <f t="shared" ref="R21" si="82">R22+Q21</f>
        <v>87348895.984896138</v>
      </c>
      <c r="S21">
        <f t="shared" ref="S21" si="83">R21/100000</f>
        <v>873.48895984896137</v>
      </c>
      <c r="T21">
        <f t="shared" ref="T21" si="84">S21/1000</f>
        <v>0.87348895984896135</v>
      </c>
    </row>
    <row r="22" spans="1:20" x14ac:dyDescent="0.25">
      <c r="A22" s="5">
        <v>44571</v>
      </c>
      <c r="B22">
        <v>1.583</v>
      </c>
      <c r="C22">
        <v>1.623</v>
      </c>
      <c r="D22">
        <v>1.444</v>
      </c>
      <c r="E22">
        <v>1.486</v>
      </c>
      <c r="F22">
        <v>1049092.6000000001</v>
      </c>
      <c r="G22">
        <v>1.486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-0.53072625698323994</v>
      </c>
      <c r="Q22">
        <f t="shared" ref="Q22" si="86">F22*P22</f>
        <v>-556780.98882681539</v>
      </c>
      <c r="R22">
        <f t="shared" ref="R22" si="87">R23+Q22</f>
        <v>86904883.509615242</v>
      </c>
      <c r="S22">
        <f t="shared" ref="S22" si="88">R22/100000</f>
        <v>869.0488350961524</v>
      </c>
      <c r="T22">
        <f t="shared" ref="T22" si="89">S22/1000</f>
        <v>0.86904883509615238</v>
      </c>
    </row>
    <row r="23" spans="1:20" x14ac:dyDescent="0.25">
      <c r="A23" s="5">
        <v>44570</v>
      </c>
      <c r="B23">
        <v>1.554</v>
      </c>
      <c r="C23">
        <v>1.6279999999999999</v>
      </c>
      <c r="D23">
        <v>1.54</v>
      </c>
      <c r="E23">
        <v>1.5880000000000001</v>
      </c>
      <c r="F23">
        <v>446103.6</v>
      </c>
      <c r="G23">
        <v>1.5880000000000001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9.0909090909093659E-2</v>
      </c>
      <c r="Q23">
        <f t="shared" ref="Q23" si="91">F23*P23</f>
        <v>40554.872727273949</v>
      </c>
      <c r="R23">
        <f t="shared" ref="R23" si="92">R24+Q23</f>
        <v>87461664.498442054</v>
      </c>
      <c r="S23">
        <f t="shared" ref="S23" si="93">R23/100000</f>
        <v>874.61664498442053</v>
      </c>
      <c r="T23">
        <f t="shared" ref="T23" si="94">S23/1000</f>
        <v>0.87461664498442049</v>
      </c>
    </row>
    <row r="24" spans="1:20" x14ac:dyDescent="0.25">
      <c r="A24" s="5">
        <v>44569</v>
      </c>
      <c r="B24">
        <v>1.633</v>
      </c>
      <c r="C24">
        <v>1.6759999999999999</v>
      </c>
      <c r="D24">
        <v>1.4950000000000001</v>
      </c>
      <c r="E24">
        <v>1.5529999999999999</v>
      </c>
      <c r="F24">
        <v>1031294.55</v>
      </c>
      <c r="G24">
        <v>1.5529999999999999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-0.35911602209944876</v>
      </c>
      <c r="Q24">
        <f t="shared" ref="Q24" si="96">F24*P24</f>
        <v>-370354.39640884107</v>
      </c>
      <c r="R24">
        <f t="shared" ref="R24" si="97">R25+Q24</f>
        <v>87421109.625714779</v>
      </c>
      <c r="S24">
        <f t="shared" ref="S24" si="98">R24/100000</f>
        <v>874.2110962571478</v>
      </c>
      <c r="T24">
        <f t="shared" ref="T24" si="99">S24/1000</f>
        <v>0.87421109625714777</v>
      </c>
    </row>
    <row r="25" spans="1:20" x14ac:dyDescent="0.25">
      <c r="A25" s="5">
        <v>44568</v>
      </c>
      <c r="B25">
        <v>1.6859999999999999</v>
      </c>
      <c r="C25">
        <v>1.6950000000000001</v>
      </c>
      <c r="D25">
        <v>1.5660000000000001</v>
      </c>
      <c r="E25">
        <v>1.63</v>
      </c>
      <c r="F25">
        <v>1079975.1000000001</v>
      </c>
      <c r="G25">
        <v>1.63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-7.751937984498713E-3</v>
      </c>
      <c r="Q25">
        <f t="shared" ref="Q25" si="101">F25*P25</f>
        <v>-8371.9000000027972</v>
      </c>
      <c r="R25">
        <f t="shared" ref="R25" si="102">R26+Q25</f>
        <v>87791464.02212362</v>
      </c>
      <c r="S25">
        <f t="shared" ref="S25" si="103">R25/100000</f>
        <v>877.91464022123625</v>
      </c>
      <c r="T25">
        <f t="shared" ref="T25" si="104">S25/1000</f>
        <v>0.87791464022123622</v>
      </c>
    </row>
    <row r="26" spans="1:20" x14ac:dyDescent="0.25">
      <c r="A26" s="5">
        <v>44567</v>
      </c>
      <c r="B26">
        <v>1.708</v>
      </c>
      <c r="C26">
        <v>1.7210000000000001</v>
      </c>
      <c r="D26">
        <v>1.611</v>
      </c>
      <c r="E26">
        <v>1.6850000000000001</v>
      </c>
      <c r="F26">
        <v>999928.9</v>
      </c>
      <c r="G26">
        <v>1.6850000000000001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0.34545454545454546</v>
      </c>
      <c r="Q26">
        <f t="shared" ref="Q26" si="106">F26*P26</f>
        <v>345429.98363636364</v>
      </c>
      <c r="R26">
        <f t="shared" ref="R26" si="107">R27+Q26</f>
        <v>87799835.922123626</v>
      </c>
      <c r="S26">
        <f t="shared" ref="S26" si="108">R26/100000</f>
        <v>877.99835922123623</v>
      </c>
      <c r="T26">
        <f t="shared" ref="T26" si="109">S26/1000</f>
        <v>0.87799835922123626</v>
      </c>
    </row>
    <row r="27" spans="1:20" x14ac:dyDescent="0.25">
      <c r="A27" s="5">
        <v>44566</v>
      </c>
      <c r="B27">
        <v>1.889</v>
      </c>
      <c r="C27">
        <v>1.956</v>
      </c>
      <c r="D27">
        <v>1.6160000000000001</v>
      </c>
      <c r="E27">
        <v>1.708</v>
      </c>
      <c r="F27">
        <v>1464814.4</v>
      </c>
      <c r="G27">
        <v>1.708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-0.4588235294117653</v>
      </c>
      <c r="Q27">
        <f t="shared" ref="Q27" si="111">F27*P27</f>
        <v>-672091.31294117728</v>
      </c>
      <c r="R27">
        <f t="shared" ref="R27" si="112">R28+Q27</f>
        <v>87454405.938487262</v>
      </c>
      <c r="S27">
        <f t="shared" ref="S27" si="113">R27/100000</f>
        <v>874.54405938487264</v>
      </c>
      <c r="T27">
        <f t="shared" ref="T27" si="114">S27/1000</f>
        <v>0.87454405938487267</v>
      </c>
    </row>
    <row r="28" spans="1:20" x14ac:dyDescent="0.25">
      <c r="A28" s="5">
        <v>44565</v>
      </c>
      <c r="B28">
        <v>1.9339999999999999</v>
      </c>
      <c r="C28">
        <v>1.9910000000000001</v>
      </c>
      <c r="D28">
        <v>1.883</v>
      </c>
      <c r="E28">
        <v>1.887</v>
      </c>
      <c r="F28">
        <v>839231.3</v>
      </c>
      <c r="G28">
        <v>1.887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-0.92592592592592593</v>
      </c>
      <c r="Q28">
        <f t="shared" ref="Q28" si="116">F28*P28</f>
        <v>-777066.01851851854</v>
      </c>
      <c r="R28">
        <f t="shared" ref="R28" si="117">R29+Q28</f>
        <v>88126497.25142844</v>
      </c>
      <c r="S28">
        <f t="shared" ref="S28" si="118">R28/100000</f>
        <v>881.26497251428441</v>
      </c>
      <c r="T28">
        <f t="shared" ref="T28" si="119">S28/1000</f>
        <v>0.88126497251428437</v>
      </c>
    </row>
    <row r="29" spans="1:20" x14ac:dyDescent="0.25">
      <c r="A29" s="5">
        <v>44564</v>
      </c>
      <c r="B29">
        <v>1.994</v>
      </c>
      <c r="C29">
        <v>1.9950000000000001</v>
      </c>
      <c r="D29">
        <v>1.8939999999999999</v>
      </c>
      <c r="E29">
        <v>1.93</v>
      </c>
      <c r="F29">
        <v>546803.6</v>
      </c>
      <c r="G29">
        <v>1.93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-0.28712871287128794</v>
      </c>
      <c r="Q29">
        <f t="shared" ref="Q29" si="121">F29*P29</f>
        <v>-157003.01386138657</v>
      </c>
      <c r="R29">
        <f t="shared" ref="R29" si="122">R30+Q29</f>
        <v>88903563.269946963</v>
      </c>
      <c r="S29">
        <f t="shared" ref="S29" si="123">R29/100000</f>
        <v>889.0356326994696</v>
      </c>
      <c r="T29">
        <f t="shared" ref="T29" si="124">S29/1000</f>
        <v>0.88903563269946961</v>
      </c>
    </row>
    <row r="30" spans="1:20" x14ac:dyDescent="0.25">
      <c r="A30" s="5">
        <v>44563</v>
      </c>
      <c r="B30">
        <v>1.9810000000000001</v>
      </c>
      <c r="C30">
        <v>2.016</v>
      </c>
      <c r="D30">
        <v>1.9279999999999999</v>
      </c>
      <c r="E30">
        <v>1.994</v>
      </c>
      <c r="F30">
        <v>532524</v>
      </c>
      <c r="G30">
        <v>1.994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0.5</v>
      </c>
      <c r="Q30">
        <f t="shared" ref="Q30" si="126">F30*P30</f>
        <v>266262</v>
      </c>
      <c r="R30">
        <f t="shared" ref="R30" si="127">R31+Q30</f>
        <v>89060566.283808351</v>
      </c>
      <c r="S30">
        <f t="shared" ref="S30" si="128">R30/100000</f>
        <v>890.6056628380835</v>
      </c>
      <c r="T30">
        <f t="shared" ref="T30" si="129">S30/1000</f>
        <v>0.89060566283808351</v>
      </c>
    </row>
    <row r="31" spans="1:20" x14ac:dyDescent="0.25">
      <c r="A31" s="5">
        <v>44562</v>
      </c>
      <c r="B31">
        <v>1.8740000000000001</v>
      </c>
      <c r="C31">
        <v>1.9810000000000001</v>
      </c>
      <c r="D31">
        <v>1.8720000000000001</v>
      </c>
      <c r="E31">
        <v>1.978</v>
      </c>
      <c r="F31">
        <v>424370.8</v>
      </c>
      <c r="G31">
        <v>1.978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0.94495412844036486</v>
      </c>
      <c r="Q31">
        <f t="shared" ref="Q31" si="131">F31*P31</f>
        <v>401010.9394495404</v>
      </c>
      <c r="R31">
        <f t="shared" ref="R31" si="132">R32+Q31</f>
        <v>88794304.283808351</v>
      </c>
      <c r="S31">
        <f t="shared" ref="S31" si="133">R31/100000</f>
        <v>887.94304283808356</v>
      </c>
      <c r="T31">
        <f t="shared" ref="T31" si="134">S31/1000</f>
        <v>0.88794304283808356</v>
      </c>
    </row>
    <row r="32" spans="1:20" x14ac:dyDescent="0.25">
      <c r="A32" s="5">
        <v>44561</v>
      </c>
      <c r="B32">
        <v>1.911</v>
      </c>
      <c r="C32">
        <v>1.9570000000000001</v>
      </c>
      <c r="D32">
        <v>1.8240000000000001</v>
      </c>
      <c r="E32">
        <v>1.871</v>
      </c>
      <c r="F32">
        <v>561088.6</v>
      </c>
      <c r="G32">
        <v>1.871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-0.29323308270676801</v>
      </c>
      <c r="Q32">
        <f t="shared" ref="Q32" si="136">F32*P32</f>
        <v>-164529.73984962466</v>
      </c>
      <c r="R32">
        <f t="shared" ref="R32" si="137">R33+Q32</f>
        <v>88393293.344358817</v>
      </c>
      <c r="S32">
        <f t="shared" ref="S32" si="138">R32/100000</f>
        <v>883.93293344358813</v>
      </c>
      <c r="T32">
        <f t="shared" ref="T32" si="139">S32/1000</f>
        <v>0.88393293344358814</v>
      </c>
    </row>
    <row r="33" spans="1:20" x14ac:dyDescent="0.25">
      <c r="A33" s="5">
        <v>44560</v>
      </c>
      <c r="B33">
        <v>1.851</v>
      </c>
      <c r="C33">
        <v>1.9139999999999999</v>
      </c>
      <c r="D33">
        <v>1.802</v>
      </c>
      <c r="E33">
        <v>1.9119999999999999</v>
      </c>
      <c r="F33">
        <v>648752.9</v>
      </c>
      <c r="G33">
        <v>1.9119999999999999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0.96428571428571419</v>
      </c>
      <c r="Q33">
        <f t="shared" ref="Q33" si="141">F33*P33</f>
        <v>625583.1535714285</v>
      </c>
      <c r="R33">
        <f t="shared" ref="R33" si="142">R34+Q33</f>
        <v>88557823.084208444</v>
      </c>
      <c r="S33">
        <f t="shared" ref="S33" si="143">R33/100000</f>
        <v>885.57823084208439</v>
      </c>
      <c r="T33">
        <f t="shared" ref="T33" si="144">S33/1000</f>
        <v>0.88557823084208442</v>
      </c>
    </row>
    <row r="34" spans="1:20" x14ac:dyDescent="0.25">
      <c r="A34" s="5">
        <v>44559</v>
      </c>
      <c r="B34">
        <v>1.9159999999999999</v>
      </c>
      <c r="C34">
        <v>1.96</v>
      </c>
      <c r="D34">
        <v>1.8240000000000001</v>
      </c>
      <c r="E34">
        <v>1.85</v>
      </c>
      <c r="F34">
        <v>1029053.2</v>
      </c>
      <c r="G34">
        <v>1.85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-0.61764705882352877</v>
      </c>
      <c r="Q34">
        <f t="shared" ref="Q34" si="146">F34*P34</f>
        <v>-635591.68235294044</v>
      </c>
      <c r="R34">
        <f t="shared" ref="R34" si="147">R35+Q34</f>
        <v>87932239.930637017</v>
      </c>
      <c r="S34">
        <f t="shared" ref="S34" si="148">R34/100000</f>
        <v>879.32239930637013</v>
      </c>
      <c r="T34">
        <f t="shared" ref="T34" si="149">S34/1000</f>
        <v>0.87932239930637013</v>
      </c>
    </row>
    <row r="35" spans="1:20" x14ac:dyDescent="0.25">
      <c r="A35" s="5">
        <v>44558</v>
      </c>
      <c r="B35">
        <v>2.101</v>
      </c>
      <c r="C35">
        <v>2.1019999999999999</v>
      </c>
      <c r="D35">
        <v>1.8939999999999999</v>
      </c>
      <c r="E35">
        <v>1.9159999999999999</v>
      </c>
      <c r="F35">
        <v>1686782.9</v>
      </c>
      <c r="G35">
        <v>1.9159999999999999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-0.78846153846153821</v>
      </c>
      <c r="Q35">
        <f t="shared" ref="Q35" si="151">F35*P35</f>
        <v>-1329963.440384615</v>
      </c>
      <c r="R35">
        <f t="shared" ref="R35" si="152">R36+Q35</f>
        <v>88567831.612989962</v>
      </c>
      <c r="S35">
        <f t="shared" ref="S35" si="153">R35/100000</f>
        <v>885.6783161298996</v>
      </c>
      <c r="T35">
        <f t="shared" ref="T35" si="154">S35/1000</f>
        <v>0.88567831612989956</v>
      </c>
    </row>
    <row r="36" spans="1:20" x14ac:dyDescent="0.25">
      <c r="A36" s="5">
        <v>44557</v>
      </c>
      <c r="B36">
        <v>2.0950000000000002</v>
      </c>
      <c r="C36">
        <v>2.2949999999999999</v>
      </c>
      <c r="D36">
        <v>2.0910000000000002</v>
      </c>
      <c r="E36">
        <v>2.1</v>
      </c>
      <c r="F36">
        <v>1640111.3</v>
      </c>
      <c r="G36">
        <v>2.1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-0.91176470588235381</v>
      </c>
      <c r="Q36">
        <f t="shared" ref="Q36" si="156">F36*P36</f>
        <v>-1495395.597058825</v>
      </c>
      <c r="R36">
        <f t="shared" ref="R36" si="157">R37+Q36</f>
        <v>89897795.053374574</v>
      </c>
      <c r="S36">
        <f t="shared" ref="S36" si="158">R36/100000</f>
        <v>898.97795053374568</v>
      </c>
      <c r="T36">
        <f t="shared" ref="T36" si="159">S36/1000</f>
        <v>0.89897795053374563</v>
      </c>
    </row>
    <row r="37" spans="1:20" x14ac:dyDescent="0.25">
      <c r="A37" s="5">
        <v>44556</v>
      </c>
      <c r="B37">
        <v>2.0529999999999999</v>
      </c>
      <c r="C37">
        <v>2.1269999999999998</v>
      </c>
      <c r="D37">
        <v>2</v>
      </c>
      <c r="E37">
        <v>2.0939999999999999</v>
      </c>
      <c r="F37">
        <v>1704040.2</v>
      </c>
      <c r="G37">
        <v>2.0939999999999999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0.48031496062992163</v>
      </c>
      <c r="Q37">
        <f t="shared" ref="Q37" si="161">F37*P37</f>
        <v>818476.00157480373</v>
      </c>
      <c r="R37">
        <f t="shared" ref="R37" si="162">R38+Q37</f>
        <v>91393190.650433391</v>
      </c>
      <c r="S37">
        <f t="shared" ref="S37" si="163">R37/100000</f>
        <v>913.93190650433394</v>
      </c>
      <c r="T37">
        <f t="shared" ref="T37" si="164">S37/1000</f>
        <v>0.91393190650433398</v>
      </c>
    </row>
    <row r="38" spans="1:20" x14ac:dyDescent="0.25">
      <c r="A38" s="5">
        <v>44555</v>
      </c>
      <c r="B38">
        <v>1.97</v>
      </c>
      <c r="C38">
        <v>2.1349999999999998</v>
      </c>
      <c r="D38">
        <v>1.9570000000000001</v>
      </c>
      <c r="E38">
        <v>2.0539999999999998</v>
      </c>
      <c r="F38">
        <v>1540199.9</v>
      </c>
      <c r="G38">
        <v>2.0539999999999998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8.9887640449437173E-2</v>
      </c>
      <c r="Q38">
        <f t="shared" ref="Q38" si="166">F38*P38</f>
        <v>138444.93483145908</v>
      </c>
      <c r="R38">
        <f t="shared" ref="R38" si="167">R39+Q38</f>
        <v>90574714.648858592</v>
      </c>
      <c r="S38">
        <f t="shared" ref="S38" si="168">R38/100000</f>
        <v>905.74714648858594</v>
      </c>
      <c r="T38">
        <f t="shared" ref="T38" si="169">S38/1000</f>
        <v>0.9057471464885859</v>
      </c>
    </row>
    <row r="39" spans="1:20" x14ac:dyDescent="0.25">
      <c r="A39" s="5">
        <v>44554</v>
      </c>
      <c r="B39">
        <v>2.0049999999999999</v>
      </c>
      <c r="C39">
        <v>2.085</v>
      </c>
      <c r="D39">
        <v>1.9410000000000001</v>
      </c>
      <c r="E39">
        <v>1.9690000000000001</v>
      </c>
      <c r="F39">
        <v>1511880.5</v>
      </c>
      <c r="G39">
        <v>1.9690000000000001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-0.61111111111111049</v>
      </c>
      <c r="Q39">
        <f t="shared" ref="Q39" si="171">F39*P39</f>
        <v>-923926.97222222132</v>
      </c>
      <c r="R39">
        <f t="shared" ref="R39" si="172">R40+Q39</f>
        <v>90436269.714027137</v>
      </c>
      <c r="S39">
        <f t="shared" ref="S39" si="173">R39/100000</f>
        <v>904.36269714027139</v>
      </c>
      <c r="T39">
        <f t="shared" ref="T39" si="174">S39/1000</f>
        <v>0.9043626971402714</v>
      </c>
    </row>
    <row r="40" spans="1:20" x14ac:dyDescent="0.25">
      <c r="A40" s="5">
        <v>44553</v>
      </c>
      <c r="B40">
        <v>1.87</v>
      </c>
      <c r="C40">
        <v>2.0179999999999998</v>
      </c>
      <c r="D40">
        <v>1.819</v>
      </c>
      <c r="E40">
        <v>2.0030000000000001</v>
      </c>
      <c r="F40">
        <v>2061251.4</v>
      </c>
      <c r="G40">
        <v>2.0030000000000001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0.84924623115578202</v>
      </c>
      <c r="Q40">
        <f t="shared" ref="Q40" si="176">F40*P40</f>
        <v>1750509.9829145793</v>
      </c>
      <c r="R40">
        <f t="shared" ref="R40" si="177">R41+Q40</f>
        <v>91360196.68624936</v>
      </c>
      <c r="S40">
        <f t="shared" ref="S40" si="178">R40/100000</f>
        <v>913.60196686249355</v>
      </c>
      <c r="T40">
        <f t="shared" ref="T40" si="179">S40/1000</f>
        <v>0.91360196686249351</v>
      </c>
    </row>
    <row r="41" spans="1:20" x14ac:dyDescent="0.25">
      <c r="A41" s="5">
        <v>44552</v>
      </c>
      <c r="B41">
        <v>1.867</v>
      </c>
      <c r="C41">
        <v>1.9419999999999999</v>
      </c>
      <c r="D41">
        <v>1.8340000000000001</v>
      </c>
      <c r="E41">
        <v>1.871</v>
      </c>
      <c r="F41">
        <v>1537710</v>
      </c>
      <c r="G41">
        <v>1.871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-0.31481481481481544</v>
      </c>
      <c r="Q41">
        <f t="shared" ref="Q41" si="181">F41*P41</f>
        <v>-484093.88888888987</v>
      </c>
      <c r="R41">
        <f t="shared" ref="R41" si="182">R42+Q41</f>
        <v>89609686.703334779</v>
      </c>
      <c r="S41">
        <f t="shared" ref="S41" si="183">R41/100000</f>
        <v>896.09686703334773</v>
      </c>
      <c r="T41">
        <f t="shared" ref="T41" si="184">S41/1000</f>
        <v>0.89609686703334779</v>
      </c>
    </row>
    <row r="42" spans="1:20" x14ac:dyDescent="0.25">
      <c r="A42" s="5">
        <v>44551</v>
      </c>
      <c r="B42">
        <v>1.8120000000000001</v>
      </c>
      <c r="C42">
        <v>1.9259999999999999</v>
      </c>
      <c r="D42">
        <v>1.784</v>
      </c>
      <c r="E42">
        <v>1.8660000000000001</v>
      </c>
      <c r="F42">
        <v>1826390.8</v>
      </c>
      <c r="G42">
        <v>1.8660000000000001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0.15492957746479055</v>
      </c>
      <c r="Q42">
        <f t="shared" ref="Q42" si="186">F42*P42</f>
        <v>282961.9549295808</v>
      </c>
      <c r="R42">
        <f t="shared" ref="R42" si="187">R43+Q42</f>
        <v>90093780.592223674</v>
      </c>
      <c r="S42">
        <f t="shared" ref="S42" si="188">R42/100000</f>
        <v>900.93780592223675</v>
      </c>
      <c r="T42">
        <f t="shared" ref="T42" si="189">S42/1000</f>
        <v>0.90093780592223671</v>
      </c>
    </row>
    <row r="43" spans="1:20" x14ac:dyDescent="0.25">
      <c r="A43" s="5">
        <v>44550</v>
      </c>
      <c r="B43">
        <v>1.931</v>
      </c>
      <c r="C43">
        <v>1.976</v>
      </c>
      <c r="D43">
        <v>1.754</v>
      </c>
      <c r="E43">
        <v>1.8120000000000001</v>
      </c>
      <c r="F43">
        <v>1600857.8</v>
      </c>
      <c r="G43">
        <v>1.8120000000000001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-0.47747747747747693</v>
      </c>
      <c r="Q43">
        <f t="shared" ref="Q43" si="191">F43*P43</f>
        <v>-764373.54414414323</v>
      </c>
      <c r="R43">
        <f t="shared" ref="R43" si="192">R44+Q43</f>
        <v>89810818.637294099</v>
      </c>
      <c r="S43">
        <f t="shared" ref="S43" si="193">R43/100000</f>
        <v>898.10818637294096</v>
      </c>
      <c r="T43">
        <f t="shared" ref="T43" si="194">S43/1000</f>
        <v>0.89810818637294099</v>
      </c>
    </row>
    <row r="44" spans="1:20" x14ac:dyDescent="0.25">
      <c r="A44" s="5">
        <v>44549</v>
      </c>
      <c r="B44">
        <v>1.9690000000000001</v>
      </c>
      <c r="C44">
        <v>2.0009999999999999</v>
      </c>
      <c r="D44">
        <v>1.9159999999999999</v>
      </c>
      <c r="E44">
        <v>1.9319999999999999</v>
      </c>
      <c r="F44">
        <v>354363.9</v>
      </c>
      <c r="G44">
        <v>1.9319999999999999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-0.62352941176470544</v>
      </c>
      <c r="Q44">
        <f t="shared" ref="Q44" si="196">F44*P44</f>
        <v>-220956.31411764692</v>
      </c>
      <c r="R44">
        <f t="shared" ref="R44" si="197">R45+Q44</f>
        <v>90575192.181438237</v>
      </c>
      <c r="S44">
        <f t="shared" ref="S44" si="198">R44/100000</f>
        <v>905.7519218143824</v>
      </c>
      <c r="T44">
        <f t="shared" ref="T44" si="199">S44/1000</f>
        <v>0.90575192181438235</v>
      </c>
    </row>
    <row r="45" spans="1:20" x14ac:dyDescent="0.25">
      <c r="A45" s="5">
        <v>44548</v>
      </c>
      <c r="B45">
        <v>1.907</v>
      </c>
      <c r="C45">
        <v>2.0489999999999999</v>
      </c>
      <c r="D45">
        <v>1.877</v>
      </c>
      <c r="E45">
        <v>1.9690000000000001</v>
      </c>
      <c r="F45">
        <v>1035731.1</v>
      </c>
      <c r="G45">
        <v>1.9690000000000001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6.9767441860466503E-2</v>
      </c>
      <c r="Q45">
        <f t="shared" ref="Q45" si="201">F45*P45</f>
        <v>72260.309302327019</v>
      </c>
      <c r="R45">
        <f t="shared" ref="R45" si="202">R46+Q45</f>
        <v>90796148.495555878</v>
      </c>
      <c r="S45">
        <f t="shared" ref="S45" si="203">R45/100000</f>
        <v>907.96148495555883</v>
      </c>
      <c r="T45">
        <f t="shared" ref="T45" si="204">S45/1000</f>
        <v>0.90796148495555884</v>
      </c>
    </row>
    <row r="46" spans="1:20" x14ac:dyDescent="0.25">
      <c r="A46" s="5">
        <v>44547</v>
      </c>
      <c r="B46">
        <v>1.9339999999999999</v>
      </c>
      <c r="C46">
        <v>1.9750000000000001</v>
      </c>
      <c r="D46">
        <v>1.82</v>
      </c>
      <c r="E46">
        <v>1.9119999999999999</v>
      </c>
      <c r="F46">
        <v>810056.4</v>
      </c>
      <c r="G46">
        <v>1.9119999999999999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0.18709677419354637</v>
      </c>
      <c r="Q46">
        <f t="shared" ref="Q46" si="206">F46*P46</f>
        <v>151558.93935483709</v>
      </c>
      <c r="R46">
        <f t="shared" ref="R46" si="207">R47+Q46</f>
        <v>90723888.186253548</v>
      </c>
      <c r="S46">
        <f t="shared" ref="S46" si="208">R46/100000</f>
        <v>907.23888186253544</v>
      </c>
      <c r="T46">
        <f t="shared" ref="T46" si="209">S46/1000</f>
        <v>0.90723888186253543</v>
      </c>
    </row>
    <row r="47" spans="1:20" x14ac:dyDescent="0.25">
      <c r="A47" s="5">
        <v>44546</v>
      </c>
      <c r="B47">
        <v>2.0009999999999999</v>
      </c>
      <c r="C47">
        <v>2.0699999999999998</v>
      </c>
      <c r="D47">
        <v>1.9279999999999999</v>
      </c>
      <c r="E47">
        <v>1.9359999999999999</v>
      </c>
      <c r="F47">
        <v>676997.7</v>
      </c>
      <c r="G47">
        <v>1.9359999999999999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-0.88732394366197165</v>
      </c>
      <c r="Q47">
        <f t="shared" ref="Q47" si="211">F47*P47</f>
        <v>-600716.26901408436</v>
      </c>
      <c r="R47">
        <f t="shared" ref="R47" si="212">R48+Q47</f>
        <v>90572329.246898711</v>
      </c>
      <c r="S47">
        <f t="shared" ref="S47" si="213">R47/100000</f>
        <v>905.7232924689871</v>
      </c>
      <c r="T47">
        <f t="shared" ref="T47" si="214">S47/1000</f>
        <v>0.90572329246898708</v>
      </c>
    </row>
    <row r="48" spans="1:20" x14ac:dyDescent="0.25">
      <c r="A48" s="5">
        <v>44545</v>
      </c>
      <c r="B48">
        <v>1.9239999999999999</v>
      </c>
      <c r="C48">
        <v>2.0230000000000001</v>
      </c>
      <c r="D48">
        <v>1.7869999999999999</v>
      </c>
      <c r="E48">
        <v>1.9950000000000001</v>
      </c>
      <c r="F48">
        <v>1077722.5</v>
      </c>
      <c r="G48">
        <v>1.9950000000000001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0.76271186440677963</v>
      </c>
      <c r="Q48">
        <f t="shared" ref="Q48" si="216">F48*P48</f>
        <v>821991.73728813557</v>
      </c>
      <c r="R48">
        <f t="shared" ref="R48" si="217">R49+Q48</f>
        <v>91173045.515912801</v>
      </c>
      <c r="S48">
        <f t="shared" ref="S48" si="218">R48/100000</f>
        <v>911.73045515912804</v>
      </c>
      <c r="T48">
        <f t="shared" ref="T48" si="219">S48/1000</f>
        <v>0.91173045515912809</v>
      </c>
    </row>
    <row r="49" spans="1:20" x14ac:dyDescent="0.25">
      <c r="A49" s="5">
        <v>44544</v>
      </c>
      <c r="B49">
        <v>1.84</v>
      </c>
      <c r="C49">
        <v>1.9370000000000001</v>
      </c>
      <c r="D49">
        <v>1.7869999999999999</v>
      </c>
      <c r="E49">
        <v>1.923</v>
      </c>
      <c r="F49">
        <v>804908.3</v>
      </c>
      <c r="G49">
        <v>1.923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0.81333333333333335</v>
      </c>
      <c r="Q49">
        <f t="shared" ref="Q49" si="221">F49*P49</f>
        <v>654658.75066666678</v>
      </c>
      <c r="R49">
        <f t="shared" ref="R49" si="222">R50+Q49</f>
        <v>90351053.778624669</v>
      </c>
      <c r="S49">
        <f t="shared" ref="S49" si="223">R49/100000</f>
        <v>903.51053778624669</v>
      </c>
      <c r="T49">
        <f t="shared" ref="T49" si="224">S49/1000</f>
        <v>0.90351053778624668</v>
      </c>
    </row>
    <row r="50" spans="1:20" x14ac:dyDescent="0.25">
      <c r="A50" s="5">
        <v>44543</v>
      </c>
      <c r="B50">
        <v>2.1059999999999999</v>
      </c>
      <c r="C50">
        <v>2.129</v>
      </c>
      <c r="D50">
        <v>1.8</v>
      </c>
      <c r="E50">
        <v>1.839</v>
      </c>
      <c r="F50">
        <v>1322211.5</v>
      </c>
      <c r="G50">
        <v>1.839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-0.76291793313069955</v>
      </c>
      <c r="Q50">
        <f t="shared" ref="Q50" si="226">F50*P50</f>
        <v>-1008738.8647416419</v>
      </c>
      <c r="R50">
        <f t="shared" ref="R50" si="227">R51+Q50</f>
        <v>89696395.027958006</v>
      </c>
      <c r="S50">
        <f t="shared" ref="S50" si="228">R50/100000</f>
        <v>896.9639502795801</v>
      </c>
      <c r="T50">
        <f t="shared" ref="T50" si="229">S50/1000</f>
        <v>0.89696395027958009</v>
      </c>
    </row>
    <row r="51" spans="1:20" x14ac:dyDescent="0.25">
      <c r="A51" s="5">
        <v>44542</v>
      </c>
      <c r="B51">
        <v>2.12</v>
      </c>
      <c r="C51">
        <v>2.1589999999999998</v>
      </c>
      <c r="D51">
        <v>2.0419999999999998</v>
      </c>
      <c r="E51">
        <v>2.1080000000000001</v>
      </c>
      <c r="F51">
        <v>812602.1</v>
      </c>
      <c r="G51">
        <v>2.1080000000000001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0.12820512820513308</v>
      </c>
      <c r="Q51">
        <f t="shared" ref="Q51" si="231">F51*P51</f>
        <v>104179.75641026036</v>
      </c>
      <c r="R51">
        <f t="shared" ref="R51" si="232">R52+Q51</f>
        <v>90705133.892699644</v>
      </c>
      <c r="S51">
        <f t="shared" ref="S51" si="233">R51/100000</f>
        <v>907.05133892699644</v>
      </c>
      <c r="T51">
        <f t="shared" ref="T51" si="234">S51/1000</f>
        <v>0.90705133892699641</v>
      </c>
    </row>
    <row r="52" spans="1:20" x14ac:dyDescent="0.25">
      <c r="A52" s="5">
        <v>44541</v>
      </c>
      <c r="B52">
        <v>1.98</v>
      </c>
      <c r="C52">
        <v>1.9970000000000001</v>
      </c>
      <c r="D52">
        <v>1.9239999999999999</v>
      </c>
      <c r="E52">
        <v>1.9830000000000001</v>
      </c>
      <c r="F52">
        <v>87544</v>
      </c>
      <c r="G52">
        <v>1.9830000000000001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0.61643835616438414</v>
      </c>
      <c r="Q52">
        <f t="shared" ref="Q52" si="236">F52*P52</f>
        <v>53965.479452054846</v>
      </c>
      <c r="R52">
        <f t="shared" ref="R52" si="237">R53+Q52</f>
        <v>90600954.136289388</v>
      </c>
      <c r="S52">
        <f t="shared" ref="S52" si="238">R52/100000</f>
        <v>906.00954136289386</v>
      </c>
      <c r="T52">
        <f t="shared" ref="T52" si="239">S52/1000</f>
        <v>0.90600954136289391</v>
      </c>
    </row>
    <row r="53" spans="1:20" x14ac:dyDescent="0.25">
      <c r="A53" s="5">
        <v>44540</v>
      </c>
      <c r="B53">
        <v>2.0499999999999998</v>
      </c>
      <c r="C53">
        <v>2.1379999999999999</v>
      </c>
      <c r="D53">
        <v>1.9690000000000001</v>
      </c>
      <c r="E53">
        <v>1.9830000000000001</v>
      </c>
      <c r="F53">
        <v>833917.5</v>
      </c>
      <c r="G53">
        <v>1.9830000000000001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-0.83431952662721864</v>
      </c>
      <c r="Q53">
        <f t="shared" ref="Q53" si="241">F53*P53</f>
        <v>-695753.65384615364</v>
      </c>
      <c r="R53">
        <f t="shared" ref="R53" si="242">R54+Q53</f>
        <v>90546988.656837329</v>
      </c>
      <c r="S53">
        <f t="shared" ref="S53" si="243">R53/100000</f>
        <v>905.46988656837334</v>
      </c>
      <c r="T53">
        <f t="shared" ref="T53" si="244">S53/1000</f>
        <v>0.90546988656837335</v>
      </c>
    </row>
    <row r="54" spans="1:20" x14ac:dyDescent="0.25">
      <c r="A54" s="5">
        <v>44539</v>
      </c>
      <c r="B54">
        <v>2.3010000000000002</v>
      </c>
      <c r="C54">
        <v>2.3149999999999999</v>
      </c>
      <c r="D54">
        <v>2.0470000000000002</v>
      </c>
      <c r="E54">
        <v>2.0550000000000002</v>
      </c>
      <c r="F54">
        <v>1525363.9</v>
      </c>
      <c r="G54">
        <v>2.0550000000000002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-0.94029850746268651</v>
      </c>
      <c r="Q54">
        <f t="shared" ref="Q54" si="246">F54*P54</f>
        <v>-1434297.3985074626</v>
      </c>
      <c r="R54">
        <f t="shared" ref="R54" si="247">R55+Q54</f>
        <v>91242742.310683489</v>
      </c>
      <c r="S54">
        <f t="shared" ref="S54" si="248">R54/100000</f>
        <v>912.42742310683491</v>
      </c>
      <c r="T54">
        <f t="shared" ref="T54" si="249">S54/1000</f>
        <v>0.91242742310683489</v>
      </c>
    </row>
    <row r="55" spans="1:20" x14ac:dyDescent="0.25">
      <c r="A55" s="5">
        <v>44538</v>
      </c>
      <c r="B55">
        <v>2.1259999999999999</v>
      </c>
      <c r="C55">
        <v>2.4390000000000001</v>
      </c>
      <c r="D55">
        <v>2.056</v>
      </c>
      <c r="E55">
        <v>2.2989999999999999</v>
      </c>
      <c r="F55">
        <v>4595150.8</v>
      </c>
      <c r="G55">
        <v>2.2989999999999999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0.26892950391644843</v>
      </c>
      <c r="Q55">
        <f t="shared" ref="Q55" si="251">F55*P55</f>
        <v>1235771.625065271</v>
      </c>
      <c r="R55">
        <f t="shared" ref="R55" si="252">R56+Q55</f>
        <v>92677039.70919095</v>
      </c>
      <c r="S55">
        <f t="shared" ref="S55" si="253">R55/100000</f>
        <v>926.77039709190944</v>
      </c>
      <c r="T55">
        <f t="shared" ref="T55" si="254">S55/1000</f>
        <v>0.92677039709190945</v>
      </c>
    </row>
    <row r="56" spans="1:20" x14ac:dyDescent="0.25">
      <c r="A56" s="5">
        <v>44537</v>
      </c>
      <c r="B56">
        <v>2.1840000000000002</v>
      </c>
      <c r="C56">
        <v>2.266</v>
      </c>
      <c r="D56">
        <v>2.0819999999999999</v>
      </c>
      <c r="E56">
        <v>2.121</v>
      </c>
      <c r="F56">
        <v>2219129.1</v>
      </c>
      <c r="G56">
        <v>2.121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-0.57608695652173791</v>
      </c>
      <c r="Q56">
        <f t="shared" ref="Q56" si="256">F56*P56</f>
        <v>-1278411.3293478235</v>
      </c>
      <c r="R56">
        <f t="shared" ref="R56" si="257">R57+Q56</f>
        <v>91441268.084125683</v>
      </c>
      <c r="S56">
        <f t="shared" ref="S56" si="258">R56/100000</f>
        <v>914.41268084125682</v>
      </c>
      <c r="T56">
        <f t="shared" ref="T56" si="259">S56/1000</f>
        <v>0.91441268084125682</v>
      </c>
    </row>
    <row r="57" spans="1:20" x14ac:dyDescent="0.25">
      <c r="A57" s="5">
        <v>44536</v>
      </c>
      <c r="B57">
        <v>2.246</v>
      </c>
      <c r="C57">
        <v>2.2530000000000001</v>
      </c>
      <c r="D57">
        <v>1.95</v>
      </c>
      <c r="E57">
        <v>2.1829999999999998</v>
      </c>
      <c r="F57">
        <v>2228095.7000000002</v>
      </c>
      <c r="G57">
        <v>2.1829999999999998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0.53795379537953636</v>
      </c>
      <c r="Q57">
        <f t="shared" ref="Q57" si="261">F57*P57</f>
        <v>1198612.5382838249</v>
      </c>
      <c r="R57">
        <f t="shared" ref="R57" si="262">R58+Q57</f>
        <v>92719679.413473502</v>
      </c>
      <c r="S57">
        <f t="shared" ref="S57" si="263">R57/100000</f>
        <v>927.196794134735</v>
      </c>
      <c r="T57">
        <f t="shared" ref="T57" si="264">S57/1000</f>
        <v>0.92719679413473499</v>
      </c>
    </row>
    <row r="58" spans="1:20" x14ac:dyDescent="0.25">
      <c r="A58" s="5">
        <v>44535</v>
      </c>
      <c r="B58">
        <v>2.4420000000000002</v>
      </c>
      <c r="C58">
        <v>2.48</v>
      </c>
      <c r="D58">
        <v>2.1579999999999999</v>
      </c>
      <c r="E58">
        <v>2.2450000000000001</v>
      </c>
      <c r="F58">
        <v>2501598.5</v>
      </c>
      <c r="G58">
        <v>2.2450000000000001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-0.45962732919254551</v>
      </c>
      <c r="Q58">
        <f t="shared" ref="Q58" si="266">F58*P58</f>
        <v>-1149803.0372670779</v>
      </c>
      <c r="R58">
        <f t="shared" ref="R58" si="267">R59+Q58</f>
        <v>91521066.875189677</v>
      </c>
      <c r="S58">
        <f t="shared" ref="S58" si="268">R58/100000</f>
        <v>915.21066875189672</v>
      </c>
      <c r="T58">
        <f t="shared" ref="T58" si="269">S58/1000</f>
        <v>0.91521066875189672</v>
      </c>
    </row>
    <row r="59" spans="1:20" x14ac:dyDescent="0.25">
      <c r="A59" s="5">
        <v>44534</v>
      </c>
      <c r="B59">
        <v>3.121</v>
      </c>
      <c r="C59">
        <v>3.1890000000000001</v>
      </c>
      <c r="D59">
        <v>1.97</v>
      </c>
      <c r="E59">
        <v>2.4420000000000002</v>
      </c>
      <c r="F59">
        <v>4484944.5</v>
      </c>
      <c r="G59">
        <v>2.4420000000000002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-0.22559474979491359</v>
      </c>
      <c r="Q59">
        <f t="shared" ref="Q59" si="271">F59*P59</f>
        <v>-1011779.9323215738</v>
      </c>
      <c r="R59">
        <f t="shared" ref="R59" si="272">R60+Q59</f>
        <v>92670869.912456751</v>
      </c>
      <c r="S59">
        <f t="shared" ref="S59" si="273">R59/100000</f>
        <v>926.70869912456749</v>
      </c>
      <c r="T59">
        <f t="shared" ref="T59" si="274">S59/1000</f>
        <v>0.92670869912456744</v>
      </c>
    </row>
    <row r="60" spans="1:20" x14ac:dyDescent="0.25">
      <c r="A60" s="5">
        <v>44533</v>
      </c>
      <c r="B60">
        <v>3.0259999999999998</v>
      </c>
      <c r="C60">
        <v>3.3039999999999998</v>
      </c>
      <c r="D60">
        <v>2.91</v>
      </c>
      <c r="E60">
        <v>3.1259999999999999</v>
      </c>
      <c r="F60">
        <v>3668370.1</v>
      </c>
      <c r="G60">
        <v>3.1259999999999999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9.6446700507613808E-2</v>
      </c>
      <c r="Q60">
        <f t="shared" ref="Q60" si="276">F60*P60</f>
        <v>353802.19238578534</v>
      </c>
      <c r="R60">
        <f t="shared" ref="R60" si="277">R61+Q60</f>
        <v>93682649.844778329</v>
      </c>
      <c r="S60">
        <f t="shared" ref="S60" si="278">R60/100000</f>
        <v>936.82649844778325</v>
      </c>
      <c r="T60">
        <f t="shared" ref="T60" si="279">S60/1000</f>
        <v>0.93682649844778321</v>
      </c>
    </row>
    <row r="61" spans="1:20" x14ac:dyDescent="0.25">
      <c r="A61" s="5">
        <v>44532</v>
      </c>
      <c r="B61">
        <v>2.903</v>
      </c>
      <c r="C61">
        <v>3.056</v>
      </c>
      <c r="D61">
        <v>2.77</v>
      </c>
      <c r="E61">
        <v>3.0230000000000001</v>
      </c>
      <c r="F61">
        <v>1154781.5</v>
      </c>
      <c r="G61">
        <v>3.0230000000000001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0.76923076923076983</v>
      </c>
      <c r="Q61">
        <f t="shared" ref="Q61" si="281">F61*P61</f>
        <v>888293.4615384622</v>
      </c>
      <c r="R61">
        <f t="shared" ref="R61" si="282">R62+Q61</f>
        <v>93328847.652392536</v>
      </c>
      <c r="S61">
        <f t="shared" ref="S61" si="283">R61/100000</f>
        <v>933.2884765239254</v>
      </c>
      <c r="T61">
        <f t="shared" ref="T61" si="284">S61/1000</f>
        <v>0.93328847652392544</v>
      </c>
    </row>
    <row r="62" spans="1:20" x14ac:dyDescent="0.25">
      <c r="A62" s="5">
        <v>44531</v>
      </c>
      <c r="B62">
        <v>2.8879999999999999</v>
      </c>
      <c r="C62">
        <v>3.2</v>
      </c>
      <c r="D62">
        <v>2.867</v>
      </c>
      <c r="E62">
        <v>2.9020000000000001</v>
      </c>
      <c r="F62">
        <v>2109117.4</v>
      </c>
      <c r="G62">
        <v>2.9020000000000001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-0.78978978978978909</v>
      </c>
      <c r="Q62">
        <f t="shared" ref="Q62" si="286">F62*P62</f>
        <v>-1665759.3879879864</v>
      </c>
      <c r="R62">
        <f t="shared" ref="R62" si="287">R63+Q62</f>
        <v>92440554.190854073</v>
      </c>
      <c r="S62">
        <f t="shared" ref="S62" si="288">R62/100000</f>
        <v>924.40554190854073</v>
      </c>
      <c r="T62">
        <f t="shared" ref="T62" si="289">S62/1000</f>
        <v>0.92440554190854074</v>
      </c>
    </row>
    <row r="63" spans="1:20" x14ac:dyDescent="0.25">
      <c r="A63" s="5">
        <v>44530</v>
      </c>
      <c r="B63">
        <v>2.9580000000000002</v>
      </c>
      <c r="C63">
        <v>3.0619999999999998</v>
      </c>
      <c r="D63">
        <v>2.7570000000000001</v>
      </c>
      <c r="E63">
        <v>2.8879999999999999</v>
      </c>
      <c r="F63">
        <v>1842061.9</v>
      </c>
      <c r="G63">
        <v>2.8879999999999999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-0.14098360655737768</v>
      </c>
      <c r="Q63">
        <f t="shared" ref="Q63" si="291">F63*P63</f>
        <v>-259700.53016393559</v>
      </c>
      <c r="R63">
        <f t="shared" ref="R63" si="292">R64+Q63</f>
        <v>94106313.578842059</v>
      </c>
      <c r="S63">
        <f t="shared" ref="S63" si="293">R63/100000</f>
        <v>941.0631357884206</v>
      </c>
      <c r="T63">
        <f t="shared" ref="T63" si="294">S63/1000</f>
        <v>0.9410631357884206</v>
      </c>
    </row>
    <row r="64" spans="1:20" x14ac:dyDescent="0.25">
      <c r="A64" s="5">
        <v>44529</v>
      </c>
      <c r="B64">
        <v>3.0249999999999999</v>
      </c>
      <c r="C64">
        <v>3.0430000000000001</v>
      </c>
      <c r="D64">
        <v>2.91</v>
      </c>
      <c r="E64">
        <v>2.956</v>
      </c>
      <c r="F64">
        <v>1152945</v>
      </c>
      <c r="G64">
        <v>2.956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-0.30827067669173208</v>
      </c>
      <c r="Q64">
        <f t="shared" ref="Q64" si="296">F64*P64</f>
        <v>-355419.13533834904</v>
      </c>
      <c r="R64">
        <f t="shared" ref="R64" si="297">R65+Q64</f>
        <v>94366014.109005988</v>
      </c>
      <c r="S64">
        <f t="shared" ref="S64" si="298">R64/100000</f>
        <v>943.66014109005982</v>
      </c>
      <c r="T64">
        <f t="shared" ref="T64" si="299">S64/1000</f>
        <v>0.9436601410900598</v>
      </c>
    </row>
    <row r="65" spans="1:20" x14ac:dyDescent="0.25">
      <c r="A65" s="5">
        <v>44528</v>
      </c>
      <c r="B65">
        <v>3.1880000000000002</v>
      </c>
      <c r="C65">
        <v>3.1890000000000001</v>
      </c>
      <c r="D65">
        <v>2.782</v>
      </c>
      <c r="E65">
        <v>3.0249999999999999</v>
      </c>
      <c r="F65">
        <v>1280221</v>
      </c>
      <c r="G65">
        <v>3.0249999999999999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0.19410319410319343</v>
      </c>
      <c r="Q65">
        <f t="shared" ref="Q65" si="301">F65*P65</f>
        <v>248494.9852579844</v>
      </c>
      <c r="R65">
        <f t="shared" ref="R65" si="302">R66+Q65</f>
        <v>94721433.244344339</v>
      </c>
      <c r="S65">
        <f t="shared" ref="S65" si="303">R65/100000</f>
        <v>947.21433244344337</v>
      </c>
      <c r="T65">
        <f t="shared" ref="T65" si="304">S65/1000</f>
        <v>0.94721433244344333</v>
      </c>
    </row>
    <row r="66" spans="1:20" x14ac:dyDescent="0.25">
      <c r="A66" s="5">
        <v>44527</v>
      </c>
      <c r="B66">
        <v>3.04</v>
      </c>
      <c r="C66">
        <v>3.3050000000000002</v>
      </c>
      <c r="D66">
        <v>3.0070000000000001</v>
      </c>
      <c r="E66">
        <v>3.194</v>
      </c>
      <c r="F66">
        <v>1755487.1</v>
      </c>
      <c r="G66">
        <v>3.194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0.25503355704697855</v>
      </c>
      <c r="Q66">
        <f t="shared" ref="Q66" si="306">F66*P66</f>
        <v>447708.11946308496</v>
      </c>
      <c r="R66">
        <f t="shared" ref="R66" si="307">R67+Q66</f>
        <v>94472938.259086356</v>
      </c>
      <c r="S66">
        <f t="shared" ref="S66" si="308">R66/100000</f>
        <v>944.72938259086357</v>
      </c>
      <c r="T66">
        <f t="shared" ref="T66" si="309">S66/1000</f>
        <v>0.94472938259086359</v>
      </c>
    </row>
    <row r="67" spans="1:20" x14ac:dyDescent="0.25">
      <c r="A67" s="5">
        <v>44526</v>
      </c>
      <c r="B67">
        <v>3.2320000000000002</v>
      </c>
      <c r="C67">
        <v>3.29</v>
      </c>
      <c r="D67">
        <v>2.9249999999999998</v>
      </c>
      <c r="E67">
        <v>3.0430000000000001</v>
      </c>
      <c r="F67">
        <v>3371493.1</v>
      </c>
      <c r="G67">
        <v>3.0430000000000001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-0.35342465753424518</v>
      </c>
      <c r="Q67">
        <f t="shared" ref="Q67" si="311">F67*P67</f>
        <v>-1191568.7942465707</v>
      </c>
      <c r="R67">
        <f t="shared" ref="R67" si="312">R68+Q67</f>
        <v>94025230.139623269</v>
      </c>
      <c r="S67">
        <f t="shared" ref="S67" si="313">R67/100000</f>
        <v>940.25230139623272</v>
      </c>
      <c r="T67">
        <f t="shared" ref="T67" si="314">S67/1000</f>
        <v>0.94025230139623273</v>
      </c>
    </row>
    <row r="68" spans="1:20" x14ac:dyDescent="0.25">
      <c r="A68" s="5">
        <v>44525</v>
      </c>
      <c r="B68">
        <v>3.2639999999999998</v>
      </c>
      <c r="C68">
        <v>3.3180000000000001</v>
      </c>
      <c r="D68">
        <v>3.1760000000000002</v>
      </c>
      <c r="E68">
        <v>3.2250000000000001</v>
      </c>
      <c r="F68">
        <v>3286502.6</v>
      </c>
      <c r="G68">
        <v>3.2250000000000001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-0.30985915492957794</v>
      </c>
      <c r="Q68">
        <f t="shared" ref="Q68" si="316">F68*P68</f>
        <v>-1018352.9183098607</v>
      </c>
      <c r="R68">
        <f t="shared" ref="R68" si="317">R69+Q68</f>
        <v>95216798.933869839</v>
      </c>
      <c r="S68">
        <f t="shared" ref="S68" si="318">R68/100000</f>
        <v>952.16798933869836</v>
      </c>
      <c r="T68">
        <f t="shared" ref="T68" si="319">S68/1000</f>
        <v>0.9521679893386984</v>
      </c>
    </row>
    <row r="69" spans="1:20" x14ac:dyDescent="0.25">
      <c r="A69" s="5">
        <v>44524</v>
      </c>
      <c r="B69">
        <v>3.5129999999999999</v>
      </c>
      <c r="C69">
        <v>3.6230000000000002</v>
      </c>
      <c r="D69">
        <v>3.4009999999999998</v>
      </c>
      <c r="E69">
        <v>3.5720000000000001</v>
      </c>
      <c r="F69">
        <v>656864.9</v>
      </c>
      <c r="G69">
        <v>3.5720000000000001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0.54054054054054002</v>
      </c>
      <c r="Q69">
        <f t="shared" ref="Q69" si="321">F69*P69</f>
        <v>355062.10810810776</v>
      </c>
      <c r="R69">
        <f t="shared" ref="R69" si="322">R70+Q69</f>
        <v>96235151.852179706</v>
      </c>
      <c r="S69">
        <f t="shared" ref="S69" si="323">R69/100000</f>
        <v>962.35151852179706</v>
      </c>
      <c r="T69">
        <f t="shared" ref="T69" si="324">S69/1000</f>
        <v>0.96235151852179701</v>
      </c>
    </row>
    <row r="70" spans="1:20" x14ac:dyDescent="0.25">
      <c r="A70" s="5">
        <v>44523</v>
      </c>
      <c r="B70">
        <v>3.2690000000000001</v>
      </c>
      <c r="C70">
        <v>3.86</v>
      </c>
      <c r="D70">
        <v>3.246</v>
      </c>
      <c r="E70">
        <v>3.5179999999999998</v>
      </c>
      <c r="F70">
        <v>7151419.4000000004</v>
      </c>
      <c r="G70">
        <v>3.5179999999999998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-0.11400651465798094</v>
      </c>
      <c r="Q70">
        <f t="shared" ref="Q70" si="326">F70*P70</f>
        <v>-815308.40065146924</v>
      </c>
      <c r="R70">
        <f t="shared" ref="R70" si="327">R71+Q70</f>
        <v>95880089.744071603</v>
      </c>
      <c r="S70">
        <f t="shared" ref="S70" si="328">R70/100000</f>
        <v>958.80089744071608</v>
      </c>
      <c r="T70">
        <f t="shared" ref="T70" si="329">S70/1000</f>
        <v>0.95880089744071606</v>
      </c>
    </row>
    <row r="71" spans="1:20" x14ac:dyDescent="0.25">
      <c r="A71" s="5">
        <v>44522</v>
      </c>
      <c r="B71">
        <v>3.2490000000000001</v>
      </c>
      <c r="C71">
        <v>3.4990000000000001</v>
      </c>
      <c r="D71">
        <v>3.089</v>
      </c>
      <c r="E71">
        <v>3.2669999999999999</v>
      </c>
      <c r="F71">
        <v>4274223.7</v>
      </c>
      <c r="G71">
        <v>3.2669999999999999</v>
      </c>
      <c r="L71" t="s">
        <v>8</v>
      </c>
      <c r="M71" t="s">
        <v>7</v>
      </c>
      <c r="N71" t="s">
        <v>8</v>
      </c>
      <c r="P71">
        <f t="shared" ref="P71" si="330">IF(C71=D71,0,((E71-D71)-(C71-E71))/(C71-D71))</f>
        <v>-0.13170731707317135</v>
      </c>
      <c r="Q71">
        <f t="shared" ref="Q71" si="331">F71*P71</f>
        <v>-562946.53609756369</v>
      </c>
      <c r="R71">
        <f t="shared" ref="R71" si="332">R72+Q71</f>
        <v>96695398.144723073</v>
      </c>
      <c r="S71">
        <f t="shared" ref="S71" si="333">R71/100000</f>
        <v>966.95398144723072</v>
      </c>
      <c r="T71">
        <f t="shared" ref="T71" si="334">S71/1000</f>
        <v>0.96695398144723077</v>
      </c>
    </row>
    <row r="72" spans="1:20" x14ac:dyDescent="0.25">
      <c r="A72" s="5">
        <v>44521</v>
      </c>
      <c r="B72">
        <v>3.2189999999999999</v>
      </c>
      <c r="C72">
        <v>3.319</v>
      </c>
      <c r="D72">
        <v>3.01</v>
      </c>
      <c r="E72">
        <v>3.246</v>
      </c>
      <c r="F72">
        <v>1962132.5</v>
      </c>
      <c r="G72">
        <v>3.246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0.52750809061488724</v>
      </c>
      <c r="Q72">
        <f t="shared" ref="Q72" si="336">F72*P72</f>
        <v>1035040.7686084153</v>
      </c>
      <c r="R72">
        <f t="shared" ref="R72" si="337">R73+Q72</f>
        <v>97258344.680820629</v>
      </c>
      <c r="S72">
        <f t="shared" ref="S72" si="338">R72/100000</f>
        <v>972.5834468082063</v>
      </c>
      <c r="T72">
        <f t="shared" ref="T72" si="339">S72/1000</f>
        <v>0.9725834468082063</v>
      </c>
    </row>
    <row r="73" spans="1:20" x14ac:dyDescent="0.25">
      <c r="A73" s="5">
        <v>44520</v>
      </c>
      <c r="B73">
        <v>3.18</v>
      </c>
      <c r="C73">
        <v>3.23</v>
      </c>
      <c r="D73">
        <v>2.9950000000000001</v>
      </c>
      <c r="E73">
        <v>3.2240000000000002</v>
      </c>
      <c r="F73">
        <v>2354250.2999999998</v>
      </c>
      <c r="G73">
        <v>3.2240000000000002</v>
      </c>
      <c r="L73" t="s">
        <v>7</v>
      </c>
      <c r="M73" t="s">
        <v>7</v>
      </c>
      <c r="N73" t="s">
        <v>8</v>
      </c>
      <c r="P73">
        <f t="shared" ref="P73" si="340">IF(C73=D73,0,((E73-D73)-(C73-E73))/(C73-D73))</f>
        <v>0.94893617021276777</v>
      </c>
      <c r="Q73">
        <f t="shared" ref="Q73" si="341">F73*P73</f>
        <v>2234033.2634042595</v>
      </c>
      <c r="R73">
        <f t="shared" ref="R73" si="342">R74+Q73</f>
        <v>96223303.912212208</v>
      </c>
      <c r="S73">
        <f t="shared" ref="S73" si="343">R73/100000</f>
        <v>962.23303912212202</v>
      </c>
      <c r="T73">
        <f t="shared" ref="T73" si="344">S73/1000</f>
        <v>0.96223303912212199</v>
      </c>
    </row>
    <row r="74" spans="1:20" x14ac:dyDescent="0.25">
      <c r="A74" s="5">
        <v>44519</v>
      </c>
      <c r="B74">
        <v>3.177</v>
      </c>
      <c r="C74">
        <v>3.306</v>
      </c>
      <c r="D74">
        <v>3.0680000000000001</v>
      </c>
      <c r="E74">
        <v>3.1789999999999998</v>
      </c>
      <c r="F74">
        <v>2333859</v>
      </c>
      <c r="G74">
        <v>3.1789999999999998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-6.7226890756304447E-2</v>
      </c>
      <c r="Q74">
        <f t="shared" ref="Q74" si="346">F74*P74</f>
        <v>-156898.08403361795</v>
      </c>
      <c r="R74">
        <f t="shared" ref="R74" si="347">R75+Q74</f>
        <v>93989270.648807943</v>
      </c>
      <c r="S74">
        <f t="shared" ref="S74" si="348">R74/100000</f>
        <v>939.8927064880794</v>
      </c>
      <c r="T74">
        <f t="shared" ref="T74" si="349">S74/1000</f>
        <v>0.93989270648807943</v>
      </c>
    </row>
    <row r="75" spans="1:20" x14ac:dyDescent="0.25">
      <c r="A75" s="5">
        <v>44518</v>
      </c>
      <c r="B75">
        <v>3.3460000000000001</v>
      </c>
      <c r="C75">
        <v>3.76</v>
      </c>
      <c r="D75">
        <v>3.1419999999999999</v>
      </c>
      <c r="E75">
        <v>3.177</v>
      </c>
      <c r="F75">
        <v>6170833.4000000004</v>
      </c>
      <c r="G75">
        <v>3.177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-0.88673139158576009</v>
      </c>
      <c r="Q75">
        <f t="shared" ref="Q75" si="351">F75*P75</f>
        <v>-5471871.6880258881</v>
      </c>
      <c r="R75">
        <f t="shared" ref="R75" si="352">R76+Q75</f>
        <v>94146168.732841566</v>
      </c>
      <c r="S75">
        <f t="shared" ref="S75" si="353">R75/100000</f>
        <v>941.46168732841568</v>
      </c>
      <c r="T75">
        <f t="shared" ref="T75" si="354">S75/1000</f>
        <v>0.94146168732841573</v>
      </c>
    </row>
    <row r="76" spans="1:20" x14ac:dyDescent="0.25">
      <c r="A76" s="5">
        <v>44517</v>
      </c>
      <c r="B76">
        <v>3.0790000000000002</v>
      </c>
      <c r="C76">
        <v>3.4849999999999999</v>
      </c>
      <c r="D76">
        <v>3.0750000000000002</v>
      </c>
      <c r="E76">
        <v>3.3490000000000002</v>
      </c>
      <c r="F76">
        <v>6585443.7999999998</v>
      </c>
      <c r="G76">
        <v>3.3490000000000002</v>
      </c>
      <c r="L76" t="s">
        <v>8</v>
      </c>
      <c r="M76" t="s">
        <v>8</v>
      </c>
      <c r="N76" t="s">
        <v>8</v>
      </c>
      <c r="P76">
        <f t="shared" ref="P76" si="355">IF(C76=D76,0,((E76-D76)-(C76-E76))/(C76-D76))</f>
        <v>0.33658536585365961</v>
      </c>
      <c r="Q76">
        <f t="shared" ref="Q76" si="356">F76*P76</f>
        <v>2216564.0107317143</v>
      </c>
      <c r="R76">
        <f t="shared" ref="R76" si="357">R77+Q76</f>
        <v>99618040.420867458</v>
      </c>
      <c r="S76">
        <f t="shared" ref="S76" si="358">R76/100000</f>
        <v>996.18040420867453</v>
      </c>
      <c r="T76">
        <f t="shared" ref="T76" si="359">S76/1000</f>
        <v>0.99618040420867449</v>
      </c>
    </row>
    <row r="77" spans="1:20" x14ac:dyDescent="0.25">
      <c r="A77" s="5">
        <v>44516</v>
      </c>
      <c r="B77">
        <v>3.0070000000000001</v>
      </c>
      <c r="C77">
        <v>3.226</v>
      </c>
      <c r="D77">
        <v>2.7280000000000002</v>
      </c>
      <c r="E77">
        <v>3.0760000000000001</v>
      </c>
      <c r="F77">
        <v>7459663.7999999998</v>
      </c>
      <c r="G77">
        <v>3.0760000000000001</v>
      </c>
      <c r="L77" t="s">
        <v>8</v>
      </c>
      <c r="M77" t="s">
        <v>8</v>
      </c>
      <c r="N77" t="s">
        <v>8</v>
      </c>
      <c r="P77">
        <f t="shared" ref="P77" si="360">IF(C77=D77,0,((E77-D77)-(C77-E77))/(C77-D77))</f>
        <v>0.39759036144578319</v>
      </c>
      <c r="Q77">
        <f t="shared" ref="Q77" si="361">F77*P77</f>
        <v>2965890.4265060243</v>
      </c>
      <c r="R77">
        <f t="shared" ref="R77" si="362">R78+Q77</f>
        <v>97401476.410135746</v>
      </c>
      <c r="S77">
        <f t="shared" ref="S77" si="363">R77/100000</f>
        <v>974.01476410135751</v>
      </c>
      <c r="T77">
        <f t="shared" ref="T77" si="364">S77/1000</f>
        <v>0.97401476410135757</v>
      </c>
    </row>
    <row r="78" spans="1:20" x14ac:dyDescent="0.25">
      <c r="A78" s="5">
        <v>44515</v>
      </c>
      <c r="B78">
        <v>2.9689999999999999</v>
      </c>
      <c r="C78">
        <v>3.06</v>
      </c>
      <c r="D78">
        <v>2.8610000000000002</v>
      </c>
      <c r="E78">
        <v>3.0110000000000001</v>
      </c>
      <c r="F78">
        <v>2981683.7</v>
      </c>
      <c r="G78">
        <v>3.0110000000000001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0.50753768844221137</v>
      </c>
      <c r="Q78">
        <f t="shared" ref="Q78" si="366">F78*P78</f>
        <v>1513316.8527638202</v>
      </c>
      <c r="R78">
        <f t="shared" ref="R78" si="367">R79+Q78</f>
        <v>94435585.983629718</v>
      </c>
      <c r="S78">
        <f t="shared" ref="S78" si="368">R78/100000</f>
        <v>944.35585983629721</v>
      </c>
      <c r="T78">
        <f t="shared" ref="T78" si="369">S78/1000</f>
        <v>0.94435585983629722</v>
      </c>
    </row>
    <row r="79" spans="1:20" x14ac:dyDescent="0.25">
      <c r="A79" s="5">
        <v>44514</v>
      </c>
      <c r="B79">
        <v>2.74</v>
      </c>
      <c r="C79">
        <v>3.028</v>
      </c>
      <c r="D79">
        <v>2.6930000000000001</v>
      </c>
      <c r="E79">
        <v>2.9649999999999999</v>
      </c>
      <c r="F79">
        <v>4051125.5</v>
      </c>
      <c r="G79">
        <v>2.9649999999999999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0.62388059701492438</v>
      </c>
      <c r="Q79">
        <f t="shared" ref="Q79" si="371">F79*P79</f>
        <v>2527418.5955223842</v>
      </c>
      <c r="R79">
        <f t="shared" ref="R79" si="372">R80+Q79</f>
        <v>92922269.130865902</v>
      </c>
      <c r="S79">
        <f t="shared" ref="S79" si="373">R79/100000</f>
        <v>929.22269130865902</v>
      </c>
      <c r="T79">
        <f t="shared" ref="T79" si="374">S79/1000</f>
        <v>0.92922269130865898</v>
      </c>
    </row>
    <row r="80" spans="1:20" x14ac:dyDescent="0.25">
      <c r="A80" s="5">
        <v>44513</v>
      </c>
      <c r="B80">
        <v>2.5779999999999998</v>
      </c>
      <c r="C80">
        <v>2.7639999999999998</v>
      </c>
      <c r="D80">
        <v>2.5779999999999998</v>
      </c>
      <c r="E80">
        <v>2.742</v>
      </c>
      <c r="F80">
        <v>1271147.8999999999</v>
      </c>
      <c r="G80">
        <v>2.742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0.76344086021505586</v>
      </c>
      <c r="Q80">
        <f t="shared" ref="Q80" si="376">F80*P80</f>
        <v>970446.24623656168</v>
      </c>
      <c r="R80">
        <f t="shared" ref="R80" si="377">R81+Q80</f>
        <v>90394850.535343513</v>
      </c>
      <c r="S80">
        <f t="shared" ref="S80" si="378">R80/100000</f>
        <v>903.94850535343517</v>
      </c>
      <c r="T80">
        <f t="shared" ref="T80" si="379">S80/1000</f>
        <v>0.90394850535343518</v>
      </c>
    </row>
    <row r="81" spans="1:20" x14ac:dyDescent="0.25">
      <c r="A81" s="5">
        <v>44512</v>
      </c>
      <c r="B81">
        <v>2.5270000000000001</v>
      </c>
      <c r="C81">
        <v>2.65</v>
      </c>
      <c r="D81">
        <v>2.452</v>
      </c>
      <c r="E81">
        <v>2.5760000000000001</v>
      </c>
      <c r="F81">
        <v>1636196.7</v>
      </c>
      <c r="G81">
        <v>2.5760000000000001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0.25252525252525393</v>
      </c>
      <c r="Q81">
        <f t="shared" ref="Q81" si="381">F81*P81</f>
        <v>413180.98484848713</v>
      </c>
      <c r="R81">
        <f t="shared" ref="R81" si="382">R82+Q81</f>
        <v>89424404.28910695</v>
      </c>
      <c r="S81">
        <f t="shared" ref="S81" si="383">R81/100000</f>
        <v>894.24404289106951</v>
      </c>
      <c r="T81">
        <f t="shared" ref="T81" si="384">S81/1000</f>
        <v>0.89424404289106951</v>
      </c>
    </row>
    <row r="82" spans="1:20" x14ac:dyDescent="0.25">
      <c r="A82" s="5">
        <v>44511</v>
      </c>
      <c r="B82">
        <v>2.472</v>
      </c>
      <c r="C82">
        <v>2.585</v>
      </c>
      <c r="D82">
        <v>2.4239999999999999</v>
      </c>
      <c r="E82">
        <v>2.532</v>
      </c>
      <c r="F82">
        <v>901319.2</v>
      </c>
      <c r="G82">
        <v>2.532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0.34161490683229906</v>
      </c>
      <c r="Q82">
        <f t="shared" ref="Q82" si="386">F82*P82</f>
        <v>307904.0745341623</v>
      </c>
      <c r="R82">
        <f t="shared" ref="R82" si="387">R83+Q82</f>
        <v>89011223.304258466</v>
      </c>
      <c r="S82">
        <f t="shared" ref="S82" si="388">R82/100000</f>
        <v>890.11223304258465</v>
      </c>
      <c r="T82">
        <f t="shared" ref="T82" si="389">S82/1000</f>
        <v>0.89011223304258469</v>
      </c>
    </row>
    <row r="83" spans="1:20" x14ac:dyDescent="0.25">
      <c r="A83" s="5">
        <v>44510</v>
      </c>
      <c r="B83">
        <v>2.661</v>
      </c>
      <c r="C83">
        <v>2.734</v>
      </c>
      <c r="D83">
        <v>2.36</v>
      </c>
      <c r="E83">
        <v>2.4750000000000001</v>
      </c>
      <c r="F83">
        <v>2178351.7000000002</v>
      </c>
      <c r="G83">
        <v>2.4750000000000001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-0.38502673796791348</v>
      </c>
      <c r="Q83">
        <f t="shared" ref="Q83" si="391">F83*P83</f>
        <v>-838723.64919785899</v>
      </c>
      <c r="R83">
        <f t="shared" ref="R83" si="392">R84+Q83</f>
        <v>88703319.229724303</v>
      </c>
      <c r="S83">
        <f t="shared" ref="S83" si="393">R83/100000</f>
        <v>887.03319229724298</v>
      </c>
      <c r="T83">
        <f t="shared" ref="T83" si="394">S83/1000</f>
        <v>0.88703319229724298</v>
      </c>
    </row>
    <row r="84" spans="1:20" x14ac:dyDescent="0.25">
      <c r="A84" s="5">
        <v>44509</v>
      </c>
      <c r="B84">
        <v>2.7789999999999999</v>
      </c>
      <c r="C84">
        <v>2.8319999999999999</v>
      </c>
      <c r="D84">
        <v>2.645</v>
      </c>
      <c r="E84">
        <v>2.66</v>
      </c>
      <c r="F84">
        <v>1953210.4</v>
      </c>
      <c r="G84">
        <v>2.66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-0.83957219251336757</v>
      </c>
      <c r="Q84">
        <f t="shared" ref="Q84" si="396">F84*P84</f>
        <v>-1639861.1379679115</v>
      </c>
      <c r="R84">
        <f t="shared" ref="R84" si="397">R85+Q84</f>
        <v>89542042.878922164</v>
      </c>
      <c r="S84">
        <f t="shared" ref="S84" si="398">R84/100000</f>
        <v>895.42042878922166</v>
      </c>
      <c r="T84">
        <f t="shared" ref="T84" si="399">S84/1000</f>
        <v>0.89542042878922168</v>
      </c>
    </row>
    <row r="85" spans="1:20" x14ac:dyDescent="0.25">
      <c r="A85" s="5">
        <v>44508</v>
      </c>
      <c r="B85">
        <v>2.6059999999999999</v>
      </c>
      <c r="C85">
        <v>2.819</v>
      </c>
      <c r="D85">
        <v>2.58</v>
      </c>
      <c r="E85">
        <v>2.778</v>
      </c>
      <c r="F85">
        <v>2361719.6</v>
      </c>
      <c r="G85">
        <v>2.778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0.65690376569037701</v>
      </c>
      <c r="Q85">
        <f t="shared" ref="Q85" si="401">F85*P85</f>
        <v>1551422.4987447709</v>
      </c>
      <c r="R85">
        <f t="shared" ref="R85" si="402">R86+Q85</f>
        <v>91181904.016890079</v>
      </c>
      <c r="S85">
        <f t="shared" ref="S85" si="403">R85/100000</f>
        <v>911.81904016890076</v>
      </c>
      <c r="T85">
        <f t="shared" ref="T85" si="404">S85/1000</f>
        <v>0.91181904016890081</v>
      </c>
    </row>
    <row r="86" spans="1:20" x14ac:dyDescent="0.25">
      <c r="A86" s="5">
        <v>44507</v>
      </c>
      <c r="B86">
        <v>2.641</v>
      </c>
      <c r="C86">
        <v>2.7250000000000001</v>
      </c>
      <c r="D86">
        <v>2.5920000000000001</v>
      </c>
      <c r="E86">
        <v>2.6059999999999999</v>
      </c>
      <c r="F86">
        <v>1333505.1000000001</v>
      </c>
      <c r="G86">
        <v>2.6059999999999999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-0.78947368421052944</v>
      </c>
      <c r="Q86">
        <f t="shared" ref="Q86" si="406">F86*P86</f>
        <v>-1052767.1842105305</v>
      </c>
      <c r="R86">
        <f t="shared" ref="R86" si="407">R87+Q86</f>
        <v>89630481.518145308</v>
      </c>
      <c r="S86">
        <f t="shared" ref="S86" si="408">R86/100000</f>
        <v>896.30481518145302</v>
      </c>
      <c r="T86">
        <f t="shared" ref="T86" si="409">S86/1000</f>
        <v>0.896304815181453</v>
      </c>
    </row>
    <row r="87" spans="1:20" x14ac:dyDescent="0.25">
      <c r="A87" s="5">
        <v>44506</v>
      </c>
      <c r="B87">
        <v>2.7280000000000002</v>
      </c>
      <c r="C87">
        <v>2.7730000000000001</v>
      </c>
      <c r="D87">
        <v>2.5750000000000002</v>
      </c>
      <c r="E87">
        <v>2.6429999999999998</v>
      </c>
      <c r="F87">
        <v>1055218.2</v>
      </c>
      <c r="G87">
        <v>2.6429999999999998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-0.31313131313131687</v>
      </c>
      <c r="Q87">
        <f t="shared" ref="Q87" si="411">F87*P87</f>
        <v>-330421.86060606455</v>
      </c>
      <c r="R87">
        <f t="shared" ref="R87" si="412">R88+Q87</f>
        <v>90683248.702355832</v>
      </c>
      <c r="S87">
        <f t="shared" ref="S87" si="413">R87/100000</f>
        <v>906.83248702355831</v>
      </c>
      <c r="T87">
        <f t="shared" ref="T87" si="414">S87/1000</f>
        <v>0.90683248702355834</v>
      </c>
    </row>
    <row r="88" spans="1:20" x14ac:dyDescent="0.25">
      <c r="A88" s="5">
        <v>44505</v>
      </c>
      <c r="B88">
        <v>2.6760000000000002</v>
      </c>
      <c r="C88">
        <v>2.8450000000000002</v>
      </c>
      <c r="D88">
        <v>2.5979999999999999</v>
      </c>
      <c r="E88">
        <v>2.7269999999999999</v>
      </c>
      <c r="F88">
        <v>2759852.1</v>
      </c>
      <c r="G88">
        <v>2.7269999999999999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4.4534412955464217E-2</v>
      </c>
      <c r="Q88">
        <f t="shared" ref="Q88" si="416">F88*P88</f>
        <v>122908.39311740512</v>
      </c>
      <c r="R88">
        <f t="shared" ref="R88" si="417">R89+Q88</f>
        <v>91013670.562961891</v>
      </c>
      <c r="S88">
        <f t="shared" ref="S88" si="418">R88/100000</f>
        <v>910.13670562961886</v>
      </c>
      <c r="T88">
        <f t="shared" ref="T88" si="419">S88/1000</f>
        <v>0.9101367056296189</v>
      </c>
    </row>
    <row r="89" spans="1:20" x14ac:dyDescent="0.25">
      <c r="A89" s="5">
        <v>44504</v>
      </c>
      <c r="B89">
        <v>2.714</v>
      </c>
      <c r="C89">
        <v>2.7770000000000001</v>
      </c>
      <c r="D89">
        <v>2.581</v>
      </c>
      <c r="E89">
        <v>2.6760000000000002</v>
      </c>
      <c r="F89">
        <v>1625085.2</v>
      </c>
      <c r="G89">
        <v>2.6760000000000002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-3.0612244897958052E-2</v>
      </c>
      <c r="Q89">
        <f t="shared" ref="Q89" si="421">F89*P89</f>
        <v>-49747.506122447136</v>
      </c>
      <c r="R89">
        <f t="shared" ref="R89" si="422">R90+Q89</f>
        <v>90890762.169844493</v>
      </c>
      <c r="S89">
        <f t="shared" ref="S89" si="423">R89/100000</f>
        <v>908.90762169844493</v>
      </c>
      <c r="T89">
        <f t="shared" ref="T89" si="424">S89/1000</f>
        <v>0.90890762169844497</v>
      </c>
    </row>
    <row r="90" spans="1:20" x14ac:dyDescent="0.25">
      <c r="A90" s="5">
        <v>44503</v>
      </c>
      <c r="B90">
        <v>2.8109999999999999</v>
      </c>
      <c r="C90">
        <v>2.87</v>
      </c>
      <c r="D90">
        <v>2.6150000000000002</v>
      </c>
      <c r="E90">
        <v>2.71</v>
      </c>
      <c r="F90">
        <v>2255983.6</v>
      </c>
      <c r="G90">
        <v>2.71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-0.25490196078431537</v>
      </c>
      <c r="Q90">
        <f t="shared" ref="Q90" si="426">F90*P90</f>
        <v>-575054.64313725859</v>
      </c>
      <c r="R90">
        <f t="shared" ref="R90" si="427">R91+Q90</f>
        <v>90940509.675966933</v>
      </c>
      <c r="S90">
        <f t="shared" ref="S90" si="428">R90/100000</f>
        <v>909.40509675966928</v>
      </c>
      <c r="T90">
        <f t="shared" ref="T90" si="429">S90/1000</f>
        <v>0.9094050967596693</v>
      </c>
    </row>
    <row r="91" spans="1:20" x14ac:dyDescent="0.25">
      <c r="A91" s="5">
        <v>44502</v>
      </c>
      <c r="B91">
        <v>2.621</v>
      </c>
      <c r="C91">
        <v>2.86</v>
      </c>
      <c r="D91">
        <v>2.5939999999999999</v>
      </c>
      <c r="E91">
        <v>2.8090000000000002</v>
      </c>
      <c r="F91">
        <v>1831447.7</v>
      </c>
      <c r="G91">
        <v>2.8090000000000002</v>
      </c>
      <c r="L91" t="s">
        <v>7</v>
      </c>
      <c r="M91" t="s">
        <v>8</v>
      </c>
      <c r="N91" t="s">
        <v>8</v>
      </c>
      <c r="P91">
        <f t="shared" ref="P91" si="430">IF(C91=D91,0,((E91-D91)-(C91-E91))/(C91-D91))</f>
        <v>0.61654135338346083</v>
      </c>
      <c r="Q91">
        <f t="shared" ref="Q91" si="431">F91*P91</f>
        <v>1129163.2436090265</v>
      </c>
      <c r="R91">
        <f t="shared" ref="R91" si="432">R92+Q91</f>
        <v>91515564.319104195</v>
      </c>
      <c r="S91">
        <f t="shared" ref="S91" si="433">R91/100000</f>
        <v>915.15564319104192</v>
      </c>
      <c r="T91">
        <f t="shared" ref="T91" si="434">S91/1000</f>
        <v>0.91515564319104192</v>
      </c>
    </row>
    <row r="92" spans="1:20" x14ac:dyDescent="0.25">
      <c r="A92" s="5">
        <v>44501</v>
      </c>
      <c r="B92">
        <v>2.605</v>
      </c>
      <c r="C92">
        <v>2.8929999999999998</v>
      </c>
      <c r="D92">
        <v>2.5659999999999998</v>
      </c>
      <c r="E92">
        <v>2.6190000000000002</v>
      </c>
      <c r="F92">
        <v>4092031.9</v>
      </c>
      <c r="G92">
        <v>2.6190000000000002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-0.67584097859326986</v>
      </c>
      <c r="Q92">
        <f t="shared" ref="Q92" si="436">F92*P92</f>
        <v>-2765562.8437308772</v>
      </c>
      <c r="R92">
        <f t="shared" ref="R92" si="437">R93+Q92</f>
        <v>90386401.075495169</v>
      </c>
      <c r="S92">
        <f t="shared" ref="S92" si="438">R92/100000</f>
        <v>903.86401075495166</v>
      </c>
      <c r="T92">
        <f t="shared" ref="T92" si="439">S92/1000</f>
        <v>0.90386401075495171</v>
      </c>
    </row>
    <row r="93" spans="1:20" x14ac:dyDescent="0.25">
      <c r="A93" s="5">
        <v>44500</v>
      </c>
      <c r="B93">
        <v>2.5430000000000001</v>
      </c>
      <c r="C93">
        <v>2.605</v>
      </c>
      <c r="D93">
        <v>2.4239999999999999</v>
      </c>
      <c r="E93">
        <v>2.605</v>
      </c>
      <c r="F93">
        <v>1298290.3999999999</v>
      </c>
      <c r="G93">
        <v>2.605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1</v>
      </c>
      <c r="Q93">
        <f t="shared" ref="Q93" si="441">F93*P93</f>
        <v>1298290.3999999999</v>
      </c>
      <c r="R93">
        <f t="shared" ref="R93" si="442">R94+Q93</f>
        <v>93151963.91922605</v>
      </c>
      <c r="S93">
        <f t="shared" ref="S93" si="443">R93/100000</f>
        <v>931.51963919226046</v>
      </c>
      <c r="T93">
        <f t="shared" ref="T93" si="444">S93/1000</f>
        <v>0.93151963919226044</v>
      </c>
    </row>
    <row r="94" spans="1:20" x14ac:dyDescent="0.25">
      <c r="A94" s="5">
        <v>44499</v>
      </c>
      <c r="B94">
        <v>2.476</v>
      </c>
      <c r="C94">
        <v>2.742</v>
      </c>
      <c r="D94">
        <v>2.4350000000000001</v>
      </c>
      <c r="E94">
        <v>2.544</v>
      </c>
      <c r="F94">
        <v>2927272.4</v>
      </c>
      <c r="G94">
        <v>2.544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-0.28990228013029312</v>
      </c>
      <c r="Q94">
        <f t="shared" ref="Q94" si="446">F94*P94</f>
        <v>-848622.94332247542</v>
      </c>
      <c r="R94">
        <f t="shared" ref="R94" si="447">R95+Q94</f>
        <v>91853673.519226044</v>
      </c>
      <c r="S94">
        <f t="shared" ref="S94" si="448">R94/100000</f>
        <v>918.53673519226049</v>
      </c>
      <c r="T94">
        <f t="shared" ref="T94" si="449">S94/1000</f>
        <v>0.91853673519226053</v>
      </c>
    </row>
    <row r="95" spans="1:20" x14ac:dyDescent="0.25">
      <c r="A95" s="5">
        <v>44498</v>
      </c>
      <c r="B95">
        <v>2.39</v>
      </c>
      <c r="C95">
        <v>2.5129999999999999</v>
      </c>
      <c r="D95">
        <v>2.3740000000000001</v>
      </c>
      <c r="E95">
        <v>2.472</v>
      </c>
      <c r="F95">
        <v>1107186.3999999999</v>
      </c>
      <c r="G95">
        <v>2.472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0.41007194244604334</v>
      </c>
      <c r="Q95">
        <f t="shared" ref="Q95" si="451">F95*P95</f>
        <v>454026.07769784186</v>
      </c>
      <c r="R95">
        <f t="shared" ref="R95" si="452">R96+Q95</f>
        <v>92702296.462548524</v>
      </c>
      <c r="S95">
        <f t="shared" ref="S95" si="453">R95/100000</f>
        <v>927.0229646254852</v>
      </c>
      <c r="T95">
        <f t="shared" ref="T95" si="454">S95/1000</f>
        <v>0.92702296462548517</v>
      </c>
    </row>
    <row r="96" spans="1:20" x14ac:dyDescent="0.25">
      <c r="A96" s="5">
        <v>44497</v>
      </c>
      <c r="B96">
        <v>2.262</v>
      </c>
      <c r="C96">
        <v>2.4660000000000002</v>
      </c>
      <c r="D96">
        <v>2.2370000000000001</v>
      </c>
      <c r="E96">
        <v>2.3849999999999998</v>
      </c>
      <c r="F96">
        <v>1972107</v>
      </c>
      <c r="G96">
        <v>2.3849999999999998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0.29257641921397054</v>
      </c>
      <c r="Q96">
        <f t="shared" ref="Q96" si="456">F96*P96</f>
        <v>576992.00436680578</v>
      </c>
      <c r="R96">
        <f t="shared" ref="R96" si="457">R97+Q96</f>
        <v>92248270.384850681</v>
      </c>
      <c r="S96">
        <f t="shared" ref="S96" si="458">R96/100000</f>
        <v>922.48270384850684</v>
      </c>
      <c r="T96">
        <f t="shared" ref="T96" si="459">S96/1000</f>
        <v>0.92248270384850684</v>
      </c>
    </row>
    <row r="97" spans="1:20" x14ac:dyDescent="0.25">
      <c r="A97" s="5">
        <v>44496</v>
      </c>
      <c r="B97">
        <v>2.5569999999999999</v>
      </c>
      <c r="C97">
        <v>2.6</v>
      </c>
      <c r="D97">
        <v>2.2000000000000002</v>
      </c>
      <c r="E97">
        <v>2.2570000000000001</v>
      </c>
      <c r="F97">
        <v>2830855.4</v>
      </c>
      <c r="G97">
        <v>2.2570000000000001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-0.71500000000000019</v>
      </c>
      <c r="Q97">
        <f t="shared" ref="Q97" si="461">F97*P97</f>
        <v>-2024061.6110000005</v>
      </c>
      <c r="R97">
        <f t="shared" ref="R97" si="462">R98+Q97</f>
        <v>91671278.380483881</v>
      </c>
      <c r="S97">
        <f t="shared" ref="S97" si="463">R97/100000</f>
        <v>916.71278380483875</v>
      </c>
      <c r="T97">
        <f t="shared" ref="T97" si="464">S97/1000</f>
        <v>0.91671278380483878</v>
      </c>
    </row>
    <row r="98" spans="1:20" x14ac:dyDescent="0.25">
      <c r="A98" s="5">
        <v>44495</v>
      </c>
      <c r="B98">
        <v>2.5579999999999998</v>
      </c>
      <c r="C98">
        <v>2.6789999999999998</v>
      </c>
      <c r="D98">
        <v>2.5219999999999998</v>
      </c>
      <c r="E98">
        <v>2.556</v>
      </c>
      <c r="F98">
        <v>1653279.8</v>
      </c>
      <c r="G98">
        <v>2.556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-0.56687898089171662</v>
      </c>
      <c r="Q98">
        <f t="shared" ref="Q98" si="466">F98*P98</f>
        <v>-937209.56815286109</v>
      </c>
      <c r="R98">
        <f t="shared" ref="R98" si="467">R99+Q98</f>
        <v>93695339.991483882</v>
      </c>
      <c r="S98">
        <f t="shared" ref="S98" si="468">R98/100000</f>
        <v>936.95339991483877</v>
      </c>
      <c r="T98">
        <f t="shared" ref="T98" si="469">S98/1000</f>
        <v>0.93695339991483872</v>
      </c>
    </row>
    <row r="99" spans="1:20" x14ac:dyDescent="0.25">
      <c r="A99" s="5">
        <v>44494</v>
      </c>
      <c r="B99">
        <v>2.4860000000000002</v>
      </c>
      <c r="C99">
        <v>2.58</v>
      </c>
      <c r="D99">
        <v>2.4729999999999999</v>
      </c>
      <c r="E99">
        <v>2.5590000000000002</v>
      </c>
      <c r="F99">
        <v>1186199</v>
      </c>
      <c r="G99">
        <v>2.5590000000000002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0.6074766355140212</v>
      </c>
      <c r="Q99">
        <f t="shared" ref="Q99" si="471">F99*P99</f>
        <v>720588.17757009645</v>
      </c>
      <c r="R99">
        <f t="shared" ref="R99" si="472">R100+Q99</f>
        <v>94632549.559636742</v>
      </c>
      <c r="S99">
        <f t="shared" ref="S99" si="473">R99/100000</f>
        <v>946.32549559636743</v>
      </c>
      <c r="T99">
        <f t="shared" ref="T99" si="474">S99/1000</f>
        <v>0.94632549559636747</v>
      </c>
    </row>
    <row r="100" spans="1:20" x14ac:dyDescent="0.25">
      <c r="A100" s="5">
        <v>44493</v>
      </c>
      <c r="B100">
        <v>2.581</v>
      </c>
      <c r="C100">
        <v>2.73</v>
      </c>
      <c r="D100">
        <v>2.4609999999999999</v>
      </c>
      <c r="E100">
        <v>2.488</v>
      </c>
      <c r="F100">
        <v>1899615.4</v>
      </c>
      <c r="G100">
        <v>2.488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-0.79925650557620731</v>
      </c>
      <c r="Q100">
        <f t="shared" ref="Q100" si="476">F100*P100</f>
        <v>-1518279.9665427492</v>
      </c>
      <c r="R100">
        <f t="shared" ref="R100" si="477">R101+Q100</f>
        <v>93911961.382066652</v>
      </c>
      <c r="S100">
        <f t="shared" ref="S100" si="478">R100/100000</f>
        <v>939.11961382066647</v>
      </c>
      <c r="T100">
        <f t="shared" ref="T100" si="479">S100/1000</f>
        <v>0.93911961382066644</v>
      </c>
    </row>
    <row r="101" spans="1:20" x14ac:dyDescent="0.25">
      <c r="A101" s="5">
        <v>44492</v>
      </c>
      <c r="B101">
        <v>2.6</v>
      </c>
      <c r="C101">
        <v>2.6059999999999999</v>
      </c>
      <c r="D101">
        <v>2.5270000000000001</v>
      </c>
      <c r="E101">
        <v>2.581</v>
      </c>
      <c r="F101">
        <v>745383.8</v>
      </c>
      <c r="G101">
        <v>2.581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0.36708860759493683</v>
      </c>
      <c r="Q101">
        <f t="shared" ref="Q101" si="481">F101*P101</f>
        <v>273621.90126582287</v>
      </c>
      <c r="R101">
        <f t="shared" ref="R101" si="482">R102+Q101</f>
        <v>95430241.348609403</v>
      </c>
      <c r="S101">
        <f t="shared" ref="S101" si="483">R101/100000</f>
        <v>954.302413486094</v>
      </c>
      <c r="T101">
        <f t="shared" ref="T101" si="484">S101/1000</f>
        <v>0.95430241348609401</v>
      </c>
    </row>
    <row r="102" spans="1:20" x14ac:dyDescent="0.25">
      <c r="A102" s="5">
        <v>44491</v>
      </c>
      <c r="B102">
        <v>2.5710000000000002</v>
      </c>
      <c r="C102">
        <v>2.7469999999999999</v>
      </c>
      <c r="D102">
        <v>2.548</v>
      </c>
      <c r="E102">
        <v>2.5979999999999999</v>
      </c>
      <c r="F102">
        <v>3113696</v>
      </c>
      <c r="G102">
        <v>2.5979999999999999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-0.49748743718593103</v>
      </c>
      <c r="Q102">
        <f t="shared" ref="Q102" si="486">F102*P102</f>
        <v>-1549024.6432160847</v>
      </c>
      <c r="R102">
        <f t="shared" ref="R102" si="487">R103+Q102</f>
        <v>95156619.447343573</v>
      </c>
      <c r="S102">
        <f t="shared" ref="S102" si="488">R102/100000</f>
        <v>951.56619447343576</v>
      </c>
      <c r="T102">
        <f t="shared" ref="T102" si="489">S102/1000</f>
        <v>0.95156619447343571</v>
      </c>
    </row>
    <row r="103" spans="1:20" x14ac:dyDescent="0.25">
      <c r="A103" s="5">
        <v>44490</v>
      </c>
      <c r="B103">
        <v>2.5110000000000001</v>
      </c>
      <c r="C103">
        <v>2.61</v>
      </c>
      <c r="D103">
        <v>2.4319999999999999</v>
      </c>
      <c r="E103">
        <v>2.5720000000000001</v>
      </c>
      <c r="F103">
        <v>2671734.7999999998</v>
      </c>
      <c r="G103">
        <v>2.5720000000000001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0.57303370786517049</v>
      </c>
      <c r="Q103">
        <f t="shared" ref="Q103" si="491">F103*P103</f>
        <v>1530994.0988764097</v>
      </c>
      <c r="R103">
        <f t="shared" ref="R103" si="492">R104+Q103</f>
        <v>96705644.090559661</v>
      </c>
      <c r="S103">
        <f t="shared" ref="S103" si="493">R103/100000</f>
        <v>967.05644090559656</v>
      </c>
      <c r="T103">
        <f t="shared" ref="T103" si="494">S103/1000</f>
        <v>0.96705644090559661</v>
      </c>
    </row>
    <row r="104" spans="1:20" x14ac:dyDescent="0.25">
      <c r="A104" s="5">
        <v>44489</v>
      </c>
      <c r="B104">
        <v>2.3919999999999999</v>
      </c>
      <c r="C104">
        <v>2.5430000000000001</v>
      </c>
      <c r="D104">
        <v>2.383</v>
      </c>
      <c r="E104">
        <v>2.508</v>
      </c>
      <c r="F104">
        <v>2257471.7000000002</v>
      </c>
      <c r="G104">
        <v>2.508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0.56249999999999867</v>
      </c>
      <c r="Q104">
        <f t="shared" ref="Q104" si="496">F104*P104</f>
        <v>1269827.831249997</v>
      </c>
      <c r="R104">
        <f t="shared" ref="R104" si="497">R105+Q104</f>
        <v>95174649.991683245</v>
      </c>
      <c r="S104">
        <f t="shared" ref="S104" si="498">R104/100000</f>
        <v>951.74649991683248</v>
      </c>
      <c r="T104">
        <f t="shared" ref="T104" si="499">S104/1000</f>
        <v>0.95174649991683247</v>
      </c>
    </row>
    <row r="105" spans="1:20" x14ac:dyDescent="0.25">
      <c r="A105" s="5">
        <v>44488</v>
      </c>
      <c r="B105">
        <v>2.33</v>
      </c>
      <c r="C105">
        <v>2.4590000000000001</v>
      </c>
      <c r="D105">
        <v>2.29</v>
      </c>
      <c r="E105">
        <v>2.39</v>
      </c>
      <c r="F105">
        <v>3696774</v>
      </c>
      <c r="G105">
        <v>2.39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0.18343195266272266</v>
      </c>
      <c r="Q105">
        <f t="shared" ref="Q105" si="501">F105*P105</f>
        <v>678106.47337278386</v>
      </c>
      <c r="R105">
        <f t="shared" ref="R105" si="502">R106+Q105</f>
        <v>93904822.160433248</v>
      </c>
      <c r="S105">
        <f t="shared" ref="S105" si="503">R105/100000</f>
        <v>939.04822160433253</v>
      </c>
      <c r="T105">
        <f t="shared" ref="T105" si="504">S105/1000</f>
        <v>0.93904822160433254</v>
      </c>
    </row>
    <row r="106" spans="1:20" x14ac:dyDescent="0.25">
      <c r="A106" s="5">
        <v>44487</v>
      </c>
      <c r="B106">
        <v>2.3050000000000002</v>
      </c>
      <c r="C106">
        <v>2.339</v>
      </c>
      <c r="D106">
        <v>2.2320000000000002</v>
      </c>
      <c r="E106">
        <v>2.3279999999999998</v>
      </c>
      <c r="F106">
        <v>1165933.6000000001</v>
      </c>
      <c r="G106">
        <v>2.3279999999999998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0.79439252336448329</v>
      </c>
      <c r="Q106">
        <f t="shared" ref="Q106" si="506">F106*P106</f>
        <v>926208.9345794362</v>
      </c>
      <c r="R106">
        <f t="shared" ref="R106" si="507">R107+Q106</f>
        <v>93226715.68706046</v>
      </c>
      <c r="S106">
        <f t="shared" ref="S106" si="508">R106/100000</f>
        <v>932.26715687060459</v>
      </c>
      <c r="T106">
        <f t="shared" ref="T106" si="509">S106/1000</f>
        <v>0.93226715687060457</v>
      </c>
    </row>
    <row r="107" spans="1:20" x14ac:dyDescent="0.25">
      <c r="A107" s="5">
        <v>44486</v>
      </c>
      <c r="B107">
        <v>2.403</v>
      </c>
      <c r="C107">
        <v>2.44</v>
      </c>
      <c r="D107">
        <v>2.2679999999999998</v>
      </c>
      <c r="E107">
        <v>2.3050000000000002</v>
      </c>
      <c r="F107">
        <v>1481266.1</v>
      </c>
      <c r="G107">
        <v>2.3050000000000002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-0.56976744186046124</v>
      </c>
      <c r="Q107">
        <f t="shared" ref="Q107" si="511">F107*P107</f>
        <v>-843977.19651162217</v>
      </c>
      <c r="R107">
        <f t="shared" ref="R107" si="512">R108+Q107</f>
        <v>92300506.752481028</v>
      </c>
      <c r="S107">
        <f t="shared" ref="S107" si="513">R107/100000</f>
        <v>923.00506752481033</v>
      </c>
      <c r="T107">
        <f t="shared" ref="T107" si="514">S107/1000</f>
        <v>0.92300506752481037</v>
      </c>
    </row>
    <row r="108" spans="1:20" x14ac:dyDescent="0.25">
      <c r="A108" s="5">
        <v>44485</v>
      </c>
      <c r="B108">
        <v>2.37</v>
      </c>
      <c r="C108">
        <v>2.444</v>
      </c>
      <c r="D108">
        <v>2.36</v>
      </c>
      <c r="E108">
        <v>2.4</v>
      </c>
      <c r="F108">
        <v>1461893.4</v>
      </c>
      <c r="G108">
        <v>2.4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-4.7619047619047616E-2</v>
      </c>
      <c r="Q108">
        <f t="shared" ref="Q108" si="516">F108*P108</f>
        <v>-69613.971428571414</v>
      </c>
      <c r="R108">
        <f t="shared" ref="R108" si="517">R109+Q108</f>
        <v>93144483.948992655</v>
      </c>
      <c r="S108">
        <f t="shared" ref="S108" si="518">R108/100000</f>
        <v>931.44483948992649</v>
      </c>
      <c r="T108">
        <f t="shared" ref="T108" si="519">S108/1000</f>
        <v>0.93144483948992651</v>
      </c>
    </row>
    <row r="109" spans="1:20" x14ac:dyDescent="0.25">
      <c r="A109" s="5">
        <v>44484</v>
      </c>
      <c r="B109">
        <v>2.2909999999999999</v>
      </c>
      <c r="C109">
        <v>2.4359999999999999</v>
      </c>
      <c r="D109">
        <v>2.19</v>
      </c>
      <c r="E109">
        <v>2.37</v>
      </c>
      <c r="F109">
        <v>3007596.6</v>
      </c>
      <c r="G109">
        <v>2.37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0.46341463414634276</v>
      </c>
      <c r="Q109">
        <f t="shared" ref="Q109" si="521">F109*P109</f>
        <v>1393764.2780487845</v>
      </c>
      <c r="R109">
        <f t="shared" ref="R109" si="522">R110+Q109</f>
        <v>93214097.920421228</v>
      </c>
      <c r="S109">
        <f t="shared" ref="S109" si="523">R109/100000</f>
        <v>932.14097920421227</v>
      </c>
      <c r="T109">
        <f t="shared" ref="T109" si="524">S109/1000</f>
        <v>0.93214097920421224</v>
      </c>
    </row>
    <row r="110" spans="1:20" x14ac:dyDescent="0.25">
      <c r="A110" s="5">
        <v>44483</v>
      </c>
      <c r="B110">
        <v>2.274</v>
      </c>
      <c r="C110">
        <v>2.3929999999999998</v>
      </c>
      <c r="D110">
        <v>2.2530000000000001</v>
      </c>
      <c r="E110">
        <v>2.2909999999999999</v>
      </c>
      <c r="F110">
        <v>2286349.6</v>
      </c>
      <c r="G110">
        <v>2.2909999999999999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-0.45714285714285857</v>
      </c>
      <c r="Q110">
        <f t="shared" ref="Q110" si="526">F110*P110</f>
        <v>-1045188.3885714319</v>
      </c>
      <c r="R110">
        <f t="shared" ref="R110" si="527">R111+Q110</f>
        <v>91820333.642372444</v>
      </c>
      <c r="S110">
        <f t="shared" ref="S110" si="528">R110/100000</f>
        <v>918.20333642372441</v>
      </c>
      <c r="T110">
        <f t="shared" ref="T110" si="529">S110/1000</f>
        <v>0.91820333642372443</v>
      </c>
    </row>
    <row r="111" spans="1:20" x14ac:dyDescent="0.25">
      <c r="A111" s="5">
        <v>44482</v>
      </c>
      <c r="B111">
        <v>2.1520000000000001</v>
      </c>
      <c r="C111">
        <v>2.2749999999999999</v>
      </c>
      <c r="D111">
        <v>2.1379999999999999</v>
      </c>
      <c r="E111">
        <v>2.2719999999999998</v>
      </c>
      <c r="F111">
        <v>2367635.9</v>
      </c>
      <c r="G111">
        <v>2.2719999999999998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0.95620437956204218</v>
      </c>
      <c r="Q111">
        <f t="shared" ref="Q111" si="531">F111*P111</f>
        <v>2263943.8167883172</v>
      </c>
      <c r="R111">
        <f t="shared" ref="R111" si="532">R112+Q111</f>
        <v>92865522.030943871</v>
      </c>
      <c r="S111">
        <f t="shared" ref="S111" si="533">R111/100000</f>
        <v>928.65522030943873</v>
      </c>
      <c r="T111">
        <f t="shared" ref="T111" si="534">S111/1000</f>
        <v>0.9286552203094387</v>
      </c>
    </row>
    <row r="112" spans="1:20" x14ac:dyDescent="0.25">
      <c r="A112" s="5">
        <v>44481</v>
      </c>
      <c r="B112">
        <v>2.1629999999999998</v>
      </c>
      <c r="C112">
        <v>2.1680000000000001</v>
      </c>
      <c r="D112">
        <v>2.0179999999999998</v>
      </c>
      <c r="E112">
        <v>2.1549999999999998</v>
      </c>
      <c r="F112">
        <v>2116017.7000000002</v>
      </c>
      <c r="G112">
        <v>2.1549999999999998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0.82666666666666244</v>
      </c>
      <c r="Q112">
        <f t="shared" ref="Q112" si="536">F112*P112</f>
        <v>1749241.2986666579</v>
      </c>
      <c r="R112">
        <f t="shared" ref="R112" si="537">R113+Q112</f>
        <v>90601578.214155555</v>
      </c>
      <c r="S112">
        <f t="shared" ref="S112" si="538">R112/100000</f>
        <v>906.01578214155552</v>
      </c>
      <c r="T112">
        <f t="shared" ref="T112" si="539">S112/1000</f>
        <v>0.90601578214155554</v>
      </c>
    </row>
    <row r="113" spans="1:20" x14ac:dyDescent="0.25">
      <c r="A113" s="5">
        <v>44480</v>
      </c>
      <c r="B113">
        <v>2.1659999999999999</v>
      </c>
      <c r="C113">
        <v>2.2690000000000001</v>
      </c>
      <c r="D113">
        <v>2.101</v>
      </c>
      <c r="E113">
        <v>2.1659999999999999</v>
      </c>
      <c r="F113">
        <v>1829524</v>
      </c>
      <c r="G113">
        <v>2.1659999999999999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-0.22619047619047752</v>
      </c>
      <c r="Q113">
        <f t="shared" ref="Q113" si="541">F113*P113</f>
        <v>-413820.90476190718</v>
      </c>
      <c r="R113">
        <f t="shared" ref="R113" si="542">R114+Q113</f>
        <v>88852336.915488899</v>
      </c>
      <c r="S113">
        <f t="shared" ref="S113" si="543">R113/100000</f>
        <v>888.523369154889</v>
      </c>
      <c r="T113">
        <f t="shared" ref="T113" si="544">S113/1000</f>
        <v>0.88852336915488894</v>
      </c>
    </row>
    <row r="114" spans="1:20" x14ac:dyDescent="0.25">
      <c r="A114" s="5">
        <v>44479</v>
      </c>
      <c r="B114">
        <v>2.2890000000000001</v>
      </c>
      <c r="C114">
        <v>2.2999999999999998</v>
      </c>
      <c r="D114">
        <v>2.1539999999999999</v>
      </c>
      <c r="E114">
        <v>2.1680000000000001</v>
      </c>
      <c r="F114">
        <v>2162950.2999999998</v>
      </c>
      <c r="G114">
        <v>2.1680000000000001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-0.80821917808218846</v>
      </c>
      <c r="Q114">
        <f t="shared" ref="Q114" si="546">F114*P114</f>
        <v>-1748137.9136986227</v>
      </c>
      <c r="R114">
        <f t="shared" ref="R114" si="547">R115+Q114</f>
        <v>89266157.820250809</v>
      </c>
      <c r="S114">
        <f t="shared" ref="S114" si="548">R114/100000</f>
        <v>892.66157820250805</v>
      </c>
      <c r="T114">
        <f t="shared" ref="T114" si="549">S114/1000</f>
        <v>0.89266157820250802</v>
      </c>
    </row>
    <row r="115" spans="1:20" x14ac:dyDescent="0.25">
      <c r="A115" s="5">
        <v>44478</v>
      </c>
      <c r="B115">
        <v>2.3079999999999998</v>
      </c>
      <c r="C115">
        <v>2.3380000000000001</v>
      </c>
      <c r="D115">
        <v>2.2549999999999999</v>
      </c>
      <c r="E115">
        <v>2.2890000000000001</v>
      </c>
      <c r="F115">
        <v>2498135.1</v>
      </c>
      <c r="G115">
        <v>2.2890000000000001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-0.18072289156626081</v>
      </c>
      <c r="Q115">
        <f t="shared" ref="Q115" si="551">F115*P115</f>
        <v>-451470.19879517012</v>
      </c>
      <c r="R115">
        <f t="shared" ref="R115" si="552">R116+Q115</f>
        <v>91014295.733949438</v>
      </c>
      <c r="S115">
        <f t="shared" ref="S115" si="553">R115/100000</f>
        <v>910.14295733949439</v>
      </c>
      <c r="T115">
        <f t="shared" ref="T115" si="554">S115/1000</f>
        <v>0.91014295733949435</v>
      </c>
    </row>
    <row r="116" spans="1:20" x14ac:dyDescent="0.25">
      <c r="A116" s="5">
        <v>44477</v>
      </c>
      <c r="B116">
        <v>2.44</v>
      </c>
      <c r="C116">
        <v>2.5190000000000001</v>
      </c>
      <c r="D116">
        <v>2.2890000000000001</v>
      </c>
      <c r="E116">
        <v>2.3069999999999999</v>
      </c>
      <c r="F116">
        <v>3689851.2</v>
      </c>
      <c r="G116">
        <v>2.3069999999999999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-0.84347826086956701</v>
      </c>
      <c r="Q116">
        <f t="shared" ref="Q116" si="556">F116*P116</f>
        <v>-3112309.2730434849</v>
      </c>
      <c r="R116">
        <f t="shared" ref="R116" si="557">R117+Q116</f>
        <v>91465765.932744607</v>
      </c>
      <c r="S116">
        <f t="shared" ref="S116" si="558">R116/100000</f>
        <v>914.65765932744603</v>
      </c>
      <c r="T116">
        <f t="shared" ref="T116" si="559">S116/1000</f>
        <v>0.91465765932744603</v>
      </c>
    </row>
    <row r="117" spans="1:20" x14ac:dyDescent="0.25">
      <c r="A117" s="5">
        <v>44476</v>
      </c>
      <c r="B117">
        <v>2.448</v>
      </c>
      <c r="C117">
        <v>2.5049999999999999</v>
      </c>
      <c r="D117">
        <v>2.343</v>
      </c>
      <c r="E117">
        <v>2.4430000000000001</v>
      </c>
      <c r="F117">
        <v>2281667.2000000002</v>
      </c>
      <c r="G117">
        <v>2.4430000000000001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0.23456790123456958</v>
      </c>
      <c r="Q117">
        <f t="shared" ref="Q117" si="561">F117*P117</f>
        <v>535205.88641975692</v>
      </c>
      <c r="R117">
        <f t="shared" ref="R117" si="562">R118+Q117</f>
        <v>94578075.205788091</v>
      </c>
      <c r="S117">
        <f t="shared" ref="S117" si="563">R117/100000</f>
        <v>945.78075205788093</v>
      </c>
      <c r="T117">
        <f t="shared" ref="T117" si="564">S117/1000</f>
        <v>0.94578075205788092</v>
      </c>
    </row>
    <row r="118" spans="1:20" x14ac:dyDescent="0.25">
      <c r="A118" s="5">
        <v>44475</v>
      </c>
      <c r="B118">
        <v>2.4750000000000001</v>
      </c>
      <c r="C118">
        <v>2.5249999999999999</v>
      </c>
      <c r="D118">
        <v>2.2749999999999999</v>
      </c>
      <c r="E118">
        <v>2.4460000000000002</v>
      </c>
      <c r="F118">
        <v>2556300.1</v>
      </c>
      <c r="G118">
        <v>2.4460000000000002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0.3680000000000021</v>
      </c>
      <c r="Q118">
        <f t="shared" ref="Q118" si="566">F118*P118</f>
        <v>940718.43680000538</v>
      </c>
      <c r="R118">
        <f t="shared" ref="R118" si="567">R119+Q118</f>
        <v>94042869.319368333</v>
      </c>
      <c r="S118">
        <f t="shared" ref="S118" si="568">R118/100000</f>
        <v>940.42869319368333</v>
      </c>
      <c r="T118">
        <f t="shared" ref="T118" si="569">S118/1000</f>
        <v>0.94042869319368338</v>
      </c>
    </row>
    <row r="119" spans="1:20" x14ac:dyDescent="0.25">
      <c r="A119" s="5">
        <v>44474</v>
      </c>
      <c r="B119">
        <v>2.5419999999999998</v>
      </c>
      <c r="C119">
        <v>2.669</v>
      </c>
      <c r="D119">
        <v>2.3540000000000001</v>
      </c>
      <c r="E119">
        <v>2.4750000000000001</v>
      </c>
      <c r="F119">
        <v>4314840</v>
      </c>
      <c r="G119">
        <v>2.4750000000000001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-0.23174603174603164</v>
      </c>
      <c r="Q119">
        <f t="shared" ref="Q119" si="571">F119*P119</f>
        <v>-999947.04761904723</v>
      </c>
      <c r="R119">
        <f t="shared" ref="R119" si="572">R120+Q119</f>
        <v>93102150.88256833</v>
      </c>
      <c r="S119">
        <f t="shared" ref="S119" si="573">R119/100000</f>
        <v>931.02150882568333</v>
      </c>
      <c r="T119">
        <f t="shared" ref="T119" si="574">S119/1000</f>
        <v>0.93102150882568335</v>
      </c>
    </row>
    <row r="120" spans="1:20" x14ac:dyDescent="0.25">
      <c r="A120" s="5">
        <v>44473</v>
      </c>
      <c r="B120">
        <v>2.375</v>
      </c>
      <c r="C120">
        <v>2.5880000000000001</v>
      </c>
      <c r="D120">
        <v>2.2549999999999999</v>
      </c>
      <c r="E120">
        <v>2.5329999999999999</v>
      </c>
      <c r="F120">
        <v>4390990.4000000004</v>
      </c>
      <c r="G120">
        <v>2.5329999999999999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0.6696696696696689</v>
      </c>
      <c r="Q120">
        <f t="shared" ref="Q120" si="576">F120*P120</f>
        <v>2940513.0906906878</v>
      </c>
      <c r="R120">
        <f t="shared" ref="R120" si="577">R121+Q120</f>
        <v>94102097.930187374</v>
      </c>
      <c r="S120">
        <f t="shared" ref="S120" si="578">R120/100000</f>
        <v>941.02097930187369</v>
      </c>
      <c r="T120">
        <f t="shared" ref="T120" si="579">S120/1000</f>
        <v>0.94102097930187367</v>
      </c>
    </row>
    <row r="121" spans="1:20" x14ac:dyDescent="0.25">
      <c r="A121" s="5">
        <v>44472</v>
      </c>
      <c r="B121">
        <v>2.3860000000000001</v>
      </c>
      <c r="C121">
        <v>2.4900000000000002</v>
      </c>
      <c r="D121">
        <v>2.3250000000000002</v>
      </c>
      <c r="E121">
        <v>2.3769999999999998</v>
      </c>
      <c r="F121">
        <v>2801472.1</v>
      </c>
      <c r="G121">
        <v>2.3769999999999998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-0.36969696969697463</v>
      </c>
      <c r="Q121">
        <f t="shared" ref="Q121" si="581">F121*P121</f>
        <v>-1035695.7460606199</v>
      </c>
      <c r="R121">
        <f t="shared" ref="R121" si="582">R122+Q121</f>
        <v>91161584.839496687</v>
      </c>
      <c r="S121">
        <f t="shared" ref="S121" si="583">R121/100000</f>
        <v>911.61584839496686</v>
      </c>
      <c r="T121">
        <f t="shared" ref="T121" si="584">S121/1000</f>
        <v>0.9116158483949669</v>
      </c>
    </row>
    <row r="122" spans="1:20" x14ac:dyDescent="0.25">
      <c r="A122" s="5">
        <v>44471</v>
      </c>
      <c r="B122">
        <v>2.3809999999999998</v>
      </c>
      <c r="C122">
        <v>2.48</v>
      </c>
      <c r="D122">
        <v>2.343</v>
      </c>
      <c r="E122">
        <v>2.387</v>
      </c>
      <c r="F122">
        <v>2914716</v>
      </c>
      <c r="G122">
        <v>2.387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-0.35766423357664179</v>
      </c>
      <c r="Q122">
        <f t="shared" ref="Q122" si="586">F122*P122</f>
        <v>-1042489.664233575</v>
      </c>
      <c r="R122">
        <f t="shared" ref="R122" si="587">R123+Q122</f>
        <v>92197280.585557312</v>
      </c>
      <c r="S122">
        <f t="shared" ref="S122" si="588">R122/100000</f>
        <v>921.97280585557314</v>
      </c>
      <c r="T122">
        <f t="shared" ref="T122" si="589">S122/1000</f>
        <v>0.92197280585557317</v>
      </c>
    </row>
    <row r="123" spans="1:20" x14ac:dyDescent="0.25">
      <c r="A123" s="5">
        <v>44470</v>
      </c>
      <c r="B123">
        <v>2.141</v>
      </c>
      <c r="C123">
        <v>2.391</v>
      </c>
      <c r="D123">
        <v>2.1080000000000001</v>
      </c>
      <c r="E123">
        <v>2.38</v>
      </c>
      <c r="F123">
        <v>2953551.2</v>
      </c>
      <c r="G123">
        <v>2.38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0.92226148409893904</v>
      </c>
      <c r="Q123">
        <f t="shared" ref="Q123" si="591">F123*P123</f>
        <v>2723946.5130742025</v>
      </c>
      <c r="R123">
        <f t="shared" ref="R123" si="592">R124+Q123</f>
        <v>93239770.249790892</v>
      </c>
      <c r="S123">
        <f t="shared" ref="S123" si="593">R123/100000</f>
        <v>932.39770249790888</v>
      </c>
      <c r="T123">
        <f t="shared" ref="T123" si="594">S123/1000</f>
        <v>0.93239770249790888</v>
      </c>
    </row>
    <row r="124" spans="1:20" x14ac:dyDescent="0.25">
      <c r="A124" s="5">
        <v>44469</v>
      </c>
      <c r="B124">
        <v>2.0249999999999999</v>
      </c>
      <c r="C124">
        <v>2.16</v>
      </c>
      <c r="D124">
        <v>2.0150000000000001</v>
      </c>
      <c r="E124">
        <v>2.141</v>
      </c>
      <c r="F124">
        <v>1592142.7</v>
      </c>
      <c r="G124">
        <v>2.141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0.73793103448275688</v>
      </c>
      <c r="Q124">
        <f t="shared" ref="Q124" si="596">F124*P124</f>
        <v>1174891.5096551697</v>
      </c>
      <c r="R124">
        <f t="shared" ref="R124" si="597">R125+Q124</f>
        <v>90515823.736716688</v>
      </c>
      <c r="S124">
        <f t="shared" ref="S124" si="598">R124/100000</f>
        <v>905.15823736716686</v>
      </c>
      <c r="T124">
        <f t="shared" ref="T124" si="599">S124/1000</f>
        <v>0.90515823736716683</v>
      </c>
    </row>
    <row r="125" spans="1:20" x14ac:dyDescent="0.25">
      <c r="A125" s="5">
        <v>44468</v>
      </c>
      <c r="B125">
        <v>1.9890000000000001</v>
      </c>
      <c r="C125">
        <v>2.1379999999999999</v>
      </c>
      <c r="D125">
        <v>1.984</v>
      </c>
      <c r="E125">
        <v>2.0249999999999999</v>
      </c>
      <c r="F125">
        <v>2693761.2</v>
      </c>
      <c r="G125">
        <v>2.0249999999999999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-0.46753246753246819</v>
      </c>
      <c r="Q125">
        <f t="shared" ref="Q125" si="601">F125*P125</f>
        <v>-1259420.8207792225</v>
      </c>
      <c r="R125">
        <f t="shared" ref="R125" si="602">R126+Q125</f>
        <v>89340932.227061525</v>
      </c>
      <c r="S125">
        <f t="shared" ref="S125" si="603">R125/100000</f>
        <v>893.40932227061523</v>
      </c>
      <c r="T125">
        <f t="shared" ref="T125" si="604">S125/1000</f>
        <v>0.8934093222706152</v>
      </c>
    </row>
    <row r="126" spans="1:20" x14ac:dyDescent="0.25">
      <c r="A126" s="5">
        <v>44467</v>
      </c>
      <c r="B126">
        <v>1.9950000000000001</v>
      </c>
      <c r="C126">
        <v>2.19</v>
      </c>
      <c r="D126">
        <v>1.9239999999999999</v>
      </c>
      <c r="E126">
        <v>1.9950000000000001</v>
      </c>
      <c r="F126">
        <v>5108240.9000000004</v>
      </c>
      <c r="G126">
        <v>1.9950000000000001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-0.46616541353383328</v>
      </c>
      <c r="Q126">
        <f t="shared" ref="Q126" si="606">F126*P126</f>
        <v>-2381285.231578941</v>
      </c>
      <c r="R126">
        <f t="shared" ref="R126" si="607">R127+Q126</f>
        <v>90600353.047840744</v>
      </c>
      <c r="S126">
        <f t="shared" ref="S126" si="608">R126/100000</f>
        <v>906.00353047840747</v>
      </c>
      <c r="T126">
        <f t="shared" ref="T126" si="609">S126/1000</f>
        <v>0.90600353047840743</v>
      </c>
    </row>
    <row r="127" spans="1:20" x14ac:dyDescent="0.25">
      <c r="A127" s="5">
        <v>44466</v>
      </c>
      <c r="B127">
        <v>2.0859999999999999</v>
      </c>
      <c r="C127">
        <v>2.1549999999999998</v>
      </c>
      <c r="D127">
        <v>1.986</v>
      </c>
      <c r="E127">
        <v>1.9970000000000001</v>
      </c>
      <c r="F127">
        <v>3325713.4</v>
      </c>
      <c r="G127">
        <v>1.9970000000000001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-0.86982248520709904</v>
      </c>
      <c r="Q127">
        <f t="shared" ref="Q127" si="611">F127*P127</f>
        <v>-2892780.2946745511</v>
      </c>
      <c r="R127">
        <f t="shared" ref="R127" si="612">R128+Q127</f>
        <v>92981638.27941969</v>
      </c>
      <c r="S127">
        <f t="shared" ref="S127" si="613">R127/100000</f>
        <v>929.8163827941969</v>
      </c>
      <c r="T127">
        <f t="shared" ref="T127" si="614">S127/1000</f>
        <v>0.92981638279419687</v>
      </c>
    </row>
    <row r="128" spans="1:20" x14ac:dyDescent="0.25">
      <c r="A128" s="5">
        <v>44465</v>
      </c>
      <c r="B128">
        <v>2.1989999999999998</v>
      </c>
      <c r="C128">
        <v>2.2269999999999999</v>
      </c>
      <c r="D128">
        <v>2</v>
      </c>
      <c r="E128">
        <v>2.0910000000000002</v>
      </c>
      <c r="F128">
        <v>3845802.9</v>
      </c>
      <c r="G128">
        <v>2.0910000000000002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-0.19823788546255292</v>
      </c>
      <c r="Q128">
        <f t="shared" ref="Q128" si="616">F128*P128</f>
        <v>-762383.83480175387</v>
      </c>
      <c r="R128">
        <f t="shared" ref="R128" si="617">R129+Q128</f>
        <v>95874418.574094236</v>
      </c>
      <c r="S128">
        <f t="shared" ref="S128" si="618">R128/100000</f>
        <v>958.74418574094238</v>
      </c>
      <c r="T128">
        <f t="shared" ref="T128" si="619">S128/1000</f>
        <v>0.95874418574094233</v>
      </c>
    </row>
    <row r="129" spans="1:20" x14ac:dyDescent="0.25">
      <c r="A129" s="5">
        <v>44464</v>
      </c>
      <c r="B129">
        <v>2.323</v>
      </c>
      <c r="C129">
        <v>2.4750000000000001</v>
      </c>
      <c r="D129">
        <v>2.177</v>
      </c>
      <c r="E129">
        <v>2.198</v>
      </c>
      <c r="F129">
        <v>6179482.0999999996</v>
      </c>
      <c r="G129">
        <v>2.198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-0.85906040268456441</v>
      </c>
      <c r="Q129">
        <f t="shared" ref="Q129" si="621">F129*P129</f>
        <v>-5308548.3812080575</v>
      </c>
      <c r="R129">
        <f t="shared" ref="R129" si="622">R130+Q129</f>
        <v>96636802.408895984</v>
      </c>
      <c r="S129">
        <f t="shared" ref="S129" si="623">R129/100000</f>
        <v>966.36802408895983</v>
      </c>
      <c r="T129">
        <f t="shared" ref="T129" si="624">S129/1000</f>
        <v>0.96636802408895983</v>
      </c>
    </row>
    <row r="130" spans="1:20" x14ac:dyDescent="0.25">
      <c r="A130" s="5">
        <v>44463</v>
      </c>
      <c r="B130">
        <v>2.3029999999999999</v>
      </c>
      <c r="C130">
        <v>2.4039999999999999</v>
      </c>
      <c r="D130">
        <v>2.0550000000000002</v>
      </c>
      <c r="E130">
        <v>2.3239999999999998</v>
      </c>
      <c r="F130">
        <v>4891341.7</v>
      </c>
      <c r="G130">
        <v>2.3239999999999998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0.541547277936962</v>
      </c>
      <c r="Q130">
        <f t="shared" ref="Q130" si="626">F130*P130</f>
        <v>2648892.7830945523</v>
      </c>
      <c r="R130">
        <f t="shared" ref="R130" si="627">R131+Q130</f>
        <v>101945350.79010405</v>
      </c>
      <c r="S130">
        <f t="shared" ref="S130" si="628">R130/100000</f>
        <v>1019.4535079010404</v>
      </c>
      <c r="T130">
        <f t="shared" ref="T130" si="629">S130/1000</f>
        <v>1.0194535079010405</v>
      </c>
    </row>
    <row r="131" spans="1:20" x14ac:dyDescent="0.25">
      <c r="A131" s="5">
        <v>44462</v>
      </c>
      <c r="B131">
        <v>2.2269999999999999</v>
      </c>
      <c r="C131">
        <v>2.3439999999999999</v>
      </c>
      <c r="D131">
        <v>2.1760000000000002</v>
      </c>
      <c r="E131">
        <v>2.2999999999999998</v>
      </c>
      <c r="F131">
        <v>2753358.2</v>
      </c>
      <c r="G131">
        <v>2.2999999999999998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0.47619047619047483</v>
      </c>
      <c r="Q131">
        <f t="shared" ref="Q131" si="631">F131*P131</f>
        <v>1311122.9523809487</v>
      </c>
      <c r="R131">
        <f t="shared" ref="R131" si="632">R132+Q131</f>
        <v>99296458.007009491</v>
      </c>
      <c r="S131">
        <f t="shared" ref="S131" si="633">R131/100000</f>
        <v>992.96458007009494</v>
      </c>
      <c r="T131">
        <f t="shared" ref="T131" si="634">S131/1000</f>
        <v>0.99296458007009492</v>
      </c>
    </row>
    <row r="132" spans="1:20" x14ac:dyDescent="0.25">
      <c r="A132" s="5">
        <v>44461</v>
      </c>
      <c r="B132">
        <v>2.0449999999999999</v>
      </c>
      <c r="C132">
        <v>2.2530000000000001</v>
      </c>
      <c r="D132">
        <v>1.9850000000000001</v>
      </c>
      <c r="E132">
        <v>2.2269999999999999</v>
      </c>
      <c r="F132">
        <v>4487262.5999999996</v>
      </c>
      <c r="G132">
        <v>2.2269999999999999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0.80597014925372956</v>
      </c>
      <c r="Q132">
        <f t="shared" ref="Q132" si="636">F132*P132</f>
        <v>3616599.7074626782</v>
      </c>
      <c r="R132">
        <f t="shared" ref="R132" si="637">R133+Q132</f>
        <v>97985335.054628536</v>
      </c>
      <c r="S132">
        <f t="shared" ref="S132" si="638">R132/100000</f>
        <v>979.85335054628536</v>
      </c>
      <c r="T132">
        <f t="shared" ref="T132" si="639">S132/1000</f>
        <v>0.97985335054628531</v>
      </c>
    </row>
    <row r="133" spans="1:20" x14ac:dyDescent="0.25">
      <c r="A133" s="5">
        <v>44460</v>
      </c>
      <c r="B133">
        <v>2.0499999999999998</v>
      </c>
      <c r="C133">
        <v>2.1539999999999999</v>
      </c>
      <c r="D133">
        <v>1.8560000000000001</v>
      </c>
      <c r="E133">
        <v>2.0459999999999998</v>
      </c>
      <c r="F133">
        <v>6610292.5999999996</v>
      </c>
      <c r="G133">
        <v>2.0459999999999998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0.27516778523489827</v>
      </c>
      <c r="Q133">
        <f t="shared" ref="Q133" si="641">F133*P133</f>
        <v>1818939.5744966371</v>
      </c>
      <c r="R133">
        <f t="shared" ref="R133" si="642">R134+Q133</f>
        <v>94368735.347165853</v>
      </c>
      <c r="S133">
        <f t="shared" ref="S133" si="643">R133/100000</f>
        <v>943.68735347165853</v>
      </c>
      <c r="T133">
        <f t="shared" ref="T133" si="644">S133/1000</f>
        <v>0.94368735347165855</v>
      </c>
    </row>
    <row r="134" spans="1:20" x14ac:dyDescent="0.25">
      <c r="A134" s="5">
        <v>44459</v>
      </c>
      <c r="B134">
        <v>2.2480000000000002</v>
      </c>
      <c r="C134">
        <v>2.25</v>
      </c>
      <c r="D134">
        <v>2.012</v>
      </c>
      <c r="E134">
        <v>2.097</v>
      </c>
      <c r="F134">
        <v>4607145.54</v>
      </c>
      <c r="G134">
        <v>2.097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-0.28571428571428598</v>
      </c>
      <c r="Q134">
        <f t="shared" ref="Q134" si="646">F134*P134</f>
        <v>-1316327.2971428584</v>
      </c>
      <c r="R134">
        <f t="shared" ref="R134" si="647">R135+Q134</f>
        <v>92549795.772669211</v>
      </c>
      <c r="S134">
        <f t="shared" ref="S134" si="648">R134/100000</f>
        <v>925.49795772669211</v>
      </c>
      <c r="T134">
        <f t="shared" ref="T134" si="649">S134/1000</f>
        <v>0.92549795772669208</v>
      </c>
    </row>
    <row r="135" spans="1:20" x14ac:dyDescent="0.25">
      <c r="A135" s="5">
        <v>44458</v>
      </c>
      <c r="B135">
        <v>2.278</v>
      </c>
      <c r="C135">
        <v>2.3330000000000002</v>
      </c>
      <c r="D135">
        <v>2.202</v>
      </c>
      <c r="E135">
        <v>2.2469999999999999</v>
      </c>
      <c r="F135">
        <v>3341791.3</v>
      </c>
      <c r="G135">
        <v>2.2469999999999999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-0.31297709923664352</v>
      </c>
      <c r="Q135">
        <f t="shared" ref="Q135" si="651">F135*P135</f>
        <v>-1045904.1473282519</v>
      </c>
      <c r="R135">
        <f t="shared" ref="R135" si="652">R136+Q135</f>
        <v>93866123.069812074</v>
      </c>
      <c r="S135">
        <f t="shared" ref="S135" si="653">R135/100000</f>
        <v>938.66123069812079</v>
      </c>
      <c r="T135">
        <f t="shared" ref="T135" si="654">S135/1000</f>
        <v>0.9386612306981208</v>
      </c>
    </row>
    <row r="136" spans="1:20" x14ac:dyDescent="0.25">
      <c r="A136" s="5">
        <v>44457</v>
      </c>
      <c r="B136">
        <v>2.2559999999999998</v>
      </c>
      <c r="C136">
        <v>2.355</v>
      </c>
      <c r="D136">
        <v>2.2109999999999999</v>
      </c>
      <c r="E136">
        <v>2.2759999999999998</v>
      </c>
      <c r="F136">
        <v>2183791.9</v>
      </c>
      <c r="G136">
        <v>2.2759999999999998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-9.7222222222223764E-2</v>
      </c>
      <c r="Q136">
        <f t="shared" ref="Q136" si="656">F136*P136</f>
        <v>-212313.10138889225</v>
      </c>
      <c r="R136">
        <f t="shared" ref="R136" si="657">R137+Q136</f>
        <v>94912027.217140332</v>
      </c>
      <c r="S136">
        <f t="shared" ref="S136" si="658">R136/100000</f>
        <v>949.12027217140337</v>
      </c>
      <c r="T136">
        <f t="shared" ref="T136" si="659">S136/1000</f>
        <v>0.94912027217140338</v>
      </c>
    </row>
    <row r="137" spans="1:20" x14ac:dyDescent="0.25">
      <c r="A137" s="5">
        <v>44456</v>
      </c>
      <c r="B137">
        <v>2.3690000000000002</v>
      </c>
      <c r="C137">
        <v>2.3929999999999998</v>
      </c>
      <c r="D137">
        <v>2.2000000000000002</v>
      </c>
      <c r="E137">
        <v>2.254</v>
      </c>
      <c r="F137">
        <v>3266393.2</v>
      </c>
      <c r="G137">
        <v>2.254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-0.4404145077720214</v>
      </c>
      <c r="Q137">
        <f t="shared" ref="Q137" si="661">F137*P137</f>
        <v>-1438566.953367878</v>
      </c>
      <c r="R137">
        <f t="shared" ref="R137" si="662">R138+Q137</f>
        <v>95124340.318529218</v>
      </c>
      <c r="S137">
        <f t="shared" ref="S137" si="663">R137/100000</f>
        <v>951.24340318529221</v>
      </c>
      <c r="T137">
        <f t="shared" ref="T137" si="664">S137/1000</f>
        <v>0.95124340318529221</v>
      </c>
    </row>
    <row r="138" spans="1:20" x14ac:dyDescent="0.25">
      <c r="A138" s="5">
        <v>44455</v>
      </c>
      <c r="B138">
        <v>2.4340000000000002</v>
      </c>
      <c r="C138">
        <v>2.5590000000000002</v>
      </c>
      <c r="D138">
        <v>2.3149999999999999</v>
      </c>
      <c r="E138">
        <v>2.37</v>
      </c>
      <c r="F138">
        <v>6632074.4000000004</v>
      </c>
      <c r="G138">
        <v>2.37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-0.54918032786885151</v>
      </c>
      <c r="Q138">
        <f t="shared" ref="Q138" si="666">F138*P138</f>
        <v>-3642204.7934426167</v>
      </c>
      <c r="R138">
        <f t="shared" ref="R138" si="667">R139+Q138</f>
        <v>96562907.271897092</v>
      </c>
      <c r="S138">
        <f t="shared" ref="S138" si="668">R138/100000</f>
        <v>965.62907271897097</v>
      </c>
      <c r="T138">
        <f t="shared" ref="T138" si="669">S138/1000</f>
        <v>0.96562907271897103</v>
      </c>
    </row>
    <row r="139" spans="1:20" x14ac:dyDescent="0.25">
      <c r="A139" s="5">
        <v>44454</v>
      </c>
      <c r="B139">
        <v>2.3490000000000002</v>
      </c>
      <c r="C139">
        <v>2.4489999999999998</v>
      </c>
      <c r="D139">
        <v>2.3279999999999998</v>
      </c>
      <c r="E139">
        <v>2.4340000000000002</v>
      </c>
      <c r="F139">
        <v>4433748.2</v>
      </c>
      <c r="G139">
        <v>2.4340000000000002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0.75206611570248461</v>
      </c>
      <c r="Q139">
        <f t="shared" ref="Q139" si="671">F139*P139</f>
        <v>3334471.7867768831</v>
      </c>
      <c r="R139">
        <f t="shared" ref="R139" si="672">R140+Q139</f>
        <v>100205112.06533971</v>
      </c>
      <c r="S139">
        <f t="shared" ref="S139" si="673">R139/100000</f>
        <v>1002.0511206533971</v>
      </c>
      <c r="T139">
        <f t="shared" ref="T139" si="674">S139/1000</f>
        <v>1.0020511206533971</v>
      </c>
    </row>
    <row r="140" spans="1:20" x14ac:dyDescent="0.25">
      <c r="A140" s="5">
        <v>44453</v>
      </c>
      <c r="B140">
        <v>2.2200000000000002</v>
      </c>
      <c r="C140">
        <v>2.3759999999999999</v>
      </c>
      <c r="D140">
        <v>2.1840000000000002</v>
      </c>
      <c r="E140">
        <v>2.35</v>
      </c>
      <c r="F140">
        <v>5544200.2000000002</v>
      </c>
      <c r="G140">
        <v>2.35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0.72916666666666841</v>
      </c>
      <c r="Q140">
        <f t="shared" ref="Q140" si="676">F140*P140</f>
        <v>4042645.9791666763</v>
      </c>
      <c r="R140">
        <f t="shared" ref="R140" si="677">R141+Q140</f>
        <v>96870640.278562829</v>
      </c>
      <c r="S140">
        <f t="shared" ref="S140" si="678">R140/100000</f>
        <v>968.70640278562826</v>
      </c>
      <c r="T140">
        <f t="shared" ref="T140" si="679">S140/1000</f>
        <v>0.96870640278562825</v>
      </c>
    </row>
    <row r="141" spans="1:20" x14ac:dyDescent="0.25">
      <c r="A141" s="5">
        <v>44452</v>
      </c>
      <c r="B141">
        <v>2.2930000000000001</v>
      </c>
      <c r="C141">
        <v>2.331</v>
      </c>
      <c r="D141">
        <v>2.04</v>
      </c>
      <c r="E141">
        <v>2.2170000000000001</v>
      </c>
      <c r="F141">
        <v>7352655.0999999996</v>
      </c>
      <c r="G141">
        <v>2.2170000000000001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0.21649484536082536</v>
      </c>
      <c r="Q141">
        <f t="shared" ref="Q141" si="681">F141*P141</f>
        <v>1591811.9288659838</v>
      </c>
      <c r="R141">
        <f t="shared" ref="R141" si="682">R142+Q141</f>
        <v>92827994.299396157</v>
      </c>
      <c r="S141">
        <f t="shared" ref="S141" si="683">R141/100000</f>
        <v>928.27994299396153</v>
      </c>
      <c r="T141">
        <f t="shared" ref="T141" si="684">S141/1000</f>
        <v>0.92827994299396155</v>
      </c>
    </row>
    <row r="142" spans="1:20" x14ac:dyDescent="0.25">
      <c r="A142" s="5">
        <v>44451</v>
      </c>
      <c r="B142">
        <v>2.17</v>
      </c>
      <c r="C142">
        <v>2.4319999999999999</v>
      </c>
      <c r="D142">
        <v>2.1059999999999999</v>
      </c>
      <c r="E142">
        <v>2.2949999999999999</v>
      </c>
      <c r="F142">
        <v>8094961.0999999996</v>
      </c>
      <c r="G142">
        <v>2.2949999999999999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0.15950920245398784</v>
      </c>
      <c r="Q142">
        <f t="shared" ref="Q142" si="686">F142*P142</f>
        <v>1291220.7889570561</v>
      </c>
      <c r="R142">
        <f t="shared" ref="R142" si="687">R143+Q142</f>
        <v>91236182.370530173</v>
      </c>
      <c r="S142">
        <f t="shared" ref="S142" si="688">R142/100000</f>
        <v>912.36182370530173</v>
      </c>
      <c r="T142">
        <f t="shared" ref="T142" si="689">S142/1000</f>
        <v>0.91236182370530172</v>
      </c>
    </row>
    <row r="143" spans="1:20" x14ac:dyDescent="0.25">
      <c r="A143" s="5">
        <v>44450</v>
      </c>
      <c r="B143">
        <v>2.161</v>
      </c>
      <c r="C143">
        <v>2.298</v>
      </c>
      <c r="D143">
        <v>2.1070000000000002</v>
      </c>
      <c r="E143">
        <v>2.1720000000000002</v>
      </c>
      <c r="F143">
        <v>6126000.5</v>
      </c>
      <c r="G143">
        <v>2.1720000000000002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-0.31937172774869105</v>
      </c>
      <c r="Q143">
        <f t="shared" ref="Q143" si="691">F143*P143</f>
        <v>-1956471.3638743453</v>
      </c>
      <c r="R143">
        <f t="shared" ref="R143" si="692">R144+Q143</f>
        <v>89944961.581573114</v>
      </c>
      <c r="S143">
        <f t="shared" ref="S143" si="693">R143/100000</f>
        <v>899.44961581573114</v>
      </c>
      <c r="T143">
        <f t="shared" ref="T143" si="694">S143/1000</f>
        <v>0.89944961581573113</v>
      </c>
    </row>
    <row r="144" spans="1:20" x14ac:dyDescent="0.25">
      <c r="A144" s="5">
        <v>44449</v>
      </c>
      <c r="B144">
        <v>2.3929999999999998</v>
      </c>
      <c r="C144">
        <v>2.4849999999999999</v>
      </c>
      <c r="D144">
        <v>2.0710000000000002</v>
      </c>
      <c r="E144">
        <v>2.16</v>
      </c>
      <c r="F144">
        <v>14288905.5</v>
      </c>
      <c r="G144">
        <v>2.16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-0.57004830917874383</v>
      </c>
      <c r="Q144">
        <f t="shared" ref="Q144" si="696">F144*P144</f>
        <v>-8145366.4202898536</v>
      </c>
      <c r="R144">
        <f t="shared" ref="R144" si="697">R145+Q144</f>
        <v>91901432.94544746</v>
      </c>
      <c r="S144">
        <f t="shared" ref="S144" si="698">R144/100000</f>
        <v>919.01432945447459</v>
      </c>
      <c r="T144">
        <f t="shared" ref="T144" si="699">S144/1000</f>
        <v>0.91901432945447459</v>
      </c>
    </row>
    <row r="145" spans="1:20" x14ac:dyDescent="0.25">
      <c r="A145" s="5">
        <v>44448</v>
      </c>
      <c r="B145">
        <v>2.391</v>
      </c>
      <c r="C145">
        <v>2.4980000000000002</v>
      </c>
      <c r="D145">
        <v>2.2120000000000002</v>
      </c>
      <c r="E145">
        <v>2.3940000000000001</v>
      </c>
      <c r="F145">
        <v>15951604</v>
      </c>
      <c r="G145">
        <v>2.3940000000000001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0.27272727272727215</v>
      </c>
      <c r="Q145">
        <f t="shared" ref="Q145" si="701">F145*P145</f>
        <v>4350437.4545454457</v>
      </c>
      <c r="R145">
        <f t="shared" ref="R145" si="702">R146+Q145</f>
        <v>100046799.36573732</v>
      </c>
      <c r="S145">
        <f t="shared" ref="S145" si="703">R145/100000</f>
        <v>1000.4679936573732</v>
      </c>
      <c r="T145">
        <f t="shared" ref="T145" si="704">S145/1000</f>
        <v>1.0004679936573733</v>
      </c>
    </row>
    <row r="146" spans="1:20" x14ac:dyDescent="0.25">
      <c r="A146" s="5">
        <v>44447</v>
      </c>
      <c r="B146">
        <v>2.516</v>
      </c>
      <c r="C146">
        <v>2.6240000000000001</v>
      </c>
      <c r="D146">
        <v>2.1840000000000002</v>
      </c>
      <c r="E146">
        <v>2.391</v>
      </c>
      <c r="F146">
        <v>26658459.18</v>
      </c>
      <c r="G146">
        <v>2.391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-5.9090909090909652E-2</v>
      </c>
      <c r="Q146">
        <f t="shared" ref="Q146" si="706">F146*P146</f>
        <v>-1575272.5879091059</v>
      </c>
      <c r="R146">
        <f t="shared" ref="R146" si="707">R147+Q146</f>
        <v>95696361.911191881</v>
      </c>
      <c r="S146">
        <f t="shared" ref="S146" si="708">R146/100000</f>
        <v>956.96361911191877</v>
      </c>
      <c r="T146">
        <f t="shared" ref="T146" si="709">S146/1000</f>
        <v>0.95696361911191874</v>
      </c>
    </row>
    <row r="147" spans="1:20" x14ac:dyDescent="0.25">
      <c r="A147" s="5">
        <v>44446</v>
      </c>
      <c r="B147">
        <v>3.758</v>
      </c>
      <c r="C147">
        <v>3.8879999999999999</v>
      </c>
      <c r="D147">
        <v>2.3380000000000001</v>
      </c>
      <c r="E147">
        <v>2.5150000000000001</v>
      </c>
      <c r="F147">
        <v>33497007.219999999</v>
      </c>
      <c r="G147">
        <v>2.5150000000000001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-0.77161290322580633</v>
      </c>
      <c r="Q147">
        <f t="shared" ref="Q147" si="711">F147*P147</f>
        <v>-25846722.990399994</v>
      </c>
      <c r="R147">
        <f t="shared" ref="R147" si="712">R148+Q147</f>
        <v>97271634.499100983</v>
      </c>
      <c r="S147">
        <f t="shared" ref="S147" si="713">R147/100000</f>
        <v>972.71634499100981</v>
      </c>
      <c r="T147">
        <f t="shared" ref="T147" si="714">S147/1000</f>
        <v>0.97271634499100978</v>
      </c>
    </row>
    <row r="148" spans="1:20" x14ac:dyDescent="0.25">
      <c r="A148" s="5">
        <v>44445</v>
      </c>
      <c r="B148">
        <v>3.613</v>
      </c>
      <c r="C148">
        <v>3.92</v>
      </c>
      <c r="D148">
        <v>3.5390000000000001</v>
      </c>
      <c r="E148">
        <v>3.758</v>
      </c>
      <c r="F148">
        <v>2647388.7400000002</v>
      </c>
      <c r="G148">
        <v>3.758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0.14960629921259835</v>
      </c>
      <c r="Q148">
        <f t="shared" ref="Q148" si="716">F148*P148</f>
        <v>396066.03196850378</v>
      </c>
      <c r="R148">
        <f t="shared" ref="R148" si="717">R149+Q148</f>
        <v>123118357.48950098</v>
      </c>
      <c r="S148">
        <f t="shared" ref="S148" si="718">R148/100000</f>
        <v>1231.1835748950098</v>
      </c>
      <c r="T148">
        <f t="shared" ref="T148" si="719">S148/1000</f>
        <v>1.2311835748950097</v>
      </c>
    </row>
    <row r="149" spans="1:20" x14ac:dyDescent="0.25">
      <c r="A149" s="5">
        <v>44444</v>
      </c>
      <c r="B149">
        <v>3.6749999999999998</v>
      </c>
      <c r="C149">
        <v>3.6880000000000002</v>
      </c>
      <c r="D149">
        <v>3.53</v>
      </c>
      <c r="E149">
        <v>3.6120000000000001</v>
      </c>
      <c r="F149">
        <v>1595649</v>
      </c>
      <c r="G149">
        <v>3.6120000000000001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3.7974683544305152E-2</v>
      </c>
      <c r="Q149">
        <f t="shared" ref="Q149" si="721">F149*P149</f>
        <v>60594.265822786969</v>
      </c>
      <c r="R149">
        <f t="shared" ref="R149" si="722">R150+Q149</f>
        <v>122722291.45753248</v>
      </c>
      <c r="S149">
        <f t="shared" ref="S149" si="723">R149/100000</f>
        <v>1227.2229145753247</v>
      </c>
      <c r="T149">
        <f t="shared" ref="T149" si="724">S149/1000</f>
        <v>1.2272229145753246</v>
      </c>
    </row>
    <row r="150" spans="1:20" x14ac:dyDescent="0.25">
      <c r="A150" s="5">
        <v>44443</v>
      </c>
      <c r="B150">
        <v>3.4550000000000001</v>
      </c>
      <c r="C150">
        <v>3.7970000000000002</v>
      </c>
      <c r="D150">
        <v>3.399</v>
      </c>
      <c r="E150">
        <v>3.6749999999999998</v>
      </c>
      <c r="F150">
        <v>2305113.16</v>
      </c>
      <c r="G150">
        <v>3.6749999999999998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0.38693467336683274</v>
      </c>
      <c r="Q150">
        <f t="shared" ref="Q150" si="726">F150*P150</f>
        <v>891928.20763818768</v>
      </c>
      <c r="R150">
        <f t="shared" ref="R150" si="727">R151+Q150</f>
        <v>122661697.1917097</v>
      </c>
      <c r="S150">
        <f t="shared" ref="S150" si="728">R150/100000</f>
        <v>1226.6169719170969</v>
      </c>
      <c r="T150">
        <f t="shared" ref="T150" si="729">S150/1000</f>
        <v>1.226616971917097</v>
      </c>
    </row>
    <row r="151" spans="1:20" x14ac:dyDescent="0.25">
      <c r="A151" s="5">
        <v>44442</v>
      </c>
      <c r="B151">
        <v>3.4020000000000001</v>
      </c>
      <c r="C151">
        <v>3.6070000000000002</v>
      </c>
      <c r="D151">
        <v>3.33</v>
      </c>
      <c r="E151">
        <v>3.4550000000000001</v>
      </c>
      <c r="F151">
        <v>3074562.02</v>
      </c>
      <c r="G151">
        <v>3.4550000000000001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-9.7472924187726073E-2</v>
      </c>
      <c r="Q151">
        <f t="shared" ref="Q151" si="731">F151*P151</f>
        <v>-299686.55068592192</v>
      </c>
      <c r="R151">
        <f t="shared" ref="R151" si="732">R152+Q151</f>
        <v>121769768.98407151</v>
      </c>
      <c r="S151">
        <f t="shared" ref="S151" si="733">R151/100000</f>
        <v>1217.6976898407152</v>
      </c>
      <c r="T151">
        <f t="shared" ref="T151" si="734">S151/1000</f>
        <v>1.2176976898407152</v>
      </c>
    </row>
    <row r="152" spans="1:20" x14ac:dyDescent="0.25">
      <c r="A152" s="5">
        <v>44441</v>
      </c>
      <c r="B152">
        <v>3.274</v>
      </c>
      <c r="C152">
        <v>3.5739999999999998</v>
      </c>
      <c r="D152">
        <v>3.2370000000000001</v>
      </c>
      <c r="E152">
        <v>3.4</v>
      </c>
      <c r="F152">
        <v>3690110.15</v>
      </c>
      <c r="G152">
        <v>3.4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-3.2640949554896527E-2</v>
      </c>
      <c r="Q152">
        <f t="shared" ref="Q152" si="736">F152*P152</f>
        <v>-120448.69925816165</v>
      </c>
      <c r="R152">
        <f t="shared" ref="R152" si="737">R153+Q152</f>
        <v>122069455.53475744</v>
      </c>
      <c r="S152">
        <f t="shared" ref="S152" si="738">R152/100000</f>
        <v>1220.6945553475744</v>
      </c>
      <c r="T152">
        <f t="shared" ref="T152" si="739">S152/1000</f>
        <v>1.2206945553475743</v>
      </c>
    </row>
    <row r="153" spans="1:20" x14ac:dyDescent="0.25">
      <c r="A153" s="5">
        <v>44440</v>
      </c>
      <c r="B153">
        <v>3.181</v>
      </c>
      <c r="C153">
        <v>3.2970000000000002</v>
      </c>
      <c r="D153">
        <v>3.056</v>
      </c>
      <c r="E153">
        <v>3.274</v>
      </c>
      <c r="F153">
        <v>1569332.2</v>
      </c>
      <c r="G153">
        <v>3.274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0.8091286307053932</v>
      </c>
      <c r="Q153">
        <f t="shared" ref="Q153" si="741">F153*P153</f>
        <v>1269791.6141078821</v>
      </c>
      <c r="R153">
        <f t="shared" ref="R153" si="742">R154+Q153</f>
        <v>122189904.2340156</v>
      </c>
      <c r="S153">
        <f t="shared" ref="S153" si="743">R153/100000</f>
        <v>1221.899042340156</v>
      </c>
      <c r="T153">
        <f t="shared" ref="T153" si="744">S153/1000</f>
        <v>1.2218990423401561</v>
      </c>
    </row>
    <row r="154" spans="1:20" x14ac:dyDescent="0.25">
      <c r="A154" s="5">
        <v>44439</v>
      </c>
      <c r="B154">
        <v>3.129</v>
      </c>
      <c r="C154">
        <v>3.3039999999999998</v>
      </c>
      <c r="D154">
        <v>3.08</v>
      </c>
      <c r="E154">
        <v>3.181</v>
      </c>
      <c r="F154">
        <v>2115066.2000000002</v>
      </c>
      <c r="G154">
        <v>3.181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-9.8214285714284921E-2</v>
      </c>
      <c r="Q154">
        <f t="shared" ref="Q154" si="746">F154*P154</f>
        <v>-207729.71607142693</v>
      </c>
      <c r="R154">
        <f t="shared" ref="R154" si="747">R155+Q154</f>
        <v>120920112.61990772</v>
      </c>
      <c r="S154">
        <f t="shared" ref="S154" si="748">R154/100000</f>
        <v>1209.2011261990772</v>
      </c>
      <c r="T154">
        <f t="shared" ref="T154" si="749">S154/1000</f>
        <v>1.2092011261990772</v>
      </c>
    </row>
    <row r="155" spans="1:20" x14ac:dyDescent="0.25">
      <c r="A155" s="5">
        <v>44438</v>
      </c>
      <c r="B155">
        <v>3.3580000000000001</v>
      </c>
      <c r="C155">
        <v>3.4830000000000001</v>
      </c>
      <c r="D155">
        <v>3.1110000000000002</v>
      </c>
      <c r="E155">
        <v>3.13</v>
      </c>
      <c r="F155">
        <v>1947555.4</v>
      </c>
      <c r="G155">
        <v>3.13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-0.89784946236559304</v>
      </c>
      <c r="Q155">
        <f t="shared" ref="Q155" si="751">F155*P155</f>
        <v>-1748611.5688172074</v>
      </c>
      <c r="R155">
        <f t="shared" ref="R155" si="752">R156+Q155</f>
        <v>121127842.33597915</v>
      </c>
      <c r="S155">
        <f t="shared" ref="S155" si="753">R155/100000</f>
        <v>1211.2784233597915</v>
      </c>
      <c r="T155">
        <f t="shared" ref="T155" si="754">S155/1000</f>
        <v>1.2112784233597915</v>
      </c>
    </row>
    <row r="156" spans="1:20" x14ac:dyDescent="0.25">
      <c r="A156" s="5">
        <v>44437</v>
      </c>
      <c r="B156">
        <v>3.298</v>
      </c>
      <c r="C156">
        <v>3.4870000000000001</v>
      </c>
      <c r="D156">
        <v>3.1139999999999999</v>
      </c>
      <c r="E156">
        <v>3.3570000000000002</v>
      </c>
      <c r="F156">
        <v>2429654.2200000002</v>
      </c>
      <c r="G156">
        <v>3.3570000000000002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0.30294906166219937</v>
      </c>
      <c r="Q156">
        <f t="shared" ref="Q156" si="756">F156*P156</f>
        <v>736061.46611260297</v>
      </c>
      <c r="R156">
        <f t="shared" ref="R156" si="757">R157+Q156</f>
        <v>122876453.90479636</v>
      </c>
      <c r="S156">
        <f t="shared" ref="S156" si="758">R156/100000</f>
        <v>1228.7645390479636</v>
      </c>
      <c r="T156">
        <f t="shared" ref="T156" si="759">S156/1000</f>
        <v>1.2287645390479636</v>
      </c>
    </row>
    <row r="157" spans="1:20" x14ac:dyDescent="0.25">
      <c r="A157" s="5">
        <v>44436</v>
      </c>
      <c r="B157">
        <v>3.2389999999999999</v>
      </c>
      <c r="C157">
        <v>3.4</v>
      </c>
      <c r="D157">
        <v>3.1869999999999998</v>
      </c>
      <c r="E157">
        <v>3.2930000000000001</v>
      </c>
      <c r="F157">
        <v>1970618.35</v>
      </c>
      <c r="G157">
        <v>3.2930000000000001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-4.69483568074857E-3</v>
      </c>
      <c r="Q157">
        <f t="shared" ref="Q157" si="761">F157*P157</f>
        <v>-9251.7293427178738</v>
      </c>
      <c r="R157">
        <f t="shared" ref="R157" si="762">R158+Q157</f>
        <v>122140392.43868376</v>
      </c>
      <c r="S157">
        <f t="shared" ref="S157" si="763">R157/100000</f>
        <v>1221.4039243868376</v>
      </c>
      <c r="T157">
        <f t="shared" ref="T157" si="764">S157/1000</f>
        <v>1.2214039243868375</v>
      </c>
    </row>
    <row r="158" spans="1:20" x14ac:dyDescent="0.25">
      <c r="A158" s="5">
        <v>44435</v>
      </c>
      <c r="B158">
        <v>3.07</v>
      </c>
      <c r="C158">
        <v>3.2429999999999999</v>
      </c>
      <c r="D158">
        <v>2.8889999999999998</v>
      </c>
      <c r="E158">
        <v>3.234</v>
      </c>
      <c r="F158">
        <v>2174962.73</v>
      </c>
      <c r="G158">
        <v>3.234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0.94915254237288194</v>
      </c>
      <c r="Q158">
        <f t="shared" ref="Q158" si="766">F158*P158</f>
        <v>2064371.4047457639</v>
      </c>
      <c r="R158">
        <f t="shared" ref="R158" si="767">R159+Q158</f>
        <v>122149644.16802648</v>
      </c>
      <c r="S158">
        <f t="shared" ref="S158" si="768">R158/100000</f>
        <v>1221.4964416802648</v>
      </c>
      <c r="T158">
        <f t="shared" ref="T158" si="769">S158/1000</f>
        <v>1.2214964416802647</v>
      </c>
    </row>
    <row r="159" spans="1:20" x14ac:dyDescent="0.25">
      <c r="A159" s="5">
        <v>44434</v>
      </c>
      <c r="B159">
        <v>3.4030999999999998</v>
      </c>
      <c r="C159">
        <v>3.4634</v>
      </c>
      <c r="D159">
        <v>3.0329999999999999</v>
      </c>
      <c r="E159">
        <v>3.0670000000000002</v>
      </c>
      <c r="F159">
        <v>2076687.8</v>
      </c>
      <c r="G159">
        <v>3.0670000000000002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-0.8420074349442368</v>
      </c>
      <c r="Q159">
        <f t="shared" ref="Q159" si="771">F159*P159</f>
        <v>-1748586.5676579904</v>
      </c>
      <c r="R159">
        <f t="shared" ref="R159" si="772">R160+Q159</f>
        <v>120085272.76328072</v>
      </c>
      <c r="S159">
        <f t="shared" ref="S159" si="773">R159/100000</f>
        <v>1200.8527276328073</v>
      </c>
      <c r="T159">
        <f t="shared" ref="T159" si="774">S159/1000</f>
        <v>1.2008527276328074</v>
      </c>
    </row>
    <row r="160" spans="1:20" x14ac:dyDescent="0.25">
      <c r="A160" s="5">
        <v>44433</v>
      </c>
      <c r="B160">
        <v>3.32</v>
      </c>
      <c r="C160">
        <v>3.5143</v>
      </c>
      <c r="D160">
        <v>3.1642999999999999</v>
      </c>
      <c r="E160">
        <v>3.4079000000000002</v>
      </c>
      <c r="F160">
        <v>4319492.87</v>
      </c>
      <c r="G160">
        <v>3.4079000000000002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0.39200000000000113</v>
      </c>
      <c r="Q160">
        <f t="shared" ref="Q160" si="776">F160*P160</f>
        <v>1693241.2050400048</v>
      </c>
      <c r="R160">
        <f t="shared" ref="R160" si="777">R161+Q160</f>
        <v>121833859.33093871</v>
      </c>
      <c r="S160">
        <f t="shared" ref="S160" si="778">R160/100000</f>
        <v>1218.3385933093871</v>
      </c>
      <c r="T160">
        <f t="shared" ref="T160" si="779">S160/1000</f>
        <v>1.2183385933093871</v>
      </c>
    </row>
    <row r="161" spans="1:20" x14ac:dyDescent="0.25">
      <c r="A161" s="5">
        <v>44432</v>
      </c>
      <c r="B161">
        <v>3.4895</v>
      </c>
      <c r="C161">
        <v>3.8988</v>
      </c>
      <c r="D161">
        <v>3.3062</v>
      </c>
      <c r="E161">
        <v>3.3249</v>
      </c>
      <c r="F161">
        <v>5369154.0999999996</v>
      </c>
      <c r="G161">
        <v>3.3249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-0.93688828889638898</v>
      </c>
      <c r="Q161">
        <f t="shared" ref="Q161" si="781">F161*P161</f>
        <v>-5030297.597570031</v>
      </c>
      <c r="R161">
        <f t="shared" ref="R161" si="782">R162+Q161</f>
        <v>120140618.1258987</v>
      </c>
      <c r="S161">
        <f t="shared" ref="S161" si="783">R161/100000</f>
        <v>1201.4061812589871</v>
      </c>
      <c r="T161">
        <f t="shared" ref="T161" si="784">S161/1000</f>
        <v>1.2014061812589871</v>
      </c>
    </row>
    <row r="162" spans="1:20" x14ac:dyDescent="0.25">
      <c r="A162" s="5">
        <v>44431</v>
      </c>
      <c r="B162">
        <v>3.4306000000000001</v>
      </c>
      <c r="C162">
        <v>3.6509999999999998</v>
      </c>
      <c r="D162">
        <v>3.3765999999999998</v>
      </c>
      <c r="E162">
        <v>3.4939</v>
      </c>
      <c r="F162">
        <v>2725278.19</v>
      </c>
      <c r="G162">
        <v>3.4939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-0.14504373177842425</v>
      </c>
      <c r="Q162">
        <f t="shared" ref="Q162" si="786">F162*P162</f>
        <v>-395284.51881194953</v>
      </c>
      <c r="R162">
        <f t="shared" ref="R162" si="787">R163+Q162</f>
        <v>125170915.72346874</v>
      </c>
      <c r="S162">
        <f t="shared" ref="S162" si="788">R162/100000</f>
        <v>1251.7091572346874</v>
      </c>
      <c r="T162">
        <f t="shared" ref="T162" si="789">S162/1000</f>
        <v>1.2517091572346875</v>
      </c>
    </row>
    <row r="163" spans="1:20" x14ac:dyDescent="0.25">
      <c r="A163" s="5">
        <v>44430</v>
      </c>
      <c r="B163">
        <v>3.2073</v>
      </c>
      <c r="C163">
        <v>3.45</v>
      </c>
      <c r="D163">
        <v>3.2</v>
      </c>
      <c r="E163">
        <v>3.3687</v>
      </c>
      <c r="F163">
        <v>853524.37</v>
      </c>
      <c r="G163">
        <v>3.3687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0.3495999999999988</v>
      </c>
      <c r="Q163">
        <f t="shared" ref="Q163" si="791">F163*P163</f>
        <v>298392.11975199898</v>
      </c>
      <c r="R163">
        <f t="shared" ref="R163" si="792">R164+Q163</f>
        <v>125566200.24228069</v>
      </c>
      <c r="S163">
        <f t="shared" ref="S163" si="793">R163/100000</f>
        <v>1255.6620024228068</v>
      </c>
      <c r="T163">
        <f t="shared" ref="T163" si="794">S163/1000</f>
        <v>1.2556620024228069</v>
      </c>
    </row>
    <row r="164" spans="1:20" x14ac:dyDescent="0.25">
      <c r="A164" s="5">
        <v>44429</v>
      </c>
      <c r="B164">
        <v>3.2766999999999999</v>
      </c>
      <c r="C164">
        <v>3.3860000000000001</v>
      </c>
      <c r="D164">
        <v>3.1221999999999999</v>
      </c>
      <c r="E164">
        <v>3.2023000000000001</v>
      </c>
      <c r="F164">
        <v>2400673.2000000002</v>
      </c>
      <c r="G164">
        <v>3.2023000000000001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-0.39272175890826228</v>
      </c>
      <c r="Q164">
        <f t="shared" ref="Q164" si="796">F164*P164</f>
        <v>-942796.60166792653</v>
      </c>
      <c r="R164">
        <f t="shared" ref="R164" si="797">R165+Q164</f>
        <v>125267808.12252869</v>
      </c>
      <c r="S164">
        <f t="shared" ref="S164" si="798">R164/100000</f>
        <v>1252.6780812252869</v>
      </c>
      <c r="T164">
        <f t="shared" ref="T164" si="799">S164/1000</f>
        <v>1.2526780812252869</v>
      </c>
    </row>
    <row r="165" spans="1:20" x14ac:dyDescent="0.25">
      <c r="A165" s="5">
        <v>44428</v>
      </c>
      <c r="B165">
        <v>2.9081000000000001</v>
      </c>
      <c r="C165">
        <v>3.3365</v>
      </c>
      <c r="D165">
        <v>2.871</v>
      </c>
      <c r="E165">
        <v>3.2722000000000002</v>
      </c>
      <c r="F165">
        <v>3377579.74</v>
      </c>
      <c r="G165">
        <v>3.2722000000000002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0.72373791621912009</v>
      </c>
      <c r="Q165">
        <f t="shared" ref="Q165" si="801">F165*P165</f>
        <v>2444482.5228915177</v>
      </c>
      <c r="R165">
        <f t="shared" ref="R165" si="802">R166+Q165</f>
        <v>126210604.72419661</v>
      </c>
      <c r="S165">
        <f t="shared" ref="S165" si="803">R165/100000</f>
        <v>1262.1060472419661</v>
      </c>
      <c r="T165">
        <f t="shared" ref="T165" si="804">S165/1000</f>
        <v>1.2621060472419661</v>
      </c>
    </row>
    <row r="166" spans="1:20" x14ac:dyDescent="0.25">
      <c r="A166" s="5">
        <v>44427</v>
      </c>
      <c r="B166">
        <v>2.8172000000000001</v>
      </c>
      <c r="C166">
        <v>2.9165999999999999</v>
      </c>
      <c r="D166">
        <v>2.7221000000000002</v>
      </c>
      <c r="E166">
        <v>2.9056999999999999</v>
      </c>
      <c r="F166">
        <v>1830976.94</v>
      </c>
      <c r="G166">
        <v>2.9056999999999999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0.8879177377892038</v>
      </c>
      <c r="Q166">
        <f t="shared" ref="Q166" si="806">F166*P166</f>
        <v>1625756.9025089988</v>
      </c>
      <c r="R166">
        <f t="shared" ref="R166" si="807">R167+Q166</f>
        <v>123766122.20130509</v>
      </c>
      <c r="S166">
        <f t="shared" ref="S166" si="808">R166/100000</f>
        <v>1237.661222013051</v>
      </c>
      <c r="T166">
        <f t="shared" ref="T166" si="809">S166/1000</f>
        <v>1.237661222013051</v>
      </c>
    </row>
    <row r="167" spans="1:20" x14ac:dyDescent="0.25">
      <c r="A167" s="5">
        <v>44426</v>
      </c>
      <c r="B167">
        <v>2.7736000000000001</v>
      </c>
      <c r="C167">
        <v>2.8626999999999998</v>
      </c>
      <c r="D167">
        <v>2.5865</v>
      </c>
      <c r="E167">
        <v>2.8134999999999999</v>
      </c>
      <c r="F167">
        <v>2207267.86</v>
      </c>
      <c r="G167">
        <v>2.8134999999999999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0.64373642288196997</v>
      </c>
      <c r="Q167">
        <f t="shared" ref="Q167" si="811">F167*P167</f>
        <v>1420898.7165387408</v>
      </c>
      <c r="R167">
        <f t="shared" ref="R167" si="812">R168+Q167</f>
        <v>122140365.29879609</v>
      </c>
      <c r="S167">
        <f t="shared" ref="S167" si="813">R167/100000</f>
        <v>1221.4036529879609</v>
      </c>
      <c r="T167">
        <f t="shared" ref="T167" si="814">S167/1000</f>
        <v>1.2214036529879608</v>
      </c>
    </row>
    <row r="168" spans="1:20" x14ac:dyDescent="0.25">
      <c r="A168" s="5">
        <v>44425</v>
      </c>
      <c r="B168">
        <v>2.9163000000000001</v>
      </c>
      <c r="C168">
        <v>3.0268999999999999</v>
      </c>
      <c r="D168">
        <v>2.73</v>
      </c>
      <c r="E168">
        <v>2.7761999999999998</v>
      </c>
      <c r="F168">
        <v>1987703.16</v>
      </c>
      <c r="G168">
        <v>2.7761999999999998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-0.68878410239137888</v>
      </c>
      <c r="Q168">
        <f t="shared" ref="Q168" si="816">F168*P168</f>
        <v>-1369098.3368811074</v>
      </c>
      <c r="R168">
        <f t="shared" ref="R168" si="817">R169+Q168</f>
        <v>120719466.58225735</v>
      </c>
      <c r="S168">
        <f t="shared" ref="S168" si="818">R168/100000</f>
        <v>1207.1946658225734</v>
      </c>
      <c r="T168">
        <f t="shared" ref="T168" si="819">S168/1000</f>
        <v>1.2071946658225734</v>
      </c>
    </row>
    <row r="169" spans="1:20" x14ac:dyDescent="0.25">
      <c r="A169" s="5">
        <v>44424</v>
      </c>
      <c r="B169">
        <v>3.0737999999999999</v>
      </c>
      <c r="C169">
        <v>3.15</v>
      </c>
      <c r="D169">
        <v>2.8959999999999999</v>
      </c>
      <c r="E169">
        <v>2.9198</v>
      </c>
      <c r="F169">
        <v>1860600.78</v>
      </c>
      <c r="G169">
        <v>2.9198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-0.8125984251968501</v>
      </c>
      <c r="Q169">
        <f t="shared" ref="Q169" si="821">F169*P169</f>
        <v>-1511921.2637480309</v>
      </c>
      <c r="R169">
        <f t="shared" ref="R169" si="822">R170+Q169</f>
        <v>122088564.91913845</v>
      </c>
      <c r="S169">
        <f t="shared" ref="S169" si="823">R169/100000</f>
        <v>1220.8856491913846</v>
      </c>
      <c r="T169">
        <f t="shared" ref="T169" si="824">S169/1000</f>
        <v>1.2208856491913846</v>
      </c>
    </row>
    <row r="170" spans="1:20" x14ac:dyDescent="0.25">
      <c r="A170" s="5">
        <v>44423</v>
      </c>
      <c r="B170">
        <v>2.9519000000000002</v>
      </c>
      <c r="C170">
        <v>3.0752999999999999</v>
      </c>
      <c r="D170">
        <v>2.8801000000000001</v>
      </c>
      <c r="E170">
        <v>3.0699000000000001</v>
      </c>
      <c r="F170">
        <v>1476229.32</v>
      </c>
      <c r="G170">
        <v>3.0699000000000001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0.94467213114754245</v>
      </c>
      <c r="Q170">
        <f t="shared" ref="Q170" si="826">F170*P170</f>
        <v>1394552.6977868874</v>
      </c>
      <c r="R170">
        <f t="shared" ref="R170" si="827">R171+Q170</f>
        <v>123600486.18288648</v>
      </c>
      <c r="S170">
        <f t="shared" ref="S170" si="828">R170/100000</f>
        <v>1236.0048618288647</v>
      </c>
      <c r="T170">
        <f t="shared" ref="T170" si="829">S170/1000</f>
        <v>1.2360048618288646</v>
      </c>
    </row>
    <row r="171" spans="1:20" x14ac:dyDescent="0.25">
      <c r="A171" s="5">
        <v>44422</v>
      </c>
      <c r="B171">
        <v>3.0184000000000002</v>
      </c>
      <c r="C171">
        <v>3.1</v>
      </c>
      <c r="D171">
        <v>2.9</v>
      </c>
      <c r="E171">
        <v>2.9506000000000001</v>
      </c>
      <c r="F171">
        <v>1579549.29</v>
      </c>
      <c r="G171">
        <v>2.9506000000000001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-0.49399999999999844</v>
      </c>
      <c r="Q171">
        <f t="shared" ref="Q171" si="831">F171*P171</f>
        <v>-780297.3492599976</v>
      </c>
      <c r="R171">
        <f t="shared" ref="R171" si="832">R172+Q171</f>
        <v>122205933.4850996</v>
      </c>
      <c r="S171">
        <f t="shared" ref="S171" si="833">R171/100000</f>
        <v>1222.059334850996</v>
      </c>
      <c r="T171">
        <f t="shared" ref="T171" si="834">S171/1000</f>
        <v>1.222059334850996</v>
      </c>
    </row>
    <row r="172" spans="1:20" x14ac:dyDescent="0.25">
      <c r="A172" s="5">
        <v>44421</v>
      </c>
      <c r="B172">
        <v>2.7867000000000002</v>
      </c>
      <c r="C172">
        <v>3.0255000000000001</v>
      </c>
      <c r="D172">
        <v>2.7501000000000002</v>
      </c>
      <c r="E172">
        <v>3.0192000000000001</v>
      </c>
      <c r="F172">
        <v>1587182.49</v>
      </c>
      <c r="G172">
        <v>3.0192000000000001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0.95424836601307206</v>
      </c>
      <c r="Q172">
        <f t="shared" ref="Q172" si="836">F172*P172</f>
        <v>1514566.297647059</v>
      </c>
      <c r="R172">
        <f t="shared" ref="R172" si="837">R173+Q172</f>
        <v>122986230.8343596</v>
      </c>
      <c r="S172">
        <f t="shared" ref="S172" si="838">R172/100000</f>
        <v>1229.8623083435959</v>
      </c>
      <c r="T172">
        <f t="shared" ref="T172" si="839">S172/1000</f>
        <v>1.229862308343596</v>
      </c>
    </row>
    <row r="173" spans="1:20" x14ac:dyDescent="0.25">
      <c r="A173" s="5">
        <v>44420</v>
      </c>
      <c r="B173">
        <v>2.8904000000000001</v>
      </c>
      <c r="C173">
        <v>2.9819</v>
      </c>
      <c r="D173">
        <v>2.6919</v>
      </c>
      <c r="E173">
        <v>2.7898999999999998</v>
      </c>
      <c r="F173">
        <v>2073159.87</v>
      </c>
      <c r="G173">
        <v>2.7898999999999998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-0.32413793103448379</v>
      </c>
      <c r="Q173">
        <f t="shared" ref="Q173" si="841">F173*P173</f>
        <v>-671989.75096551946</v>
      </c>
      <c r="R173">
        <f t="shared" ref="R173" si="842">R174+Q173</f>
        <v>121471664.53671254</v>
      </c>
      <c r="S173">
        <f t="shared" ref="S173" si="843">R173/100000</f>
        <v>1214.7166453671255</v>
      </c>
      <c r="T173">
        <f t="shared" ref="T173" si="844">S173/1000</f>
        <v>1.2147166453671254</v>
      </c>
    </row>
    <row r="174" spans="1:20" x14ac:dyDescent="0.25">
      <c r="A174" s="5">
        <v>44419</v>
      </c>
      <c r="B174">
        <v>2.9047000000000001</v>
      </c>
      <c r="C174">
        <v>3.0674999999999999</v>
      </c>
      <c r="D174">
        <v>2.8603000000000001</v>
      </c>
      <c r="E174">
        <v>2.8967999999999998</v>
      </c>
      <c r="F174">
        <v>2443172.89</v>
      </c>
      <c r="G174">
        <v>2.8967999999999998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-0.64768339768339978</v>
      </c>
      <c r="Q174">
        <f t="shared" ref="Q174" si="846">F174*P174</f>
        <v>-1582402.5185231713</v>
      </c>
      <c r="R174">
        <f t="shared" ref="R174" si="847">R175+Q174</f>
        <v>122143654.28767806</v>
      </c>
      <c r="S174">
        <f t="shared" ref="S174" si="848">R174/100000</f>
        <v>1221.4365428767805</v>
      </c>
      <c r="T174">
        <f t="shared" ref="T174" si="849">S174/1000</f>
        <v>1.2214365428767806</v>
      </c>
    </row>
    <row r="175" spans="1:20" x14ac:dyDescent="0.25">
      <c r="A175" s="5">
        <v>44418</v>
      </c>
      <c r="B175">
        <v>2.9028999999999998</v>
      </c>
      <c r="C175">
        <v>3.0150000000000001</v>
      </c>
      <c r="D175">
        <v>2.8132000000000001</v>
      </c>
      <c r="E175">
        <v>2.9056999999999999</v>
      </c>
      <c r="F175">
        <v>2292098.4</v>
      </c>
      <c r="G175">
        <v>2.9056999999999999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-8.3250743310209971E-2</v>
      </c>
      <c r="Q175">
        <f t="shared" ref="Q175" si="851">F175*P175</f>
        <v>-190818.89554014296</v>
      </c>
      <c r="R175">
        <f t="shared" ref="R175" si="852">R176+Q175</f>
        <v>123726056.80620123</v>
      </c>
      <c r="S175">
        <f t="shared" ref="S175" si="853">R175/100000</f>
        <v>1237.2605680620125</v>
      </c>
      <c r="T175">
        <f t="shared" ref="T175" si="854">S175/1000</f>
        <v>1.2372605680620123</v>
      </c>
    </row>
    <row r="176" spans="1:20" x14ac:dyDescent="0.25">
      <c r="A176" s="5">
        <v>44417</v>
      </c>
      <c r="B176">
        <v>2.75</v>
      </c>
      <c r="C176">
        <v>2.9706999999999999</v>
      </c>
      <c r="D176">
        <v>2.6442000000000001</v>
      </c>
      <c r="E176">
        <v>2.9045999999999998</v>
      </c>
      <c r="F176">
        <v>2165080.14</v>
      </c>
      <c r="G176">
        <v>2.9045999999999998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0.59509954058192904</v>
      </c>
      <c r="Q176">
        <f t="shared" ref="Q176" si="856">F176*P176</f>
        <v>1288438.1966370586</v>
      </c>
      <c r="R176">
        <f t="shared" ref="R176" si="857">R177+Q176</f>
        <v>123916875.70174138</v>
      </c>
      <c r="S176">
        <f t="shared" ref="S176" si="858">R176/100000</f>
        <v>1239.1687570174138</v>
      </c>
      <c r="T176">
        <f t="shared" ref="T176" si="859">S176/1000</f>
        <v>1.2391687570174137</v>
      </c>
    </row>
    <row r="177" spans="1:20" x14ac:dyDescent="0.25">
      <c r="A177" s="5">
        <v>44416</v>
      </c>
      <c r="B177">
        <v>2.9586999999999999</v>
      </c>
      <c r="C177">
        <v>2.9613999999999998</v>
      </c>
      <c r="D177">
        <v>2.6955</v>
      </c>
      <c r="E177">
        <v>2.7505999999999999</v>
      </c>
      <c r="F177">
        <v>2165833.34</v>
      </c>
      <c r="G177">
        <v>2.7505999999999999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-0.5855584806318167</v>
      </c>
      <c r="Q177">
        <f t="shared" ref="Q177" si="861">F177*P177</f>
        <v>-1268222.0798721327</v>
      </c>
      <c r="R177">
        <f t="shared" ref="R177" si="862">R178+Q177</f>
        <v>122628437.50510432</v>
      </c>
      <c r="S177">
        <f t="shared" ref="S177" si="863">R177/100000</f>
        <v>1226.2843750510431</v>
      </c>
      <c r="T177">
        <f t="shared" ref="T177" si="864">S177/1000</f>
        <v>1.226284375051043</v>
      </c>
    </row>
    <row r="178" spans="1:20" x14ac:dyDescent="0.25">
      <c r="A178" s="5">
        <v>44415</v>
      </c>
      <c r="B178">
        <v>2.9859</v>
      </c>
      <c r="C178">
        <v>3.1985999999999999</v>
      </c>
      <c r="D178">
        <v>2.8504999999999998</v>
      </c>
      <c r="E178">
        <v>2.9597000000000002</v>
      </c>
      <c r="F178">
        <v>2745256.7</v>
      </c>
      <c r="G178">
        <v>2.9597000000000002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-0.37259408216029655</v>
      </c>
      <c r="Q178">
        <f t="shared" ref="Q178" si="866">F178*P178</f>
        <v>-1022866.4004309046</v>
      </c>
      <c r="R178">
        <f t="shared" ref="R178" si="867">R179+Q178</f>
        <v>123896659.58497645</v>
      </c>
      <c r="S178">
        <f t="shared" ref="S178" si="868">R178/100000</f>
        <v>1238.9665958497644</v>
      </c>
      <c r="T178">
        <f t="shared" ref="T178" si="869">S178/1000</f>
        <v>1.2389665958497644</v>
      </c>
    </row>
    <row r="179" spans="1:20" x14ac:dyDescent="0.25">
      <c r="A179" s="5">
        <v>44414</v>
      </c>
      <c r="B179">
        <v>3.0019</v>
      </c>
      <c r="C179">
        <v>3.1269</v>
      </c>
      <c r="D179">
        <v>2.9552</v>
      </c>
      <c r="E179">
        <v>2.984</v>
      </c>
      <c r="F179">
        <v>2254656</v>
      </c>
      <c r="G179">
        <v>2.984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-0.66453115899825344</v>
      </c>
      <c r="Q179">
        <f t="shared" ref="Q179" si="871">F179*P179</f>
        <v>-1498289.1648223661</v>
      </c>
      <c r="R179">
        <f t="shared" ref="R179" si="872">R180+Q179</f>
        <v>124919525.98540735</v>
      </c>
      <c r="S179">
        <f t="shared" ref="S179" si="873">R179/100000</f>
        <v>1249.1952598540736</v>
      </c>
      <c r="T179">
        <f t="shared" ref="T179" si="874">S179/1000</f>
        <v>1.2491952598540736</v>
      </c>
    </row>
    <row r="180" spans="1:20" x14ac:dyDescent="0.25">
      <c r="A180" s="5">
        <v>44413</v>
      </c>
      <c r="B180">
        <v>2.8982999999999999</v>
      </c>
      <c r="C180">
        <v>3.1299000000000001</v>
      </c>
      <c r="D180">
        <v>2.8411</v>
      </c>
      <c r="E180">
        <v>2.9992000000000001</v>
      </c>
      <c r="F180">
        <v>3957559.97</v>
      </c>
      <c r="G180">
        <v>2.9992000000000001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9.4875346260388072E-2</v>
      </c>
      <c r="Q180">
        <f t="shared" ref="Q180" si="876">F180*P180</f>
        <v>375474.87250000105</v>
      </c>
      <c r="R180">
        <f t="shared" ref="R180" si="877">R181+Q180</f>
        <v>126417815.15022972</v>
      </c>
      <c r="S180">
        <f t="shared" ref="S180" si="878">R180/100000</f>
        <v>1264.1781515022972</v>
      </c>
      <c r="T180">
        <f t="shared" ref="T180" si="879">S180/1000</f>
        <v>1.2641781515022972</v>
      </c>
    </row>
    <row r="181" spans="1:20" x14ac:dyDescent="0.25">
      <c r="A181" s="5">
        <v>44412</v>
      </c>
      <c r="B181">
        <v>2.7629000000000001</v>
      </c>
      <c r="C181">
        <v>2.94</v>
      </c>
      <c r="D181">
        <v>2.6558999999999999</v>
      </c>
      <c r="E181">
        <v>2.8952</v>
      </c>
      <c r="F181">
        <v>1903106.28</v>
      </c>
      <c r="G181">
        <v>2.8952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0.6846180922210493</v>
      </c>
      <c r="Q181">
        <f t="shared" ref="Q181" si="881">F181*P181</f>
        <v>1302900.990707498</v>
      </c>
      <c r="R181">
        <f t="shared" ref="R181" si="882">R182+Q181</f>
        <v>126042340.27772972</v>
      </c>
      <c r="S181">
        <f t="shared" ref="S181" si="883">R181/100000</f>
        <v>1260.4234027772973</v>
      </c>
      <c r="T181">
        <f t="shared" ref="T181" si="884">S181/1000</f>
        <v>1.2604234027772974</v>
      </c>
    </row>
    <row r="182" spans="1:20" x14ac:dyDescent="0.25">
      <c r="A182" s="5">
        <v>44411</v>
      </c>
      <c r="B182">
        <v>2.7159</v>
      </c>
      <c r="C182">
        <v>2.8250000000000002</v>
      </c>
      <c r="D182">
        <v>2.6012</v>
      </c>
      <c r="E182">
        <v>2.7646000000000002</v>
      </c>
      <c r="F182">
        <v>2035403.66</v>
      </c>
      <c r="G182">
        <v>2.7646000000000002</v>
      </c>
      <c r="L182" t="s">
        <v>8</v>
      </c>
      <c r="M182" t="s">
        <v>7</v>
      </c>
      <c r="N182" t="s">
        <v>8</v>
      </c>
      <c r="P182">
        <f t="shared" ref="P182" si="885">IF(C182=D182,0,((E182-D182)-(C182-E182))/(C182-D182))</f>
        <v>0.4602323503127797</v>
      </c>
      <c r="Q182">
        <f t="shared" ref="Q182" si="886">F182*P182</f>
        <v>936758.61027703388</v>
      </c>
      <c r="R182">
        <f t="shared" ref="R182" si="887">R183+Q182</f>
        <v>124739439.28702222</v>
      </c>
      <c r="S182">
        <f t="shared" ref="S182" si="888">R182/100000</f>
        <v>1247.3943928702222</v>
      </c>
      <c r="T182">
        <f t="shared" ref="T182" si="889">S182/1000</f>
        <v>1.2473943928702222</v>
      </c>
    </row>
    <row r="183" spans="1:20" x14ac:dyDescent="0.25">
      <c r="A183" s="5">
        <v>44410</v>
      </c>
      <c r="B183">
        <v>2.6309999999999998</v>
      </c>
      <c r="C183">
        <v>2.81</v>
      </c>
      <c r="D183">
        <v>2.5745</v>
      </c>
      <c r="E183">
        <v>2.7130000000000001</v>
      </c>
      <c r="F183">
        <v>1763048.72</v>
      </c>
      <c r="G183">
        <v>2.7130000000000001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0.17622080679405555</v>
      </c>
      <c r="Q183">
        <f t="shared" ref="Q183" si="891">F183*P183</f>
        <v>310685.86785562692</v>
      </c>
      <c r="R183">
        <f t="shared" ref="R183" si="892">R184+Q183</f>
        <v>123802680.67674519</v>
      </c>
      <c r="S183">
        <f t="shared" ref="S183" si="893">R183/100000</f>
        <v>1238.0268067674519</v>
      </c>
      <c r="T183">
        <f t="shared" ref="T183" si="894">S183/1000</f>
        <v>1.238026806767452</v>
      </c>
    </row>
    <row r="184" spans="1:20" x14ac:dyDescent="0.25">
      <c r="A184" s="5">
        <v>44409</v>
      </c>
      <c r="B184">
        <v>2.7763</v>
      </c>
      <c r="C184">
        <v>2.8961000000000001</v>
      </c>
      <c r="D184">
        <v>2.6036999999999999</v>
      </c>
      <c r="E184">
        <v>2.6313</v>
      </c>
      <c r="F184">
        <v>1899346.66</v>
      </c>
      <c r="G184">
        <v>2.6313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-0.81121751025991762</v>
      </c>
      <c r="Q184">
        <f t="shared" ref="Q184" si="896">F184*P184</f>
        <v>-1540783.2686456903</v>
      </c>
      <c r="R184">
        <f t="shared" ref="R184" si="897">R185+Q184</f>
        <v>123491994.80888957</v>
      </c>
      <c r="S184">
        <f t="shared" ref="S184" si="898">R184/100000</f>
        <v>1234.9199480888956</v>
      </c>
      <c r="T184">
        <f t="shared" ref="T184" si="899">S184/1000</f>
        <v>1.2349199480888955</v>
      </c>
    </row>
    <row r="185" spans="1:20" x14ac:dyDescent="0.25">
      <c r="A185" s="5">
        <v>44408</v>
      </c>
      <c r="B185">
        <v>2.6448999999999998</v>
      </c>
      <c r="C185">
        <v>2.8843000000000001</v>
      </c>
      <c r="D185">
        <v>2.5859999999999999</v>
      </c>
      <c r="E185">
        <v>2.7742</v>
      </c>
      <c r="F185">
        <v>3256002.96</v>
      </c>
      <c r="G185">
        <v>2.7742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0.26181696278913846</v>
      </c>
      <c r="Q185">
        <f t="shared" ref="Q185" si="901">F185*P185</f>
        <v>852476.80581964471</v>
      </c>
      <c r="R185">
        <f t="shared" ref="R185" si="902">R186+Q185</f>
        <v>125032778.07753526</v>
      </c>
      <c r="S185">
        <f t="shared" ref="S185" si="903">R185/100000</f>
        <v>1250.3277807753525</v>
      </c>
      <c r="T185">
        <f t="shared" ref="T185" si="904">S185/1000</f>
        <v>1.2503277807753526</v>
      </c>
    </row>
    <row r="186" spans="1:20" x14ac:dyDescent="0.25">
      <c r="A186" s="5">
        <v>44407</v>
      </c>
      <c r="B186">
        <v>2.6827000000000001</v>
      </c>
      <c r="C186">
        <v>2.7450000000000001</v>
      </c>
      <c r="D186">
        <v>2.5099999999999998</v>
      </c>
      <c r="E186">
        <v>2.6429999999999998</v>
      </c>
      <c r="F186">
        <v>1931419.73</v>
      </c>
      <c r="G186">
        <v>2.6429999999999998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0.1319148936170198</v>
      </c>
      <c r="Q186">
        <f t="shared" ref="Q186" si="906">F186*P186</f>
        <v>254783.02821276311</v>
      </c>
      <c r="R186">
        <f t="shared" ref="R186" si="907">R187+Q186</f>
        <v>124180301.27171561</v>
      </c>
      <c r="S186">
        <f t="shared" ref="S186" si="908">R186/100000</f>
        <v>1241.8030127171562</v>
      </c>
      <c r="T186">
        <f t="shared" ref="T186" si="909">S186/1000</f>
        <v>1.2418030127171562</v>
      </c>
    </row>
    <row r="187" spans="1:20" x14ac:dyDescent="0.25">
      <c r="A187" s="5">
        <v>44406</v>
      </c>
      <c r="B187">
        <v>2.7496</v>
      </c>
      <c r="C187">
        <v>2.79</v>
      </c>
      <c r="D187">
        <v>2.6110000000000002</v>
      </c>
      <c r="E187">
        <v>2.6835</v>
      </c>
      <c r="F187">
        <v>1714957.95</v>
      </c>
      <c r="G187">
        <v>2.6835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-0.18994413407821389</v>
      </c>
      <c r="Q187">
        <f t="shared" ref="Q187" si="911">F187*P187</f>
        <v>-325746.20279329881</v>
      </c>
      <c r="R187">
        <f t="shared" ref="R187" si="912">R188+Q187</f>
        <v>123925518.24350286</v>
      </c>
      <c r="S187">
        <f t="shared" ref="S187" si="913">R187/100000</f>
        <v>1239.2551824350285</v>
      </c>
      <c r="T187">
        <f t="shared" ref="T187" si="914">S187/1000</f>
        <v>1.2392551824350284</v>
      </c>
    </row>
    <row r="188" spans="1:20" x14ac:dyDescent="0.25">
      <c r="A188" s="5">
        <v>44405</v>
      </c>
      <c r="B188">
        <v>2.7284000000000002</v>
      </c>
      <c r="C188">
        <v>2.7578</v>
      </c>
      <c r="D188">
        <v>2.6212</v>
      </c>
      <c r="E188">
        <v>2.7490000000000001</v>
      </c>
      <c r="F188">
        <v>1278534.24</v>
      </c>
      <c r="G188">
        <v>2.7490000000000001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0.87115666178623841</v>
      </c>
      <c r="Q188">
        <f t="shared" ref="Q188" si="916">F188*P188</f>
        <v>1113803.6204978053</v>
      </c>
      <c r="R188">
        <f t="shared" ref="R188" si="917">R189+Q188</f>
        <v>124251264.44629616</v>
      </c>
      <c r="S188">
        <f t="shared" ref="S188" si="918">R188/100000</f>
        <v>1242.5126444629616</v>
      </c>
      <c r="T188">
        <f t="shared" ref="T188" si="919">S188/1000</f>
        <v>1.2425126444629615</v>
      </c>
    </row>
    <row r="189" spans="1:20" x14ac:dyDescent="0.25">
      <c r="A189" s="5">
        <v>44404</v>
      </c>
      <c r="B189">
        <v>2.7271000000000001</v>
      </c>
      <c r="C189">
        <v>2.8574999999999999</v>
      </c>
      <c r="D189">
        <v>2.5099999999999998</v>
      </c>
      <c r="E189">
        <v>2.7332999999999998</v>
      </c>
      <c r="F189">
        <v>2179438.7599999998</v>
      </c>
      <c r="G189">
        <v>2.7332999999999998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0.28517985611510771</v>
      </c>
      <c r="Q189">
        <f t="shared" ref="Q189" si="921">F189*P189</f>
        <v>621532.03198848874</v>
      </c>
      <c r="R189">
        <f t="shared" ref="R189" si="922">R190+Q189</f>
        <v>123137460.82579835</v>
      </c>
      <c r="S189">
        <f t="shared" ref="S189" si="923">R189/100000</f>
        <v>1231.3746082579835</v>
      </c>
      <c r="T189">
        <f t="shared" ref="T189" si="924">S189/1000</f>
        <v>1.2313746082579835</v>
      </c>
    </row>
    <row r="190" spans="1:20" x14ac:dyDescent="0.25">
      <c r="A190" s="5">
        <v>44403</v>
      </c>
      <c r="B190">
        <v>2.74</v>
      </c>
      <c r="C190">
        <v>2.9116</v>
      </c>
      <c r="D190">
        <v>2.6038999999999999</v>
      </c>
      <c r="E190">
        <v>2.7218</v>
      </c>
      <c r="F190">
        <v>3285064.77</v>
      </c>
      <c r="G190">
        <v>2.7218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-0.23366915827104268</v>
      </c>
      <c r="Q190">
        <f t="shared" ref="Q190" si="926">F190*P190</f>
        <v>-767618.31967175636</v>
      </c>
      <c r="R190">
        <f t="shared" ref="R190" si="927">R191+Q190</f>
        <v>122515928.79380986</v>
      </c>
      <c r="S190">
        <f t="shared" ref="S190" si="928">R190/100000</f>
        <v>1225.1592879380987</v>
      </c>
      <c r="T190">
        <f t="shared" ref="T190" si="929">S190/1000</f>
        <v>1.2251592879380988</v>
      </c>
    </row>
    <row r="191" spans="1:20" x14ac:dyDescent="0.25">
      <c r="A191" s="5">
        <v>44402</v>
      </c>
      <c r="B191">
        <v>2.7496</v>
      </c>
      <c r="C191">
        <v>2.7829000000000002</v>
      </c>
      <c r="D191">
        <v>2.57</v>
      </c>
      <c r="E191">
        <v>2.7427999999999999</v>
      </c>
      <c r="F191">
        <v>2700439.62</v>
      </c>
      <c r="G191">
        <v>2.7427999999999999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0.62329732268670557</v>
      </c>
      <c r="Q191">
        <f t="shared" ref="Q191" si="931">F191*P191</f>
        <v>1683176.7852231045</v>
      </c>
      <c r="R191">
        <f t="shared" ref="R191" si="932">R192+Q191</f>
        <v>123283547.11348161</v>
      </c>
      <c r="S191">
        <f t="shared" ref="S191" si="933">R191/100000</f>
        <v>1232.8354711348161</v>
      </c>
      <c r="T191">
        <f t="shared" ref="T191:T197" si="934">S191/1000</f>
        <v>1.2328354711348162</v>
      </c>
    </row>
    <row r="192" spans="1:20" x14ac:dyDescent="0.25">
      <c r="A192" s="5">
        <v>44401</v>
      </c>
      <c r="B192">
        <v>2.9279000000000002</v>
      </c>
      <c r="C192">
        <v>2.9378000000000002</v>
      </c>
      <c r="D192">
        <v>2.6777000000000002</v>
      </c>
      <c r="E192">
        <v>2.7458</v>
      </c>
      <c r="F192">
        <v>3368148.38</v>
      </c>
      <c r="G192">
        <v>2.7458</v>
      </c>
      <c r="L192" t="s">
        <v>7</v>
      </c>
      <c r="M192" t="s">
        <v>8</v>
      </c>
      <c r="N192" t="s">
        <v>8</v>
      </c>
      <c r="P192">
        <f t="shared" ref="P192" si="935">IF(C192=D192,0,((E192-D192)-(C192-E192))/(C192-D192))</f>
        <v>-0.47635524798154688</v>
      </c>
      <c r="Q192">
        <f t="shared" ref="Q192" si="936">F192*P192</f>
        <v>-1604435.1567935452</v>
      </c>
      <c r="R192">
        <f t="shared" ref="R192" si="937">R193+Q192</f>
        <v>121600370.3282585</v>
      </c>
      <c r="S192">
        <f t="shared" ref="S192" si="938">R192/100000</f>
        <v>1216.0037032825851</v>
      </c>
      <c r="T192">
        <f t="shared" si="934"/>
        <v>1.216003703282585</v>
      </c>
    </row>
    <row r="193" spans="1:20" x14ac:dyDescent="0.25">
      <c r="A193" s="5">
        <v>44400</v>
      </c>
      <c r="B193">
        <v>2.6082000000000001</v>
      </c>
      <c r="C193">
        <v>3</v>
      </c>
      <c r="D193">
        <v>2.5653999999999999</v>
      </c>
      <c r="E193">
        <v>2.9279999999999999</v>
      </c>
      <c r="F193">
        <v>5961611.0899999999</v>
      </c>
      <c r="G193">
        <v>2.9279999999999999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0.66866083755177153</v>
      </c>
      <c r="Q193">
        <f t="shared" ref="Q193" si="940">F193*P193</f>
        <v>3986295.8645973294</v>
      </c>
      <c r="R193">
        <f t="shared" ref="R193" si="941">R194+Q193</f>
        <v>123204805.48505205</v>
      </c>
      <c r="S193">
        <f t="shared" ref="S193" si="942">R193/100000</f>
        <v>1232.0480548505204</v>
      </c>
      <c r="T193">
        <f t="shared" si="934"/>
        <v>1.2320480548505204</v>
      </c>
    </row>
    <row r="194" spans="1:20" x14ac:dyDescent="0.25">
      <c r="A194" s="5">
        <v>44399</v>
      </c>
      <c r="B194">
        <v>2.3957999999999999</v>
      </c>
      <c r="C194">
        <v>2.6137000000000001</v>
      </c>
      <c r="D194">
        <v>2.3496999999999999</v>
      </c>
      <c r="E194">
        <v>2.6116999999999999</v>
      </c>
      <c r="F194">
        <v>3963673.35</v>
      </c>
      <c r="G194">
        <v>2.6116999999999999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0.9848484848484832</v>
      </c>
      <c r="Q194">
        <f t="shared" ref="Q194" si="944">F194*P194</f>
        <v>3903617.6931818118</v>
      </c>
      <c r="R194">
        <f t="shared" ref="R194" si="945">R195+Q194</f>
        <v>119218509.62045471</v>
      </c>
      <c r="S194">
        <f t="shared" ref="S194" si="946">R194/100000</f>
        <v>1192.1850962045471</v>
      </c>
      <c r="T194">
        <f t="shared" si="934"/>
        <v>1.192185096204547</v>
      </c>
    </row>
    <row r="195" spans="1:20" x14ac:dyDescent="0.25">
      <c r="A195" s="5">
        <v>44398</v>
      </c>
      <c r="B195">
        <v>2.1886999999999999</v>
      </c>
      <c r="C195">
        <v>2.5219999999999998</v>
      </c>
      <c r="D195">
        <v>2.1080000000000001</v>
      </c>
      <c r="E195">
        <v>2.3946000000000001</v>
      </c>
      <c r="F195">
        <v>3894814.38</v>
      </c>
      <c r="G195">
        <v>2.3946000000000001</v>
      </c>
      <c r="L195" t="s">
        <v>7</v>
      </c>
      <c r="M195" t="s">
        <v>7</v>
      </c>
      <c r="N195" t="s">
        <v>8</v>
      </c>
      <c r="P195">
        <f t="shared" ref="P195" si="947">IF(C195=D195,0,((E195-D195)-(C195-E195))/(C195-D195))</f>
        <v>0.38454106280193318</v>
      </c>
      <c r="Q195">
        <f t="shared" ref="Q195" si="948">F195*P195</f>
        <v>1497716.0611014524</v>
      </c>
      <c r="R195">
        <f t="shared" ref="R195" si="949">R196+Q195</f>
        <v>115314891.9272729</v>
      </c>
      <c r="S195">
        <f t="shared" ref="S195" si="950">R195/100000</f>
        <v>1153.148919272729</v>
      </c>
      <c r="T195">
        <f t="shared" si="934"/>
        <v>1.1531489192727291</v>
      </c>
    </row>
    <row r="196" spans="1:20" x14ac:dyDescent="0.25">
      <c r="A196" s="5">
        <v>44397</v>
      </c>
      <c r="B196">
        <v>2.4169999999999998</v>
      </c>
      <c r="C196">
        <v>2.5924999999999998</v>
      </c>
      <c r="D196">
        <v>2.1244000000000001</v>
      </c>
      <c r="E196">
        <v>2.1936</v>
      </c>
      <c r="F196">
        <v>5383772.3300000001</v>
      </c>
      <c r="G196">
        <v>2.1936</v>
      </c>
      <c r="L196" t="s">
        <v>7</v>
      </c>
      <c r="M196" t="s">
        <v>7</v>
      </c>
      <c r="N196" t="s">
        <v>8</v>
      </c>
      <c r="P196">
        <f t="shared" ref="P196" si="951">IF(C196=D196,0,((E196-D196)-(C196-E196))/(C196-D196))</f>
        <v>-0.70433668019653939</v>
      </c>
      <c r="Q196">
        <f t="shared" ref="Q196" si="952">F196*P196</f>
        <v>-3791988.329846188</v>
      </c>
      <c r="R196">
        <f t="shared" ref="R196" si="953">R197+Q196</f>
        <v>113817175.86617145</v>
      </c>
      <c r="S196">
        <f t="shared" ref="S196" si="954">R196/100000</f>
        <v>1138.1717586617144</v>
      </c>
      <c r="T196">
        <f t="shared" si="934"/>
        <v>1.1381717586617144</v>
      </c>
    </row>
    <row r="197" spans="1:20" x14ac:dyDescent="0.25">
      <c r="A197" s="5">
        <v>44396</v>
      </c>
      <c r="B197">
        <v>2.4952999999999999</v>
      </c>
      <c r="C197">
        <v>2.5121000000000002</v>
      </c>
      <c r="D197">
        <v>2.2025000000000001</v>
      </c>
      <c r="E197">
        <v>2.4150999999999998</v>
      </c>
      <c r="F197">
        <v>3682443.78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0.37338501291989412</v>
      </c>
      <c r="Q197">
        <f t="shared" ref="Q197" si="956">F197*P197</f>
        <v>1374969.3183720836</v>
      </c>
      <c r="R197">
        <f t="shared" ref="R197" si="957">R198+Q197</f>
        <v>117609164.19601764</v>
      </c>
      <c r="S197">
        <f t="shared" ref="S197" si="958">R197/100000</f>
        <v>1176.0916419601763</v>
      </c>
      <c r="T197">
        <f t="shared" si="934"/>
        <v>1.1760916419601763</v>
      </c>
    </row>
    <row r="198" spans="1:20" x14ac:dyDescent="0.25">
      <c r="A198" s="5">
        <v>44395</v>
      </c>
      <c r="B198">
        <v>2.3395000000000001</v>
      </c>
      <c r="C198">
        <v>2.75</v>
      </c>
      <c r="D198">
        <v>2.3073000000000001</v>
      </c>
      <c r="E198">
        <v>2.4964</v>
      </c>
      <c r="F198">
        <v>4868283.42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59">IF(C198=D198,0,((E198-D198)-(C198-E198))/(C198-D198))</f>
        <v>-0.1456968601761921</v>
      </c>
      <c r="Q198">
        <f t="shared" ref="Q198:Q261" si="960">F198*P198</f>
        <v>-709293.60874181427</v>
      </c>
      <c r="R198">
        <f t="shared" ref="R198:R261" si="961">R199+Q198</f>
        <v>116234194.87764555</v>
      </c>
      <c r="S198">
        <f t="shared" ref="S198:S261" si="962">R198/100000</f>
        <v>1162.3419487764554</v>
      </c>
      <c r="T198">
        <f t="shared" ref="T198:T261" si="963">S198/1000</f>
        <v>1.1623419487764555</v>
      </c>
    </row>
    <row r="199" spans="1:20" x14ac:dyDescent="0.25">
      <c r="A199" s="5">
        <v>44394</v>
      </c>
      <c r="B199">
        <v>2.4916999999999998</v>
      </c>
      <c r="C199">
        <v>2.7530999999999999</v>
      </c>
      <c r="D199">
        <v>2.3237000000000001</v>
      </c>
      <c r="E199">
        <v>2.3407</v>
      </c>
      <c r="F199">
        <v>4933151.7</v>
      </c>
      <c r="G199">
        <v>0</v>
      </c>
      <c r="L199" t="s">
        <v>7</v>
      </c>
      <c r="M199" t="s">
        <v>8</v>
      </c>
      <c r="N199" t="s">
        <v>8</v>
      </c>
      <c r="P199">
        <f t="shared" si="959"/>
        <v>-0.92081974848626036</v>
      </c>
      <c r="Q199">
        <f t="shared" si="960"/>
        <v>-4542543.5076385681</v>
      </c>
      <c r="R199">
        <f t="shared" si="961"/>
        <v>116943488.48638737</v>
      </c>
      <c r="S199">
        <f t="shared" si="962"/>
        <v>1169.4348848638738</v>
      </c>
      <c r="T199">
        <f t="shared" si="963"/>
        <v>1.1694348848638738</v>
      </c>
    </row>
    <row r="200" spans="1:20" x14ac:dyDescent="0.25">
      <c r="A200" s="5">
        <v>44393</v>
      </c>
      <c r="B200">
        <v>2.4544999999999999</v>
      </c>
      <c r="C200">
        <v>2.7486000000000002</v>
      </c>
      <c r="D200">
        <v>2.35</v>
      </c>
      <c r="E200">
        <v>2.4916999999999998</v>
      </c>
      <c r="F200">
        <v>5737140.3899999997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-0.28901154039137134</v>
      </c>
      <c r="Q200">
        <f t="shared" si="960"/>
        <v>-1658099.7815554528</v>
      </c>
      <c r="R200">
        <f t="shared" si="961"/>
        <v>121486031.99402595</v>
      </c>
      <c r="S200">
        <f t="shared" si="962"/>
        <v>1214.8603199402594</v>
      </c>
      <c r="T200">
        <f t="shared" si="963"/>
        <v>1.2148603199402594</v>
      </c>
    </row>
    <row r="201" spans="1:20" x14ac:dyDescent="0.25">
      <c r="A201" s="5">
        <v>44392</v>
      </c>
      <c r="B201">
        <v>2.4702000000000002</v>
      </c>
      <c r="C201">
        <v>2.6</v>
      </c>
      <c r="D201">
        <v>2.3431999999999999</v>
      </c>
      <c r="E201">
        <v>2.4498000000000002</v>
      </c>
      <c r="F201">
        <v>4968837.95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-0.16978193146417295</v>
      </c>
      <c r="Q201">
        <f t="shared" si="960"/>
        <v>-843618.90428348165</v>
      </c>
      <c r="R201">
        <f t="shared" si="961"/>
        <v>123144131.7755814</v>
      </c>
      <c r="S201">
        <f t="shared" si="962"/>
        <v>1231.441317755814</v>
      </c>
      <c r="T201">
        <f t="shared" si="963"/>
        <v>1.2314413177558139</v>
      </c>
    </row>
    <row r="202" spans="1:20" x14ac:dyDescent="0.25">
      <c r="A202" s="5">
        <v>44391</v>
      </c>
      <c r="B202">
        <v>2.2951999999999999</v>
      </c>
      <c r="C202">
        <v>2.4900000000000002</v>
      </c>
      <c r="D202">
        <v>2.0880000000000001</v>
      </c>
      <c r="E202">
        <v>2.4742999999999999</v>
      </c>
      <c r="F202">
        <v>3869144.66</v>
      </c>
      <c r="G202">
        <v>0</v>
      </c>
      <c r="L202" t="s">
        <v>7</v>
      </c>
      <c r="M202" t="s">
        <v>8</v>
      </c>
      <c r="N202" t="s">
        <v>8</v>
      </c>
      <c r="P202">
        <f t="shared" si="959"/>
        <v>0.92189054726368025</v>
      </c>
      <c r="Q202">
        <f t="shared" si="960"/>
        <v>3566927.8880497464</v>
      </c>
      <c r="R202">
        <f t="shared" si="961"/>
        <v>123987750.67986488</v>
      </c>
      <c r="S202">
        <f t="shared" si="962"/>
        <v>1239.8775067986489</v>
      </c>
      <c r="T202">
        <f t="shared" si="963"/>
        <v>1.2398775067986489</v>
      </c>
    </row>
    <row r="203" spans="1:20" x14ac:dyDescent="0.25">
      <c r="A203" s="5">
        <v>44390</v>
      </c>
      <c r="B203">
        <v>2.2303000000000002</v>
      </c>
      <c r="C203">
        <v>2.3875000000000002</v>
      </c>
      <c r="D203">
        <v>2.1358999999999999</v>
      </c>
      <c r="E203">
        <v>2.2887</v>
      </c>
      <c r="F203">
        <v>3909225.14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0.21462639109697842</v>
      </c>
      <c r="Q203">
        <f t="shared" si="960"/>
        <v>839022.88378378027</v>
      </c>
      <c r="R203">
        <f t="shared" si="961"/>
        <v>120420822.79181513</v>
      </c>
      <c r="S203">
        <f t="shared" si="962"/>
        <v>1204.2082279181514</v>
      </c>
      <c r="T203">
        <f t="shared" si="963"/>
        <v>1.2042082279181514</v>
      </c>
    </row>
    <row r="204" spans="1:20" x14ac:dyDescent="0.25">
      <c r="A204" s="5">
        <v>44389</v>
      </c>
      <c r="B204">
        <v>2.4605999999999999</v>
      </c>
      <c r="C204">
        <v>2.4643000000000002</v>
      </c>
      <c r="D204">
        <v>2.1903000000000001</v>
      </c>
      <c r="E204">
        <v>2.2307000000000001</v>
      </c>
      <c r="F204">
        <v>2960159.97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-0.70510948905109494</v>
      </c>
      <c r="Q204">
        <f t="shared" si="960"/>
        <v>-2087236.8839562046</v>
      </c>
      <c r="R204">
        <f t="shared" si="961"/>
        <v>119581799.90803134</v>
      </c>
      <c r="S204">
        <f t="shared" si="962"/>
        <v>1195.8179990803135</v>
      </c>
      <c r="T204">
        <f t="shared" si="963"/>
        <v>1.1958179990803135</v>
      </c>
    </row>
    <row r="205" spans="1:20" x14ac:dyDescent="0.25">
      <c r="A205" s="5">
        <v>44388</v>
      </c>
      <c r="B205">
        <v>2.4079999999999999</v>
      </c>
      <c r="C205">
        <v>2.4900000000000002</v>
      </c>
      <c r="D205">
        <v>2.2610999999999999</v>
      </c>
      <c r="E205">
        <v>2.4609999999999999</v>
      </c>
      <c r="F205">
        <v>3755135.66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0.74661424202708326</v>
      </c>
      <c r="Q205">
        <f t="shared" si="960"/>
        <v>2803637.7644997709</v>
      </c>
      <c r="R205">
        <f t="shared" si="961"/>
        <v>121669036.79198755</v>
      </c>
      <c r="S205">
        <f t="shared" si="962"/>
        <v>1216.6903679198756</v>
      </c>
      <c r="T205">
        <f t="shared" si="963"/>
        <v>1.2166903679198755</v>
      </c>
    </row>
    <row r="206" spans="1:20" x14ac:dyDescent="0.25">
      <c r="A206" s="5">
        <v>44387</v>
      </c>
      <c r="B206">
        <v>2.2339000000000002</v>
      </c>
      <c r="C206">
        <v>2.5106000000000002</v>
      </c>
      <c r="D206">
        <v>2.1625000000000001</v>
      </c>
      <c r="E206">
        <v>2.4035000000000002</v>
      </c>
      <c r="F206">
        <v>5808273.1200000001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0.38465958058029331</v>
      </c>
      <c r="Q206">
        <f t="shared" si="960"/>
        <v>2234207.9022349915</v>
      </c>
      <c r="R206">
        <f t="shared" si="961"/>
        <v>118865399.02748778</v>
      </c>
      <c r="S206">
        <f t="shared" si="962"/>
        <v>1188.6539902748777</v>
      </c>
      <c r="T206">
        <f t="shared" si="963"/>
        <v>1.1886539902748778</v>
      </c>
    </row>
    <row r="207" spans="1:20" x14ac:dyDescent="0.25">
      <c r="A207" s="5">
        <v>44386</v>
      </c>
      <c r="B207">
        <v>2.2791999999999999</v>
      </c>
      <c r="C207">
        <v>2.3066</v>
      </c>
      <c r="D207">
        <v>2.0884999999999998</v>
      </c>
      <c r="E207">
        <v>2.2302</v>
      </c>
      <c r="F207">
        <v>6511970.6799999997</v>
      </c>
      <c r="G207">
        <v>0</v>
      </c>
      <c r="L207" t="s">
        <v>8</v>
      </c>
      <c r="M207" t="s">
        <v>8</v>
      </c>
      <c r="N207" t="s">
        <v>8</v>
      </c>
      <c r="P207">
        <f t="shared" si="959"/>
        <v>0.29940394314534652</v>
      </c>
      <c r="Q207">
        <f t="shared" si="960"/>
        <v>1949709.6992388833</v>
      </c>
      <c r="R207">
        <f t="shared" si="961"/>
        <v>116631191.1252528</v>
      </c>
      <c r="S207">
        <f t="shared" si="962"/>
        <v>1166.311911252528</v>
      </c>
      <c r="T207">
        <f t="shared" si="963"/>
        <v>1.166311911252528</v>
      </c>
    </row>
    <row r="208" spans="1:20" x14ac:dyDescent="0.25">
      <c r="A208" s="5">
        <v>44385</v>
      </c>
      <c r="B208">
        <v>2.0125000000000002</v>
      </c>
      <c r="C208">
        <v>2.3873000000000002</v>
      </c>
      <c r="D208">
        <v>1.9187000000000001</v>
      </c>
      <c r="E208">
        <v>2.2726999999999999</v>
      </c>
      <c r="F208">
        <v>10473946.42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0.51088348271446771</v>
      </c>
      <c r="Q208">
        <f t="shared" si="960"/>
        <v>5350966.2248143312</v>
      </c>
      <c r="R208">
        <f t="shared" si="961"/>
        <v>114681481.42601392</v>
      </c>
      <c r="S208">
        <f t="shared" si="962"/>
        <v>1146.8148142601392</v>
      </c>
      <c r="T208">
        <f t="shared" si="963"/>
        <v>1.1468148142601391</v>
      </c>
    </row>
    <row r="209" spans="1:20" x14ac:dyDescent="0.25">
      <c r="A209" s="5">
        <v>44384</v>
      </c>
      <c r="B209">
        <v>2.1659000000000002</v>
      </c>
      <c r="C209">
        <v>2.1850000000000001</v>
      </c>
      <c r="D209">
        <v>1.9951000000000001</v>
      </c>
      <c r="E209">
        <v>2.0122</v>
      </c>
      <c r="F209">
        <v>3294749.78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-0.81990521327014332</v>
      </c>
      <c r="Q209">
        <f t="shared" si="960"/>
        <v>-2701382.5210426576</v>
      </c>
      <c r="R209">
        <f t="shared" si="961"/>
        <v>109330515.20119959</v>
      </c>
      <c r="S209">
        <f t="shared" si="962"/>
        <v>1093.3051520119959</v>
      </c>
      <c r="T209">
        <f t="shared" si="963"/>
        <v>1.0933051520119959</v>
      </c>
    </row>
    <row r="210" spans="1:20" x14ac:dyDescent="0.25">
      <c r="A210" s="5">
        <v>44383</v>
      </c>
      <c r="B210">
        <v>1.8411</v>
      </c>
      <c r="C210">
        <v>2.218</v>
      </c>
      <c r="D210">
        <v>1.8344</v>
      </c>
      <c r="E210">
        <v>2.1680999999999999</v>
      </c>
      <c r="F210">
        <v>5662618.2199999997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0.73983315954118845</v>
      </c>
      <c r="Q210">
        <f t="shared" si="960"/>
        <v>4189392.7289781002</v>
      </c>
      <c r="R210">
        <f t="shared" si="961"/>
        <v>112031897.72224225</v>
      </c>
      <c r="S210">
        <f t="shared" si="962"/>
        <v>1120.3189772224225</v>
      </c>
      <c r="T210">
        <f t="shared" si="963"/>
        <v>1.1203189772224225</v>
      </c>
    </row>
    <row r="211" spans="1:20" x14ac:dyDescent="0.25">
      <c r="A211" s="5">
        <v>44382</v>
      </c>
      <c r="B211">
        <v>1.9057999999999999</v>
      </c>
      <c r="C211">
        <v>2.0649999999999999</v>
      </c>
      <c r="D211">
        <v>1.8184</v>
      </c>
      <c r="E211">
        <v>1.8413999999999999</v>
      </c>
      <c r="F211">
        <v>6428790.8099999996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-0.81346309813463169</v>
      </c>
      <c r="Q211">
        <f t="shared" si="960"/>
        <v>-5229584.0895620482</v>
      </c>
      <c r="R211">
        <f t="shared" si="961"/>
        <v>107842504.99326415</v>
      </c>
      <c r="S211">
        <f t="shared" si="962"/>
        <v>1078.4250499326415</v>
      </c>
      <c r="T211">
        <f t="shared" si="963"/>
        <v>1.0784250499326415</v>
      </c>
    </row>
    <row r="212" spans="1:20" x14ac:dyDescent="0.25">
      <c r="A212" s="5">
        <v>44381</v>
      </c>
      <c r="B212">
        <v>1.7769999999999999</v>
      </c>
      <c r="C212">
        <v>1.9549000000000001</v>
      </c>
      <c r="D212">
        <v>1.6852</v>
      </c>
      <c r="E212">
        <v>1.9068000000000001</v>
      </c>
      <c r="F212">
        <v>3591141.01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0.64330737856877995</v>
      </c>
      <c r="Q212">
        <f t="shared" si="960"/>
        <v>2310207.5092139407</v>
      </c>
      <c r="R212">
        <f t="shared" si="961"/>
        <v>113072089.0828262</v>
      </c>
      <c r="S212">
        <f t="shared" si="962"/>
        <v>1130.7208908282619</v>
      </c>
      <c r="T212">
        <f t="shared" si="963"/>
        <v>1.1307208908282618</v>
      </c>
    </row>
    <row r="213" spans="1:20" x14ac:dyDescent="0.25">
      <c r="A213" s="5">
        <v>44380</v>
      </c>
      <c r="B213">
        <v>1.7244999999999999</v>
      </c>
      <c r="C213">
        <v>1.7853000000000001</v>
      </c>
      <c r="D213">
        <v>1.6839</v>
      </c>
      <c r="E213">
        <v>1.7745</v>
      </c>
      <c r="F213">
        <v>1328781.9099999999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0.78698224852070753</v>
      </c>
      <c r="Q213">
        <f t="shared" si="960"/>
        <v>1045727.7753254403</v>
      </c>
      <c r="R213">
        <f t="shared" si="961"/>
        <v>110761881.57361226</v>
      </c>
      <c r="S213">
        <f t="shared" si="962"/>
        <v>1107.6188157361225</v>
      </c>
      <c r="T213">
        <f t="shared" si="963"/>
        <v>1.1076188157361226</v>
      </c>
    </row>
    <row r="214" spans="1:20" x14ac:dyDescent="0.25">
      <c r="A214" s="5">
        <v>44379</v>
      </c>
      <c r="B214">
        <v>1.6603000000000001</v>
      </c>
      <c r="C214">
        <v>1.7483</v>
      </c>
      <c r="D214">
        <v>1.5843</v>
      </c>
      <c r="E214">
        <v>1.7265999999999999</v>
      </c>
      <c r="F214">
        <v>2243580.59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0.7353658536585358</v>
      </c>
      <c r="Q214">
        <f t="shared" si="960"/>
        <v>1649852.5558170713</v>
      </c>
      <c r="R214">
        <f t="shared" si="961"/>
        <v>109716153.79828681</v>
      </c>
      <c r="S214">
        <f t="shared" si="962"/>
        <v>1097.1615379828681</v>
      </c>
      <c r="T214">
        <f t="shared" si="963"/>
        <v>1.0971615379828681</v>
      </c>
    </row>
    <row r="215" spans="1:20" x14ac:dyDescent="0.25">
      <c r="A215" s="5">
        <v>44378</v>
      </c>
      <c r="B215">
        <v>1.6841999999999999</v>
      </c>
      <c r="C215">
        <v>1.7126999999999999</v>
      </c>
      <c r="D215">
        <v>1.5629</v>
      </c>
      <c r="E215">
        <v>1.6612</v>
      </c>
      <c r="F215">
        <v>3084132.05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0.31241655540721092</v>
      </c>
      <c r="Q215">
        <f t="shared" si="960"/>
        <v>963533.91148197989</v>
      </c>
      <c r="R215">
        <f t="shared" si="961"/>
        <v>108066301.24246974</v>
      </c>
      <c r="S215">
        <f t="shared" si="962"/>
        <v>1080.6630124246974</v>
      </c>
      <c r="T215">
        <f t="shared" si="963"/>
        <v>1.0806630124246974</v>
      </c>
    </row>
    <row r="216" spans="1:20" x14ac:dyDescent="0.25">
      <c r="A216" s="5">
        <v>44377</v>
      </c>
      <c r="B216">
        <v>1.7559</v>
      </c>
      <c r="C216">
        <v>1.8038000000000001</v>
      </c>
      <c r="D216">
        <v>1.5952</v>
      </c>
      <c r="E216">
        <v>1.6831</v>
      </c>
      <c r="F216">
        <v>4024247.5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-0.1572387344199421</v>
      </c>
      <c r="Q216">
        <f t="shared" si="960"/>
        <v>-632767.58389261598</v>
      </c>
      <c r="R216">
        <f t="shared" si="961"/>
        <v>107102767.33098777</v>
      </c>
      <c r="S216">
        <f t="shared" si="962"/>
        <v>1071.0276733098776</v>
      </c>
      <c r="T216">
        <f t="shared" si="963"/>
        <v>1.0710276733098776</v>
      </c>
    </row>
    <row r="217" spans="1:20" x14ac:dyDescent="0.25">
      <c r="A217" s="5">
        <v>44376</v>
      </c>
      <c r="B217">
        <v>1.462</v>
      </c>
      <c r="C217">
        <v>1.7721</v>
      </c>
      <c r="D217">
        <v>1.4554</v>
      </c>
      <c r="E217">
        <v>1.7547999999999999</v>
      </c>
      <c r="F217">
        <v>3297187.66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0.89074834227975941</v>
      </c>
      <c r="Q217">
        <f t="shared" si="960"/>
        <v>2936964.4423302789</v>
      </c>
      <c r="R217">
        <f t="shared" si="961"/>
        <v>107735534.91488038</v>
      </c>
      <c r="S217">
        <f t="shared" si="962"/>
        <v>1077.3553491488037</v>
      </c>
      <c r="T217">
        <f t="shared" si="963"/>
        <v>1.0773553491488037</v>
      </c>
    </row>
    <row r="218" spans="1:20" x14ac:dyDescent="0.25">
      <c r="A218" s="5">
        <v>44375</v>
      </c>
      <c r="B218">
        <v>1.4337</v>
      </c>
      <c r="C218">
        <v>1.5249999999999999</v>
      </c>
      <c r="D218">
        <v>1.4047000000000001</v>
      </c>
      <c r="E218">
        <v>1.4601</v>
      </c>
      <c r="F218">
        <v>1891151.49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-7.8969243557772864E-2</v>
      </c>
      <c r="Q218">
        <f t="shared" si="960"/>
        <v>-149342.80261845505</v>
      </c>
      <c r="R218">
        <f t="shared" si="961"/>
        <v>104798570.47255009</v>
      </c>
      <c r="S218">
        <f t="shared" si="962"/>
        <v>1047.9857047255009</v>
      </c>
      <c r="T218">
        <f t="shared" si="963"/>
        <v>1.047985704725501</v>
      </c>
    </row>
    <row r="219" spans="1:20" x14ac:dyDescent="0.25">
      <c r="A219" s="5">
        <v>44374</v>
      </c>
      <c r="B219">
        <v>1.3332999999999999</v>
      </c>
      <c r="C219">
        <v>1.4357</v>
      </c>
      <c r="D219">
        <v>1.3149999999999999</v>
      </c>
      <c r="E219">
        <v>1.4357</v>
      </c>
      <c r="F219">
        <v>2365447.62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1</v>
      </c>
      <c r="Q219">
        <f t="shared" si="960"/>
        <v>2365447.62</v>
      </c>
      <c r="R219">
        <f t="shared" si="961"/>
        <v>104947913.27516855</v>
      </c>
      <c r="S219">
        <f t="shared" si="962"/>
        <v>1049.4791327516855</v>
      </c>
      <c r="T219">
        <f t="shared" si="963"/>
        <v>1.0494791327516855</v>
      </c>
    </row>
    <row r="220" spans="1:20" x14ac:dyDescent="0.25">
      <c r="A220" s="5">
        <v>44373</v>
      </c>
      <c r="B220">
        <v>1.3474999999999999</v>
      </c>
      <c r="C220">
        <v>1.4</v>
      </c>
      <c r="D220">
        <v>1.2566999999999999</v>
      </c>
      <c r="E220">
        <v>1.3332999999999999</v>
      </c>
      <c r="F220">
        <v>3324971.5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6.9085833914864073E-2</v>
      </c>
      <c r="Q220">
        <f t="shared" si="960"/>
        <v>229708.42882065647</v>
      </c>
      <c r="R220">
        <f t="shared" si="961"/>
        <v>102582465.65516855</v>
      </c>
      <c r="S220">
        <f t="shared" si="962"/>
        <v>1025.8246565516854</v>
      </c>
      <c r="T220">
        <f t="shared" si="963"/>
        <v>1.0258246565516853</v>
      </c>
    </row>
    <row r="221" spans="1:20" x14ac:dyDescent="0.25">
      <c r="A221" s="5">
        <v>44372</v>
      </c>
      <c r="B221">
        <v>1.4513</v>
      </c>
      <c r="C221">
        <v>1.4699</v>
      </c>
      <c r="D221">
        <v>1.3056000000000001</v>
      </c>
      <c r="E221">
        <v>1.35</v>
      </c>
      <c r="F221">
        <v>2937529.94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-0.45952525867315858</v>
      </c>
      <c r="Q221">
        <f t="shared" si="960"/>
        <v>-1349869.2055386479</v>
      </c>
      <c r="R221">
        <f t="shared" si="961"/>
        <v>102352757.22634789</v>
      </c>
      <c r="S221">
        <f t="shared" si="962"/>
        <v>1023.527572263479</v>
      </c>
      <c r="T221">
        <f t="shared" si="963"/>
        <v>1.0235275722634789</v>
      </c>
    </row>
    <row r="222" spans="1:20" x14ac:dyDescent="0.25">
      <c r="A222" s="5">
        <v>44371</v>
      </c>
      <c r="B222">
        <v>1.5724</v>
      </c>
      <c r="C222">
        <v>1.59</v>
      </c>
      <c r="D222">
        <v>1.4309000000000001</v>
      </c>
      <c r="E222">
        <v>1.4521999999999999</v>
      </c>
      <c r="F222">
        <v>4096412.23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-0.73224387177875716</v>
      </c>
      <c r="Q222">
        <f t="shared" si="960"/>
        <v>-2999572.7516970527</v>
      </c>
      <c r="R222">
        <f t="shared" si="961"/>
        <v>103702626.43188654</v>
      </c>
      <c r="S222">
        <f t="shared" si="962"/>
        <v>1037.0262643188653</v>
      </c>
      <c r="T222">
        <f t="shared" si="963"/>
        <v>1.0370262643188652</v>
      </c>
    </row>
    <row r="223" spans="1:20" x14ac:dyDescent="0.25">
      <c r="A223" s="5">
        <v>44370</v>
      </c>
      <c r="B223">
        <v>1.4403999999999999</v>
      </c>
      <c r="C223">
        <v>1.6207</v>
      </c>
      <c r="D223">
        <v>1.3835999999999999</v>
      </c>
      <c r="E223">
        <v>1.5720000000000001</v>
      </c>
      <c r="F223">
        <v>2892949.1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0.5892028679881911</v>
      </c>
      <c r="Q223">
        <f t="shared" si="960"/>
        <v>1704533.9066638562</v>
      </c>
      <c r="R223">
        <f t="shared" si="961"/>
        <v>106702199.18358359</v>
      </c>
      <c r="S223">
        <f t="shared" si="962"/>
        <v>1067.0219918358359</v>
      </c>
      <c r="T223">
        <f t="shared" si="963"/>
        <v>1.0670219918358359</v>
      </c>
    </row>
    <row r="224" spans="1:20" x14ac:dyDescent="0.25">
      <c r="A224" s="5">
        <v>44369</v>
      </c>
      <c r="B224">
        <v>1.4767999999999999</v>
      </c>
      <c r="C224">
        <v>1.5793999999999999</v>
      </c>
      <c r="D224">
        <v>1.24</v>
      </c>
      <c r="E224">
        <v>1.4452</v>
      </c>
      <c r="F224">
        <v>5529138.79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0.20919269298762577</v>
      </c>
      <c r="Q224">
        <f t="shared" si="960"/>
        <v>1156655.4333824427</v>
      </c>
      <c r="R224">
        <f t="shared" si="961"/>
        <v>104997665.27691974</v>
      </c>
      <c r="S224">
        <f t="shared" si="962"/>
        <v>1049.9766527691975</v>
      </c>
      <c r="T224">
        <f t="shared" si="963"/>
        <v>1.0499766527691974</v>
      </c>
    </row>
    <row r="225" spans="1:20" x14ac:dyDescent="0.25">
      <c r="A225" s="5">
        <v>44368</v>
      </c>
      <c r="B225">
        <v>1.7825</v>
      </c>
      <c r="C225">
        <v>1.8174999999999999</v>
      </c>
      <c r="D225">
        <v>1.4650000000000001</v>
      </c>
      <c r="E225">
        <v>1.4792000000000001</v>
      </c>
      <c r="F225">
        <v>6017808.2699999996</v>
      </c>
      <c r="G225">
        <v>0</v>
      </c>
      <c r="L225" t="s">
        <v>7</v>
      </c>
      <c r="M225" t="s">
        <v>7</v>
      </c>
      <c r="N225" t="s">
        <v>8</v>
      </c>
      <c r="P225">
        <f t="shared" si="959"/>
        <v>-0.91943262411347515</v>
      </c>
      <c r="Q225">
        <f t="shared" si="960"/>
        <v>-5532969.2490978716</v>
      </c>
      <c r="R225">
        <f t="shared" si="961"/>
        <v>103841009.8435373</v>
      </c>
      <c r="S225">
        <f t="shared" si="962"/>
        <v>1038.4100984353729</v>
      </c>
      <c r="T225">
        <f t="shared" si="963"/>
        <v>1.0384100984353728</v>
      </c>
    </row>
    <row r="226" spans="1:20" x14ac:dyDescent="0.25">
      <c r="A226" s="5">
        <v>44367</v>
      </c>
      <c r="B226">
        <v>1.7391000000000001</v>
      </c>
      <c r="C226">
        <v>1.7907999999999999</v>
      </c>
      <c r="D226">
        <v>1.611</v>
      </c>
      <c r="E226">
        <v>1.7834000000000001</v>
      </c>
      <c r="F226">
        <v>2778752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0.91768631813125856</v>
      </c>
      <c r="Q226">
        <f t="shared" si="960"/>
        <v>2550022.6918798708</v>
      </c>
      <c r="R226">
        <f t="shared" si="961"/>
        <v>109373979.09263517</v>
      </c>
      <c r="S226">
        <f t="shared" si="962"/>
        <v>1093.7397909263516</v>
      </c>
      <c r="T226">
        <f t="shared" si="963"/>
        <v>1.0937397909263515</v>
      </c>
    </row>
    <row r="227" spans="1:20" x14ac:dyDescent="0.25">
      <c r="A227" s="5">
        <v>44366</v>
      </c>
      <c r="B227">
        <v>1.8294999999999999</v>
      </c>
      <c r="C227">
        <v>1.8935</v>
      </c>
      <c r="D227">
        <v>1.7325999999999999</v>
      </c>
      <c r="E227">
        <v>1.7401</v>
      </c>
      <c r="F227">
        <v>2414135.62</v>
      </c>
      <c r="G227">
        <v>0</v>
      </c>
      <c r="L227" t="s">
        <v>8</v>
      </c>
      <c r="M227" t="s">
        <v>8</v>
      </c>
      <c r="N227" t="s">
        <v>8</v>
      </c>
      <c r="P227">
        <f t="shared" si="959"/>
        <v>-0.90677439403356042</v>
      </c>
      <c r="Q227">
        <f t="shared" si="960"/>
        <v>-2189076.3639403339</v>
      </c>
      <c r="R227">
        <f t="shared" si="961"/>
        <v>106823956.4007553</v>
      </c>
      <c r="S227">
        <f t="shared" si="962"/>
        <v>1068.2395640075531</v>
      </c>
      <c r="T227">
        <f t="shared" si="963"/>
        <v>1.068239564007553</v>
      </c>
    </row>
    <row r="228" spans="1:20" x14ac:dyDescent="0.25">
      <c r="A228" s="5">
        <v>44365</v>
      </c>
      <c r="B228">
        <v>1.9308000000000001</v>
      </c>
      <c r="C228">
        <v>1.9770000000000001</v>
      </c>
      <c r="D228">
        <v>1.7330000000000001</v>
      </c>
      <c r="E228">
        <v>1.8287</v>
      </c>
      <c r="F228">
        <v>11342456.83</v>
      </c>
      <c r="G228">
        <v>0</v>
      </c>
      <c r="L228" t="s">
        <v>7</v>
      </c>
      <c r="M228" t="s">
        <v>8</v>
      </c>
      <c r="N228" t="s">
        <v>8</v>
      </c>
      <c r="P228">
        <f t="shared" si="959"/>
        <v>-0.21557377049180412</v>
      </c>
      <c r="Q228">
        <f t="shared" si="960"/>
        <v>-2445136.1854836163</v>
      </c>
      <c r="R228">
        <f t="shared" si="961"/>
        <v>109013032.76469563</v>
      </c>
      <c r="S228">
        <f t="shared" si="962"/>
        <v>1090.1303276469564</v>
      </c>
      <c r="T228">
        <f t="shared" si="963"/>
        <v>1.0901303276469565</v>
      </c>
    </row>
    <row r="229" spans="1:20" x14ac:dyDescent="0.25">
      <c r="A229" s="5">
        <v>44364</v>
      </c>
      <c r="B229">
        <v>1.8327</v>
      </c>
      <c r="C229">
        <v>1.9850000000000001</v>
      </c>
      <c r="D229">
        <v>1.8056000000000001</v>
      </c>
      <c r="E229">
        <v>1.9307000000000001</v>
      </c>
      <c r="F229">
        <v>3641727.41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0.39464882943143798</v>
      </c>
      <c r="Q229">
        <f t="shared" si="960"/>
        <v>1437203.4594648825</v>
      </c>
      <c r="R229">
        <f t="shared" si="961"/>
        <v>111458168.95017925</v>
      </c>
      <c r="S229">
        <f t="shared" si="962"/>
        <v>1114.5816895017924</v>
      </c>
      <c r="T229">
        <f t="shared" si="963"/>
        <v>1.1145816895017924</v>
      </c>
    </row>
    <row r="230" spans="1:20" x14ac:dyDescent="0.25">
      <c r="A230" s="5">
        <v>44363</v>
      </c>
      <c r="B230">
        <v>1.8164</v>
      </c>
      <c r="C230">
        <v>1.9391</v>
      </c>
      <c r="D230">
        <v>1.7842</v>
      </c>
      <c r="E230">
        <v>1.8307</v>
      </c>
      <c r="F230">
        <v>6309146.3200000003</v>
      </c>
      <c r="G230">
        <v>0</v>
      </c>
      <c r="L230" t="s">
        <v>8</v>
      </c>
      <c r="M230" t="s">
        <v>8</v>
      </c>
      <c r="N230" t="s">
        <v>8</v>
      </c>
      <c r="P230">
        <f t="shared" si="959"/>
        <v>-0.39961265332472595</v>
      </c>
      <c r="Q230">
        <f t="shared" si="960"/>
        <v>-2521214.7011491307</v>
      </c>
      <c r="R230">
        <f t="shared" si="961"/>
        <v>110020965.49071437</v>
      </c>
      <c r="S230">
        <f t="shared" si="962"/>
        <v>1100.2096549071437</v>
      </c>
      <c r="T230">
        <f t="shared" si="963"/>
        <v>1.1002096549071436</v>
      </c>
    </row>
    <row r="231" spans="1:20" x14ac:dyDescent="0.25">
      <c r="A231" s="5">
        <v>44362</v>
      </c>
      <c r="B231">
        <v>1.619</v>
      </c>
      <c r="C231">
        <v>1.8987000000000001</v>
      </c>
      <c r="D231">
        <v>1.5980000000000001</v>
      </c>
      <c r="E231">
        <v>1.8156000000000001</v>
      </c>
      <c r="F231">
        <v>6436745.7300000004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0.44728965746591315</v>
      </c>
      <c r="Q231">
        <f t="shared" si="960"/>
        <v>2879089.7927668793</v>
      </c>
      <c r="R231">
        <f t="shared" si="961"/>
        <v>112542180.19186351</v>
      </c>
      <c r="S231">
        <f t="shared" si="962"/>
        <v>1125.4218019186351</v>
      </c>
      <c r="T231">
        <f t="shared" si="963"/>
        <v>1.1254218019186351</v>
      </c>
    </row>
    <row r="232" spans="1:20" x14ac:dyDescent="0.25">
      <c r="A232" s="5">
        <v>44361</v>
      </c>
      <c r="B232">
        <v>1.5249999999999999</v>
      </c>
      <c r="C232">
        <v>1.6319999999999999</v>
      </c>
      <c r="D232">
        <v>1.502</v>
      </c>
      <c r="E232">
        <v>1.6175999999999999</v>
      </c>
      <c r="F232">
        <v>2520472.85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0.77846153846153876</v>
      </c>
      <c r="Q232">
        <f t="shared" si="960"/>
        <v>1962091.1724615393</v>
      </c>
      <c r="R232">
        <f t="shared" si="961"/>
        <v>109663090.39909662</v>
      </c>
      <c r="S232">
        <f t="shared" si="962"/>
        <v>1096.6309039909663</v>
      </c>
      <c r="T232">
        <f t="shared" si="963"/>
        <v>1.0966309039909663</v>
      </c>
    </row>
    <row r="233" spans="1:20" x14ac:dyDescent="0.25">
      <c r="A233" s="5">
        <v>44360</v>
      </c>
      <c r="B233">
        <v>1.4378</v>
      </c>
      <c r="C233">
        <v>1.5499000000000001</v>
      </c>
      <c r="D233">
        <v>1.4137</v>
      </c>
      <c r="E233">
        <v>1.5264</v>
      </c>
      <c r="F233">
        <v>2933082.92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0.65491923641703287</v>
      </c>
      <c r="Q233">
        <f t="shared" si="960"/>
        <v>1920932.426314241</v>
      </c>
      <c r="R233">
        <f t="shared" si="961"/>
        <v>107700999.22663508</v>
      </c>
      <c r="S233">
        <f t="shared" si="962"/>
        <v>1077.0099922663508</v>
      </c>
      <c r="T233">
        <f t="shared" si="963"/>
        <v>1.0770099922663507</v>
      </c>
    </row>
    <row r="234" spans="1:20" x14ac:dyDescent="0.25">
      <c r="A234" s="5">
        <v>44359</v>
      </c>
      <c r="B234">
        <v>1.4656</v>
      </c>
      <c r="C234">
        <v>1.5142</v>
      </c>
      <c r="D234">
        <v>1.3382000000000001</v>
      </c>
      <c r="E234">
        <v>1.4362999999999999</v>
      </c>
      <c r="F234">
        <v>2625482.0699999998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0.11477272727272603</v>
      </c>
      <c r="Q234">
        <f t="shared" si="960"/>
        <v>301333.73757954215</v>
      </c>
      <c r="R234">
        <f t="shared" si="961"/>
        <v>105780066.80032085</v>
      </c>
      <c r="S234">
        <f t="shared" si="962"/>
        <v>1057.8006680032086</v>
      </c>
      <c r="T234">
        <f t="shared" si="963"/>
        <v>1.0578006680032086</v>
      </c>
    </row>
    <row r="235" spans="1:20" x14ac:dyDescent="0.25">
      <c r="A235" s="5">
        <v>44358</v>
      </c>
      <c r="B235">
        <v>1.4957</v>
      </c>
      <c r="C235">
        <v>1.5546</v>
      </c>
      <c r="D235">
        <v>1.4215</v>
      </c>
      <c r="E235">
        <v>1.4603999999999999</v>
      </c>
      <c r="F235">
        <v>2519175.84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-0.41547708489857349</v>
      </c>
      <c r="Q235">
        <f t="shared" si="960"/>
        <v>-1046659.8343501152</v>
      </c>
      <c r="R235">
        <f t="shared" si="961"/>
        <v>105478733.06274131</v>
      </c>
      <c r="S235">
        <f t="shared" si="962"/>
        <v>1054.787330627413</v>
      </c>
      <c r="T235">
        <f t="shared" si="963"/>
        <v>1.0547873306274129</v>
      </c>
    </row>
    <row r="236" spans="1:20" x14ac:dyDescent="0.25">
      <c r="A236" s="5">
        <v>44357</v>
      </c>
      <c r="B236">
        <v>1.5965</v>
      </c>
      <c r="C236">
        <v>1.5991</v>
      </c>
      <c r="D236">
        <v>1.4650000000000001</v>
      </c>
      <c r="E236">
        <v>1.4934000000000001</v>
      </c>
      <c r="F236">
        <v>1976165.68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-0.57643549589858312</v>
      </c>
      <c r="Q236">
        <f t="shared" si="960"/>
        <v>-1139132.0437285607</v>
      </c>
      <c r="R236">
        <f t="shared" si="961"/>
        <v>106525392.89709142</v>
      </c>
      <c r="S236">
        <f t="shared" si="962"/>
        <v>1065.2539289709141</v>
      </c>
      <c r="T236">
        <f t="shared" si="963"/>
        <v>1.0652539289709142</v>
      </c>
    </row>
    <row r="237" spans="1:20" x14ac:dyDescent="0.25">
      <c r="A237" s="5">
        <v>44356</v>
      </c>
      <c r="B237">
        <v>1.468</v>
      </c>
      <c r="C237">
        <v>1.5964</v>
      </c>
      <c r="D237">
        <v>1.3671</v>
      </c>
      <c r="E237">
        <v>1.595</v>
      </c>
      <c r="F237">
        <v>3218433.09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0.98778892280854713</v>
      </c>
      <c r="Q237">
        <f t="shared" si="960"/>
        <v>3179132.5551024838</v>
      </c>
      <c r="R237">
        <f t="shared" si="961"/>
        <v>107664524.94081998</v>
      </c>
      <c r="S237">
        <f t="shared" si="962"/>
        <v>1076.6452494081998</v>
      </c>
      <c r="T237">
        <f t="shared" si="963"/>
        <v>1.0766452494081997</v>
      </c>
    </row>
    <row r="238" spans="1:20" x14ac:dyDescent="0.25">
      <c r="A238" s="5">
        <v>44355</v>
      </c>
      <c r="B238">
        <v>1.5188999999999999</v>
      </c>
      <c r="C238">
        <v>1.5475000000000001</v>
      </c>
      <c r="D238">
        <v>1.3213999999999999</v>
      </c>
      <c r="E238">
        <v>1.47</v>
      </c>
      <c r="F238">
        <v>4778341.55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0.31446262715612511</v>
      </c>
      <c r="Q238">
        <f t="shared" si="960"/>
        <v>1502609.837262271</v>
      </c>
      <c r="R238">
        <f t="shared" si="961"/>
        <v>104485392.3857175</v>
      </c>
      <c r="S238">
        <f t="shared" si="962"/>
        <v>1044.853923857175</v>
      </c>
      <c r="T238">
        <f t="shared" si="963"/>
        <v>1.044853923857175</v>
      </c>
    </row>
    <row r="239" spans="1:20" x14ac:dyDescent="0.25">
      <c r="A239" s="5">
        <v>44354</v>
      </c>
      <c r="B239">
        <v>1.6581999999999999</v>
      </c>
      <c r="C239">
        <v>1.7267999999999999</v>
      </c>
      <c r="D239">
        <v>1.5</v>
      </c>
      <c r="E239">
        <v>1.5188999999999999</v>
      </c>
      <c r="F239">
        <v>2774506.48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-0.83333333333333404</v>
      </c>
      <c r="Q239">
        <f t="shared" si="960"/>
        <v>-2312088.7333333353</v>
      </c>
      <c r="R239">
        <f t="shared" si="961"/>
        <v>102982782.54845522</v>
      </c>
      <c r="S239">
        <f t="shared" si="962"/>
        <v>1029.8278254845522</v>
      </c>
      <c r="T239">
        <f t="shared" si="963"/>
        <v>1.0298278254845523</v>
      </c>
    </row>
    <row r="240" spans="1:20" x14ac:dyDescent="0.25">
      <c r="A240" s="5">
        <v>44353</v>
      </c>
      <c r="B240">
        <v>1.6137999999999999</v>
      </c>
      <c r="C240">
        <v>1.6657</v>
      </c>
      <c r="D240">
        <v>1.5907</v>
      </c>
      <c r="E240">
        <v>1.6586000000000001</v>
      </c>
      <c r="F240">
        <v>1680737.54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0.81066666666666964</v>
      </c>
      <c r="Q240">
        <f t="shared" si="960"/>
        <v>1362517.8990933383</v>
      </c>
      <c r="R240">
        <f t="shared" si="961"/>
        <v>105294871.28178856</v>
      </c>
      <c r="S240">
        <f t="shared" si="962"/>
        <v>1052.9487128178855</v>
      </c>
      <c r="T240">
        <f t="shared" si="963"/>
        <v>1.0529487128178856</v>
      </c>
    </row>
    <row r="241" spans="1:20" x14ac:dyDescent="0.25">
      <c r="A241" s="5">
        <v>44352</v>
      </c>
      <c r="B241">
        <v>1.6850000000000001</v>
      </c>
      <c r="C241">
        <v>1.7999000000000001</v>
      </c>
      <c r="D241">
        <v>1.55</v>
      </c>
      <c r="E241">
        <v>1.6142000000000001</v>
      </c>
      <c r="F241">
        <v>4141134.37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-0.48619447779111619</v>
      </c>
      <c r="Q241">
        <f t="shared" si="960"/>
        <v>-2013396.662484993</v>
      </c>
      <c r="R241">
        <f t="shared" si="961"/>
        <v>103932353.38269521</v>
      </c>
      <c r="S241">
        <f t="shared" si="962"/>
        <v>1039.3235338269521</v>
      </c>
      <c r="T241">
        <f t="shared" si="963"/>
        <v>1.0393235338269522</v>
      </c>
    </row>
    <row r="242" spans="1:20" x14ac:dyDescent="0.25">
      <c r="A242" s="5">
        <v>44351</v>
      </c>
      <c r="B242">
        <v>1.7890999999999999</v>
      </c>
      <c r="C242">
        <v>1.8170999999999999</v>
      </c>
      <c r="D242">
        <v>1.5438000000000001</v>
      </c>
      <c r="E242">
        <v>1.6846000000000001</v>
      </c>
      <c r="F242">
        <v>3562214.58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3.0369557263081593E-2</v>
      </c>
      <c r="Q242">
        <f t="shared" si="960"/>
        <v>108182.87967069415</v>
      </c>
      <c r="R242">
        <f t="shared" si="961"/>
        <v>105945750.0451802</v>
      </c>
      <c r="S242">
        <f t="shared" si="962"/>
        <v>1059.4575004518019</v>
      </c>
      <c r="T242">
        <f t="shared" si="963"/>
        <v>1.0594575004518019</v>
      </c>
    </row>
    <row r="243" spans="1:20" x14ac:dyDescent="0.25">
      <c r="A243" s="5">
        <v>44350</v>
      </c>
      <c r="B243">
        <v>1.6876</v>
      </c>
      <c r="C243">
        <v>1.8277000000000001</v>
      </c>
      <c r="D243">
        <v>1.6254999999999999</v>
      </c>
      <c r="E243">
        <v>1.7886</v>
      </c>
      <c r="F243">
        <v>4610558.8899999997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0.6132542037586538</v>
      </c>
      <c r="Q243">
        <f t="shared" si="960"/>
        <v>2827444.6209693323</v>
      </c>
      <c r="R243">
        <f t="shared" si="961"/>
        <v>105837567.16550951</v>
      </c>
      <c r="S243">
        <f t="shared" si="962"/>
        <v>1058.3756716550952</v>
      </c>
      <c r="T243">
        <f t="shared" si="963"/>
        <v>1.0583756716550952</v>
      </c>
    </row>
    <row r="244" spans="1:20" x14ac:dyDescent="0.25">
      <c r="A244" s="5">
        <v>44349</v>
      </c>
      <c r="B244">
        <v>1.7117</v>
      </c>
      <c r="C244">
        <v>1.7533000000000001</v>
      </c>
      <c r="D244">
        <v>1.621</v>
      </c>
      <c r="E244">
        <v>1.6858</v>
      </c>
      <c r="F244">
        <v>5882889.6900000004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-2.0408163265307217E-2</v>
      </c>
      <c r="Q244">
        <f t="shared" si="960"/>
        <v>-120058.97326531257</v>
      </c>
      <c r="R244">
        <f t="shared" si="961"/>
        <v>103010122.54454018</v>
      </c>
      <c r="S244">
        <f t="shared" si="962"/>
        <v>1030.1012254454017</v>
      </c>
      <c r="T244">
        <f t="shared" si="963"/>
        <v>1.0301012254454016</v>
      </c>
    </row>
    <row r="245" spans="1:20" x14ac:dyDescent="0.25">
      <c r="A245" s="5">
        <v>44348</v>
      </c>
      <c r="B245">
        <v>1.51</v>
      </c>
      <c r="C245">
        <v>1.7430000000000001</v>
      </c>
      <c r="D245">
        <v>1.4330000000000001</v>
      </c>
      <c r="E245">
        <v>1.7117</v>
      </c>
      <c r="F245">
        <v>8814848.0700000003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0.79806451612903162</v>
      </c>
      <c r="Q245">
        <f t="shared" si="960"/>
        <v>7034817.4597354783</v>
      </c>
      <c r="R245">
        <f t="shared" si="961"/>
        <v>103130181.51780549</v>
      </c>
      <c r="S245">
        <f t="shared" si="962"/>
        <v>1031.3018151780548</v>
      </c>
      <c r="T245">
        <f t="shared" si="963"/>
        <v>1.0313018151780549</v>
      </c>
    </row>
    <row r="246" spans="1:20" x14ac:dyDescent="0.25">
      <c r="A246" s="5">
        <v>44347</v>
      </c>
      <c r="B246">
        <v>1.4483999999999999</v>
      </c>
      <c r="C246">
        <v>1.5344</v>
      </c>
      <c r="D246">
        <v>1.3413999999999999</v>
      </c>
      <c r="E246">
        <v>1.5135000000000001</v>
      </c>
      <c r="F246">
        <v>3939393.54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0.78341968911917192</v>
      </c>
      <c r="Q246">
        <f t="shared" si="960"/>
        <v>3086198.4624248743</v>
      </c>
      <c r="R246">
        <f t="shared" si="961"/>
        <v>96095364.058070004</v>
      </c>
      <c r="S246">
        <f t="shared" si="962"/>
        <v>960.95364058070004</v>
      </c>
      <c r="T246">
        <f t="shared" si="963"/>
        <v>0.96095364058069999</v>
      </c>
    </row>
    <row r="247" spans="1:20" x14ac:dyDescent="0.25">
      <c r="A247" s="5">
        <v>44346</v>
      </c>
      <c r="B247">
        <v>1.4076</v>
      </c>
      <c r="C247">
        <v>1.4932000000000001</v>
      </c>
      <c r="D247">
        <v>1.3259000000000001</v>
      </c>
      <c r="E247">
        <v>1.4492</v>
      </c>
      <c r="F247">
        <v>4080813.82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0.47399880454273713</v>
      </c>
      <c r="Q247">
        <f t="shared" si="960"/>
        <v>1934300.8722414803</v>
      </c>
      <c r="R247">
        <f t="shared" si="961"/>
        <v>93009165.59564513</v>
      </c>
      <c r="S247">
        <f t="shared" si="962"/>
        <v>930.09165595645129</v>
      </c>
      <c r="T247">
        <f t="shared" si="963"/>
        <v>0.93009165595645127</v>
      </c>
    </row>
    <row r="248" spans="1:20" x14ac:dyDescent="0.25">
      <c r="A248" s="5">
        <v>44345</v>
      </c>
      <c r="B248">
        <v>1.3247</v>
      </c>
      <c r="C248">
        <v>1.4370000000000001</v>
      </c>
      <c r="D248">
        <v>1.2202999999999999</v>
      </c>
      <c r="E248">
        <v>1.4086000000000001</v>
      </c>
      <c r="F248">
        <v>4582478.8099999996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0.73788647900323057</v>
      </c>
      <c r="Q248">
        <f t="shared" si="960"/>
        <v>3381349.1542178136</v>
      </c>
      <c r="R248">
        <f t="shared" si="961"/>
        <v>91074864.723403648</v>
      </c>
      <c r="S248">
        <f t="shared" si="962"/>
        <v>910.74864723403653</v>
      </c>
      <c r="T248">
        <f t="shared" si="963"/>
        <v>0.91074864723403648</v>
      </c>
    </row>
    <row r="249" spans="1:20" x14ac:dyDescent="0.25">
      <c r="A249" s="5">
        <v>44344</v>
      </c>
      <c r="B249">
        <v>1.4931000000000001</v>
      </c>
      <c r="C249">
        <v>1.51</v>
      </c>
      <c r="D249">
        <v>1.2566999999999999</v>
      </c>
      <c r="E249">
        <v>1.3224</v>
      </c>
      <c r="F249">
        <v>5612100.8799999999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-0.48124753257007447</v>
      </c>
      <c r="Q249">
        <f t="shared" si="960"/>
        <v>-2700809.7010343433</v>
      </c>
      <c r="R249">
        <f t="shared" si="961"/>
        <v>87693515.569185838</v>
      </c>
      <c r="S249">
        <f t="shared" si="962"/>
        <v>876.93515569185843</v>
      </c>
      <c r="T249">
        <f t="shared" si="963"/>
        <v>0.87693515569185843</v>
      </c>
    </row>
    <row r="250" spans="1:20" x14ac:dyDescent="0.25">
      <c r="A250" s="5">
        <v>44343</v>
      </c>
      <c r="B250">
        <v>1.5993999999999999</v>
      </c>
      <c r="C250">
        <v>1.6365000000000001</v>
      </c>
      <c r="D250">
        <v>1.4354</v>
      </c>
      <c r="E250">
        <v>1.4931000000000001</v>
      </c>
      <c r="F250">
        <v>4562431.49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-0.42615614122327133</v>
      </c>
      <c r="Q250">
        <f t="shared" si="960"/>
        <v>-1944308.1983739403</v>
      </c>
      <c r="R250">
        <f t="shared" si="961"/>
        <v>90394325.270220175</v>
      </c>
      <c r="S250">
        <f t="shared" si="962"/>
        <v>903.94325270220179</v>
      </c>
      <c r="T250">
        <f t="shared" si="963"/>
        <v>0.90394325270220177</v>
      </c>
    </row>
    <row r="251" spans="1:20" x14ac:dyDescent="0.25">
      <c r="A251" s="5">
        <v>44342</v>
      </c>
      <c r="B251">
        <v>1.5394000000000001</v>
      </c>
      <c r="C251">
        <v>1.6140000000000001</v>
      </c>
      <c r="D251">
        <v>1.4539</v>
      </c>
      <c r="E251">
        <v>1.6023000000000001</v>
      </c>
      <c r="F251">
        <v>5419348.8499999996</v>
      </c>
      <c r="G251">
        <v>0</v>
      </c>
      <c r="L251" t="s">
        <v>8</v>
      </c>
      <c r="M251" t="s">
        <v>7</v>
      </c>
      <c r="N251" t="s">
        <v>8</v>
      </c>
      <c r="P251">
        <f t="shared" si="959"/>
        <v>0.85384134915677656</v>
      </c>
      <c r="Q251">
        <f t="shared" si="960"/>
        <v>4627264.1336352248</v>
      </c>
      <c r="R251">
        <f t="shared" si="961"/>
        <v>92338633.468594119</v>
      </c>
      <c r="S251">
        <f t="shared" si="962"/>
        <v>923.38633468594116</v>
      </c>
      <c r="T251">
        <f t="shared" si="963"/>
        <v>0.92338633468594111</v>
      </c>
    </row>
    <row r="252" spans="1:20" x14ac:dyDescent="0.25">
      <c r="A252" s="5">
        <v>44341</v>
      </c>
      <c r="B252">
        <v>1.6229</v>
      </c>
      <c r="C252">
        <v>1.67</v>
      </c>
      <c r="D252">
        <v>1.3856999999999999</v>
      </c>
      <c r="E252">
        <v>1.5414000000000001</v>
      </c>
      <c r="F252">
        <v>5362305.09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9.5321843123462355E-2</v>
      </c>
      <c r="Q252">
        <f t="shared" si="960"/>
        <v>511144.80456912366</v>
      </c>
      <c r="R252">
        <f t="shared" si="961"/>
        <v>87711369.334958896</v>
      </c>
      <c r="S252">
        <f t="shared" si="962"/>
        <v>877.11369334958897</v>
      </c>
      <c r="T252">
        <f t="shared" si="963"/>
        <v>0.877113693349589</v>
      </c>
    </row>
    <row r="253" spans="1:20" x14ac:dyDescent="0.25">
      <c r="A253" s="5">
        <v>44340</v>
      </c>
      <c r="B253">
        <v>1.2847</v>
      </c>
      <c r="C253">
        <v>1.65</v>
      </c>
      <c r="D253">
        <v>1.2445999999999999</v>
      </c>
      <c r="E253">
        <v>1.6227</v>
      </c>
      <c r="F253">
        <v>11560513.57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0.86531820424272388</v>
      </c>
      <c r="Q253">
        <f t="shared" si="960"/>
        <v>10003522.84251604</v>
      </c>
      <c r="R253">
        <f t="shared" si="961"/>
        <v>87200224.530389771</v>
      </c>
      <c r="S253">
        <f t="shared" si="962"/>
        <v>872.00224530389767</v>
      </c>
      <c r="T253">
        <f t="shared" si="963"/>
        <v>0.87200224530389769</v>
      </c>
    </row>
    <row r="254" spans="1:20" x14ac:dyDescent="0.25">
      <c r="A254" s="5">
        <v>44339</v>
      </c>
      <c r="B254">
        <v>1.429</v>
      </c>
      <c r="C254">
        <v>1.4937</v>
      </c>
      <c r="D254">
        <v>1.0036</v>
      </c>
      <c r="E254">
        <v>1.2847</v>
      </c>
      <c r="F254">
        <v>9109906.7799999993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0.14711283411548629</v>
      </c>
      <c r="Q254">
        <f t="shared" si="960"/>
        <v>1340184.2049336836</v>
      </c>
      <c r="R254">
        <f t="shared" si="961"/>
        <v>77196701.687873736</v>
      </c>
      <c r="S254">
        <f t="shared" si="962"/>
        <v>771.96701687873735</v>
      </c>
      <c r="T254">
        <f t="shared" si="963"/>
        <v>0.77196701687873737</v>
      </c>
    </row>
    <row r="255" spans="1:20" x14ac:dyDescent="0.25">
      <c r="A255" s="5">
        <v>44338</v>
      </c>
      <c r="B255">
        <v>1.3714999999999999</v>
      </c>
      <c r="C255">
        <v>1.5702</v>
      </c>
      <c r="D255">
        <v>1.23</v>
      </c>
      <c r="E255">
        <v>1.4240999999999999</v>
      </c>
      <c r="F255">
        <v>7362119.29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0.1410934744268072</v>
      </c>
      <c r="Q255">
        <f t="shared" si="960"/>
        <v>1038746.989770719</v>
      </c>
      <c r="R255">
        <f t="shared" si="961"/>
        <v>75856517.482940048</v>
      </c>
      <c r="S255">
        <f t="shared" si="962"/>
        <v>758.56517482940046</v>
      </c>
      <c r="T255">
        <f t="shared" si="963"/>
        <v>0.75856517482940045</v>
      </c>
    </row>
    <row r="256" spans="1:20" x14ac:dyDescent="0.25">
      <c r="A256" s="5">
        <v>44337</v>
      </c>
      <c r="B256">
        <v>1.5696000000000001</v>
      </c>
      <c r="C256">
        <v>1.6194999999999999</v>
      </c>
      <c r="D256">
        <v>1.202</v>
      </c>
      <c r="E256">
        <v>1.3745000000000001</v>
      </c>
      <c r="F256">
        <v>6400593.2599999998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-0.17365269461077795</v>
      </c>
      <c r="Q256">
        <f t="shared" si="960"/>
        <v>-1111480.2667065836</v>
      </c>
      <c r="R256">
        <f t="shared" si="961"/>
        <v>74817770.493169323</v>
      </c>
      <c r="S256">
        <f t="shared" si="962"/>
        <v>748.17770493169326</v>
      </c>
      <c r="T256">
        <f t="shared" si="963"/>
        <v>0.74817770493169322</v>
      </c>
    </row>
    <row r="257" spans="1:20" x14ac:dyDescent="0.25">
      <c r="A257" s="5">
        <v>44336</v>
      </c>
      <c r="B257">
        <v>1.26</v>
      </c>
      <c r="C257">
        <v>1.6348</v>
      </c>
      <c r="D257">
        <v>1.1632</v>
      </c>
      <c r="E257">
        <v>1.5697000000000001</v>
      </c>
      <c r="F257">
        <v>8990000.7100000009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0.72391857506361357</v>
      </c>
      <c r="Q257">
        <f t="shared" si="960"/>
        <v>6508028.5038040746</v>
      </c>
      <c r="R257">
        <f t="shared" si="961"/>
        <v>75929250.759875908</v>
      </c>
      <c r="S257">
        <f t="shared" si="962"/>
        <v>759.29250759875913</v>
      </c>
      <c r="T257">
        <f t="shared" si="963"/>
        <v>0.7592925075987591</v>
      </c>
    </row>
    <row r="258" spans="1:20" x14ac:dyDescent="0.25">
      <c r="A258" s="5">
        <v>44335</v>
      </c>
      <c r="B258">
        <v>1.9188000000000001</v>
      </c>
      <c r="C258">
        <v>1.9590000000000001</v>
      </c>
      <c r="D258">
        <v>0.94650000000000001</v>
      </c>
      <c r="E258">
        <v>1.26</v>
      </c>
      <c r="F258">
        <v>11409184.4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-0.38074074074074071</v>
      </c>
      <c r="Q258">
        <f t="shared" si="960"/>
        <v>-4343941.3197037037</v>
      </c>
      <c r="R258">
        <f t="shared" si="961"/>
        <v>69421222.256071836</v>
      </c>
      <c r="S258">
        <f t="shared" si="962"/>
        <v>694.21222256071837</v>
      </c>
      <c r="T258">
        <f t="shared" si="963"/>
        <v>0.69421222256071835</v>
      </c>
    </row>
    <row r="259" spans="1:20" x14ac:dyDescent="0.25">
      <c r="A259" s="5">
        <v>44334</v>
      </c>
      <c r="B259">
        <v>1.8405</v>
      </c>
      <c r="C259">
        <v>1.9559</v>
      </c>
      <c r="D259">
        <v>1.8022</v>
      </c>
      <c r="E259">
        <v>1.9209000000000001</v>
      </c>
      <c r="F259">
        <v>3417761.35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0.54456733897202436</v>
      </c>
      <c r="Q259">
        <f t="shared" si="960"/>
        <v>1861201.2036109336</v>
      </c>
      <c r="R259">
        <f t="shared" si="961"/>
        <v>73765163.575775534</v>
      </c>
      <c r="S259">
        <f t="shared" si="962"/>
        <v>737.65163575775534</v>
      </c>
      <c r="T259">
        <f t="shared" si="963"/>
        <v>0.73765163575775539</v>
      </c>
    </row>
    <row r="260" spans="1:20" x14ac:dyDescent="0.25">
      <c r="A260" s="5">
        <v>44333</v>
      </c>
      <c r="B260">
        <v>1.9721</v>
      </c>
      <c r="C260">
        <v>1.9795</v>
      </c>
      <c r="D260">
        <v>1.7399</v>
      </c>
      <c r="E260">
        <v>1.8367</v>
      </c>
      <c r="F260">
        <v>5213606.67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-0.19198664440734572</v>
      </c>
      <c r="Q260">
        <f t="shared" si="960"/>
        <v>-1000942.8498330559</v>
      </c>
      <c r="R260">
        <f t="shared" si="961"/>
        <v>71903962.372164607</v>
      </c>
      <c r="S260">
        <f t="shared" si="962"/>
        <v>719.03962372164608</v>
      </c>
      <c r="T260">
        <f t="shared" si="963"/>
        <v>0.71903962372164609</v>
      </c>
    </row>
    <row r="261" spans="1:20" x14ac:dyDescent="0.25">
      <c r="A261" s="5">
        <v>44332</v>
      </c>
      <c r="B261">
        <v>1.9641</v>
      </c>
      <c r="C261">
        <v>2.1553</v>
      </c>
      <c r="D261">
        <v>1.8333999999999999</v>
      </c>
      <c r="E261">
        <v>1.9703999999999999</v>
      </c>
      <c r="F261">
        <v>5061417.6399999997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-0.14880397639018342</v>
      </c>
      <c r="Q261">
        <f t="shared" si="960"/>
        <v>-753159.07100341783</v>
      </c>
      <c r="R261">
        <f t="shared" si="961"/>
        <v>72904905.221997663</v>
      </c>
      <c r="S261">
        <f t="shared" si="962"/>
        <v>729.0490522199766</v>
      </c>
      <c r="T261">
        <f t="shared" si="963"/>
        <v>0.72904905221997662</v>
      </c>
    </row>
    <row r="262" spans="1:20" x14ac:dyDescent="0.25">
      <c r="A262" s="5">
        <v>44331</v>
      </c>
      <c r="B262">
        <v>2.2000999999999999</v>
      </c>
      <c r="C262">
        <v>2.2229000000000001</v>
      </c>
      <c r="D262">
        <v>1.9527000000000001</v>
      </c>
      <c r="E262">
        <v>1.9690000000000001</v>
      </c>
      <c r="F262">
        <v>4229694.7699999996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-0.87934863064396762</v>
      </c>
      <c r="Q262">
        <f t="shared" ref="Q262:Q325" si="965">F262*P262</f>
        <v>-3719376.3040414513</v>
      </c>
      <c r="R262">
        <f t="shared" ref="R262:R325" si="966">R263+Q262</f>
        <v>73658064.293001086</v>
      </c>
      <c r="S262">
        <f t="shared" ref="S262:S325" si="967">R262/100000</f>
        <v>736.58064293001087</v>
      </c>
      <c r="T262">
        <f t="shared" ref="T262:T325" si="968">S262/1000</f>
        <v>0.73658064293001091</v>
      </c>
    </row>
    <row r="263" spans="1:20" x14ac:dyDescent="0.25">
      <c r="A263" s="5">
        <v>44330</v>
      </c>
      <c r="B263">
        <v>2.1404000000000001</v>
      </c>
      <c r="C263">
        <v>2.2521</v>
      </c>
      <c r="D263">
        <v>2.0817000000000001</v>
      </c>
      <c r="E263">
        <v>2.1962000000000002</v>
      </c>
      <c r="F263">
        <v>3573167.12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0.34389671361502494</v>
      </c>
      <c r="Q263">
        <f t="shared" si="965"/>
        <v>1228800.4297652636</v>
      </c>
      <c r="R263">
        <f t="shared" si="966"/>
        <v>77377440.597042531</v>
      </c>
      <c r="S263">
        <f t="shared" si="967"/>
        <v>773.77440597042528</v>
      </c>
      <c r="T263">
        <f t="shared" si="968"/>
        <v>0.77377440597042524</v>
      </c>
    </row>
    <row r="264" spans="1:20" x14ac:dyDescent="0.25">
      <c r="A264" s="5">
        <v>44329</v>
      </c>
      <c r="B264">
        <v>2.1364999999999998</v>
      </c>
      <c r="C264">
        <v>2.3188</v>
      </c>
      <c r="D264">
        <v>2.0203000000000002</v>
      </c>
      <c r="E264">
        <v>2.1436999999999999</v>
      </c>
      <c r="F264">
        <v>5677170.4800000004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-0.17319932998325072</v>
      </c>
      <c r="Q264">
        <f t="shared" si="965"/>
        <v>-983282.1233366899</v>
      </c>
      <c r="R264">
        <f t="shared" si="966"/>
        <v>76148640.167277262</v>
      </c>
      <c r="S264">
        <f t="shared" si="967"/>
        <v>761.48640167277267</v>
      </c>
      <c r="T264">
        <f t="shared" si="968"/>
        <v>0.76148640167277271</v>
      </c>
    </row>
    <row r="265" spans="1:20" x14ac:dyDescent="0.25">
      <c r="A265" s="5">
        <v>44328</v>
      </c>
      <c r="B265">
        <v>2.5516999999999999</v>
      </c>
      <c r="C265">
        <v>2.6248</v>
      </c>
      <c r="D265">
        <v>2.1</v>
      </c>
      <c r="E265">
        <v>2.1537000000000002</v>
      </c>
      <c r="F265">
        <v>4638806.68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-0.79535060975609717</v>
      </c>
      <c r="Q265">
        <f t="shared" si="965"/>
        <v>-3689477.7214786564</v>
      </c>
      <c r="R265">
        <f t="shared" si="966"/>
        <v>77131922.290613949</v>
      </c>
      <c r="S265">
        <f t="shared" si="967"/>
        <v>771.31922290613954</v>
      </c>
      <c r="T265">
        <f t="shared" si="968"/>
        <v>0.77131922290613952</v>
      </c>
    </row>
    <row r="266" spans="1:20" x14ac:dyDescent="0.25">
      <c r="A266" s="5">
        <v>44327</v>
      </c>
      <c r="B266">
        <v>2.4407999999999999</v>
      </c>
      <c r="C266">
        <v>2.5878000000000001</v>
      </c>
      <c r="D266">
        <v>2.3628</v>
      </c>
      <c r="E266">
        <v>2.5501999999999998</v>
      </c>
      <c r="F266">
        <v>4019847.04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0.66577777777777525</v>
      </c>
      <c r="Q266">
        <f t="shared" si="965"/>
        <v>2676324.8292977675</v>
      </c>
      <c r="R266">
        <f t="shared" si="966"/>
        <v>80821400.012092605</v>
      </c>
      <c r="S266">
        <f t="shared" si="967"/>
        <v>808.21400012092602</v>
      </c>
      <c r="T266">
        <f t="shared" si="968"/>
        <v>0.80821400012092603</v>
      </c>
    </row>
    <row r="267" spans="1:20" x14ac:dyDescent="0.25">
      <c r="A267" s="5">
        <v>44326</v>
      </c>
      <c r="B267">
        <v>2.7181999999999999</v>
      </c>
      <c r="C267">
        <v>2.8249</v>
      </c>
      <c r="D267">
        <v>2.2686999999999999</v>
      </c>
      <c r="E267">
        <v>2.4420000000000002</v>
      </c>
      <c r="F267">
        <v>4267140.71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-0.37684286227975466</v>
      </c>
      <c r="Q267">
        <f t="shared" si="965"/>
        <v>-1608041.5189068646</v>
      </c>
      <c r="R267">
        <f t="shared" si="966"/>
        <v>78145075.182794839</v>
      </c>
      <c r="S267">
        <f t="shared" si="967"/>
        <v>781.45075182794835</v>
      </c>
      <c r="T267">
        <f t="shared" si="968"/>
        <v>0.78145075182794832</v>
      </c>
    </row>
    <row r="268" spans="1:20" x14ac:dyDescent="0.25">
      <c r="A268" s="5">
        <v>44325</v>
      </c>
      <c r="B268">
        <v>2.7822</v>
      </c>
      <c r="C268">
        <v>2.8022999999999998</v>
      </c>
      <c r="D268">
        <v>2.5931999999999999</v>
      </c>
      <c r="E268">
        <v>2.7195999999999998</v>
      </c>
      <c r="F268">
        <v>3723949.01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0.20899091343854559</v>
      </c>
      <c r="Q268">
        <f t="shared" si="965"/>
        <v>778271.50519846752</v>
      </c>
      <c r="R268">
        <f t="shared" si="966"/>
        <v>79753116.701701701</v>
      </c>
      <c r="S268">
        <f t="shared" si="967"/>
        <v>797.53116701701697</v>
      </c>
      <c r="T268">
        <f t="shared" si="968"/>
        <v>0.79753116701701698</v>
      </c>
    </row>
    <row r="269" spans="1:20" x14ac:dyDescent="0.25">
      <c r="A269" s="5">
        <v>44324</v>
      </c>
      <c r="B269">
        <v>2.8353000000000002</v>
      </c>
      <c r="C269">
        <v>2.9243000000000001</v>
      </c>
      <c r="D269">
        <v>2.7372000000000001</v>
      </c>
      <c r="E269">
        <v>2.7761999999999998</v>
      </c>
      <c r="F269">
        <v>3666533.63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-0.58311063602352009</v>
      </c>
      <c r="Q269">
        <f t="shared" si="965"/>
        <v>-2137994.7569909259</v>
      </c>
      <c r="R269">
        <f t="shared" si="966"/>
        <v>78974845.196503237</v>
      </c>
      <c r="S269">
        <f t="shared" si="967"/>
        <v>789.74845196503236</v>
      </c>
      <c r="T269">
        <f t="shared" si="968"/>
        <v>0.78974845196503241</v>
      </c>
    </row>
    <row r="270" spans="1:20" x14ac:dyDescent="0.25">
      <c r="A270" s="5">
        <v>44323</v>
      </c>
      <c r="B270">
        <v>2.8374000000000001</v>
      </c>
      <c r="C270">
        <v>3.08</v>
      </c>
      <c r="D270">
        <v>2.7101000000000002</v>
      </c>
      <c r="E270">
        <v>2.8376999999999999</v>
      </c>
      <c r="F270">
        <v>7513381.4199999999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-0.31008380643417277</v>
      </c>
      <c r="Q270">
        <f t="shared" si="965"/>
        <v>-2329777.9099053903</v>
      </c>
      <c r="R270">
        <f t="shared" si="966"/>
        <v>81112839.953494161</v>
      </c>
      <c r="S270">
        <f t="shared" si="967"/>
        <v>811.12839953494165</v>
      </c>
      <c r="T270">
        <f t="shared" si="968"/>
        <v>0.81112839953494165</v>
      </c>
    </row>
    <row r="271" spans="1:20" x14ac:dyDescent="0.25">
      <c r="A271" s="5">
        <v>44322</v>
      </c>
      <c r="B271">
        <v>2.8980000000000001</v>
      </c>
      <c r="C271">
        <v>2.9596</v>
      </c>
      <c r="D271">
        <v>2.71</v>
      </c>
      <c r="E271">
        <v>2.8374000000000001</v>
      </c>
      <c r="F271">
        <v>5414348.1900000004</v>
      </c>
      <c r="G271">
        <v>0</v>
      </c>
      <c r="L271" t="s">
        <v>7</v>
      </c>
      <c r="M271" t="s">
        <v>8</v>
      </c>
      <c r="N271" t="s">
        <v>8</v>
      </c>
      <c r="P271">
        <f t="shared" si="964"/>
        <v>2.0833333333334595E-2</v>
      </c>
      <c r="Q271">
        <f t="shared" si="965"/>
        <v>112798.92062500684</v>
      </c>
      <c r="R271">
        <f t="shared" si="966"/>
        <v>83442617.86339955</v>
      </c>
      <c r="S271">
        <f t="shared" si="967"/>
        <v>834.42617863399551</v>
      </c>
      <c r="T271">
        <f t="shared" si="968"/>
        <v>0.83442617863399549</v>
      </c>
    </row>
    <row r="272" spans="1:20" x14ac:dyDescent="0.25">
      <c r="A272" s="5">
        <v>44321</v>
      </c>
      <c r="B272">
        <v>2.6802000000000001</v>
      </c>
      <c r="C272">
        <v>3.0430999999999999</v>
      </c>
      <c r="D272">
        <v>2.6539000000000001</v>
      </c>
      <c r="E272">
        <v>2.8944999999999999</v>
      </c>
      <c r="F272">
        <v>7489546.2400000002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0.23638232271325718</v>
      </c>
      <c r="Q272">
        <f t="shared" si="965"/>
        <v>1770396.336279542</v>
      </c>
      <c r="R272">
        <f t="shared" si="966"/>
        <v>83329818.942774549</v>
      </c>
      <c r="S272">
        <f t="shared" si="967"/>
        <v>833.29818942774546</v>
      </c>
      <c r="T272">
        <f t="shared" si="968"/>
        <v>0.83329818942774547</v>
      </c>
    </row>
    <row r="273" spans="1:20" x14ac:dyDescent="0.25">
      <c r="A273" s="5">
        <v>44320</v>
      </c>
      <c r="B273">
        <v>2.8001</v>
      </c>
      <c r="C273">
        <v>2.9466000000000001</v>
      </c>
      <c r="D273">
        <v>2.5863</v>
      </c>
      <c r="E273">
        <v>2.6852999999999998</v>
      </c>
      <c r="F273">
        <v>9750926.5299999993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-0.45045795170691239</v>
      </c>
      <c r="Q273">
        <f t="shared" si="965"/>
        <v>-4392382.3919483908</v>
      </c>
      <c r="R273">
        <f t="shared" si="966"/>
        <v>81559422.606495008</v>
      </c>
      <c r="S273">
        <f t="shared" si="967"/>
        <v>815.59422606495013</v>
      </c>
      <c r="T273">
        <f t="shared" si="968"/>
        <v>0.81559422606495013</v>
      </c>
    </row>
    <row r="274" spans="1:20" x14ac:dyDescent="0.25">
      <c r="A274" s="5">
        <v>44319</v>
      </c>
      <c r="B274">
        <v>2.4857</v>
      </c>
      <c r="C274">
        <v>2.9554999999999998</v>
      </c>
      <c r="D274">
        <v>2.4813000000000001</v>
      </c>
      <c r="E274">
        <v>2.8025000000000002</v>
      </c>
      <c r="F274">
        <v>9802014.4000000004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0.35470265710670745</v>
      </c>
      <c r="Q274">
        <f t="shared" si="965"/>
        <v>3476800.5526782088</v>
      </c>
      <c r="R274">
        <f t="shared" si="966"/>
        <v>85951804.998443395</v>
      </c>
      <c r="S274">
        <f t="shared" si="967"/>
        <v>859.5180499844339</v>
      </c>
      <c r="T274">
        <f t="shared" si="968"/>
        <v>0.85951804998443393</v>
      </c>
    </row>
    <row r="275" spans="1:20" x14ac:dyDescent="0.25">
      <c r="A275" s="5">
        <v>44318</v>
      </c>
      <c r="B275">
        <v>2.5739999999999998</v>
      </c>
      <c r="C275">
        <v>2.5893999999999999</v>
      </c>
      <c r="D275">
        <v>2.3860000000000001</v>
      </c>
      <c r="E275">
        <v>2.4838</v>
      </c>
      <c r="F275">
        <v>3338786.88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-3.8348082595870386E-2</v>
      </c>
      <c r="Q275">
        <f t="shared" si="965"/>
        <v>-128036.07504424838</v>
      </c>
      <c r="R275">
        <f t="shared" si="966"/>
        <v>82475004.445765182</v>
      </c>
      <c r="S275">
        <f t="shared" si="967"/>
        <v>824.75004445765182</v>
      </c>
      <c r="T275">
        <f t="shared" si="968"/>
        <v>0.82475004445765188</v>
      </c>
    </row>
    <row r="276" spans="1:20" x14ac:dyDescent="0.25">
      <c r="A276" s="5">
        <v>44317</v>
      </c>
      <c r="B276">
        <v>2.5</v>
      </c>
      <c r="C276">
        <v>2.677</v>
      </c>
      <c r="D276">
        <v>2.4264000000000001</v>
      </c>
      <c r="E276">
        <v>2.5739999999999998</v>
      </c>
      <c r="F276">
        <v>6010994.5599999996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0.17797286512370128</v>
      </c>
      <c r="Q276">
        <f t="shared" si="965"/>
        <v>1069793.9240861821</v>
      </c>
      <c r="R276">
        <f t="shared" si="966"/>
        <v>82603040.520809427</v>
      </c>
      <c r="S276">
        <f t="shared" si="967"/>
        <v>826.03040520809429</v>
      </c>
      <c r="T276">
        <f t="shared" si="968"/>
        <v>0.82603040520809434</v>
      </c>
    </row>
    <row r="277" spans="1:20" x14ac:dyDescent="0.25">
      <c r="A277" s="5">
        <v>44316</v>
      </c>
      <c r="B277">
        <v>2.4554</v>
      </c>
      <c r="C277">
        <v>2.5996999999999999</v>
      </c>
      <c r="D277">
        <v>2.3935</v>
      </c>
      <c r="E277">
        <v>2.5</v>
      </c>
      <c r="F277">
        <v>4821288.1900000004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3.2977691561591374E-2</v>
      </c>
      <c r="Q277">
        <f t="shared" si="965"/>
        <v>158994.95485936318</v>
      </c>
      <c r="R277">
        <f t="shared" si="966"/>
        <v>81533246.596723244</v>
      </c>
      <c r="S277">
        <f t="shared" si="967"/>
        <v>815.33246596723245</v>
      </c>
      <c r="T277">
        <f t="shared" si="968"/>
        <v>0.81533246596723241</v>
      </c>
    </row>
    <row r="278" spans="1:20" x14ac:dyDescent="0.25">
      <c r="A278" s="5">
        <v>44315</v>
      </c>
      <c r="B278">
        <v>2.2709999999999999</v>
      </c>
      <c r="C278">
        <v>2.4842</v>
      </c>
      <c r="D278">
        <v>2.17</v>
      </c>
      <c r="E278">
        <v>2.4554</v>
      </c>
      <c r="F278">
        <v>7391215.9500000002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0.8166772756206242</v>
      </c>
      <c r="Q278">
        <f t="shared" si="965"/>
        <v>6036238.1055697035</v>
      </c>
      <c r="R278">
        <f t="shared" si="966"/>
        <v>81374251.641863883</v>
      </c>
      <c r="S278">
        <f t="shared" si="967"/>
        <v>813.74251641863884</v>
      </c>
      <c r="T278">
        <f t="shared" si="968"/>
        <v>0.81374251641863882</v>
      </c>
    </row>
    <row r="279" spans="1:20" x14ac:dyDescent="0.25">
      <c r="A279" s="5">
        <v>44314</v>
      </c>
      <c r="B279">
        <v>2.3357000000000001</v>
      </c>
      <c r="C279">
        <v>2.4278</v>
      </c>
      <c r="D279">
        <v>2.1257000000000001</v>
      </c>
      <c r="E279">
        <v>2.2751000000000001</v>
      </c>
      <c r="F279">
        <v>4392866.18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-1.0923535253226946E-2</v>
      </c>
      <c r="Q279">
        <f t="shared" si="965"/>
        <v>-47985.628579938384</v>
      </c>
      <c r="R279">
        <f t="shared" si="966"/>
        <v>75338013.536294177</v>
      </c>
      <c r="S279">
        <f t="shared" si="967"/>
        <v>753.38013536294181</v>
      </c>
      <c r="T279">
        <f t="shared" si="968"/>
        <v>0.75338013536294179</v>
      </c>
    </row>
    <row r="280" spans="1:20" x14ac:dyDescent="0.25">
      <c r="A280" s="5">
        <v>44313</v>
      </c>
      <c r="B280">
        <v>2.2042000000000002</v>
      </c>
      <c r="C280">
        <v>2.4466000000000001</v>
      </c>
      <c r="D280">
        <v>2.1737000000000002</v>
      </c>
      <c r="E280">
        <v>2.3365</v>
      </c>
      <c r="F280">
        <v>5036328.6100000003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0.19311102968120103</v>
      </c>
      <c r="Q280">
        <f t="shared" si="965"/>
        <v>972570.60368999199</v>
      </c>
      <c r="R280">
        <f t="shared" si="966"/>
        <v>75385999.164874122</v>
      </c>
      <c r="S280">
        <f t="shared" si="967"/>
        <v>753.85999164874124</v>
      </c>
      <c r="T280">
        <f t="shared" si="968"/>
        <v>0.75385999164874129</v>
      </c>
    </row>
    <row r="281" spans="1:20" x14ac:dyDescent="0.25">
      <c r="A281" s="5">
        <v>44312</v>
      </c>
      <c r="B281">
        <v>1.8736999999999999</v>
      </c>
      <c r="C281">
        <v>2.2200000000000002</v>
      </c>
      <c r="D281">
        <v>1.8585</v>
      </c>
      <c r="E281">
        <v>2.2044000000000001</v>
      </c>
      <c r="F281">
        <v>6435153.2800000003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0.91369294605809104</v>
      </c>
      <c r="Q281">
        <f t="shared" si="965"/>
        <v>5879754.158738588</v>
      </c>
      <c r="R281">
        <f t="shared" si="966"/>
        <v>74413428.561184123</v>
      </c>
      <c r="S281">
        <f t="shared" si="967"/>
        <v>744.13428561184128</v>
      </c>
      <c r="T281">
        <f t="shared" si="968"/>
        <v>0.74413428561184125</v>
      </c>
    </row>
    <row r="282" spans="1:20" x14ac:dyDescent="0.25">
      <c r="A282" s="5">
        <v>44311</v>
      </c>
      <c r="B282">
        <v>1.8595999999999999</v>
      </c>
      <c r="C282">
        <v>2.0181</v>
      </c>
      <c r="D282">
        <v>1.75</v>
      </c>
      <c r="E282">
        <v>1.8738999999999999</v>
      </c>
      <c r="F282">
        <v>4139721.85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-7.5718015665797112E-2</v>
      </c>
      <c r="Q282">
        <f t="shared" si="965"/>
        <v>-313451.52389034262</v>
      </c>
      <c r="R282">
        <f t="shared" si="966"/>
        <v>68533674.40244554</v>
      </c>
      <c r="S282">
        <f t="shared" si="967"/>
        <v>685.33674402445536</v>
      </c>
      <c r="T282">
        <f t="shared" si="968"/>
        <v>0.68533674402445532</v>
      </c>
    </row>
    <row r="283" spans="1:20" x14ac:dyDescent="0.25">
      <c r="A283" s="5">
        <v>44310</v>
      </c>
      <c r="B283">
        <v>2.0192999999999999</v>
      </c>
      <c r="C283">
        <v>2.0644</v>
      </c>
      <c r="D283">
        <v>1.8399000000000001</v>
      </c>
      <c r="E283">
        <v>1.8634999999999999</v>
      </c>
      <c r="F283">
        <v>4776702.9000000004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-0.78975501113585878</v>
      </c>
      <c r="Q283">
        <f t="shared" si="965"/>
        <v>-3772425.0519821891</v>
      </c>
      <c r="R283">
        <f t="shared" si="966"/>
        <v>68847125.926335886</v>
      </c>
      <c r="S283">
        <f t="shared" si="967"/>
        <v>688.47125926335889</v>
      </c>
      <c r="T283">
        <f t="shared" si="968"/>
        <v>0.68847125926335884</v>
      </c>
    </row>
    <row r="284" spans="1:20" x14ac:dyDescent="0.25">
      <c r="A284" s="5">
        <v>44309</v>
      </c>
      <c r="B284">
        <v>2.1812</v>
      </c>
      <c r="C284">
        <v>2.2486999999999999</v>
      </c>
      <c r="D284">
        <v>1.6761999999999999</v>
      </c>
      <c r="E284">
        <v>2.0177999999999998</v>
      </c>
      <c r="F284">
        <v>10435571.640000001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0.19336244541484682</v>
      </c>
      <c r="Q284">
        <f t="shared" si="965"/>
        <v>2017847.6516122236</v>
      </c>
      <c r="R284">
        <f t="shared" si="966"/>
        <v>72619550.97831808</v>
      </c>
      <c r="S284">
        <f t="shared" si="967"/>
        <v>726.1955097831808</v>
      </c>
      <c r="T284">
        <f t="shared" si="968"/>
        <v>0.72619550978318081</v>
      </c>
    </row>
    <row r="285" spans="1:20" x14ac:dyDescent="0.25">
      <c r="A285" s="5">
        <v>44308</v>
      </c>
      <c r="B285">
        <v>2.2361</v>
      </c>
      <c r="C285">
        <v>2.5369999999999999</v>
      </c>
      <c r="D285">
        <v>2.1438000000000001</v>
      </c>
      <c r="E285">
        <v>2.1858</v>
      </c>
      <c r="F285">
        <v>7671585.7999999998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-0.78636826042726427</v>
      </c>
      <c r="Q285">
        <f t="shared" si="965"/>
        <v>-6032691.5802645022</v>
      </c>
      <c r="R285">
        <f t="shared" si="966"/>
        <v>70601703.326705858</v>
      </c>
      <c r="S285">
        <f t="shared" si="967"/>
        <v>706.01703326705854</v>
      </c>
      <c r="T285">
        <f t="shared" si="968"/>
        <v>0.70601703326705856</v>
      </c>
    </row>
    <row r="286" spans="1:20" x14ac:dyDescent="0.25">
      <c r="A286" s="5">
        <v>44307</v>
      </c>
      <c r="B286">
        <v>2.4558</v>
      </c>
      <c r="C286">
        <v>2.5083000000000002</v>
      </c>
      <c r="D286">
        <v>2.2082999999999999</v>
      </c>
      <c r="E286">
        <v>2.2284999999999999</v>
      </c>
      <c r="F286">
        <v>4298324.67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-0.86533333333333351</v>
      </c>
      <c r="Q286">
        <f t="shared" si="965"/>
        <v>-3719483.6144400006</v>
      </c>
      <c r="R286">
        <f t="shared" si="966"/>
        <v>76634394.906970367</v>
      </c>
      <c r="S286">
        <f t="shared" si="967"/>
        <v>766.34394906970363</v>
      </c>
      <c r="T286">
        <f t="shared" si="968"/>
        <v>0.7663439490697036</v>
      </c>
    </row>
    <row r="287" spans="1:20" x14ac:dyDescent="0.25">
      <c r="A287" s="5">
        <v>44306</v>
      </c>
      <c r="B287">
        <v>2.3148</v>
      </c>
      <c r="C287">
        <v>2.5430000000000001</v>
      </c>
      <c r="D287">
        <v>2.0783</v>
      </c>
      <c r="E287">
        <v>2.4567999999999999</v>
      </c>
      <c r="F287">
        <v>6726703.0499999998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0.62900796212610177</v>
      </c>
      <c r="Q287">
        <f t="shared" si="965"/>
        <v>4231149.7773079332</v>
      </c>
      <c r="R287">
        <f t="shared" si="966"/>
        <v>80353878.521410361</v>
      </c>
      <c r="S287">
        <f t="shared" si="967"/>
        <v>803.53878521410365</v>
      </c>
      <c r="T287">
        <f t="shared" si="968"/>
        <v>0.8035387852141036</v>
      </c>
    </row>
    <row r="288" spans="1:20" x14ac:dyDescent="0.25">
      <c r="A288" s="5">
        <v>44305</v>
      </c>
      <c r="B288">
        <v>2.6463999999999999</v>
      </c>
      <c r="C288">
        <v>2.7799</v>
      </c>
      <c r="D288">
        <v>2.2860999999999998</v>
      </c>
      <c r="E288">
        <v>2.3060999999999998</v>
      </c>
      <c r="F288">
        <v>6022001.8399999999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-0.91899554475496148</v>
      </c>
      <c r="Q288">
        <f t="shared" si="965"/>
        <v>-5534192.8614661805</v>
      </c>
      <c r="R288">
        <f t="shared" si="966"/>
        <v>76122728.744102433</v>
      </c>
      <c r="S288">
        <f t="shared" si="967"/>
        <v>761.22728744102437</v>
      </c>
      <c r="T288">
        <f t="shared" si="968"/>
        <v>0.76122728744102441</v>
      </c>
    </row>
    <row r="289" spans="1:20" x14ac:dyDescent="0.25">
      <c r="A289" s="5">
        <v>44304</v>
      </c>
      <c r="B289">
        <v>3.1303000000000001</v>
      </c>
      <c r="C289">
        <v>3.1621999999999999</v>
      </c>
      <c r="D289">
        <v>1.9</v>
      </c>
      <c r="E289">
        <v>2.6469</v>
      </c>
      <c r="F289">
        <v>10267038.699999999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0.18348914593566809</v>
      </c>
      <c r="Q289">
        <f t="shared" si="965"/>
        <v>1883890.1623514518</v>
      </c>
      <c r="R289">
        <f t="shared" si="966"/>
        <v>81656921.605568618</v>
      </c>
      <c r="S289">
        <f t="shared" si="967"/>
        <v>816.56921605568618</v>
      </c>
      <c r="T289">
        <f t="shared" si="968"/>
        <v>0.81656921605568622</v>
      </c>
    </row>
    <row r="290" spans="1:20" x14ac:dyDescent="0.25">
      <c r="A290" s="5">
        <v>44303</v>
      </c>
      <c r="B290">
        <v>3.1404999999999998</v>
      </c>
      <c r="C290">
        <v>3.3896000000000002</v>
      </c>
      <c r="D290">
        <v>3.11</v>
      </c>
      <c r="E290">
        <v>3.1301000000000001</v>
      </c>
      <c r="F290">
        <v>5263762.99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-0.85622317596566377</v>
      </c>
      <c r="Q290">
        <f t="shared" si="965"/>
        <v>-4506955.8648283184</v>
      </c>
      <c r="R290">
        <f t="shared" si="966"/>
        <v>79773031.443217173</v>
      </c>
      <c r="S290">
        <f t="shared" si="967"/>
        <v>797.73031443217178</v>
      </c>
      <c r="T290">
        <f t="shared" si="968"/>
        <v>0.79773031443217179</v>
      </c>
    </row>
    <row r="291" spans="1:20" x14ac:dyDescent="0.25">
      <c r="A291" s="5">
        <v>44302</v>
      </c>
      <c r="B291">
        <v>3.2587000000000002</v>
      </c>
      <c r="C291">
        <v>3.2887</v>
      </c>
      <c r="D291">
        <v>3.0301</v>
      </c>
      <c r="E291">
        <v>3.1383999999999999</v>
      </c>
      <c r="F291">
        <v>5046193.74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-0.1624129930394442</v>
      </c>
      <c r="Q291">
        <f t="shared" si="965"/>
        <v>-819567.42877030699</v>
      </c>
      <c r="R291">
        <f t="shared" si="966"/>
        <v>84279987.308045492</v>
      </c>
      <c r="S291">
        <f t="shared" si="967"/>
        <v>842.79987308045497</v>
      </c>
      <c r="T291">
        <f t="shared" si="968"/>
        <v>0.84279987308045501</v>
      </c>
    </row>
    <row r="292" spans="1:20" x14ac:dyDescent="0.25">
      <c r="A292" s="5">
        <v>44301</v>
      </c>
      <c r="B292">
        <v>3.1215000000000002</v>
      </c>
      <c r="C292">
        <v>3.3435000000000001</v>
      </c>
      <c r="D292">
        <v>3.08</v>
      </c>
      <c r="E292">
        <v>3.2566999999999999</v>
      </c>
      <c r="F292">
        <v>9231876.0700000003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0.34117647058823386</v>
      </c>
      <c r="Q292">
        <f t="shared" si="965"/>
        <v>3149698.8944705753</v>
      </c>
      <c r="R292">
        <f t="shared" si="966"/>
        <v>85099554.736815795</v>
      </c>
      <c r="S292">
        <f t="shared" si="967"/>
        <v>850.99554736815799</v>
      </c>
      <c r="T292">
        <f t="shared" si="968"/>
        <v>0.85099554736815797</v>
      </c>
    </row>
    <row r="293" spans="1:20" x14ac:dyDescent="0.25">
      <c r="A293" s="5">
        <v>44300</v>
      </c>
      <c r="B293">
        <v>3.1391</v>
      </c>
      <c r="C293">
        <v>3.2768999999999999</v>
      </c>
      <c r="D293">
        <v>2.9525000000000001</v>
      </c>
      <c r="E293">
        <v>3.1196999999999999</v>
      </c>
      <c r="F293">
        <v>4450112.8099999996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3.0826140567200348E-2</v>
      </c>
      <c r="Q293">
        <f t="shared" si="965"/>
        <v>137179.80302095893</v>
      </c>
      <c r="R293">
        <f t="shared" si="966"/>
        <v>81949855.842345223</v>
      </c>
      <c r="S293">
        <f t="shared" si="967"/>
        <v>819.49855842345221</v>
      </c>
      <c r="T293">
        <f t="shared" si="968"/>
        <v>0.81949855842345221</v>
      </c>
    </row>
    <row r="294" spans="1:20" x14ac:dyDescent="0.25">
      <c r="A294" s="5">
        <v>44299</v>
      </c>
      <c r="B294">
        <v>3.1183999999999998</v>
      </c>
      <c r="C294">
        <v>3.2299000000000002</v>
      </c>
      <c r="D294">
        <v>3.0009999999999999</v>
      </c>
      <c r="E294">
        <v>3.1337999999999999</v>
      </c>
      <c r="F294">
        <v>4438429.6500000004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0.16033202271734243</v>
      </c>
      <c r="Q294">
        <f t="shared" si="965"/>
        <v>711622.40347312624</v>
      </c>
      <c r="R294">
        <f t="shared" si="966"/>
        <v>81812676.039324269</v>
      </c>
      <c r="S294">
        <f t="shared" si="967"/>
        <v>818.12676039324265</v>
      </c>
      <c r="T294">
        <f t="shared" si="968"/>
        <v>0.81812676039324261</v>
      </c>
    </row>
    <row r="295" spans="1:20" x14ac:dyDescent="0.25">
      <c r="A295" s="5">
        <v>44298</v>
      </c>
      <c r="B295">
        <v>3.2816999999999998</v>
      </c>
      <c r="C295">
        <v>3.3111000000000002</v>
      </c>
      <c r="D295">
        <v>3.0449999999999999</v>
      </c>
      <c r="E295">
        <v>3.1183999999999998</v>
      </c>
      <c r="F295">
        <v>5967601.7300000004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-0.448327696354755</v>
      </c>
      <c r="Q295">
        <f t="shared" si="965"/>
        <v>-2675441.1363735506</v>
      </c>
      <c r="R295">
        <f t="shared" si="966"/>
        <v>81101053.635851145</v>
      </c>
      <c r="S295">
        <f t="shared" si="967"/>
        <v>811.01053635851144</v>
      </c>
      <c r="T295">
        <f t="shared" si="968"/>
        <v>0.81101053635851139</v>
      </c>
    </row>
    <row r="296" spans="1:20" x14ac:dyDescent="0.25">
      <c r="A296" s="5">
        <v>44297</v>
      </c>
      <c r="B296">
        <v>3.4544000000000001</v>
      </c>
      <c r="C296">
        <v>3.6</v>
      </c>
      <c r="D296">
        <v>3.2391000000000001</v>
      </c>
      <c r="E296">
        <v>3.2766999999999999</v>
      </c>
      <c r="F296">
        <v>4941611.5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-0.79163203103352808</v>
      </c>
      <c r="Q296">
        <f t="shared" si="965"/>
        <v>-3911937.9483236391</v>
      </c>
      <c r="R296">
        <f t="shared" si="966"/>
        <v>83776494.772224694</v>
      </c>
      <c r="S296">
        <f t="shared" si="967"/>
        <v>837.76494772224692</v>
      </c>
      <c r="T296">
        <f t="shared" si="968"/>
        <v>0.83776494772224697</v>
      </c>
    </row>
    <row r="297" spans="1:20" x14ac:dyDescent="0.25">
      <c r="A297" s="5">
        <v>44296</v>
      </c>
      <c r="B297">
        <v>3.0983000000000001</v>
      </c>
      <c r="C297">
        <v>3.6798999999999999</v>
      </c>
      <c r="D297">
        <v>3.0425</v>
      </c>
      <c r="E297">
        <v>3.4567999999999999</v>
      </c>
      <c r="F297">
        <v>10090204.869999999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0.2999686225290239</v>
      </c>
      <c r="Q297">
        <f t="shared" si="965"/>
        <v>3026744.8558895485</v>
      </c>
      <c r="R297">
        <f t="shared" si="966"/>
        <v>87688432.720548332</v>
      </c>
      <c r="S297">
        <f t="shared" si="967"/>
        <v>876.88432720548337</v>
      </c>
      <c r="T297">
        <f t="shared" si="968"/>
        <v>0.87688432720548337</v>
      </c>
    </row>
    <row r="298" spans="1:20" x14ac:dyDescent="0.25">
      <c r="A298" s="5">
        <v>44295</v>
      </c>
      <c r="B298">
        <v>3.1648000000000001</v>
      </c>
      <c r="C298">
        <v>3.2612000000000001</v>
      </c>
      <c r="D298">
        <v>2.996</v>
      </c>
      <c r="E298">
        <v>3.0983000000000001</v>
      </c>
      <c r="F298">
        <v>4671087.91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-0.2285067873303166</v>
      </c>
      <c r="Q298">
        <f t="shared" si="965"/>
        <v>-1067375.291651583</v>
      </c>
      <c r="R298">
        <f t="shared" si="966"/>
        <v>84661687.864658788</v>
      </c>
      <c r="S298">
        <f t="shared" si="967"/>
        <v>846.61687864658791</v>
      </c>
      <c r="T298">
        <f t="shared" si="968"/>
        <v>0.84661687864658786</v>
      </c>
    </row>
    <row r="299" spans="1:20" x14ac:dyDescent="0.25">
      <c r="A299" s="5">
        <v>44294</v>
      </c>
      <c r="B299">
        <v>2.8803000000000001</v>
      </c>
      <c r="C299">
        <v>3.1806999999999999</v>
      </c>
      <c r="D299">
        <v>2.8290999999999999</v>
      </c>
      <c r="E299">
        <v>3.1663999999999999</v>
      </c>
      <c r="F299">
        <v>6295548.3300000001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0.91865756541524468</v>
      </c>
      <c r="Q299">
        <f t="shared" si="965"/>
        <v>5783453.1017918093</v>
      </c>
      <c r="R299">
        <f t="shared" si="966"/>
        <v>85729063.156310365</v>
      </c>
      <c r="S299">
        <f t="shared" si="967"/>
        <v>857.2906315631036</v>
      </c>
      <c r="T299">
        <f t="shared" si="968"/>
        <v>0.85729063156310359</v>
      </c>
    </row>
    <row r="300" spans="1:20" x14ac:dyDescent="0.25">
      <c r="A300" s="5">
        <v>44293</v>
      </c>
      <c r="B300">
        <v>2.9946999999999999</v>
      </c>
      <c r="C300">
        <v>3.0348000000000002</v>
      </c>
      <c r="D300">
        <v>2.7303999999999999</v>
      </c>
      <c r="E300">
        <v>2.8803000000000001</v>
      </c>
      <c r="F300">
        <v>5740644.5499999998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-1.511169513797613E-2</v>
      </c>
      <c r="Q300">
        <f t="shared" si="965"/>
        <v>-86750.870335084168</v>
      </c>
      <c r="R300">
        <f t="shared" si="966"/>
        <v>79945610.054518551</v>
      </c>
      <c r="S300">
        <f t="shared" si="967"/>
        <v>799.45610054518545</v>
      </c>
      <c r="T300">
        <f t="shared" si="968"/>
        <v>0.79945610054518546</v>
      </c>
    </row>
    <row r="301" spans="1:20" x14ac:dyDescent="0.25">
      <c r="A301" s="5">
        <v>44292</v>
      </c>
      <c r="B301">
        <v>3.0878999999999999</v>
      </c>
      <c r="C301">
        <v>3.2572999999999999</v>
      </c>
      <c r="D301">
        <v>2.8904999999999998</v>
      </c>
      <c r="E301">
        <v>2.9933999999999998</v>
      </c>
      <c r="F301">
        <v>6420362.1600000001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-0.43893129770992373</v>
      </c>
      <c r="Q301">
        <f t="shared" si="965"/>
        <v>-2818097.8946564891</v>
      </c>
      <c r="R301">
        <f t="shared" si="966"/>
        <v>80032360.924853638</v>
      </c>
      <c r="S301">
        <f t="shared" si="967"/>
        <v>800.3236092485364</v>
      </c>
      <c r="T301">
        <f t="shared" si="968"/>
        <v>0.80032360924853641</v>
      </c>
    </row>
    <row r="302" spans="1:20" x14ac:dyDescent="0.25">
      <c r="A302" s="5">
        <v>44291</v>
      </c>
      <c r="B302">
        <v>3.1827999999999999</v>
      </c>
      <c r="C302">
        <v>3.3986999999999998</v>
      </c>
      <c r="D302">
        <v>3.0449000000000002</v>
      </c>
      <c r="E302">
        <v>3.09</v>
      </c>
      <c r="F302">
        <v>7562069.4500000002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-0.74505370265686977</v>
      </c>
      <c r="Q302">
        <f t="shared" si="965"/>
        <v>-5634147.8434708985</v>
      </c>
      <c r="R302">
        <f t="shared" si="966"/>
        <v>82850458.819510132</v>
      </c>
      <c r="S302">
        <f t="shared" si="967"/>
        <v>828.50458819510129</v>
      </c>
      <c r="T302">
        <f t="shared" si="968"/>
        <v>0.82850458819510131</v>
      </c>
    </row>
    <row r="303" spans="1:20" x14ac:dyDescent="0.25">
      <c r="A303" s="5">
        <v>44290</v>
      </c>
      <c r="B303">
        <v>2.5709</v>
      </c>
      <c r="C303">
        <v>3.2970999999999999</v>
      </c>
      <c r="D303">
        <v>2.5228999999999999</v>
      </c>
      <c r="E303">
        <v>3.1863999999999999</v>
      </c>
      <c r="F303">
        <v>12114173.800000001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0.71402738310514069</v>
      </c>
      <c r="Q303">
        <f t="shared" si="965"/>
        <v>8649851.8168948591</v>
      </c>
      <c r="R303">
        <f t="shared" si="966"/>
        <v>88484606.662981033</v>
      </c>
      <c r="S303">
        <f t="shared" si="967"/>
        <v>884.84606662981037</v>
      </c>
      <c r="T303">
        <f t="shared" si="968"/>
        <v>0.88484606662981036</v>
      </c>
    </row>
    <row r="304" spans="1:20" x14ac:dyDescent="0.25">
      <c r="A304" s="5">
        <v>44289</v>
      </c>
      <c r="B304">
        <v>2.8020999999999998</v>
      </c>
      <c r="C304">
        <v>2.8999000000000001</v>
      </c>
      <c r="D304">
        <v>2.5611000000000002</v>
      </c>
      <c r="E304">
        <v>2.5709</v>
      </c>
      <c r="F304">
        <v>5168662.47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-0.94214876033057959</v>
      </c>
      <c r="Q304">
        <f t="shared" si="965"/>
        <v>-4869648.9386776909</v>
      </c>
      <c r="R304">
        <f t="shared" si="966"/>
        <v>79834754.846086174</v>
      </c>
      <c r="S304">
        <f t="shared" si="967"/>
        <v>798.34754846086173</v>
      </c>
      <c r="T304">
        <f t="shared" si="968"/>
        <v>0.79834754846086176</v>
      </c>
    </row>
    <row r="305" spans="1:20" x14ac:dyDescent="0.25">
      <c r="A305" s="5">
        <v>44288</v>
      </c>
      <c r="B305">
        <v>2.9333999999999998</v>
      </c>
      <c r="C305">
        <v>3.0933000000000002</v>
      </c>
      <c r="D305">
        <v>2.7210000000000001</v>
      </c>
      <c r="E305">
        <v>2.7984</v>
      </c>
      <c r="F305">
        <v>8078794.0700000003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-0.58420628525382812</v>
      </c>
      <c r="Q305">
        <f t="shared" si="965"/>
        <v>-4719682.2729653548</v>
      </c>
      <c r="R305">
        <f t="shared" si="966"/>
        <v>84704403.784763873</v>
      </c>
      <c r="S305">
        <f t="shared" si="967"/>
        <v>847.04403784763872</v>
      </c>
      <c r="T305">
        <f t="shared" si="968"/>
        <v>0.84704403784763871</v>
      </c>
    </row>
    <row r="306" spans="1:20" x14ac:dyDescent="0.25">
      <c r="A306" s="5">
        <v>44287</v>
      </c>
      <c r="B306">
        <v>2.6739999999999999</v>
      </c>
      <c r="C306">
        <v>2.9748999999999999</v>
      </c>
      <c r="D306">
        <v>2.5975999999999999</v>
      </c>
      <c r="E306">
        <v>2.9291</v>
      </c>
      <c r="F306">
        <v>7088158.2999999998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0.75722236946726829</v>
      </c>
      <c r="Q306">
        <f t="shared" si="965"/>
        <v>5367312.0230850838</v>
      </c>
      <c r="R306">
        <f t="shared" si="966"/>
        <v>89424086.057729229</v>
      </c>
      <c r="S306">
        <f t="shared" si="967"/>
        <v>894.24086057729232</v>
      </c>
      <c r="T306">
        <f t="shared" si="968"/>
        <v>0.89424086057729235</v>
      </c>
    </row>
    <row r="307" spans="1:20" x14ac:dyDescent="0.25">
      <c r="A307" s="5">
        <v>44286</v>
      </c>
      <c r="B307">
        <v>2.7703000000000002</v>
      </c>
      <c r="C307">
        <v>2.8123999999999998</v>
      </c>
      <c r="D307">
        <v>2.5272000000000001</v>
      </c>
      <c r="E307">
        <v>2.6753</v>
      </c>
      <c r="F307">
        <v>4843306.25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3.8569424964937357E-2</v>
      </c>
      <c r="Q307">
        <f t="shared" si="965"/>
        <v>186803.53699158714</v>
      </c>
      <c r="R307">
        <f t="shared" si="966"/>
        <v>84056774.034644142</v>
      </c>
      <c r="S307">
        <f t="shared" si="967"/>
        <v>840.56774034644138</v>
      </c>
      <c r="T307">
        <f t="shared" si="968"/>
        <v>0.84056774034644133</v>
      </c>
    </row>
    <row r="308" spans="1:20" x14ac:dyDescent="0.25">
      <c r="A308" s="5">
        <v>44285</v>
      </c>
      <c r="B308">
        <v>2.6541999999999999</v>
      </c>
      <c r="C308">
        <v>2.7734000000000001</v>
      </c>
      <c r="D308">
        <v>2.5838999999999999</v>
      </c>
      <c r="E308">
        <v>2.77</v>
      </c>
      <c r="F308">
        <v>5067448.45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0.96411609498680673</v>
      </c>
      <c r="Q308">
        <f t="shared" si="965"/>
        <v>4885608.611160947</v>
      </c>
      <c r="R308">
        <f t="shared" si="966"/>
        <v>83869970.49765256</v>
      </c>
      <c r="S308">
        <f t="shared" si="967"/>
        <v>838.6997049765256</v>
      </c>
      <c r="T308">
        <f t="shared" si="968"/>
        <v>0.83869970497652557</v>
      </c>
    </row>
    <row r="309" spans="1:20" x14ac:dyDescent="0.25">
      <c r="A309" s="5">
        <v>44284</v>
      </c>
      <c r="B309">
        <v>2.5828000000000002</v>
      </c>
      <c r="C309">
        <v>2.6776</v>
      </c>
      <c r="D309">
        <v>2.5137999999999998</v>
      </c>
      <c r="E309">
        <v>2.6549999999999998</v>
      </c>
      <c r="F309">
        <v>4345775.16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0.72405372405372215</v>
      </c>
      <c r="Q309">
        <f t="shared" si="965"/>
        <v>3146574.6884981603</v>
      </c>
      <c r="R309">
        <f t="shared" si="966"/>
        <v>78984361.886491612</v>
      </c>
      <c r="S309">
        <f t="shared" si="967"/>
        <v>789.84361886491615</v>
      </c>
      <c r="T309">
        <f t="shared" si="968"/>
        <v>0.78984361886491616</v>
      </c>
    </row>
    <row r="310" spans="1:20" x14ac:dyDescent="0.25">
      <c r="A310" s="5">
        <v>44283</v>
      </c>
      <c r="B310">
        <v>2.5426000000000002</v>
      </c>
      <c r="C310">
        <v>2.68</v>
      </c>
      <c r="D310">
        <v>2.4436</v>
      </c>
      <c r="E310">
        <v>2.5807000000000002</v>
      </c>
      <c r="F310">
        <v>4509045.71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0.15989847715736147</v>
      </c>
      <c r="Q310">
        <f t="shared" si="965"/>
        <v>720989.54246193368</v>
      </c>
      <c r="R310">
        <f t="shared" si="966"/>
        <v>75837787.197993457</v>
      </c>
      <c r="S310">
        <f t="shared" si="967"/>
        <v>758.37787197993453</v>
      </c>
      <c r="T310">
        <f t="shared" si="968"/>
        <v>0.75837787197993456</v>
      </c>
    </row>
    <row r="311" spans="1:20" x14ac:dyDescent="0.25">
      <c r="A311" s="5">
        <v>44282</v>
      </c>
      <c r="B311">
        <v>2.492</v>
      </c>
      <c r="C311">
        <v>2.665</v>
      </c>
      <c r="D311">
        <v>2.3946000000000001</v>
      </c>
      <c r="E311">
        <v>2.5413999999999999</v>
      </c>
      <c r="F311">
        <v>4829141.3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8.579881656804611E-2</v>
      </c>
      <c r="Q311">
        <f t="shared" si="965"/>
        <v>414334.60857987573</v>
      </c>
      <c r="R311">
        <f t="shared" si="966"/>
        <v>75116797.655531526</v>
      </c>
      <c r="S311">
        <f t="shared" si="967"/>
        <v>751.16797655531525</v>
      </c>
      <c r="T311">
        <f t="shared" si="968"/>
        <v>0.7511679765553152</v>
      </c>
    </row>
    <row r="312" spans="1:20" x14ac:dyDescent="0.25">
      <c r="A312" s="5">
        <v>44281</v>
      </c>
      <c r="B312">
        <v>2.2200000000000002</v>
      </c>
      <c r="C312">
        <v>2.57</v>
      </c>
      <c r="D312">
        <v>2.2145999999999999</v>
      </c>
      <c r="E312">
        <v>2.4925000000000002</v>
      </c>
      <c r="F312">
        <v>6876298.4100000001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0.56387169386606817</v>
      </c>
      <c r="Q312">
        <f t="shared" si="965"/>
        <v>3877350.0319752512</v>
      </c>
      <c r="R312">
        <f t="shared" si="966"/>
        <v>74702463.046951652</v>
      </c>
      <c r="S312">
        <f t="shared" si="967"/>
        <v>747.02463046951652</v>
      </c>
      <c r="T312">
        <f t="shared" si="968"/>
        <v>0.7470246304695165</v>
      </c>
    </row>
    <row r="313" spans="1:20" x14ac:dyDescent="0.25">
      <c r="A313" s="5">
        <v>44280</v>
      </c>
      <c r="B313">
        <v>2.3912</v>
      </c>
      <c r="C313">
        <v>2.4519000000000002</v>
      </c>
      <c r="D313">
        <v>2.1638999999999999</v>
      </c>
      <c r="E313">
        <v>2.2200000000000002</v>
      </c>
      <c r="F313">
        <v>8401316.1099999994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-0.61041666666666516</v>
      </c>
      <c r="Q313">
        <f t="shared" si="965"/>
        <v>-5128303.3754791534</v>
      </c>
      <c r="R313">
        <f t="shared" si="966"/>
        <v>70825113.014976397</v>
      </c>
      <c r="S313">
        <f t="shared" si="967"/>
        <v>708.25113014976398</v>
      </c>
      <c r="T313">
        <f t="shared" si="968"/>
        <v>0.70825113014976393</v>
      </c>
    </row>
    <row r="314" spans="1:20" x14ac:dyDescent="0.25">
      <c r="A314" s="5">
        <v>44279</v>
      </c>
      <c r="B314">
        <v>2.3767999999999998</v>
      </c>
      <c r="C314">
        <v>2.75</v>
      </c>
      <c r="D314">
        <v>2.2799999999999998</v>
      </c>
      <c r="E314">
        <v>2.3984999999999999</v>
      </c>
      <c r="F314">
        <v>8778398.5899999999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-0.49574468085106382</v>
      </c>
      <c r="Q314">
        <f t="shared" si="965"/>
        <v>-4351844.4073829791</v>
      </c>
      <c r="R314">
        <f t="shared" si="966"/>
        <v>75953416.390455544</v>
      </c>
      <c r="S314">
        <f t="shared" si="967"/>
        <v>759.53416390455538</v>
      </c>
      <c r="T314">
        <f t="shared" si="968"/>
        <v>0.75953416390455541</v>
      </c>
    </row>
    <row r="315" spans="1:20" x14ac:dyDescent="0.25">
      <c r="A315" s="5">
        <v>44278</v>
      </c>
      <c r="B315">
        <v>2.5228000000000002</v>
      </c>
      <c r="C315">
        <v>2.6749000000000001</v>
      </c>
      <c r="D315">
        <v>2.3412000000000002</v>
      </c>
      <c r="E315">
        <v>2.3736000000000002</v>
      </c>
      <c r="F315">
        <v>8198290.0499999998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-0.80581360503446209</v>
      </c>
      <c r="Q315">
        <f t="shared" si="965"/>
        <v>-6606293.66030866</v>
      </c>
      <c r="R315">
        <f t="shared" si="966"/>
        <v>80305260.797838524</v>
      </c>
      <c r="S315">
        <f t="shared" si="967"/>
        <v>803.05260797838525</v>
      </c>
      <c r="T315">
        <f t="shared" si="968"/>
        <v>0.80305260797838529</v>
      </c>
    </row>
    <row r="316" spans="1:20" x14ac:dyDescent="0.25">
      <c r="A316" s="5">
        <v>44277</v>
      </c>
      <c r="B316">
        <v>2.8437999999999999</v>
      </c>
      <c r="C316">
        <v>3.07</v>
      </c>
      <c r="D316">
        <v>2.488</v>
      </c>
      <c r="E316">
        <v>2.52</v>
      </c>
      <c r="F316">
        <v>10453713.82</v>
      </c>
      <c r="G316">
        <v>0</v>
      </c>
      <c r="L316" t="s">
        <v>8</v>
      </c>
      <c r="M316" t="s">
        <v>7</v>
      </c>
      <c r="N316" t="s">
        <v>8</v>
      </c>
      <c r="P316">
        <f t="shared" si="964"/>
        <v>-0.89003436426116822</v>
      </c>
      <c r="Q316">
        <f t="shared" si="965"/>
        <v>-9304164.5339518879</v>
      </c>
      <c r="R316">
        <f t="shared" si="966"/>
        <v>86911554.458147183</v>
      </c>
      <c r="S316">
        <f t="shared" si="967"/>
        <v>869.1155445814718</v>
      </c>
      <c r="T316">
        <f t="shared" si="968"/>
        <v>0.86911554458147178</v>
      </c>
    </row>
    <row r="317" spans="1:20" x14ac:dyDescent="0.25">
      <c r="A317" s="5">
        <v>44276</v>
      </c>
      <c r="B317">
        <v>2.4611999999999998</v>
      </c>
      <c r="C317">
        <v>2.95</v>
      </c>
      <c r="D317">
        <v>2.4</v>
      </c>
      <c r="E317">
        <v>2.8426999999999998</v>
      </c>
      <c r="F317">
        <v>12126515.279999999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0.60981818181818059</v>
      </c>
      <c r="Q317">
        <f t="shared" si="965"/>
        <v>7394969.4998399848</v>
      </c>
      <c r="R317">
        <f t="shared" si="966"/>
        <v>96215718.992099077</v>
      </c>
      <c r="S317">
        <f t="shared" si="967"/>
        <v>962.15718992099073</v>
      </c>
      <c r="T317">
        <f t="shared" si="968"/>
        <v>0.96215718992099075</v>
      </c>
    </row>
    <row r="318" spans="1:20" x14ac:dyDescent="0.25">
      <c r="A318" s="5">
        <v>44275</v>
      </c>
      <c r="B318">
        <v>2.4114</v>
      </c>
      <c r="C318">
        <v>2.6299000000000001</v>
      </c>
      <c r="D318">
        <v>2.3946000000000001</v>
      </c>
      <c r="E318">
        <v>2.4615999999999998</v>
      </c>
      <c r="F318">
        <v>4622289.38</v>
      </c>
      <c r="G318">
        <v>0</v>
      </c>
      <c r="L318" t="s">
        <v>8</v>
      </c>
      <c r="M318" t="s">
        <v>8</v>
      </c>
      <c r="N318" t="s">
        <v>7</v>
      </c>
      <c r="P318">
        <f t="shared" si="964"/>
        <v>-0.43051423714407389</v>
      </c>
      <c r="Q318">
        <f t="shared" si="965"/>
        <v>-1989961.3862898543</v>
      </c>
      <c r="R318">
        <f t="shared" si="966"/>
        <v>88820749.492259085</v>
      </c>
      <c r="S318">
        <f t="shared" si="967"/>
        <v>888.20749492259085</v>
      </c>
      <c r="T318">
        <f t="shared" si="968"/>
        <v>0.88820749492259088</v>
      </c>
    </row>
    <row r="319" spans="1:20" x14ac:dyDescent="0.25">
      <c r="A319" s="5">
        <v>44274</v>
      </c>
      <c r="B319">
        <v>2.4544999999999999</v>
      </c>
      <c r="C319">
        <v>2.5238</v>
      </c>
      <c r="D319">
        <v>2.3622999999999998</v>
      </c>
      <c r="E319">
        <v>2.4112</v>
      </c>
      <c r="F319">
        <v>3709491.86</v>
      </c>
      <c r="G319">
        <v>0</v>
      </c>
      <c r="L319" t="s">
        <v>7</v>
      </c>
      <c r="M319" t="s">
        <v>8</v>
      </c>
      <c r="N319" t="s">
        <v>7</v>
      </c>
      <c r="P319">
        <f t="shared" si="964"/>
        <v>-0.39442724458204204</v>
      </c>
      <c r="Q319">
        <f t="shared" si="965"/>
        <v>-1463124.6531393139</v>
      </c>
      <c r="R319">
        <f t="shared" si="966"/>
        <v>90810710.878548935</v>
      </c>
      <c r="S319">
        <f t="shared" si="967"/>
        <v>908.10710878548934</v>
      </c>
      <c r="T319">
        <f t="shared" si="968"/>
        <v>0.90810710878548939</v>
      </c>
    </row>
    <row r="320" spans="1:20" x14ac:dyDescent="0.25">
      <c r="A320" s="5">
        <v>44273</v>
      </c>
      <c r="B320">
        <v>2.4009</v>
      </c>
      <c r="C320">
        <v>2.6387999999999998</v>
      </c>
      <c r="D320">
        <v>2.3496999999999999</v>
      </c>
      <c r="E320">
        <v>2.4535999999999998</v>
      </c>
      <c r="F320">
        <v>6686004.3099999996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-0.2812175717744731</v>
      </c>
      <c r="Q320">
        <f t="shared" si="965"/>
        <v>-1880221.8969318613</v>
      </c>
      <c r="R320">
        <f t="shared" si="966"/>
        <v>92273835.531688243</v>
      </c>
      <c r="S320">
        <f t="shared" si="967"/>
        <v>922.73835531688246</v>
      </c>
      <c r="T320">
        <f t="shared" si="968"/>
        <v>0.92273835531688242</v>
      </c>
    </row>
    <row r="321" spans="1:20" x14ac:dyDescent="0.25">
      <c r="A321" s="5">
        <v>44272</v>
      </c>
      <c r="B321">
        <v>2.3932000000000002</v>
      </c>
      <c r="C321">
        <v>2.4434</v>
      </c>
      <c r="D321">
        <v>2.2538</v>
      </c>
      <c r="E321">
        <v>2.4</v>
      </c>
      <c r="F321">
        <v>3927901.81</v>
      </c>
      <c r="G321">
        <v>0</v>
      </c>
      <c r="L321" t="s">
        <v>8</v>
      </c>
      <c r="M321" t="s">
        <v>7</v>
      </c>
      <c r="N321" t="s">
        <v>7</v>
      </c>
      <c r="P321">
        <f t="shared" si="964"/>
        <v>0.54219409282700304</v>
      </c>
      <c r="Q321">
        <f t="shared" si="965"/>
        <v>2129685.1585864932</v>
      </c>
      <c r="R321">
        <f t="shared" si="966"/>
        <v>94154057.4286201</v>
      </c>
      <c r="S321">
        <f t="shared" si="967"/>
        <v>941.54057428620104</v>
      </c>
      <c r="T321">
        <f t="shared" si="968"/>
        <v>0.94154057428620108</v>
      </c>
    </row>
    <row r="322" spans="1:20" x14ac:dyDescent="0.25">
      <c r="A322" s="5">
        <v>44271</v>
      </c>
      <c r="B322">
        <v>2.3069000000000002</v>
      </c>
      <c r="C322">
        <v>2.4881000000000002</v>
      </c>
      <c r="D322">
        <v>2.0909</v>
      </c>
      <c r="E322">
        <v>2.3900999999999999</v>
      </c>
      <c r="F322">
        <v>7813260.5199999996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0.50654582074521526</v>
      </c>
      <c r="Q322">
        <f t="shared" si="965"/>
        <v>3957774.4627995873</v>
      </c>
      <c r="R322">
        <f t="shared" si="966"/>
        <v>92024372.270033613</v>
      </c>
      <c r="S322">
        <f t="shared" si="967"/>
        <v>920.24372270033609</v>
      </c>
      <c r="T322">
        <f t="shared" si="968"/>
        <v>0.92024372270033605</v>
      </c>
    </row>
    <row r="323" spans="1:20" x14ac:dyDescent="0.25">
      <c r="A323" s="5">
        <v>44270</v>
      </c>
      <c r="B323">
        <v>2.5243000000000002</v>
      </c>
      <c r="C323">
        <v>2.75</v>
      </c>
      <c r="D323">
        <v>2.2179000000000002</v>
      </c>
      <c r="E323">
        <v>2.3054000000000001</v>
      </c>
      <c r="F323">
        <v>11837716.4</v>
      </c>
      <c r="G323">
        <v>0</v>
      </c>
      <c r="L323" t="s">
        <v>8</v>
      </c>
      <c r="M323" t="s">
        <v>7</v>
      </c>
      <c r="N323" t="s">
        <v>8</v>
      </c>
      <c r="P323">
        <f t="shared" si="964"/>
        <v>-0.6711144521706448</v>
      </c>
      <c r="Q323">
        <f t="shared" si="965"/>
        <v>-7944462.5567374574</v>
      </c>
      <c r="R323">
        <f t="shared" si="966"/>
        <v>88066597.807234019</v>
      </c>
      <c r="S323">
        <f t="shared" si="967"/>
        <v>880.66597807234018</v>
      </c>
      <c r="T323">
        <f t="shared" si="968"/>
        <v>0.88066597807234015</v>
      </c>
    </row>
    <row r="324" spans="1:20" x14ac:dyDescent="0.25">
      <c r="A324" s="5">
        <v>44269</v>
      </c>
      <c r="B324">
        <v>2.3933</v>
      </c>
      <c r="C324">
        <v>2.7149999999999999</v>
      </c>
      <c r="D324">
        <v>2.2010000000000001</v>
      </c>
      <c r="E324">
        <v>2.5291999999999999</v>
      </c>
      <c r="F324">
        <v>8949698.9399999995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0.27704280155642008</v>
      </c>
      <c r="Q324">
        <f t="shared" si="965"/>
        <v>2479449.6674241228</v>
      </c>
      <c r="R324">
        <f t="shared" si="966"/>
        <v>96011060.363971472</v>
      </c>
      <c r="S324">
        <f t="shared" si="967"/>
        <v>960.11060363971467</v>
      </c>
      <c r="T324">
        <f t="shared" si="968"/>
        <v>0.96011060363971468</v>
      </c>
    </row>
    <row r="325" spans="1:20" x14ac:dyDescent="0.25">
      <c r="A325" s="5">
        <v>44268</v>
      </c>
      <c r="B325">
        <v>2.2972999999999999</v>
      </c>
      <c r="C325">
        <v>2.4883999999999999</v>
      </c>
      <c r="D325">
        <v>2.1532</v>
      </c>
      <c r="E325">
        <v>2.3914</v>
      </c>
      <c r="F325">
        <v>7050311.6699999999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0.42124105011933177</v>
      </c>
      <c r="Q325">
        <f t="shared" si="965"/>
        <v>2969880.6915393798</v>
      </c>
      <c r="R325">
        <f t="shared" si="966"/>
        <v>93531610.696547344</v>
      </c>
      <c r="S325">
        <f t="shared" si="967"/>
        <v>935.31610696547341</v>
      </c>
      <c r="T325">
        <f t="shared" si="968"/>
        <v>0.9353161069654734</v>
      </c>
    </row>
    <row r="326" spans="1:20" x14ac:dyDescent="0.25">
      <c r="A326" s="5">
        <v>44267</v>
      </c>
      <c r="B326">
        <v>2.4775</v>
      </c>
      <c r="C326">
        <v>2.5459000000000001</v>
      </c>
      <c r="D326">
        <v>2.2029999999999998</v>
      </c>
      <c r="E326">
        <v>2.2972999999999999</v>
      </c>
      <c r="F326">
        <v>10374866.359999999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-0.44998541848935553</v>
      </c>
      <c r="Q326">
        <f t="shared" ref="Q326:Q389" si="970">F326*P326</f>
        <v>-4668538.5807757368</v>
      </c>
      <c r="R326">
        <f t="shared" ref="R326:R389" si="971">R327+Q326</f>
        <v>90561730.005007967</v>
      </c>
      <c r="S326">
        <f t="shared" ref="S326:S389" si="972">R326/100000</f>
        <v>905.61730005007962</v>
      </c>
      <c r="T326">
        <f t="shared" ref="T326:T389" si="973">S326/1000</f>
        <v>0.90561730005007957</v>
      </c>
    </row>
    <row r="327" spans="1:20" x14ac:dyDescent="0.25">
      <c r="A327" s="5">
        <v>44266</v>
      </c>
      <c r="B327">
        <v>2.6004999999999998</v>
      </c>
      <c r="C327">
        <v>2.7052</v>
      </c>
      <c r="D327">
        <v>2.4300999999999999</v>
      </c>
      <c r="E327">
        <v>2.4781</v>
      </c>
      <c r="F327">
        <v>8186689.8300000001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-0.65103598691384934</v>
      </c>
      <c r="Q327">
        <f t="shared" si="970"/>
        <v>-5329829.693031624</v>
      </c>
      <c r="R327">
        <f t="shared" si="971"/>
        <v>95230268.585783705</v>
      </c>
      <c r="S327">
        <f t="shared" si="972"/>
        <v>952.3026858578371</v>
      </c>
      <c r="T327">
        <f t="shared" si="973"/>
        <v>0.95230268585783706</v>
      </c>
    </row>
    <row r="328" spans="1:20" x14ac:dyDescent="0.25">
      <c r="A328" s="5">
        <v>44265</v>
      </c>
      <c r="B328">
        <v>2.5933000000000002</v>
      </c>
      <c r="C328">
        <v>2.8887999999999998</v>
      </c>
      <c r="D328">
        <v>2.3845999999999998</v>
      </c>
      <c r="E328">
        <v>2.6032000000000002</v>
      </c>
      <c r="F328">
        <v>10452866.810000001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-0.13288377627925285</v>
      </c>
      <c r="Q328">
        <f t="shared" si="970"/>
        <v>-1389016.4146568675</v>
      </c>
      <c r="R328">
        <f t="shared" si="971"/>
        <v>100560098.27881533</v>
      </c>
      <c r="S328">
        <f t="shared" si="972"/>
        <v>1005.6009827881533</v>
      </c>
      <c r="T328">
        <f t="shared" si="973"/>
        <v>1.0056009827881534</v>
      </c>
    </row>
    <row r="329" spans="1:20" x14ac:dyDescent="0.25">
      <c r="A329" s="5">
        <v>44264</v>
      </c>
      <c r="B329">
        <v>2.5510999999999999</v>
      </c>
      <c r="C329">
        <v>2.75</v>
      </c>
      <c r="D329">
        <v>2.4599000000000002</v>
      </c>
      <c r="E329">
        <v>2.5956000000000001</v>
      </c>
      <c r="F329">
        <v>9021054.8699999992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-6.4460530851430373E-2</v>
      </c>
      <c r="Q329">
        <f t="shared" si="970"/>
        <v>-581501.98576008121</v>
      </c>
      <c r="R329">
        <f t="shared" si="971"/>
        <v>101949114.69347219</v>
      </c>
      <c r="S329">
        <f t="shared" si="972"/>
        <v>1019.4911469347219</v>
      </c>
      <c r="T329">
        <f t="shared" si="973"/>
        <v>1.0194911469347219</v>
      </c>
    </row>
    <row r="330" spans="1:20" x14ac:dyDescent="0.25">
      <c r="A330" s="5">
        <v>44263</v>
      </c>
      <c r="B330">
        <v>2.7776999999999998</v>
      </c>
      <c r="C330">
        <v>2.7822</v>
      </c>
      <c r="D330">
        <v>2.3681000000000001</v>
      </c>
      <c r="E330">
        <v>2.5531999999999999</v>
      </c>
      <c r="F330">
        <v>20016657.149999999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-0.10601304032842376</v>
      </c>
      <c r="Q330">
        <f t="shared" si="970"/>
        <v>-2122026.6816831818</v>
      </c>
      <c r="R330">
        <f t="shared" si="971"/>
        <v>102530616.67923227</v>
      </c>
      <c r="S330">
        <f t="shared" si="972"/>
        <v>1025.3061667923228</v>
      </c>
      <c r="T330">
        <f t="shared" si="973"/>
        <v>1.0253061667923227</v>
      </c>
    </row>
    <row r="331" spans="1:20" x14ac:dyDescent="0.25">
      <c r="A331" s="5">
        <v>44262</v>
      </c>
      <c r="B331">
        <v>2.0539999999999998</v>
      </c>
      <c r="C331">
        <v>2.98</v>
      </c>
      <c r="D331">
        <v>2.0343</v>
      </c>
      <c r="E331">
        <v>2.7726999999999999</v>
      </c>
      <c r="F331">
        <v>59913262.579999998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0.56159458602093681</v>
      </c>
      <c r="Q331">
        <f t="shared" si="970"/>
        <v>33646963.895778783</v>
      </c>
      <c r="R331">
        <f t="shared" si="971"/>
        <v>104652643.36091545</v>
      </c>
      <c r="S331">
        <f t="shared" si="972"/>
        <v>1046.5264336091545</v>
      </c>
      <c r="T331">
        <f t="shared" si="973"/>
        <v>1.0465264336091544</v>
      </c>
    </row>
    <row r="332" spans="1:20" x14ac:dyDescent="0.25">
      <c r="A332" s="5">
        <v>44261</v>
      </c>
      <c r="B332">
        <v>1.8651</v>
      </c>
      <c r="C332">
        <v>2.09</v>
      </c>
      <c r="D332">
        <v>1.7713000000000001</v>
      </c>
      <c r="E332">
        <v>2.0537999999999998</v>
      </c>
      <c r="F332">
        <v>8880768.4399999995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0.77282711013492289</v>
      </c>
      <c r="Q332">
        <f t="shared" si="970"/>
        <v>6863298.6092626266</v>
      </c>
      <c r="R332">
        <f t="shared" si="971"/>
        <v>71005679.465136677</v>
      </c>
      <c r="S332">
        <f t="shared" si="972"/>
        <v>710.05679465136677</v>
      </c>
      <c r="T332">
        <f t="shared" si="973"/>
        <v>0.71005679465136673</v>
      </c>
    </row>
    <row r="333" spans="1:20" x14ac:dyDescent="0.25">
      <c r="A333" s="5">
        <v>44260</v>
      </c>
      <c r="B333">
        <v>1.8843000000000001</v>
      </c>
      <c r="C333">
        <v>1.9320999999999999</v>
      </c>
      <c r="D333">
        <v>1.7423999999999999</v>
      </c>
      <c r="E333">
        <v>1.8641000000000001</v>
      </c>
      <c r="F333">
        <v>6178382.6399999997</v>
      </c>
      <c r="G333">
        <v>0</v>
      </c>
      <c r="L333" t="s">
        <v>8</v>
      </c>
      <c r="M333" t="s">
        <v>7</v>
      </c>
      <c r="N333" t="s">
        <v>8</v>
      </c>
      <c r="P333">
        <f t="shared" si="969"/>
        <v>0.28307854507116664</v>
      </c>
      <c r="Q333">
        <f t="shared" si="970"/>
        <v>1748967.5686241535</v>
      </c>
      <c r="R333">
        <f t="shared" si="971"/>
        <v>64142380.855874047</v>
      </c>
      <c r="S333">
        <f t="shared" si="972"/>
        <v>641.42380855874046</v>
      </c>
      <c r="T333">
        <f t="shared" si="973"/>
        <v>0.64142380855874048</v>
      </c>
    </row>
    <row r="334" spans="1:20" x14ac:dyDescent="0.25">
      <c r="A334" s="5">
        <v>44259</v>
      </c>
      <c r="B334">
        <v>2.0394000000000001</v>
      </c>
      <c r="C334">
        <v>2.1113</v>
      </c>
      <c r="D334">
        <v>1.7498</v>
      </c>
      <c r="E334">
        <v>1.885</v>
      </c>
      <c r="F334">
        <v>12018118.57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-0.25200553250345775</v>
      </c>
      <c r="Q334">
        <f t="shared" si="970"/>
        <v>-3028632.3699225443</v>
      </c>
      <c r="R334">
        <f t="shared" si="971"/>
        <v>62393413.287249893</v>
      </c>
      <c r="S334">
        <f t="shared" si="972"/>
        <v>623.93413287249894</v>
      </c>
      <c r="T334">
        <f t="shared" si="973"/>
        <v>0.62393413287249888</v>
      </c>
    </row>
    <row r="335" spans="1:20" x14ac:dyDescent="0.25">
      <c r="A335" s="5">
        <v>44258</v>
      </c>
      <c r="B335">
        <v>1.7788999999999999</v>
      </c>
      <c r="C335">
        <v>2.2799999999999998</v>
      </c>
      <c r="D335">
        <v>1.7514000000000001</v>
      </c>
      <c r="E335">
        <v>2.0394000000000001</v>
      </c>
      <c r="F335">
        <v>15898061.66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8.9670828603859914E-2</v>
      </c>
      <c r="Q335">
        <f t="shared" si="970"/>
        <v>1425592.3622474566</v>
      </c>
      <c r="R335">
        <f t="shared" si="971"/>
        <v>65422045.657172434</v>
      </c>
      <c r="S335">
        <f t="shared" si="972"/>
        <v>654.2204565717243</v>
      </c>
      <c r="T335">
        <f t="shared" si="973"/>
        <v>0.65422045657172434</v>
      </c>
    </row>
    <row r="336" spans="1:20" x14ac:dyDescent="0.25">
      <c r="A336" s="5">
        <v>44257</v>
      </c>
      <c r="B336">
        <v>1.7932999999999999</v>
      </c>
      <c r="C336">
        <v>1.9388000000000001</v>
      </c>
      <c r="D336">
        <v>1.6900999999999999</v>
      </c>
      <c r="E336">
        <v>1.7818000000000001</v>
      </c>
      <c r="F336">
        <v>9434257.4600000009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-0.26256533976678681</v>
      </c>
      <c r="Q336">
        <f t="shared" si="970"/>
        <v>-2477109.0154322432</v>
      </c>
      <c r="R336">
        <f t="shared" si="971"/>
        <v>63996453.294924974</v>
      </c>
      <c r="S336">
        <f t="shared" si="972"/>
        <v>639.9645329492497</v>
      </c>
      <c r="T336">
        <f t="shared" si="973"/>
        <v>0.63996453294924971</v>
      </c>
    </row>
    <row r="337" spans="1:20" x14ac:dyDescent="0.25">
      <c r="A337" s="5">
        <v>44256</v>
      </c>
      <c r="B337">
        <v>1.6998</v>
      </c>
      <c r="C337">
        <v>1.8472</v>
      </c>
      <c r="D337">
        <v>1.6819999999999999</v>
      </c>
      <c r="E337">
        <v>1.7909999999999999</v>
      </c>
      <c r="F337">
        <v>6305614.21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0.3196125907990312</v>
      </c>
      <c r="Q337">
        <f t="shared" si="970"/>
        <v>2015353.6942372865</v>
      </c>
      <c r="R337">
        <f t="shared" si="971"/>
        <v>66473562.31035722</v>
      </c>
      <c r="S337">
        <f t="shared" si="972"/>
        <v>664.73562310357215</v>
      </c>
      <c r="T337">
        <f t="shared" si="973"/>
        <v>0.66473562310357215</v>
      </c>
    </row>
    <row r="338" spans="1:20" x14ac:dyDescent="0.25">
      <c r="A338" s="5">
        <v>44255</v>
      </c>
      <c r="B338">
        <v>1.8168</v>
      </c>
      <c r="C338">
        <v>1.8228</v>
      </c>
      <c r="D338">
        <v>1.5186999999999999</v>
      </c>
      <c r="E338">
        <v>1.6999</v>
      </c>
      <c r="F338">
        <v>9225759.7599999998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0.19171325221966462</v>
      </c>
      <c r="Q338">
        <f t="shared" si="970"/>
        <v>1768700.4077869125</v>
      </c>
      <c r="R338">
        <f t="shared" si="971"/>
        <v>64458208.616119936</v>
      </c>
      <c r="S338">
        <f t="shared" si="972"/>
        <v>644.58208616119941</v>
      </c>
      <c r="T338">
        <f t="shared" si="973"/>
        <v>0.64458208616119939</v>
      </c>
    </row>
    <row r="339" spans="1:20" x14ac:dyDescent="0.25">
      <c r="A339" s="5">
        <v>44254</v>
      </c>
      <c r="B339">
        <v>1.8787</v>
      </c>
      <c r="C339">
        <v>2.1659000000000002</v>
      </c>
      <c r="D339">
        <v>1.7379</v>
      </c>
      <c r="E339">
        <v>1.8170999999999999</v>
      </c>
      <c r="F339">
        <v>8660483.6699999999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-0.62990654205607521</v>
      </c>
      <c r="Q339">
        <f t="shared" si="970"/>
        <v>-5455295.3211028073</v>
      </c>
      <c r="R339">
        <f t="shared" si="971"/>
        <v>62689508.208333023</v>
      </c>
      <c r="S339">
        <f t="shared" si="972"/>
        <v>626.89508208333018</v>
      </c>
      <c r="T339">
        <f t="shared" si="973"/>
        <v>0.62689508208333022</v>
      </c>
    </row>
    <row r="340" spans="1:20" x14ac:dyDescent="0.25">
      <c r="A340" s="5">
        <v>44253</v>
      </c>
      <c r="B340">
        <v>1.86</v>
      </c>
      <c r="C340">
        <v>2.1111</v>
      </c>
      <c r="D340">
        <v>1.7241</v>
      </c>
      <c r="E340">
        <v>1.8787</v>
      </c>
      <c r="F340">
        <v>13631749.9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-0.20103359173126581</v>
      </c>
      <c r="Q340">
        <f t="shared" si="970"/>
        <v>-2740439.6439793236</v>
      </c>
      <c r="R340">
        <f t="shared" si="971"/>
        <v>68144803.529435828</v>
      </c>
      <c r="S340">
        <f t="shared" si="972"/>
        <v>681.44803529435831</v>
      </c>
      <c r="T340">
        <f t="shared" si="973"/>
        <v>0.68144803529435827</v>
      </c>
    </row>
    <row r="341" spans="1:20" x14ac:dyDescent="0.25">
      <c r="A341" s="5">
        <v>44252</v>
      </c>
      <c r="B341">
        <v>2.1160999999999999</v>
      </c>
      <c r="C341">
        <v>2.41</v>
      </c>
      <c r="D341">
        <v>1.8285</v>
      </c>
      <c r="E341">
        <v>1.8540000000000001</v>
      </c>
      <c r="F341">
        <v>15145801.18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-0.91229578675838319</v>
      </c>
      <c r="Q341">
        <f t="shared" si="970"/>
        <v>-13817450.603594149</v>
      </c>
      <c r="R341">
        <f t="shared" si="971"/>
        <v>70885243.173415154</v>
      </c>
      <c r="S341">
        <f t="shared" si="972"/>
        <v>708.85243173415154</v>
      </c>
      <c r="T341">
        <f t="shared" si="973"/>
        <v>0.70885243173415158</v>
      </c>
    </row>
    <row r="342" spans="1:20" x14ac:dyDescent="0.25">
      <c r="A342" s="5">
        <v>44251</v>
      </c>
      <c r="B342">
        <v>2.3266</v>
      </c>
      <c r="C342">
        <v>2.6955</v>
      </c>
      <c r="D342">
        <v>2.0162</v>
      </c>
      <c r="E342">
        <v>2.1120999999999999</v>
      </c>
      <c r="F342">
        <v>32595652.620000001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-0.71765052259679118</v>
      </c>
      <c r="Q342">
        <f t="shared" si="970"/>
        <v>-23392287.137126468</v>
      </c>
      <c r="R342">
        <f t="shared" si="971"/>
        <v>84702693.777009308</v>
      </c>
      <c r="S342">
        <f t="shared" si="972"/>
        <v>847.02693777009313</v>
      </c>
      <c r="T342">
        <f t="shared" si="973"/>
        <v>0.84702693777009308</v>
      </c>
    </row>
    <row r="343" spans="1:20" x14ac:dyDescent="0.25">
      <c r="A343" s="5">
        <v>44250</v>
      </c>
      <c r="B343">
        <v>2.0585</v>
      </c>
      <c r="C343">
        <v>2.3868999999999998</v>
      </c>
      <c r="D343">
        <v>1.4459</v>
      </c>
      <c r="E343">
        <v>2.3391999999999999</v>
      </c>
      <c r="F343">
        <v>36900875.159999996</v>
      </c>
      <c r="G343">
        <v>0</v>
      </c>
      <c r="L343" t="s">
        <v>8</v>
      </c>
      <c r="M343" t="s">
        <v>8</v>
      </c>
      <c r="N343" t="s">
        <v>8</v>
      </c>
      <c r="P343">
        <f t="shared" si="969"/>
        <v>0.89861849096705659</v>
      </c>
      <c r="Q343">
        <f t="shared" si="970"/>
        <v>33159808.751642939</v>
      </c>
      <c r="R343">
        <f t="shared" si="971"/>
        <v>108094980.91413577</v>
      </c>
      <c r="S343">
        <f t="shared" si="972"/>
        <v>1080.9498091413577</v>
      </c>
      <c r="T343">
        <f t="shared" si="973"/>
        <v>1.0809498091413576</v>
      </c>
    </row>
    <row r="344" spans="1:20" x14ac:dyDescent="0.25">
      <c r="A344" s="5">
        <v>44249</v>
      </c>
      <c r="B344">
        <v>1.9857</v>
      </c>
      <c r="C344">
        <v>2.1800000000000002</v>
      </c>
      <c r="D344">
        <v>1.44</v>
      </c>
      <c r="E344">
        <v>2.0592000000000001</v>
      </c>
      <c r="F344">
        <v>21414941.98</v>
      </c>
      <c r="G344">
        <v>0</v>
      </c>
      <c r="L344" t="s">
        <v>8</v>
      </c>
      <c r="M344" t="s">
        <v>7</v>
      </c>
      <c r="N344" t="s">
        <v>7</v>
      </c>
      <c r="P344">
        <f t="shared" si="969"/>
        <v>0.67351351351351352</v>
      </c>
      <c r="Q344">
        <f t="shared" si="970"/>
        <v>14423252.814637838</v>
      </c>
      <c r="R344">
        <f t="shared" si="971"/>
        <v>74935172.162492827</v>
      </c>
      <c r="S344">
        <f t="shared" si="972"/>
        <v>749.35172162492825</v>
      </c>
      <c r="T344">
        <f t="shared" si="973"/>
        <v>0.74935172162492825</v>
      </c>
    </row>
    <row r="345" spans="1:20" x14ac:dyDescent="0.25">
      <c r="A345" s="5">
        <v>44248</v>
      </c>
      <c r="B345">
        <v>1.9</v>
      </c>
      <c r="C345">
        <v>2.0769000000000002</v>
      </c>
      <c r="D345">
        <v>1.8462000000000001</v>
      </c>
      <c r="E345">
        <v>1.9855</v>
      </c>
      <c r="F345">
        <v>5411144.1699999999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0.2076289553532718</v>
      </c>
      <c r="Q345">
        <f t="shared" si="970"/>
        <v>1123510.211283047</v>
      </c>
      <c r="R345">
        <f t="shared" si="971"/>
        <v>60511919.347854994</v>
      </c>
      <c r="S345">
        <f t="shared" si="972"/>
        <v>605.11919347854996</v>
      </c>
      <c r="T345">
        <f t="shared" si="973"/>
        <v>0.60511919347854992</v>
      </c>
    </row>
    <row r="346" spans="1:20" x14ac:dyDescent="0.25">
      <c r="A346" s="5">
        <v>44247</v>
      </c>
      <c r="B346">
        <v>2.0886999999999998</v>
      </c>
      <c r="C346">
        <v>2.19</v>
      </c>
      <c r="D346">
        <v>1.7817000000000001</v>
      </c>
      <c r="E346">
        <v>1.9</v>
      </c>
      <c r="F346">
        <v>8328518.3399999999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-0.42052412441832043</v>
      </c>
      <c r="Q346">
        <f t="shared" si="970"/>
        <v>-3502342.8826304236</v>
      </c>
      <c r="R346">
        <f t="shared" si="971"/>
        <v>59388409.136571944</v>
      </c>
      <c r="S346">
        <f t="shared" si="972"/>
        <v>593.88409136571943</v>
      </c>
      <c r="T346">
        <f t="shared" si="973"/>
        <v>0.5938840913657194</v>
      </c>
    </row>
    <row r="347" spans="1:20" x14ac:dyDescent="0.25">
      <c r="A347" s="5">
        <v>44246</v>
      </c>
      <c r="B347">
        <v>2.1526999999999998</v>
      </c>
      <c r="C347">
        <v>2.19</v>
      </c>
      <c r="D347">
        <v>1.9423999999999999</v>
      </c>
      <c r="E347">
        <v>2.0884999999999998</v>
      </c>
      <c r="F347">
        <v>5906654.9100000001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0.18012924071082287</v>
      </c>
      <c r="Q347">
        <f t="shared" si="970"/>
        <v>1063961.2640791538</v>
      </c>
      <c r="R347">
        <f t="shared" si="971"/>
        <v>62890752.019202366</v>
      </c>
      <c r="S347">
        <f t="shared" si="972"/>
        <v>628.90752019202364</v>
      </c>
      <c r="T347">
        <f t="shared" si="973"/>
        <v>0.62890752019202367</v>
      </c>
    </row>
    <row r="348" spans="1:20" x14ac:dyDescent="0.25">
      <c r="A348" s="5">
        <v>44245</v>
      </c>
      <c r="B348">
        <v>1.9833000000000001</v>
      </c>
      <c r="C348">
        <v>2.2400000000000002</v>
      </c>
      <c r="D348">
        <v>1.9735</v>
      </c>
      <c r="E348">
        <v>2.1472000000000002</v>
      </c>
      <c r="F348">
        <v>9126924.8699999992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0.30356472795497236</v>
      </c>
      <c r="Q348">
        <f t="shared" si="970"/>
        <v>2770612.4652270214</v>
      </c>
      <c r="R348">
        <f t="shared" si="971"/>
        <v>61826790.755123213</v>
      </c>
      <c r="S348">
        <f t="shared" si="972"/>
        <v>618.26790755123216</v>
      </c>
      <c r="T348">
        <f t="shared" si="973"/>
        <v>0.61826790755123218</v>
      </c>
    </row>
    <row r="349" spans="1:20" x14ac:dyDescent="0.25">
      <c r="A349" s="5">
        <v>44244</v>
      </c>
      <c r="B349">
        <v>1.9195</v>
      </c>
      <c r="C349">
        <v>2.0600999999999998</v>
      </c>
      <c r="D349">
        <v>1.7159</v>
      </c>
      <c r="E349">
        <v>1.9839</v>
      </c>
      <c r="F349">
        <v>15271759.41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0.55723416618245292</v>
      </c>
      <c r="Q349">
        <f t="shared" si="970"/>
        <v>8509946.1209703796</v>
      </c>
      <c r="R349">
        <f t="shared" si="971"/>
        <v>59056178.28989619</v>
      </c>
      <c r="S349">
        <f t="shared" si="972"/>
        <v>590.56178289896195</v>
      </c>
      <c r="T349">
        <f t="shared" si="973"/>
        <v>0.590561782898962</v>
      </c>
    </row>
    <row r="350" spans="1:20" x14ac:dyDescent="0.25">
      <c r="A350" s="5">
        <v>44243</v>
      </c>
      <c r="B350">
        <v>1.9545999999999999</v>
      </c>
      <c r="C350">
        <v>2.1</v>
      </c>
      <c r="D350">
        <v>1.8414999999999999</v>
      </c>
      <c r="E350">
        <v>1.9160999999999999</v>
      </c>
      <c r="F350">
        <v>11231517.08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-0.42282398452611258</v>
      </c>
      <c r="Q350">
        <f t="shared" si="970"/>
        <v>-4748954.8040386895</v>
      </c>
      <c r="R350">
        <f t="shared" si="971"/>
        <v>50546232.168925807</v>
      </c>
      <c r="S350">
        <f t="shared" si="972"/>
        <v>505.46232168925809</v>
      </c>
      <c r="T350">
        <f t="shared" si="973"/>
        <v>0.50546232168925809</v>
      </c>
    </row>
    <row r="351" spans="1:20" x14ac:dyDescent="0.25">
      <c r="A351" s="5">
        <v>44242</v>
      </c>
      <c r="B351">
        <v>2.153</v>
      </c>
      <c r="C351">
        <v>2.2385999999999999</v>
      </c>
      <c r="D351">
        <v>1.6886000000000001</v>
      </c>
      <c r="E351">
        <v>1.9547000000000001</v>
      </c>
      <c r="F351">
        <v>12322815.24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-3.2363636363636039E-2</v>
      </c>
      <c r="Q351">
        <f t="shared" si="970"/>
        <v>-398811.11140363239</v>
      </c>
      <c r="R351">
        <f t="shared" si="971"/>
        <v>55295186.972964495</v>
      </c>
      <c r="S351">
        <f t="shared" si="972"/>
        <v>552.95186972964495</v>
      </c>
      <c r="T351">
        <f t="shared" si="973"/>
        <v>0.55295186972964494</v>
      </c>
    </row>
    <row r="352" spans="1:20" x14ac:dyDescent="0.25">
      <c r="A352" s="5">
        <v>44241</v>
      </c>
      <c r="B352">
        <v>2.3879000000000001</v>
      </c>
      <c r="C352">
        <v>2.4296000000000002</v>
      </c>
      <c r="D352">
        <v>1.9856</v>
      </c>
      <c r="E352">
        <v>2.1533000000000002</v>
      </c>
      <c r="F352">
        <v>13118233.6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-0.24459459459459407</v>
      </c>
      <c r="Q352">
        <f t="shared" si="970"/>
        <v>-3208649.029189182</v>
      </c>
      <c r="R352">
        <f t="shared" si="971"/>
        <v>55693998.084368125</v>
      </c>
      <c r="S352">
        <f t="shared" si="972"/>
        <v>556.93998084368127</v>
      </c>
      <c r="T352">
        <f t="shared" si="973"/>
        <v>0.55693998084368124</v>
      </c>
    </row>
    <row r="353" spans="1:20" x14ac:dyDescent="0.25">
      <c r="A353" s="5">
        <v>44240</v>
      </c>
      <c r="B353">
        <v>2.2298</v>
      </c>
      <c r="C353">
        <v>2.4700000000000002</v>
      </c>
      <c r="D353">
        <v>1.9227000000000001</v>
      </c>
      <c r="E353">
        <v>2.3881999999999999</v>
      </c>
      <c r="F353">
        <v>14047130.17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0.70107801936780445</v>
      </c>
      <c r="Q353">
        <f t="shared" si="970"/>
        <v>9848134.1973853298</v>
      </c>
      <c r="R353">
        <f t="shared" si="971"/>
        <v>58902647.113557309</v>
      </c>
      <c r="S353">
        <f t="shared" si="972"/>
        <v>589.02647113557305</v>
      </c>
      <c r="T353">
        <f t="shared" si="973"/>
        <v>0.58902647113557305</v>
      </c>
    </row>
    <row r="354" spans="1:20" x14ac:dyDescent="0.25">
      <c r="A354" s="5">
        <v>44239</v>
      </c>
      <c r="B354">
        <v>1.9189000000000001</v>
      </c>
      <c r="C354">
        <v>2.2799999999999998</v>
      </c>
      <c r="D354">
        <v>1.9000999999999999</v>
      </c>
      <c r="E354">
        <v>2.2250000000000001</v>
      </c>
      <c r="F354">
        <v>9995037.4600000009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0.71045011845222572</v>
      </c>
      <c r="Q354">
        <f t="shared" si="970"/>
        <v>7100975.5473914342</v>
      </c>
      <c r="R354">
        <f t="shared" si="971"/>
        <v>49054512.916171975</v>
      </c>
      <c r="S354">
        <f t="shared" si="972"/>
        <v>490.54512916171973</v>
      </c>
      <c r="T354">
        <f t="shared" si="973"/>
        <v>0.49054512916171972</v>
      </c>
    </row>
    <row r="355" spans="1:20" x14ac:dyDescent="0.25">
      <c r="A355" s="5">
        <v>44238</v>
      </c>
      <c r="B355">
        <v>1.94</v>
      </c>
      <c r="C355">
        <v>2.0912999999999999</v>
      </c>
      <c r="D355">
        <v>1.8429</v>
      </c>
      <c r="E355">
        <v>1.9107000000000001</v>
      </c>
      <c r="F355">
        <v>7650488.2800000003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-0.45410628019323596</v>
      </c>
      <c r="Q355">
        <f t="shared" si="970"/>
        <v>-3474134.7744927481</v>
      </c>
      <c r="R355">
        <f t="shared" si="971"/>
        <v>41953537.368780538</v>
      </c>
      <c r="S355">
        <f t="shared" si="972"/>
        <v>419.53537368780536</v>
      </c>
      <c r="T355">
        <f t="shared" si="973"/>
        <v>0.41953537368780536</v>
      </c>
    </row>
    <row r="356" spans="1:20" x14ac:dyDescent="0.25">
      <c r="A356" s="5">
        <v>44237</v>
      </c>
      <c r="B356">
        <v>1.9685999999999999</v>
      </c>
      <c r="C356">
        <v>2.0171999999999999</v>
      </c>
      <c r="D356">
        <v>1.6053999999999999</v>
      </c>
      <c r="E356">
        <v>1.9391</v>
      </c>
      <c r="F356">
        <v>12991807.6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0.62068965517241459</v>
      </c>
      <c r="Q356">
        <f t="shared" si="970"/>
        <v>8063880.5793103548</v>
      </c>
      <c r="R356">
        <f t="shared" si="971"/>
        <v>45427672.143273287</v>
      </c>
      <c r="S356">
        <f t="shared" si="972"/>
        <v>454.27672143273287</v>
      </c>
      <c r="T356">
        <f t="shared" si="973"/>
        <v>0.45427672143273284</v>
      </c>
    </row>
    <row r="357" spans="1:20" x14ac:dyDescent="0.25">
      <c r="A357" s="5">
        <v>44236</v>
      </c>
      <c r="B357">
        <v>1.6754</v>
      </c>
      <c r="C357">
        <v>2.0779999999999998</v>
      </c>
      <c r="D357">
        <v>1.6425000000000001</v>
      </c>
      <c r="E357">
        <v>1.9726999999999999</v>
      </c>
      <c r="F357">
        <v>10640848.4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0.5164179104477612</v>
      </c>
      <c r="Q357">
        <f t="shared" si="970"/>
        <v>5495124.6961194035</v>
      </c>
      <c r="R357">
        <f t="shared" si="971"/>
        <v>37363791.563962929</v>
      </c>
      <c r="S357">
        <f t="shared" si="972"/>
        <v>373.63791563962928</v>
      </c>
      <c r="T357">
        <f t="shared" si="973"/>
        <v>0.37363791563962928</v>
      </c>
    </row>
    <row r="358" spans="1:20" x14ac:dyDescent="0.25">
      <c r="A358" s="5">
        <v>44235</v>
      </c>
      <c r="B358">
        <v>1.6444000000000001</v>
      </c>
      <c r="C358">
        <v>1.7870999999999999</v>
      </c>
      <c r="D358">
        <v>1.601</v>
      </c>
      <c r="E358">
        <v>1.6766000000000001</v>
      </c>
      <c r="F358">
        <v>6380938.1699999999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-0.18753358409457133</v>
      </c>
      <c r="Q358">
        <f t="shared" si="970"/>
        <v>-1196640.2049059551</v>
      </c>
      <c r="R358">
        <f t="shared" si="971"/>
        <v>31868666.867843524</v>
      </c>
      <c r="S358">
        <f t="shared" si="972"/>
        <v>318.68666867843524</v>
      </c>
      <c r="T358">
        <f t="shared" si="973"/>
        <v>0.31868666867843526</v>
      </c>
    </row>
    <row r="359" spans="1:20" x14ac:dyDescent="0.25">
      <c r="A359" s="5">
        <v>44234</v>
      </c>
      <c r="B359">
        <v>1.6114999999999999</v>
      </c>
      <c r="C359">
        <v>1.762</v>
      </c>
      <c r="D359">
        <v>1.5114000000000001</v>
      </c>
      <c r="E359">
        <v>1.6444000000000001</v>
      </c>
      <c r="F359">
        <v>9747172.3499999996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6.1452513966480785E-2</v>
      </c>
      <c r="Q359">
        <f t="shared" si="970"/>
        <v>598988.24497207033</v>
      </c>
      <c r="R359">
        <f t="shared" si="971"/>
        <v>33065307.072749477</v>
      </c>
      <c r="S359">
        <f t="shared" si="972"/>
        <v>330.65307072749476</v>
      </c>
      <c r="T359">
        <f t="shared" si="973"/>
        <v>0.33065307072749478</v>
      </c>
    </row>
    <row r="360" spans="1:20" x14ac:dyDescent="0.25">
      <c r="A360" s="5">
        <v>44233</v>
      </c>
      <c r="B360">
        <v>1.8012999999999999</v>
      </c>
      <c r="C360">
        <v>1.8309</v>
      </c>
      <c r="D360">
        <v>1.5202</v>
      </c>
      <c r="E360">
        <v>1.6101000000000001</v>
      </c>
      <c r="F360">
        <v>15307854.84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-0.42130672674605668</v>
      </c>
      <c r="Q360">
        <f t="shared" si="970"/>
        <v>-6449302.2161441809</v>
      </c>
      <c r="R360">
        <f t="shared" si="971"/>
        <v>32466318.827777408</v>
      </c>
      <c r="S360">
        <f t="shared" si="972"/>
        <v>324.66318827777405</v>
      </c>
      <c r="T360">
        <f t="shared" si="973"/>
        <v>0.32466318827777407</v>
      </c>
    </row>
    <row r="361" spans="1:20" x14ac:dyDescent="0.25">
      <c r="A361" s="5">
        <v>44232</v>
      </c>
      <c r="B361">
        <v>1.61</v>
      </c>
      <c r="C361">
        <v>1.89</v>
      </c>
      <c r="D361">
        <v>1.61</v>
      </c>
      <c r="E361">
        <v>1.8008999999999999</v>
      </c>
      <c r="F361">
        <v>9857933.8800000008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0.36357142857142843</v>
      </c>
      <c r="Q361">
        <f t="shared" si="970"/>
        <v>3584063.1035142848</v>
      </c>
      <c r="R361">
        <f t="shared" si="971"/>
        <v>38915621.04392159</v>
      </c>
      <c r="S361">
        <f t="shared" si="972"/>
        <v>389.1562104392159</v>
      </c>
      <c r="T361">
        <f t="shared" si="973"/>
        <v>0.38915621043921589</v>
      </c>
    </row>
    <row r="362" spans="1:20" x14ac:dyDescent="0.25">
      <c r="A362" s="5">
        <v>44231</v>
      </c>
      <c r="B362">
        <v>1.4857</v>
      </c>
      <c r="C362">
        <v>1.6890000000000001</v>
      </c>
      <c r="D362">
        <v>1.39</v>
      </c>
      <c r="E362">
        <v>1.6117999999999999</v>
      </c>
      <c r="F362">
        <v>8622036.3000000007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0.48361204013377845</v>
      </c>
      <c r="Q362">
        <f t="shared" si="970"/>
        <v>4169720.5651504952</v>
      </c>
      <c r="R362">
        <f t="shared" si="971"/>
        <v>35331557.940407306</v>
      </c>
      <c r="S362">
        <f t="shared" si="972"/>
        <v>353.31557940407305</v>
      </c>
      <c r="T362">
        <f t="shared" si="973"/>
        <v>0.35331557940407304</v>
      </c>
    </row>
    <row r="363" spans="1:20" x14ac:dyDescent="0.25">
      <c r="A363" s="5">
        <v>44230</v>
      </c>
      <c r="B363">
        <v>1.3621000000000001</v>
      </c>
      <c r="C363">
        <v>1.5438000000000001</v>
      </c>
      <c r="D363">
        <v>1.3401000000000001</v>
      </c>
      <c r="E363">
        <v>1.484</v>
      </c>
      <c r="F363">
        <v>7705192.5599999996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0.41286205203730902</v>
      </c>
      <c r="Q363">
        <f t="shared" si="970"/>
        <v>3181181.6116642063</v>
      </c>
      <c r="R363">
        <f t="shared" si="971"/>
        <v>31161837.37525681</v>
      </c>
      <c r="S363">
        <f t="shared" si="972"/>
        <v>311.61837375256812</v>
      </c>
      <c r="T363">
        <f t="shared" si="973"/>
        <v>0.31161837375256812</v>
      </c>
    </row>
    <row r="364" spans="1:20" x14ac:dyDescent="0.25">
      <c r="A364" s="5">
        <v>44229</v>
      </c>
      <c r="B364">
        <v>1.3345</v>
      </c>
      <c r="C364">
        <v>1.4227000000000001</v>
      </c>
      <c r="D364">
        <v>1.2950999999999999</v>
      </c>
      <c r="E364">
        <v>1.3620000000000001</v>
      </c>
      <c r="F364">
        <v>5776287.5599999996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4.858934169279152E-2</v>
      </c>
      <c r="Q364">
        <f t="shared" si="970"/>
        <v>280666.009968661</v>
      </c>
      <c r="R364">
        <f t="shared" si="971"/>
        <v>27980655.763592605</v>
      </c>
      <c r="S364">
        <f t="shared" si="972"/>
        <v>279.80655763592603</v>
      </c>
      <c r="T364">
        <f t="shared" si="973"/>
        <v>0.27980655763592605</v>
      </c>
    </row>
    <row r="365" spans="1:20" x14ac:dyDescent="0.25">
      <c r="A365" s="5">
        <v>44228</v>
      </c>
      <c r="B365">
        <v>1.2576000000000001</v>
      </c>
      <c r="C365">
        <v>1.3576999999999999</v>
      </c>
      <c r="D365">
        <v>1.2035</v>
      </c>
      <c r="E365">
        <v>1.335</v>
      </c>
      <c r="F365">
        <v>3985958.96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0.70557717250324303</v>
      </c>
      <c r="Q365">
        <f t="shared" si="970"/>
        <v>2812401.652710767</v>
      </c>
      <c r="R365">
        <f t="shared" si="971"/>
        <v>27699989.753623944</v>
      </c>
      <c r="S365">
        <f t="shared" si="972"/>
        <v>276.99989753623942</v>
      </c>
      <c r="T365">
        <f t="shared" si="973"/>
        <v>0.27699989753623944</v>
      </c>
    </row>
    <row r="366" spans="1:20" x14ac:dyDescent="0.25">
      <c r="A366" s="5">
        <v>44227</v>
      </c>
      <c r="B366">
        <v>1.3268</v>
      </c>
      <c r="C366">
        <v>1.3580000000000001</v>
      </c>
      <c r="D366">
        <v>1.22</v>
      </c>
      <c r="E366">
        <v>1.2572000000000001</v>
      </c>
      <c r="F366">
        <v>4251419.97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-0.46086956521739003</v>
      </c>
      <c r="Q366">
        <f t="shared" si="970"/>
        <v>-1959350.0731304293</v>
      </c>
      <c r="R366">
        <f t="shared" si="971"/>
        <v>24887588.100913178</v>
      </c>
      <c r="S366">
        <f t="shared" si="972"/>
        <v>248.87588100913177</v>
      </c>
      <c r="T366">
        <f t="shared" si="973"/>
        <v>0.24887588100913177</v>
      </c>
    </row>
    <row r="367" spans="1:20" x14ac:dyDescent="0.25">
      <c r="A367" s="5">
        <v>44226</v>
      </c>
      <c r="B367">
        <v>1.2071000000000001</v>
      </c>
      <c r="C367">
        <v>1.373</v>
      </c>
      <c r="D367">
        <v>1.2037</v>
      </c>
      <c r="E367">
        <v>1.3250999999999999</v>
      </c>
      <c r="F367">
        <v>5950214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0.43414057885410451</v>
      </c>
      <c r="Q367">
        <f t="shared" si="970"/>
        <v>2583229.3502657968</v>
      </c>
      <c r="R367">
        <f t="shared" si="971"/>
        <v>26846938.174043607</v>
      </c>
      <c r="S367">
        <f t="shared" si="972"/>
        <v>268.46938174043606</v>
      </c>
      <c r="T367">
        <f t="shared" si="973"/>
        <v>0.26846938174043605</v>
      </c>
    </row>
    <row r="368" spans="1:20" x14ac:dyDescent="0.25">
      <c r="A368" s="5">
        <v>44225</v>
      </c>
      <c r="B368">
        <v>1.21</v>
      </c>
      <c r="C368">
        <v>1.296</v>
      </c>
      <c r="D368">
        <v>1.1523000000000001</v>
      </c>
      <c r="E368">
        <v>1.2071000000000001</v>
      </c>
      <c r="F368">
        <v>5070342.21</v>
      </c>
      <c r="G368">
        <v>0</v>
      </c>
      <c r="L368" t="s">
        <v>8</v>
      </c>
      <c r="M368" t="s">
        <v>7</v>
      </c>
      <c r="N368" t="s">
        <v>8</v>
      </c>
      <c r="P368">
        <f t="shared" si="969"/>
        <v>-0.23729993041057781</v>
      </c>
      <c r="Q368">
        <f t="shared" si="970"/>
        <v>-1203191.8535908153</v>
      </c>
      <c r="R368">
        <f t="shared" si="971"/>
        <v>24263708.82377781</v>
      </c>
      <c r="S368">
        <f t="shared" si="972"/>
        <v>242.6370882377781</v>
      </c>
      <c r="T368">
        <f t="shared" si="973"/>
        <v>0.2426370882377781</v>
      </c>
    </row>
    <row r="369" spans="1:20" x14ac:dyDescent="0.25">
      <c r="A369" s="5">
        <v>44224</v>
      </c>
      <c r="B369">
        <v>1.1833</v>
      </c>
      <c r="C369">
        <v>1.2786999999999999</v>
      </c>
      <c r="D369">
        <v>1.1456</v>
      </c>
      <c r="E369">
        <v>1.2101999999999999</v>
      </c>
      <c r="F369">
        <v>3458555.33</v>
      </c>
      <c r="G369">
        <v>0</v>
      </c>
      <c r="L369" t="s">
        <v>7</v>
      </c>
      <c r="M369" t="s">
        <v>7</v>
      </c>
      <c r="N369" t="s">
        <v>8</v>
      </c>
      <c r="P369">
        <f t="shared" si="969"/>
        <v>-2.9301277235161644E-2</v>
      </c>
      <c r="Q369">
        <f t="shared" si="970"/>
        <v>-101340.08855747597</v>
      </c>
      <c r="R369">
        <f t="shared" si="971"/>
        <v>25466900.677368626</v>
      </c>
      <c r="S369">
        <f t="shared" si="972"/>
        <v>254.66900677368625</v>
      </c>
      <c r="T369">
        <f t="shared" si="973"/>
        <v>0.25466900677368626</v>
      </c>
    </row>
    <row r="370" spans="1:20" x14ac:dyDescent="0.25">
      <c r="A370" s="5">
        <v>44223</v>
      </c>
      <c r="B370">
        <v>1.2179</v>
      </c>
      <c r="C370">
        <v>1.3272999999999999</v>
      </c>
      <c r="D370">
        <v>1.1632</v>
      </c>
      <c r="E370">
        <v>1.1840999999999999</v>
      </c>
      <c r="F370">
        <v>6197855.5700000003</v>
      </c>
      <c r="G370">
        <v>0</v>
      </c>
      <c r="L370" t="s">
        <v>8</v>
      </c>
      <c r="M370" t="s">
        <v>7</v>
      </c>
      <c r="N370" t="s">
        <v>8</v>
      </c>
      <c r="P370">
        <f t="shared" si="969"/>
        <v>-0.74527726995734389</v>
      </c>
      <c r="Q370">
        <f t="shared" si="970"/>
        <v>-4619120.8787995176</v>
      </c>
      <c r="R370">
        <f t="shared" si="971"/>
        <v>25568240.7659261</v>
      </c>
      <c r="S370">
        <f t="shared" si="972"/>
        <v>255.682407659261</v>
      </c>
      <c r="T370">
        <f t="shared" si="973"/>
        <v>0.25568240765926098</v>
      </c>
    </row>
    <row r="371" spans="1:20" x14ac:dyDescent="0.25">
      <c r="A371" s="5">
        <v>44222</v>
      </c>
      <c r="B371">
        <v>1.2343999999999999</v>
      </c>
      <c r="C371">
        <v>1.2714000000000001</v>
      </c>
      <c r="D371">
        <v>1.1312</v>
      </c>
      <c r="E371">
        <v>1.2196</v>
      </c>
      <c r="F371">
        <v>2669284.6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0.26105563480741756</v>
      </c>
      <c r="Q371">
        <f t="shared" si="970"/>
        <v>696831.78573466372</v>
      </c>
      <c r="R371">
        <f t="shared" si="971"/>
        <v>30187361.644725617</v>
      </c>
      <c r="S371">
        <f t="shared" si="972"/>
        <v>301.87361644725615</v>
      </c>
      <c r="T371">
        <f t="shared" si="973"/>
        <v>0.30187361644725613</v>
      </c>
    </row>
    <row r="372" spans="1:20" x14ac:dyDescent="0.25">
      <c r="A372" s="5">
        <v>44221</v>
      </c>
      <c r="B372">
        <v>1.2934000000000001</v>
      </c>
      <c r="C372">
        <v>1.3423</v>
      </c>
      <c r="D372">
        <v>1.23</v>
      </c>
      <c r="E372">
        <v>1.2378</v>
      </c>
      <c r="F372">
        <v>3305530.35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-0.86108637577916247</v>
      </c>
      <c r="Q372">
        <f t="shared" si="970"/>
        <v>-2846347.1491095265</v>
      </c>
      <c r="R372">
        <f t="shared" si="971"/>
        <v>29490529.858990952</v>
      </c>
      <c r="S372">
        <f t="shared" si="972"/>
        <v>294.90529858990953</v>
      </c>
      <c r="T372">
        <f t="shared" si="973"/>
        <v>0.29490529858990955</v>
      </c>
    </row>
    <row r="373" spans="1:20" x14ac:dyDescent="0.25">
      <c r="A373" s="5">
        <v>44220</v>
      </c>
      <c r="B373">
        <v>1.296</v>
      </c>
      <c r="C373">
        <v>1.3465</v>
      </c>
      <c r="D373">
        <v>1.26</v>
      </c>
      <c r="E373">
        <v>1.2978000000000001</v>
      </c>
      <c r="F373">
        <v>2947982.69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-0.12601156069364056</v>
      </c>
      <c r="Q373">
        <f t="shared" si="970"/>
        <v>-371479.89966473676</v>
      </c>
      <c r="R373">
        <f t="shared" si="971"/>
        <v>32336877.00810048</v>
      </c>
      <c r="S373">
        <f t="shared" si="972"/>
        <v>323.36877008100481</v>
      </c>
      <c r="T373">
        <f t="shared" si="973"/>
        <v>0.32336877008100479</v>
      </c>
    </row>
    <row r="374" spans="1:20" x14ac:dyDescent="0.25">
      <c r="A374" s="5">
        <v>44219</v>
      </c>
      <c r="B374">
        <v>1.2115</v>
      </c>
      <c r="C374">
        <v>1.38</v>
      </c>
      <c r="D374">
        <v>1.1929000000000001</v>
      </c>
      <c r="E374">
        <v>1.296</v>
      </c>
      <c r="F374">
        <v>4600192.8600000003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0.10208444681988314</v>
      </c>
      <c r="Q374">
        <f t="shared" si="970"/>
        <v>469608.1433778762</v>
      </c>
      <c r="R374">
        <f t="shared" si="971"/>
        <v>32708356.907765217</v>
      </c>
      <c r="S374">
        <f t="shared" si="972"/>
        <v>327.08356907765216</v>
      </c>
      <c r="T374">
        <f t="shared" si="973"/>
        <v>0.32708356907765218</v>
      </c>
    </row>
    <row r="375" spans="1:20" x14ac:dyDescent="0.25">
      <c r="A375" s="5">
        <v>44218</v>
      </c>
      <c r="B375">
        <v>1.1391</v>
      </c>
      <c r="C375">
        <v>1.2799</v>
      </c>
      <c r="D375">
        <v>1.0245</v>
      </c>
      <c r="E375">
        <v>1.2131000000000001</v>
      </c>
      <c r="F375">
        <v>3788478.92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0.47689898198903719</v>
      </c>
      <c r="Q375">
        <f t="shared" si="970"/>
        <v>1806721.740234927</v>
      </c>
      <c r="R375">
        <f t="shared" si="971"/>
        <v>32238748.764387339</v>
      </c>
      <c r="S375">
        <f t="shared" si="972"/>
        <v>322.38748764387338</v>
      </c>
      <c r="T375">
        <f t="shared" si="973"/>
        <v>0.32238748764387337</v>
      </c>
    </row>
    <row r="376" spans="1:20" x14ac:dyDescent="0.25">
      <c r="A376" s="5">
        <v>44217</v>
      </c>
      <c r="B376">
        <v>1.3443000000000001</v>
      </c>
      <c r="C376">
        <v>1.37</v>
      </c>
      <c r="D376">
        <v>1.1200000000000001</v>
      </c>
      <c r="E376">
        <v>1.1393</v>
      </c>
      <c r="F376">
        <v>4573746.16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-0.84560000000000102</v>
      </c>
      <c r="Q376">
        <f t="shared" si="970"/>
        <v>-3867559.7528960048</v>
      </c>
      <c r="R376">
        <f t="shared" si="971"/>
        <v>30432027.024152413</v>
      </c>
      <c r="S376">
        <f t="shared" si="972"/>
        <v>304.32027024152416</v>
      </c>
      <c r="T376">
        <f t="shared" si="973"/>
        <v>0.30432027024152414</v>
      </c>
    </row>
    <row r="377" spans="1:20" x14ac:dyDescent="0.25">
      <c r="A377" s="5">
        <v>44216</v>
      </c>
      <c r="B377">
        <v>1.2617</v>
      </c>
      <c r="C377">
        <v>1.3525</v>
      </c>
      <c r="D377">
        <v>1.216</v>
      </c>
      <c r="E377">
        <v>1.3431</v>
      </c>
      <c r="F377">
        <v>5543772.1699999999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0.86227106227106121</v>
      </c>
      <c r="Q377">
        <f t="shared" si="970"/>
        <v>4780234.3180146459</v>
      </c>
      <c r="R377">
        <f t="shared" si="971"/>
        <v>34299586.777048416</v>
      </c>
      <c r="S377">
        <f t="shared" si="972"/>
        <v>342.99586777048415</v>
      </c>
      <c r="T377">
        <f t="shared" si="973"/>
        <v>0.34299586777048413</v>
      </c>
    </row>
    <row r="378" spans="1:20" x14ac:dyDescent="0.25">
      <c r="A378" s="5">
        <v>44215</v>
      </c>
      <c r="B378">
        <v>1.3726</v>
      </c>
      <c r="C378">
        <v>1.4059999999999999</v>
      </c>
      <c r="D378">
        <v>1.2617</v>
      </c>
      <c r="E378">
        <v>1.2617</v>
      </c>
      <c r="F378">
        <v>3589545.15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-1</v>
      </c>
      <c r="Q378">
        <f t="shared" si="970"/>
        <v>-3589545.15</v>
      </c>
      <c r="R378">
        <f t="shared" si="971"/>
        <v>29519352.459033772</v>
      </c>
      <c r="S378">
        <f t="shared" si="972"/>
        <v>295.19352459033774</v>
      </c>
      <c r="T378">
        <f t="shared" si="973"/>
        <v>0.29519352459033776</v>
      </c>
    </row>
    <row r="379" spans="1:20" x14ac:dyDescent="0.25">
      <c r="A379" s="5">
        <v>44214</v>
      </c>
      <c r="B379">
        <v>1.3281000000000001</v>
      </c>
      <c r="C379">
        <v>1.4091</v>
      </c>
      <c r="D379">
        <v>1.2987</v>
      </c>
      <c r="E379">
        <v>1.3746</v>
      </c>
      <c r="F379">
        <v>3092168.12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0.37500000000000078</v>
      </c>
      <c r="Q379">
        <f t="shared" si="970"/>
        <v>1159563.0450000025</v>
      </c>
      <c r="R379">
        <f t="shared" si="971"/>
        <v>33108897.609033771</v>
      </c>
      <c r="S379">
        <f t="shared" si="972"/>
        <v>331.08897609033772</v>
      </c>
      <c r="T379">
        <f t="shared" si="973"/>
        <v>0.33108897609033772</v>
      </c>
    </row>
    <row r="380" spans="1:20" x14ac:dyDescent="0.25">
      <c r="A380" s="5">
        <v>44213</v>
      </c>
      <c r="B380">
        <v>1.3568</v>
      </c>
      <c r="C380">
        <v>1.3903000000000001</v>
      </c>
      <c r="D380">
        <v>1.282</v>
      </c>
      <c r="E380">
        <v>1.3281000000000001</v>
      </c>
      <c r="F380">
        <v>4411507.8499999996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-0.14866112650046162</v>
      </c>
      <c r="Q380">
        <f t="shared" si="970"/>
        <v>-655819.72654662945</v>
      </c>
      <c r="R380">
        <f t="shared" si="971"/>
        <v>31949334.564033769</v>
      </c>
      <c r="S380">
        <f t="shared" si="972"/>
        <v>319.49334564033768</v>
      </c>
      <c r="T380">
        <f t="shared" si="973"/>
        <v>0.31949334564033766</v>
      </c>
    </row>
    <row r="381" spans="1:20" x14ac:dyDescent="0.25">
      <c r="A381" s="5">
        <v>44212</v>
      </c>
      <c r="B381">
        <v>1.2875000000000001</v>
      </c>
      <c r="C381">
        <v>1.45</v>
      </c>
      <c r="D381">
        <v>1.2750999999999999</v>
      </c>
      <c r="E381">
        <v>1.357</v>
      </c>
      <c r="F381">
        <v>5543454.9100000001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-6.3464837049742054E-2</v>
      </c>
      <c r="Q381">
        <f t="shared" si="970"/>
        <v>-351814.46255574253</v>
      </c>
      <c r="R381">
        <f t="shared" si="971"/>
        <v>32605154.290580399</v>
      </c>
      <c r="S381">
        <f t="shared" si="972"/>
        <v>326.05154290580401</v>
      </c>
      <c r="T381">
        <f t="shared" si="973"/>
        <v>0.32605154290580401</v>
      </c>
    </row>
    <row r="382" spans="1:20" x14ac:dyDescent="0.25">
      <c r="A382" s="5">
        <v>44211</v>
      </c>
      <c r="B382">
        <v>1.331</v>
      </c>
      <c r="C382">
        <v>1.399</v>
      </c>
      <c r="D382">
        <v>1.1991000000000001</v>
      </c>
      <c r="E382">
        <v>1.2875000000000001</v>
      </c>
      <c r="F382">
        <v>5641164.8099999996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-0.11555777888944423</v>
      </c>
      <c r="Q382">
        <f t="shared" si="970"/>
        <v>-651880.47579289356</v>
      </c>
      <c r="R382">
        <f t="shared" si="971"/>
        <v>32956968.753136143</v>
      </c>
      <c r="S382">
        <f t="shared" si="972"/>
        <v>329.56968753136141</v>
      </c>
      <c r="T382">
        <f t="shared" si="973"/>
        <v>0.3295696875313614</v>
      </c>
    </row>
    <row r="383" spans="1:20" x14ac:dyDescent="0.25">
      <c r="A383" s="5">
        <v>44210</v>
      </c>
      <c r="B383">
        <v>1.2241</v>
      </c>
      <c r="C383">
        <v>1.38</v>
      </c>
      <c r="D383">
        <v>1.198</v>
      </c>
      <c r="E383">
        <v>1.3324</v>
      </c>
      <c r="F383">
        <v>5769343.8600000003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0.47692307692307823</v>
      </c>
      <c r="Q383">
        <f t="shared" si="970"/>
        <v>2751533.2255384694</v>
      </c>
      <c r="R383">
        <f t="shared" si="971"/>
        <v>33608849.228929035</v>
      </c>
      <c r="S383">
        <f t="shared" si="972"/>
        <v>336.08849228929034</v>
      </c>
      <c r="T383">
        <f t="shared" si="973"/>
        <v>0.33608849228929033</v>
      </c>
    </row>
    <row r="384" spans="1:20" x14ac:dyDescent="0.25">
      <c r="A384" s="5">
        <v>44209</v>
      </c>
      <c r="B384">
        <v>1.1335999999999999</v>
      </c>
      <c r="C384">
        <v>1.25</v>
      </c>
      <c r="D384">
        <v>1.0823</v>
      </c>
      <c r="E384">
        <v>1.2259</v>
      </c>
      <c r="F384">
        <v>5058913.84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0.71258199165175895</v>
      </c>
      <c r="Q384">
        <f t="shared" si="970"/>
        <v>3604890.8997018477</v>
      </c>
      <c r="R384">
        <f t="shared" si="971"/>
        <v>30857316.003390569</v>
      </c>
      <c r="S384">
        <f t="shared" si="972"/>
        <v>308.57316003390571</v>
      </c>
      <c r="T384">
        <f t="shared" si="973"/>
        <v>0.30857316003390572</v>
      </c>
    </row>
    <row r="385" spans="1:20" x14ac:dyDescent="0.25">
      <c r="A385" s="5">
        <v>44208</v>
      </c>
      <c r="B385">
        <v>1.2197</v>
      </c>
      <c r="C385">
        <v>1.3278000000000001</v>
      </c>
      <c r="D385">
        <v>1.1104000000000001</v>
      </c>
      <c r="E385">
        <v>1.1355</v>
      </c>
      <c r="F385">
        <v>8763723.7100000009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-0.76908923643054372</v>
      </c>
      <c r="Q385">
        <f t="shared" si="970"/>
        <v>-6740085.5764121525</v>
      </c>
      <c r="R385">
        <f t="shared" si="971"/>
        <v>27252425.103688721</v>
      </c>
      <c r="S385">
        <f t="shared" si="972"/>
        <v>272.52425103688722</v>
      </c>
      <c r="T385">
        <f t="shared" si="973"/>
        <v>0.27252425103688721</v>
      </c>
    </row>
    <row r="386" spans="1:20" x14ac:dyDescent="0.25">
      <c r="A386" s="5">
        <v>44207</v>
      </c>
      <c r="B386">
        <v>1.1573</v>
      </c>
      <c r="C386">
        <v>1.2313000000000001</v>
      </c>
      <c r="D386">
        <v>0.97589999999999999</v>
      </c>
      <c r="E386">
        <v>1.2176</v>
      </c>
      <c r="F386">
        <v>12010666.26</v>
      </c>
      <c r="G386">
        <v>0</v>
      </c>
      <c r="L386" t="s">
        <v>7</v>
      </c>
      <c r="M386" t="s">
        <v>8</v>
      </c>
      <c r="N386" t="s">
        <v>8</v>
      </c>
      <c r="P386">
        <f t="shared" si="969"/>
        <v>0.89271730618637402</v>
      </c>
      <c r="Q386">
        <f t="shared" si="970"/>
        <v>10722129.629130771</v>
      </c>
      <c r="R386">
        <f t="shared" si="971"/>
        <v>33992510.680100873</v>
      </c>
      <c r="S386">
        <f t="shared" si="972"/>
        <v>339.92510680100872</v>
      </c>
      <c r="T386">
        <f t="shared" si="973"/>
        <v>0.33992510680100874</v>
      </c>
    </row>
    <row r="387" spans="1:20" x14ac:dyDescent="0.25">
      <c r="A387" s="5">
        <v>44206</v>
      </c>
      <c r="B387">
        <v>1.1299999999999999</v>
      </c>
      <c r="C387">
        <v>1.2339</v>
      </c>
      <c r="D387">
        <v>0.99</v>
      </c>
      <c r="E387">
        <v>1.1604000000000001</v>
      </c>
      <c r="F387">
        <v>7046111.25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0.39729397293973023</v>
      </c>
      <c r="Q387">
        <f t="shared" si="970"/>
        <v>2799377.5322878286</v>
      </c>
      <c r="R387">
        <f t="shared" si="971"/>
        <v>23270381.0509701</v>
      </c>
      <c r="S387">
        <f t="shared" si="972"/>
        <v>232.70381050970099</v>
      </c>
      <c r="T387">
        <f t="shared" si="973"/>
        <v>0.23270381050970099</v>
      </c>
    </row>
    <row r="388" spans="1:20" x14ac:dyDescent="0.25">
      <c r="A388" s="5">
        <v>44205</v>
      </c>
      <c r="B388">
        <v>1.1459999999999999</v>
      </c>
      <c r="C388">
        <v>1.2969999999999999</v>
      </c>
      <c r="D388">
        <v>1.1114999999999999</v>
      </c>
      <c r="E388">
        <v>1.1299999999999999</v>
      </c>
      <c r="F388">
        <v>10574365.02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-0.80053908355795189</v>
      </c>
      <c r="Q388">
        <f t="shared" si="970"/>
        <v>-8465192.4823180642</v>
      </c>
      <c r="R388">
        <f t="shared" si="971"/>
        <v>20471003.518682271</v>
      </c>
      <c r="S388">
        <f t="shared" si="972"/>
        <v>204.71003518682272</v>
      </c>
      <c r="T388">
        <f t="shared" si="973"/>
        <v>0.20471003518682271</v>
      </c>
    </row>
    <row r="389" spans="1:20" x14ac:dyDescent="0.25">
      <c r="A389" s="5">
        <v>44204</v>
      </c>
      <c r="B389">
        <v>0.92620000000000002</v>
      </c>
      <c r="C389">
        <v>1.1499999999999999</v>
      </c>
      <c r="D389">
        <v>0.81</v>
      </c>
      <c r="E389">
        <v>1.1459999999999999</v>
      </c>
      <c r="F389">
        <v>11604690.800000001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0.97647058823529409</v>
      </c>
      <c r="Q389">
        <f t="shared" si="970"/>
        <v>11331639.251764705</v>
      </c>
      <c r="R389">
        <f t="shared" si="971"/>
        <v>28936196.001000337</v>
      </c>
      <c r="S389">
        <f t="shared" si="972"/>
        <v>289.36196001000337</v>
      </c>
      <c r="T389">
        <f t="shared" si="973"/>
        <v>0.28936196001000336</v>
      </c>
    </row>
    <row r="390" spans="1:20" x14ac:dyDescent="0.25">
      <c r="A390" s="5">
        <v>44203</v>
      </c>
      <c r="B390">
        <v>0.97750000000000004</v>
      </c>
      <c r="C390">
        <v>1.0571999999999999</v>
      </c>
      <c r="D390">
        <v>0.89470000000000005</v>
      </c>
      <c r="E390">
        <v>0.92620000000000002</v>
      </c>
      <c r="F390">
        <v>6060680.2800000003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-0.61230769230769233</v>
      </c>
      <c r="Q390">
        <f t="shared" ref="Q390:Q453" si="975">F390*P390</f>
        <v>-3711001.156061539</v>
      </c>
      <c r="R390">
        <f t="shared" ref="R390:R453" si="976">R391+Q390</f>
        <v>17604556.749235634</v>
      </c>
      <c r="S390">
        <f t="shared" ref="S390:S453" si="977">R390/100000</f>
        <v>176.04556749235633</v>
      </c>
      <c r="T390">
        <f t="shared" ref="T390:T453" si="978">S390/1000</f>
        <v>0.17604556749235634</v>
      </c>
    </row>
    <row r="391" spans="1:20" x14ac:dyDescent="0.25">
      <c r="A391" s="5">
        <v>44202</v>
      </c>
      <c r="B391">
        <v>0.92779999999999996</v>
      </c>
      <c r="C391">
        <v>1.0181</v>
      </c>
      <c r="D391">
        <v>0.88009999999999999</v>
      </c>
      <c r="E391">
        <v>0.97729999999999995</v>
      </c>
      <c r="F391">
        <v>7297899.4100000001</v>
      </c>
      <c r="G391">
        <v>0</v>
      </c>
      <c r="L391" t="s">
        <v>7</v>
      </c>
      <c r="M391" t="s">
        <v>8</v>
      </c>
      <c r="N391" t="s">
        <v>8</v>
      </c>
      <c r="P391">
        <f t="shared" si="974"/>
        <v>0.40869565217391224</v>
      </c>
      <c r="Q391">
        <f t="shared" si="975"/>
        <v>2982619.7588695595</v>
      </c>
      <c r="R391">
        <f t="shared" si="976"/>
        <v>21315557.905297171</v>
      </c>
      <c r="S391">
        <f t="shared" si="977"/>
        <v>213.15557905297172</v>
      </c>
      <c r="T391">
        <f t="shared" si="978"/>
        <v>0.21315557905297172</v>
      </c>
    </row>
    <row r="392" spans="1:20" x14ac:dyDescent="0.25">
      <c r="A392" s="5">
        <v>44201</v>
      </c>
      <c r="B392">
        <v>0.96440000000000003</v>
      </c>
      <c r="C392">
        <v>1.05</v>
      </c>
      <c r="D392">
        <v>0.9</v>
      </c>
      <c r="E392">
        <v>0.92749999999999999</v>
      </c>
      <c r="F392">
        <v>12973225.83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-0.63333333333333375</v>
      </c>
      <c r="Q392">
        <f t="shared" si="975"/>
        <v>-8216376.3590000058</v>
      </c>
      <c r="R392">
        <f t="shared" si="976"/>
        <v>18332938.146427613</v>
      </c>
      <c r="S392">
        <f t="shared" si="977"/>
        <v>183.32938146427614</v>
      </c>
      <c r="T392">
        <f t="shared" si="978"/>
        <v>0.18332938146427613</v>
      </c>
    </row>
    <row r="393" spans="1:20" x14ac:dyDescent="0.25">
      <c r="A393" s="5">
        <v>44200</v>
      </c>
      <c r="B393">
        <v>0.82020000000000004</v>
      </c>
      <c r="C393">
        <v>1.0081</v>
      </c>
      <c r="D393">
        <v>0.80110000000000003</v>
      </c>
      <c r="E393">
        <v>0.96160000000000001</v>
      </c>
      <c r="F393">
        <v>10776316.390000001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0.55072463768115942</v>
      </c>
      <c r="Q393">
        <f t="shared" si="975"/>
        <v>5934782.9394202903</v>
      </c>
      <c r="R393">
        <f t="shared" si="976"/>
        <v>26549314.505427618</v>
      </c>
      <c r="S393">
        <f t="shared" si="977"/>
        <v>265.49314505427617</v>
      </c>
      <c r="T393">
        <f t="shared" si="978"/>
        <v>0.26549314505427618</v>
      </c>
    </row>
    <row r="394" spans="1:20" x14ac:dyDescent="0.25">
      <c r="A394" s="5">
        <v>44199</v>
      </c>
      <c r="B394">
        <v>0.70299999999999996</v>
      </c>
      <c r="C394">
        <v>0.86509999999999998</v>
      </c>
      <c r="D394">
        <v>0.70299999999999996</v>
      </c>
      <c r="E394">
        <v>0.81989999999999996</v>
      </c>
      <c r="F394">
        <v>10916096.720000001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0.44231955582973459</v>
      </c>
      <c r="Q394">
        <f t="shared" si="975"/>
        <v>4828403.0525848232</v>
      </c>
      <c r="R394">
        <f t="shared" si="976"/>
        <v>20614531.566007327</v>
      </c>
      <c r="S394">
        <f t="shared" si="977"/>
        <v>206.14531566007327</v>
      </c>
      <c r="T394">
        <f t="shared" si="978"/>
        <v>0.20614531566007327</v>
      </c>
    </row>
    <row r="395" spans="1:20" x14ac:dyDescent="0.25">
      <c r="A395" s="5">
        <v>44198</v>
      </c>
      <c r="B395">
        <v>0.67600000000000005</v>
      </c>
      <c r="C395">
        <v>0.75</v>
      </c>
      <c r="D395">
        <v>0.64270000000000005</v>
      </c>
      <c r="E395">
        <v>0.70250000000000001</v>
      </c>
      <c r="F395">
        <v>5778924.7400000002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0.11463187325256276</v>
      </c>
      <c r="Q395">
        <f t="shared" si="975"/>
        <v>662448.96833177924</v>
      </c>
      <c r="R395">
        <f t="shared" si="976"/>
        <v>15786128.513422504</v>
      </c>
      <c r="S395">
        <f t="shared" si="977"/>
        <v>157.86128513422503</v>
      </c>
      <c r="T395">
        <f t="shared" si="978"/>
        <v>0.15786128513422504</v>
      </c>
    </row>
    <row r="396" spans="1:20" x14ac:dyDescent="0.25">
      <c r="A396" s="5">
        <v>44197</v>
      </c>
      <c r="B396">
        <v>0.67669999999999997</v>
      </c>
      <c r="C396">
        <v>0.70879999999999999</v>
      </c>
      <c r="D396">
        <v>0.65300000000000002</v>
      </c>
      <c r="E396">
        <v>0.67500000000000004</v>
      </c>
      <c r="F396">
        <v>3026311.42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-0.21146953405017796</v>
      </c>
      <c r="Q396">
        <f t="shared" si="975"/>
        <v>-639972.66587813245</v>
      </c>
      <c r="R396">
        <f t="shared" si="976"/>
        <v>15123679.545090726</v>
      </c>
      <c r="S396">
        <f t="shared" si="977"/>
        <v>151.23679545090727</v>
      </c>
      <c r="T396">
        <f t="shared" si="978"/>
        <v>0.15123679545090726</v>
      </c>
    </row>
    <row r="397" spans="1:20" x14ac:dyDescent="0.25">
      <c r="A397" s="5">
        <v>44196</v>
      </c>
      <c r="B397">
        <v>0.66869999999999996</v>
      </c>
      <c r="C397">
        <v>0.67859999999999998</v>
      </c>
      <c r="D397">
        <v>0.6371</v>
      </c>
      <c r="E397">
        <v>0.6754</v>
      </c>
      <c r="F397">
        <v>2170585.38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0.84578313253012138</v>
      </c>
      <c r="Q397">
        <f t="shared" si="975"/>
        <v>1835844.5021204839</v>
      </c>
      <c r="R397">
        <f t="shared" si="976"/>
        <v>15763652.210968858</v>
      </c>
      <c r="S397">
        <f t="shared" si="977"/>
        <v>157.63652210968857</v>
      </c>
      <c r="T397">
        <f t="shared" si="978"/>
        <v>0.15763652210968856</v>
      </c>
    </row>
    <row r="398" spans="1:20" x14ac:dyDescent="0.25">
      <c r="A398" s="5">
        <v>44195</v>
      </c>
      <c r="B398">
        <v>0.69430000000000003</v>
      </c>
      <c r="C398">
        <v>0.69789999999999996</v>
      </c>
      <c r="D398">
        <v>0.65759999999999996</v>
      </c>
      <c r="E398">
        <v>0.66839999999999999</v>
      </c>
      <c r="F398">
        <v>2024387.53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-0.46401985111662375</v>
      </c>
      <c r="Q398">
        <f t="shared" si="975"/>
        <v>-939356.00027294969</v>
      </c>
      <c r="R398">
        <f t="shared" si="976"/>
        <v>13927807.708848374</v>
      </c>
      <c r="S398">
        <f t="shared" si="977"/>
        <v>139.27807708848374</v>
      </c>
      <c r="T398">
        <f t="shared" si="978"/>
        <v>0.13927807708848375</v>
      </c>
    </row>
    <row r="399" spans="1:20" x14ac:dyDescent="0.25">
      <c r="A399" s="5">
        <v>44194</v>
      </c>
      <c r="B399">
        <v>0.71379999999999999</v>
      </c>
      <c r="C399">
        <v>0.73309999999999997</v>
      </c>
      <c r="D399">
        <v>0.65549999999999997</v>
      </c>
      <c r="E399">
        <v>0.69069999999999998</v>
      </c>
      <c r="F399">
        <v>3562629.02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-9.2783505154638971E-2</v>
      </c>
      <c r="Q399">
        <f t="shared" si="975"/>
        <v>-330553.20804123639</v>
      </c>
      <c r="R399">
        <f t="shared" si="976"/>
        <v>14867163.709121324</v>
      </c>
      <c r="S399">
        <f t="shared" si="977"/>
        <v>148.67163709121323</v>
      </c>
      <c r="T399">
        <f t="shared" si="978"/>
        <v>0.14867163709121323</v>
      </c>
    </row>
    <row r="400" spans="1:20" x14ac:dyDescent="0.25">
      <c r="A400" s="5">
        <v>44193</v>
      </c>
      <c r="B400">
        <v>0.68810000000000004</v>
      </c>
      <c r="C400">
        <v>0.75929999999999997</v>
      </c>
      <c r="D400">
        <v>0.68</v>
      </c>
      <c r="E400">
        <v>0.71289999999999998</v>
      </c>
      <c r="F400">
        <v>4033762.48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-0.17023959646910566</v>
      </c>
      <c r="Q400">
        <f t="shared" si="975"/>
        <v>-686706.09684741893</v>
      </c>
      <c r="R400">
        <f t="shared" si="976"/>
        <v>15197716.91716256</v>
      </c>
      <c r="S400">
        <f t="shared" si="977"/>
        <v>151.9771691716256</v>
      </c>
      <c r="T400">
        <f t="shared" si="978"/>
        <v>0.1519771691716256</v>
      </c>
    </row>
    <row r="401" spans="1:20" x14ac:dyDescent="0.25">
      <c r="A401" s="5">
        <v>44192</v>
      </c>
      <c r="B401">
        <v>0.69359999999999999</v>
      </c>
      <c r="C401">
        <v>0.74</v>
      </c>
      <c r="D401">
        <v>0.65</v>
      </c>
      <c r="E401">
        <v>0.68659999999999999</v>
      </c>
      <c r="F401">
        <v>4179068.41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-0.18666666666666715</v>
      </c>
      <c r="Q401">
        <f t="shared" si="975"/>
        <v>-780092.76986666874</v>
      </c>
      <c r="R401">
        <f t="shared" si="976"/>
        <v>15884423.014009979</v>
      </c>
      <c r="S401">
        <f t="shared" si="977"/>
        <v>158.8442301400998</v>
      </c>
      <c r="T401">
        <f t="shared" si="978"/>
        <v>0.1588442301400998</v>
      </c>
    </row>
    <row r="402" spans="1:20" x14ac:dyDescent="0.25">
      <c r="A402" s="5">
        <v>44191</v>
      </c>
      <c r="B402">
        <v>0.67859999999999998</v>
      </c>
      <c r="C402">
        <v>0.71179999999999999</v>
      </c>
      <c r="D402">
        <v>0.65</v>
      </c>
      <c r="E402">
        <v>0.69230000000000003</v>
      </c>
      <c r="F402">
        <v>2715403.62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0.36893203883495235</v>
      </c>
      <c r="Q402">
        <f t="shared" si="975"/>
        <v>1001799.3937864102</v>
      </c>
      <c r="R402">
        <f t="shared" si="976"/>
        <v>16664515.783876648</v>
      </c>
      <c r="S402">
        <f t="shared" si="977"/>
        <v>166.64515783876649</v>
      </c>
      <c r="T402">
        <f t="shared" si="978"/>
        <v>0.16664515783876649</v>
      </c>
    </row>
    <row r="403" spans="1:20" x14ac:dyDescent="0.25">
      <c r="A403" s="5">
        <v>44190</v>
      </c>
      <c r="B403">
        <v>0.68920000000000003</v>
      </c>
      <c r="C403">
        <v>0.71719999999999995</v>
      </c>
      <c r="D403">
        <v>0.65259999999999996</v>
      </c>
      <c r="E403">
        <v>0.67769999999999997</v>
      </c>
      <c r="F403">
        <v>2982810.2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-0.2229102167182658</v>
      </c>
      <c r="Q403">
        <f t="shared" si="975"/>
        <v>-664898.86811145383</v>
      </c>
      <c r="R403">
        <f t="shared" si="976"/>
        <v>15662716.390090238</v>
      </c>
      <c r="S403">
        <f t="shared" si="977"/>
        <v>156.62716390090239</v>
      </c>
      <c r="T403">
        <f t="shared" si="978"/>
        <v>0.15662716390090239</v>
      </c>
    </row>
    <row r="404" spans="1:20" x14ac:dyDescent="0.25">
      <c r="A404" s="5">
        <v>44189</v>
      </c>
      <c r="B404">
        <v>0.63139999999999996</v>
      </c>
      <c r="C404">
        <v>0.69159999999999999</v>
      </c>
      <c r="D404">
        <v>0.60340000000000005</v>
      </c>
      <c r="E404">
        <v>0.68910000000000005</v>
      </c>
      <c r="F404">
        <v>4648734.5199999996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0.943310657596373</v>
      </c>
      <c r="Q404">
        <f t="shared" si="975"/>
        <v>4385200.8170521585</v>
      </c>
      <c r="R404">
        <f t="shared" si="976"/>
        <v>16327615.258201692</v>
      </c>
      <c r="S404">
        <f t="shared" si="977"/>
        <v>163.27615258201692</v>
      </c>
      <c r="T404">
        <f t="shared" si="978"/>
        <v>0.16327615258201691</v>
      </c>
    </row>
    <row r="405" spans="1:20" x14ac:dyDescent="0.25">
      <c r="A405" s="5">
        <v>44188</v>
      </c>
      <c r="B405">
        <v>0.7702</v>
      </c>
      <c r="C405">
        <v>0.7792</v>
      </c>
      <c r="D405">
        <v>0.56000000000000005</v>
      </c>
      <c r="E405">
        <v>0.63319999999999999</v>
      </c>
      <c r="F405">
        <v>5620912.1399999997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-0.33211678832116837</v>
      </c>
      <c r="Q405">
        <f t="shared" si="975"/>
        <v>-1866799.2873722655</v>
      </c>
      <c r="R405">
        <f t="shared" si="976"/>
        <v>11942414.441149533</v>
      </c>
      <c r="S405">
        <f t="shared" si="977"/>
        <v>119.42414441149533</v>
      </c>
      <c r="T405">
        <f t="shared" si="978"/>
        <v>0.11942414441149533</v>
      </c>
    </row>
    <row r="406" spans="1:20" x14ac:dyDescent="0.25">
      <c r="A406" s="5">
        <v>44187</v>
      </c>
      <c r="B406">
        <v>0.74850000000000005</v>
      </c>
      <c r="C406">
        <v>0.7974</v>
      </c>
      <c r="D406">
        <v>0.7077</v>
      </c>
      <c r="E406">
        <v>0.77190000000000003</v>
      </c>
      <c r="F406">
        <v>3222784.61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0.43143812709030177</v>
      </c>
      <c r="Q406">
        <f t="shared" si="975"/>
        <v>1390432.1561538486</v>
      </c>
      <c r="R406">
        <f t="shared" si="976"/>
        <v>13809213.728521798</v>
      </c>
      <c r="S406">
        <f t="shared" si="977"/>
        <v>138.09213728521797</v>
      </c>
      <c r="T406">
        <f t="shared" si="978"/>
        <v>0.13809213728521796</v>
      </c>
    </row>
    <row r="407" spans="1:20" x14ac:dyDescent="0.25">
      <c r="A407" s="5">
        <v>44186</v>
      </c>
      <c r="B407">
        <v>0.77959999999999996</v>
      </c>
      <c r="C407">
        <v>0.79659999999999997</v>
      </c>
      <c r="D407">
        <v>0.71379999999999999</v>
      </c>
      <c r="E407">
        <v>0.74609999999999999</v>
      </c>
      <c r="F407">
        <v>3610585.66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-0.21980676328502413</v>
      </c>
      <c r="Q407">
        <f t="shared" si="975"/>
        <v>-793631.14748792269</v>
      </c>
      <c r="R407">
        <f t="shared" si="976"/>
        <v>12418781.572367949</v>
      </c>
      <c r="S407">
        <f t="shared" si="977"/>
        <v>124.18781572367949</v>
      </c>
      <c r="T407">
        <f t="shared" si="978"/>
        <v>0.1241878157236795</v>
      </c>
    </row>
    <row r="408" spans="1:20" x14ac:dyDescent="0.25">
      <c r="A408" s="5">
        <v>44185</v>
      </c>
      <c r="B408">
        <v>0.86160000000000003</v>
      </c>
      <c r="C408">
        <v>0.86160000000000003</v>
      </c>
      <c r="D408">
        <v>0.75849999999999995</v>
      </c>
      <c r="E408">
        <v>0.78110000000000002</v>
      </c>
      <c r="F408">
        <v>3478620.1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-0.56159068865179351</v>
      </c>
      <c r="Q408">
        <f t="shared" si="975"/>
        <v>-1953560.6575169708</v>
      </c>
      <c r="R408">
        <f t="shared" si="976"/>
        <v>13212412.719855873</v>
      </c>
      <c r="S408">
        <f t="shared" si="977"/>
        <v>132.12412719855874</v>
      </c>
      <c r="T408">
        <f t="shared" si="978"/>
        <v>0.13212412719855873</v>
      </c>
    </row>
    <row r="409" spans="1:20" x14ac:dyDescent="0.25">
      <c r="A409" s="5">
        <v>44184</v>
      </c>
      <c r="B409">
        <v>0.84770000000000001</v>
      </c>
      <c r="C409">
        <v>0.87890000000000001</v>
      </c>
      <c r="D409">
        <v>0.83199999999999996</v>
      </c>
      <c r="E409">
        <v>0.8609</v>
      </c>
      <c r="F409">
        <v>3356497.74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0.2324093816631132</v>
      </c>
      <c r="Q409">
        <f t="shared" si="975"/>
        <v>780081.56430703693</v>
      </c>
      <c r="R409">
        <f t="shared" si="976"/>
        <v>15165973.377372844</v>
      </c>
      <c r="S409">
        <f t="shared" si="977"/>
        <v>151.65973377372845</v>
      </c>
      <c r="T409">
        <f t="shared" si="978"/>
        <v>0.15165973377372846</v>
      </c>
    </row>
    <row r="410" spans="1:20" x14ac:dyDescent="0.25">
      <c r="A410" s="5">
        <v>44183</v>
      </c>
      <c r="B410">
        <v>0.79200000000000004</v>
      </c>
      <c r="C410">
        <v>0.85250000000000004</v>
      </c>
      <c r="D410">
        <v>0.77100000000000002</v>
      </c>
      <c r="E410">
        <v>0.84599999999999997</v>
      </c>
      <c r="F410">
        <v>2831722.08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0.84049079754601075</v>
      </c>
      <c r="Q410">
        <f t="shared" si="975"/>
        <v>2380036.3494478487</v>
      </c>
      <c r="R410">
        <f t="shared" si="976"/>
        <v>14385891.813065806</v>
      </c>
      <c r="S410">
        <f t="shared" si="977"/>
        <v>143.85891813065805</v>
      </c>
      <c r="T410">
        <f t="shared" si="978"/>
        <v>0.14385891813065804</v>
      </c>
    </row>
    <row r="411" spans="1:20" x14ac:dyDescent="0.25">
      <c r="A411" s="5">
        <v>44182</v>
      </c>
      <c r="B411">
        <v>0.8075</v>
      </c>
      <c r="C411">
        <v>0.85329999999999995</v>
      </c>
      <c r="D411">
        <v>0.77090000000000003</v>
      </c>
      <c r="E411">
        <v>0.79249999999999998</v>
      </c>
      <c r="F411">
        <v>5526818.8399999999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-0.47572815533980645</v>
      </c>
      <c r="Q411">
        <f t="shared" si="975"/>
        <v>-2629263.331650489</v>
      </c>
      <c r="R411">
        <f t="shared" si="976"/>
        <v>12005855.463617958</v>
      </c>
      <c r="S411">
        <f t="shared" si="977"/>
        <v>120.05855463617958</v>
      </c>
      <c r="T411">
        <f t="shared" si="978"/>
        <v>0.12005855463617958</v>
      </c>
    </row>
    <row r="412" spans="1:20" x14ac:dyDescent="0.25">
      <c r="A412" s="5">
        <v>44181</v>
      </c>
      <c r="B412">
        <v>0.75109999999999999</v>
      </c>
      <c r="C412">
        <v>0.82850000000000001</v>
      </c>
      <c r="D412">
        <v>0.72430000000000005</v>
      </c>
      <c r="E412">
        <v>0.80720000000000003</v>
      </c>
      <c r="F412">
        <v>4742575.7300000004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0.5911708253358926</v>
      </c>
      <c r="Q412">
        <f t="shared" si="975"/>
        <v>2803672.4085220736</v>
      </c>
      <c r="R412">
        <f t="shared" si="976"/>
        <v>14635118.795268446</v>
      </c>
      <c r="S412">
        <f t="shared" si="977"/>
        <v>146.35118795268446</v>
      </c>
      <c r="T412">
        <f t="shared" si="978"/>
        <v>0.14635118795268445</v>
      </c>
    </row>
    <row r="413" spans="1:20" x14ac:dyDescent="0.25">
      <c r="A413" s="5">
        <v>44180</v>
      </c>
      <c r="B413">
        <v>0.75260000000000005</v>
      </c>
      <c r="C413">
        <v>0.80179999999999996</v>
      </c>
      <c r="D413">
        <v>0.74280000000000002</v>
      </c>
      <c r="E413">
        <v>0.75129999999999997</v>
      </c>
      <c r="F413">
        <v>4292032.2699999996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-0.71186440677966234</v>
      </c>
      <c r="Q413">
        <f t="shared" si="975"/>
        <v>-3055345.0057627172</v>
      </c>
      <c r="R413">
        <f t="shared" si="976"/>
        <v>11831446.386746373</v>
      </c>
      <c r="S413">
        <f t="shared" si="977"/>
        <v>118.31446386746373</v>
      </c>
      <c r="T413">
        <f t="shared" si="978"/>
        <v>0.11831446386746373</v>
      </c>
    </row>
    <row r="414" spans="1:20" x14ac:dyDescent="0.25">
      <c r="A414" s="5">
        <v>44179</v>
      </c>
      <c r="B414">
        <v>0.70679999999999998</v>
      </c>
      <c r="C414">
        <v>0.77780000000000005</v>
      </c>
      <c r="D414">
        <v>0.69030000000000002</v>
      </c>
      <c r="E414">
        <v>0.752</v>
      </c>
      <c r="F414">
        <v>2726609.16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0.41028571428571342</v>
      </c>
      <c r="Q414">
        <f t="shared" si="975"/>
        <v>1118688.7867885691</v>
      </c>
      <c r="R414">
        <f t="shared" si="976"/>
        <v>14886791.39250909</v>
      </c>
      <c r="S414">
        <f t="shared" si="977"/>
        <v>148.8679139250909</v>
      </c>
      <c r="T414">
        <f t="shared" si="978"/>
        <v>0.14886791392509091</v>
      </c>
    </row>
    <row r="415" spans="1:20" x14ac:dyDescent="0.25">
      <c r="A415" s="5">
        <v>44178</v>
      </c>
      <c r="B415">
        <v>0.68120000000000003</v>
      </c>
      <c r="C415">
        <v>0.71960000000000002</v>
      </c>
      <c r="D415">
        <v>0.67830000000000001</v>
      </c>
      <c r="E415">
        <v>0.70669999999999999</v>
      </c>
      <c r="F415">
        <v>1533432.67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0.37530266343825563</v>
      </c>
      <c r="Q415">
        <f t="shared" si="975"/>
        <v>575501.36525423569</v>
      </c>
      <c r="R415">
        <f t="shared" si="976"/>
        <v>13768102.60572052</v>
      </c>
      <c r="S415">
        <f t="shared" si="977"/>
        <v>137.6810260572052</v>
      </c>
      <c r="T415">
        <f t="shared" si="978"/>
        <v>0.1376810260572052</v>
      </c>
    </row>
    <row r="416" spans="1:20" x14ac:dyDescent="0.25">
      <c r="A416" s="5">
        <v>44177</v>
      </c>
      <c r="B416">
        <v>0.64490000000000003</v>
      </c>
      <c r="C416">
        <v>0.68769999999999998</v>
      </c>
      <c r="D416">
        <v>0.64290000000000003</v>
      </c>
      <c r="E416">
        <v>0.68110000000000004</v>
      </c>
      <c r="F416">
        <v>1175999.83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0.70535714285714524</v>
      </c>
      <c r="Q416">
        <f t="shared" si="975"/>
        <v>829499.88008928858</v>
      </c>
      <c r="R416">
        <f t="shared" si="976"/>
        <v>13192601.240466284</v>
      </c>
      <c r="S416">
        <f t="shared" si="977"/>
        <v>131.92601240466283</v>
      </c>
      <c r="T416">
        <f t="shared" si="978"/>
        <v>0.13192601240466284</v>
      </c>
    </row>
    <row r="417" spans="1:20" x14ac:dyDescent="0.25">
      <c r="A417" s="5">
        <v>44176</v>
      </c>
      <c r="B417">
        <v>0.68120000000000003</v>
      </c>
      <c r="C417">
        <v>0.6835</v>
      </c>
      <c r="D417">
        <v>0.62770000000000004</v>
      </c>
      <c r="E417">
        <v>0.64549999999999996</v>
      </c>
      <c r="F417">
        <v>1717332.03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-0.36200716845878356</v>
      </c>
      <c r="Q417">
        <f t="shared" si="975"/>
        <v>-621686.5054838747</v>
      </c>
      <c r="R417">
        <f t="shared" si="976"/>
        <v>12363101.360376995</v>
      </c>
      <c r="S417">
        <f t="shared" si="977"/>
        <v>123.63101360376994</v>
      </c>
      <c r="T417">
        <f t="shared" si="978"/>
        <v>0.12363101360376995</v>
      </c>
    </row>
    <row r="418" spans="1:20" x14ac:dyDescent="0.25">
      <c r="A418" s="5">
        <v>44175</v>
      </c>
      <c r="B418">
        <v>0.70669999999999999</v>
      </c>
      <c r="C418">
        <v>0.70840000000000003</v>
      </c>
      <c r="D418">
        <v>0.66249999999999998</v>
      </c>
      <c r="E418">
        <v>0.67969999999999997</v>
      </c>
      <c r="F418">
        <v>1106704.58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-0.25054466230936934</v>
      </c>
      <c r="Q418">
        <f t="shared" si="975"/>
        <v>-277278.92527233245</v>
      </c>
      <c r="R418">
        <f t="shared" si="976"/>
        <v>12984787.86586087</v>
      </c>
      <c r="S418">
        <f t="shared" si="977"/>
        <v>129.84787865860869</v>
      </c>
      <c r="T418">
        <f t="shared" si="978"/>
        <v>0.1298478786586087</v>
      </c>
    </row>
    <row r="419" spans="1:20" x14ac:dyDescent="0.25">
      <c r="A419" s="5">
        <v>44174</v>
      </c>
      <c r="B419">
        <v>0.68440000000000001</v>
      </c>
      <c r="C419">
        <v>0.71679999999999999</v>
      </c>
      <c r="D419">
        <v>0.64200000000000002</v>
      </c>
      <c r="E419">
        <v>0.70509999999999995</v>
      </c>
      <c r="F419">
        <v>2345520.6800000002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0.68716577540106827</v>
      </c>
      <c r="Q419">
        <f t="shared" si="975"/>
        <v>1611761.536791441</v>
      </c>
      <c r="R419">
        <f t="shared" si="976"/>
        <v>13262066.791133203</v>
      </c>
      <c r="S419">
        <f t="shared" si="977"/>
        <v>132.62066791133202</v>
      </c>
      <c r="T419">
        <f t="shared" si="978"/>
        <v>0.13262066791133201</v>
      </c>
    </row>
    <row r="420" spans="1:20" x14ac:dyDescent="0.25">
      <c r="A420" s="5">
        <v>44173</v>
      </c>
      <c r="B420">
        <v>0.748</v>
      </c>
      <c r="C420">
        <v>0.77959999999999996</v>
      </c>
      <c r="D420">
        <v>0.67010000000000003</v>
      </c>
      <c r="E420">
        <v>0.68440000000000001</v>
      </c>
      <c r="F420">
        <v>3454694.23</v>
      </c>
      <c r="G420">
        <v>0</v>
      </c>
      <c r="L420" t="s">
        <v>8</v>
      </c>
      <c r="M420" t="s">
        <v>7</v>
      </c>
      <c r="N420" t="s">
        <v>7</v>
      </c>
      <c r="P420">
        <f t="shared" si="974"/>
        <v>-0.73881278538812811</v>
      </c>
      <c r="Q420">
        <f t="shared" si="975"/>
        <v>-2552372.2667305944</v>
      </c>
      <c r="R420">
        <f t="shared" si="976"/>
        <v>11650305.254341763</v>
      </c>
      <c r="S420">
        <f t="shared" si="977"/>
        <v>116.50305254341762</v>
      </c>
      <c r="T420">
        <f t="shared" si="978"/>
        <v>0.11650305254341763</v>
      </c>
    </row>
    <row r="421" spans="1:20" x14ac:dyDescent="0.25">
      <c r="A421" s="5">
        <v>44172</v>
      </c>
      <c r="B421">
        <v>0.72250000000000003</v>
      </c>
      <c r="C421">
        <v>0.75290000000000001</v>
      </c>
      <c r="D421">
        <v>0.71179999999999999</v>
      </c>
      <c r="E421">
        <v>0.748</v>
      </c>
      <c r="F421">
        <v>2059194.34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0.76155717761557118</v>
      </c>
      <c r="Q421">
        <f t="shared" si="975"/>
        <v>1568194.2297323588</v>
      </c>
      <c r="R421">
        <f t="shared" si="976"/>
        <v>14202677.521072358</v>
      </c>
      <c r="S421">
        <f t="shared" si="977"/>
        <v>142.02677521072357</v>
      </c>
      <c r="T421">
        <f t="shared" si="978"/>
        <v>0.14202677521072357</v>
      </c>
    </row>
    <row r="422" spans="1:20" x14ac:dyDescent="0.25">
      <c r="A422" s="5">
        <v>44171</v>
      </c>
      <c r="B422">
        <v>0.74490000000000001</v>
      </c>
      <c r="C422">
        <v>0.75049999999999994</v>
      </c>
      <c r="D422">
        <v>0.70099999999999996</v>
      </c>
      <c r="E422">
        <v>0.72260000000000002</v>
      </c>
      <c r="F422">
        <v>1501016.64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-0.12727272727272451</v>
      </c>
      <c r="Q422">
        <f t="shared" si="975"/>
        <v>-191038.4814545413</v>
      </c>
      <c r="R422">
        <f t="shared" si="976"/>
        <v>12634483.291339999</v>
      </c>
      <c r="S422">
        <f t="shared" si="977"/>
        <v>126.3448329134</v>
      </c>
      <c r="T422">
        <f t="shared" si="978"/>
        <v>0.12634483291339998</v>
      </c>
    </row>
    <row r="423" spans="1:20" x14ac:dyDescent="0.25">
      <c r="A423" s="5">
        <v>44170</v>
      </c>
      <c r="B423">
        <v>0.68779999999999997</v>
      </c>
      <c r="C423">
        <v>0.755</v>
      </c>
      <c r="D423">
        <v>0.67710000000000004</v>
      </c>
      <c r="E423">
        <v>0.745</v>
      </c>
      <c r="F423">
        <v>1872519.08</v>
      </c>
      <c r="G423">
        <v>0</v>
      </c>
      <c r="L423" t="s">
        <v>8</v>
      </c>
      <c r="M423" t="s">
        <v>8</v>
      </c>
      <c r="N423" t="s">
        <v>7</v>
      </c>
      <c r="P423">
        <f t="shared" si="974"/>
        <v>0.74326059050064153</v>
      </c>
      <c r="Q423">
        <f t="shared" si="975"/>
        <v>1391769.6371245182</v>
      </c>
      <c r="R423">
        <f t="shared" si="976"/>
        <v>12825521.772794541</v>
      </c>
      <c r="S423">
        <f t="shared" si="977"/>
        <v>128.25521772794542</v>
      </c>
      <c r="T423">
        <f t="shared" si="978"/>
        <v>0.12825521772794543</v>
      </c>
    </row>
    <row r="424" spans="1:20" x14ac:dyDescent="0.25">
      <c r="A424" s="5">
        <v>44169</v>
      </c>
      <c r="B424">
        <v>0.7843</v>
      </c>
      <c r="C424">
        <v>0.81789999999999996</v>
      </c>
      <c r="D424">
        <v>0.68120000000000003</v>
      </c>
      <c r="E424">
        <v>0.69089999999999996</v>
      </c>
      <c r="F424">
        <v>3418573.11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-0.85808339429407554</v>
      </c>
      <c r="Q424">
        <f t="shared" si="975"/>
        <v>-2933420.8178712539</v>
      </c>
      <c r="R424">
        <f t="shared" si="976"/>
        <v>11433752.135670023</v>
      </c>
      <c r="S424">
        <f t="shared" si="977"/>
        <v>114.33752135670024</v>
      </c>
      <c r="T424">
        <f t="shared" si="978"/>
        <v>0.11433752135670024</v>
      </c>
    </row>
    <row r="425" spans="1:20" x14ac:dyDescent="0.25">
      <c r="A425" s="5">
        <v>44168</v>
      </c>
      <c r="B425">
        <v>0.74719999999999998</v>
      </c>
      <c r="C425">
        <v>0.80859999999999999</v>
      </c>
      <c r="D425">
        <v>0.73089999999999999</v>
      </c>
      <c r="E425">
        <v>0.78490000000000004</v>
      </c>
      <c r="F425">
        <v>2751661.66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0.38996138996139135</v>
      </c>
      <c r="Q425">
        <f t="shared" si="975"/>
        <v>1073041.8056370695</v>
      </c>
      <c r="R425">
        <f t="shared" si="976"/>
        <v>14367172.953541277</v>
      </c>
      <c r="S425">
        <f t="shared" si="977"/>
        <v>143.67172953541277</v>
      </c>
      <c r="T425">
        <f t="shared" si="978"/>
        <v>0.14367172953541277</v>
      </c>
    </row>
    <row r="426" spans="1:20" x14ac:dyDescent="0.25">
      <c r="A426" s="5">
        <v>44167</v>
      </c>
      <c r="B426">
        <v>0.69340000000000002</v>
      </c>
      <c r="C426">
        <v>0.76800000000000002</v>
      </c>
      <c r="D426">
        <v>0.68059999999999998</v>
      </c>
      <c r="E426">
        <v>0.74650000000000005</v>
      </c>
      <c r="F426">
        <v>3435223.11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0.50800915331807883</v>
      </c>
      <c r="Q426">
        <f t="shared" si="975"/>
        <v>1745124.7835697974</v>
      </c>
      <c r="R426">
        <f t="shared" si="976"/>
        <v>13294131.147904208</v>
      </c>
      <c r="S426">
        <f t="shared" si="977"/>
        <v>132.94131147904207</v>
      </c>
      <c r="T426">
        <f t="shared" si="978"/>
        <v>0.13294131147904206</v>
      </c>
    </row>
    <row r="427" spans="1:20" x14ac:dyDescent="0.25">
      <c r="A427" s="5">
        <v>44166</v>
      </c>
      <c r="B427">
        <v>0.70609999999999995</v>
      </c>
      <c r="C427">
        <v>0.755</v>
      </c>
      <c r="D427">
        <v>0.66120000000000001</v>
      </c>
      <c r="E427">
        <v>0.69630000000000003</v>
      </c>
      <c r="F427">
        <v>3728616.48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-0.25159914712153469</v>
      </c>
      <c r="Q427">
        <f t="shared" si="975"/>
        <v>-938116.72631129879</v>
      </c>
      <c r="R427">
        <f t="shared" si="976"/>
        <v>11549006.36433441</v>
      </c>
      <c r="S427">
        <f t="shared" si="977"/>
        <v>115.4900636433441</v>
      </c>
      <c r="T427">
        <f t="shared" si="978"/>
        <v>0.1154900636433441</v>
      </c>
    </row>
    <row r="428" spans="1:20" x14ac:dyDescent="0.25">
      <c r="A428" s="5">
        <v>44165</v>
      </c>
      <c r="B428">
        <v>0.66579999999999995</v>
      </c>
      <c r="C428">
        <v>0.71650000000000003</v>
      </c>
      <c r="D428">
        <v>0.65580000000000005</v>
      </c>
      <c r="E428">
        <v>0.70609999999999995</v>
      </c>
      <c r="F428">
        <v>3625837.43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0.65733113673805343</v>
      </c>
      <c r="Q428">
        <f t="shared" si="975"/>
        <v>2383375.8394892826</v>
      </c>
      <c r="R428">
        <f t="shared" si="976"/>
        <v>12487123.090645708</v>
      </c>
      <c r="S428">
        <f t="shared" si="977"/>
        <v>124.87123090645709</v>
      </c>
      <c r="T428">
        <f t="shared" si="978"/>
        <v>0.12487123090645709</v>
      </c>
    </row>
    <row r="429" spans="1:20" x14ac:dyDescent="0.25">
      <c r="A429" s="5">
        <v>44164</v>
      </c>
      <c r="B429">
        <v>0.64500000000000002</v>
      </c>
      <c r="C429">
        <v>0.68710000000000004</v>
      </c>
      <c r="D429">
        <v>0.63139999999999996</v>
      </c>
      <c r="E429">
        <v>0.66590000000000005</v>
      </c>
      <c r="F429">
        <v>2746307.6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0.2387791741472185</v>
      </c>
      <c r="Q429">
        <f t="shared" si="975"/>
        <v>655761.0606822297</v>
      </c>
      <c r="R429">
        <f t="shared" si="976"/>
        <v>10103747.251156425</v>
      </c>
      <c r="S429">
        <f t="shared" si="977"/>
        <v>101.03747251156425</v>
      </c>
      <c r="T429">
        <f t="shared" si="978"/>
        <v>0.10103747251156425</v>
      </c>
    </row>
    <row r="430" spans="1:20" x14ac:dyDescent="0.25">
      <c r="A430" s="5">
        <v>44163</v>
      </c>
      <c r="B430">
        <v>0.64410000000000001</v>
      </c>
      <c r="C430">
        <v>0.67989999999999995</v>
      </c>
      <c r="D430">
        <v>0.63109999999999999</v>
      </c>
      <c r="E430">
        <v>0.64480000000000004</v>
      </c>
      <c r="F430">
        <v>2797610.55</v>
      </c>
      <c r="G430">
        <v>0</v>
      </c>
      <c r="L430" t="s">
        <v>7</v>
      </c>
      <c r="M430" t="s">
        <v>7</v>
      </c>
      <c r="N430" t="s">
        <v>7</v>
      </c>
      <c r="P430">
        <f t="shared" si="974"/>
        <v>-0.43852459016393203</v>
      </c>
      <c r="Q430">
        <f t="shared" si="975"/>
        <v>-1226821.0198770424</v>
      </c>
      <c r="R430">
        <f t="shared" si="976"/>
        <v>9447986.1904741954</v>
      </c>
      <c r="S430">
        <f t="shared" si="977"/>
        <v>94.479861904741952</v>
      </c>
      <c r="T430">
        <f t="shared" si="978"/>
        <v>9.4479861904741946E-2</v>
      </c>
    </row>
    <row r="431" spans="1:20" x14ac:dyDescent="0.25">
      <c r="A431" s="5">
        <v>44162</v>
      </c>
      <c r="B431">
        <v>0.69469999999999998</v>
      </c>
      <c r="C431">
        <v>0.7016</v>
      </c>
      <c r="D431">
        <v>0.6129</v>
      </c>
      <c r="E431">
        <v>0.64580000000000004</v>
      </c>
      <c r="F431">
        <v>2691183.66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-0.25817361894024715</v>
      </c>
      <c r="Q431">
        <f t="shared" si="975"/>
        <v>-694792.62473505968</v>
      </c>
      <c r="R431">
        <f t="shared" si="976"/>
        <v>10674807.210351238</v>
      </c>
      <c r="S431">
        <f t="shared" si="977"/>
        <v>106.74807210351238</v>
      </c>
      <c r="T431">
        <f t="shared" si="978"/>
        <v>0.10674807210351238</v>
      </c>
    </row>
    <row r="432" spans="1:20" x14ac:dyDescent="0.25">
      <c r="A432" s="5">
        <v>44161</v>
      </c>
      <c r="B432">
        <v>0.75509999999999999</v>
      </c>
      <c r="C432">
        <v>0.76939999999999997</v>
      </c>
      <c r="D432">
        <v>0.60609999999999997</v>
      </c>
      <c r="E432">
        <v>0.69159999999999999</v>
      </c>
      <c r="F432">
        <v>6435375.9000000004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4.7152480097979427E-2</v>
      </c>
      <c r="Q432">
        <f t="shared" si="975"/>
        <v>303443.93404776644</v>
      </c>
      <c r="R432">
        <f t="shared" si="976"/>
        <v>11369599.835086297</v>
      </c>
      <c r="S432">
        <f t="shared" si="977"/>
        <v>113.69599835086298</v>
      </c>
      <c r="T432">
        <f t="shared" si="978"/>
        <v>0.11369599835086298</v>
      </c>
    </row>
    <row r="433" spans="1:20" x14ac:dyDescent="0.25">
      <c r="A433" s="5">
        <v>44160</v>
      </c>
      <c r="B433">
        <v>0.81140000000000001</v>
      </c>
      <c r="C433">
        <v>0.85260000000000002</v>
      </c>
      <c r="D433">
        <v>0.71379999999999999</v>
      </c>
      <c r="E433">
        <v>0.75560000000000005</v>
      </c>
      <c r="F433">
        <v>4882597.88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-0.39769452449567655</v>
      </c>
      <c r="Q433">
        <f t="shared" si="975"/>
        <v>-1941782.4421901982</v>
      </c>
      <c r="R433">
        <f t="shared" si="976"/>
        <v>11066155.901038531</v>
      </c>
      <c r="S433">
        <f t="shared" si="977"/>
        <v>110.66155901038532</v>
      </c>
      <c r="T433">
        <f t="shared" si="978"/>
        <v>0.11066155901038532</v>
      </c>
    </row>
    <row r="434" spans="1:20" x14ac:dyDescent="0.25">
      <c r="A434" s="5">
        <v>44159</v>
      </c>
      <c r="B434">
        <v>0.8468</v>
      </c>
      <c r="C434">
        <v>0.89449999999999996</v>
      </c>
      <c r="D434">
        <v>0.78049999999999997</v>
      </c>
      <c r="E434">
        <v>0.81179999999999997</v>
      </c>
      <c r="F434">
        <v>5937945.0499999998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-0.45087719298245621</v>
      </c>
      <c r="Q434">
        <f t="shared" si="975"/>
        <v>-2677283.9962280705</v>
      </c>
      <c r="R434">
        <f t="shared" si="976"/>
        <v>13007938.343228729</v>
      </c>
      <c r="S434">
        <f t="shared" si="977"/>
        <v>130.0793834322873</v>
      </c>
      <c r="T434">
        <f t="shared" si="978"/>
        <v>0.13007938343228731</v>
      </c>
    </row>
    <row r="435" spans="1:20" x14ac:dyDescent="0.25">
      <c r="A435" s="5">
        <v>44158</v>
      </c>
      <c r="B435">
        <v>0.75960000000000005</v>
      </c>
      <c r="C435">
        <v>0.87780000000000002</v>
      </c>
      <c r="D435">
        <v>0.7571</v>
      </c>
      <c r="E435">
        <v>0.84450000000000003</v>
      </c>
      <c r="F435">
        <v>6993323.4100000001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0.44821872410936225</v>
      </c>
      <c r="Q435">
        <f t="shared" si="975"/>
        <v>3134538.4961143346</v>
      </c>
      <c r="R435">
        <f t="shared" si="976"/>
        <v>15685222.3394568</v>
      </c>
      <c r="S435">
        <f t="shared" si="977"/>
        <v>156.852223394568</v>
      </c>
      <c r="T435">
        <f t="shared" si="978"/>
        <v>0.156852223394568</v>
      </c>
    </row>
    <row r="436" spans="1:20" x14ac:dyDescent="0.25">
      <c r="A436" s="5">
        <v>44157</v>
      </c>
      <c r="B436">
        <v>0.8</v>
      </c>
      <c r="C436">
        <v>0.81620000000000004</v>
      </c>
      <c r="D436">
        <v>0.68359999999999999</v>
      </c>
      <c r="E436">
        <v>0.75619999999999998</v>
      </c>
      <c r="F436">
        <v>4963216.3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9.5022624434388692E-2</v>
      </c>
      <c r="Q436">
        <f t="shared" si="975"/>
        <v>471617.83846153622</v>
      </c>
      <c r="R436">
        <f t="shared" si="976"/>
        <v>12550683.843342466</v>
      </c>
      <c r="S436">
        <f t="shared" si="977"/>
        <v>125.50683843342466</v>
      </c>
      <c r="T436">
        <f t="shared" si="978"/>
        <v>0.12550683843342467</v>
      </c>
    </row>
    <row r="437" spans="1:20" x14ac:dyDescent="0.25">
      <c r="A437" s="5">
        <v>44156</v>
      </c>
      <c r="B437">
        <v>0.71220000000000006</v>
      </c>
      <c r="C437">
        <v>0.81899999999999995</v>
      </c>
      <c r="D437">
        <v>0.67869999999999997</v>
      </c>
      <c r="E437">
        <v>0.8</v>
      </c>
      <c r="F437">
        <v>6562382.4900000002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0.72915181753385727</v>
      </c>
      <c r="Q437">
        <f t="shared" si="975"/>
        <v>4784973.1199358599</v>
      </c>
      <c r="R437">
        <f t="shared" si="976"/>
        <v>12079066.004880929</v>
      </c>
      <c r="S437">
        <f t="shared" si="977"/>
        <v>120.7906600488093</v>
      </c>
      <c r="T437">
        <f t="shared" si="978"/>
        <v>0.1207906600488093</v>
      </c>
    </row>
    <row r="438" spans="1:20" x14ac:dyDescent="0.25">
      <c r="A438" s="5">
        <v>44155</v>
      </c>
      <c r="B438">
        <v>0.67069999999999996</v>
      </c>
      <c r="C438">
        <v>0.78439999999999999</v>
      </c>
      <c r="D438">
        <v>0.67049999999999998</v>
      </c>
      <c r="E438">
        <v>0.71220000000000006</v>
      </c>
      <c r="F438">
        <v>6067474.8600000003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-0.26777875329236051</v>
      </c>
      <c r="Q438">
        <f t="shared" si="975"/>
        <v>-1624740.8536435396</v>
      </c>
      <c r="R438">
        <f t="shared" si="976"/>
        <v>7294092.8849450694</v>
      </c>
      <c r="S438">
        <f t="shared" si="977"/>
        <v>72.9409288494507</v>
      </c>
      <c r="T438">
        <f t="shared" si="978"/>
        <v>7.2940928849450706E-2</v>
      </c>
    </row>
    <row r="439" spans="1:20" x14ac:dyDescent="0.25">
      <c r="A439" s="5">
        <v>44154</v>
      </c>
      <c r="B439">
        <v>0.63600000000000001</v>
      </c>
      <c r="C439">
        <v>0.69320000000000004</v>
      </c>
      <c r="D439">
        <v>0.61350000000000005</v>
      </c>
      <c r="E439">
        <v>0.67259999999999998</v>
      </c>
      <c r="F439">
        <v>3670378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0.48306148055206866</v>
      </c>
      <c r="Q439">
        <f t="shared" si="975"/>
        <v>1773018.2308657407</v>
      </c>
      <c r="R439">
        <f t="shared" si="976"/>
        <v>8918833.7385886088</v>
      </c>
      <c r="S439">
        <f t="shared" si="977"/>
        <v>89.188337385886086</v>
      </c>
      <c r="T439">
        <f t="shared" si="978"/>
        <v>8.918833738588608E-2</v>
      </c>
    </row>
    <row r="440" spans="1:20" x14ac:dyDescent="0.25">
      <c r="A440" s="5">
        <v>44153</v>
      </c>
      <c r="B440">
        <v>0.64459999999999995</v>
      </c>
      <c r="C440">
        <v>0.65380000000000005</v>
      </c>
      <c r="D440">
        <v>0.57779999999999998</v>
      </c>
      <c r="E440">
        <v>0.63300000000000001</v>
      </c>
      <c r="F440">
        <v>4894494.4400000004</v>
      </c>
      <c r="G440">
        <v>0</v>
      </c>
      <c r="L440" t="s">
        <v>7</v>
      </c>
      <c r="M440" t="s">
        <v>8</v>
      </c>
      <c r="N440" t="s">
        <v>8</v>
      </c>
      <c r="P440">
        <f t="shared" si="974"/>
        <v>0.45263157894736783</v>
      </c>
      <c r="Q440">
        <f t="shared" si="975"/>
        <v>2215402.746526313</v>
      </c>
      <c r="R440">
        <f t="shared" si="976"/>
        <v>7145815.5077228686</v>
      </c>
      <c r="S440">
        <f t="shared" si="977"/>
        <v>71.458155077228682</v>
      </c>
      <c r="T440">
        <f t="shared" si="978"/>
        <v>7.1458155077228677E-2</v>
      </c>
    </row>
    <row r="441" spans="1:20" x14ac:dyDescent="0.25">
      <c r="A441" s="5">
        <v>44152</v>
      </c>
      <c r="B441">
        <v>0.60950000000000004</v>
      </c>
      <c r="C441">
        <v>0.65900000000000003</v>
      </c>
      <c r="D441">
        <v>0.60499999999999998</v>
      </c>
      <c r="E441">
        <v>0.64459999999999995</v>
      </c>
      <c r="F441">
        <v>3101827.99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0.46666666666666418</v>
      </c>
      <c r="Q441">
        <f t="shared" si="975"/>
        <v>1447519.728666659</v>
      </c>
      <c r="R441">
        <f t="shared" si="976"/>
        <v>4930412.7611965556</v>
      </c>
      <c r="S441">
        <f t="shared" si="977"/>
        <v>49.304127611965555</v>
      </c>
      <c r="T441">
        <f t="shared" si="978"/>
        <v>4.9304127611965558E-2</v>
      </c>
    </row>
    <row r="442" spans="1:20" x14ac:dyDescent="0.25">
      <c r="A442" s="5">
        <v>44151</v>
      </c>
      <c r="B442">
        <v>0.57850000000000001</v>
      </c>
      <c r="C442">
        <v>0.62480000000000002</v>
      </c>
      <c r="D442">
        <v>0.56930000000000003</v>
      </c>
      <c r="E442">
        <v>0.61119999999999997</v>
      </c>
      <c r="F442">
        <v>3115709.37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0.50990990990990781</v>
      </c>
      <c r="Q442">
        <f t="shared" si="975"/>
        <v>1588731.0841621556</v>
      </c>
      <c r="R442">
        <f t="shared" si="976"/>
        <v>3482893.0325298971</v>
      </c>
      <c r="S442">
        <f t="shared" si="977"/>
        <v>34.82893032529897</v>
      </c>
      <c r="T442">
        <f t="shared" si="978"/>
        <v>3.4828930325298969E-2</v>
      </c>
    </row>
    <row r="443" spans="1:20" x14ac:dyDescent="0.25">
      <c r="A443" s="5">
        <v>44150</v>
      </c>
      <c r="B443">
        <v>0.5766</v>
      </c>
      <c r="C443">
        <v>0.63300000000000001</v>
      </c>
      <c r="D443">
        <v>0.56000000000000005</v>
      </c>
      <c r="E443">
        <v>0.57809999999999995</v>
      </c>
      <c r="F443">
        <v>3795032.68</v>
      </c>
      <c r="G443">
        <v>0</v>
      </c>
      <c r="L443" t="s">
        <v>8</v>
      </c>
      <c r="M443" t="s">
        <v>7</v>
      </c>
      <c r="N443" t="s">
        <v>8</v>
      </c>
      <c r="P443">
        <f t="shared" si="974"/>
        <v>-0.50410958904109848</v>
      </c>
      <c r="Q443">
        <f t="shared" si="975"/>
        <v>-1913112.3647123387</v>
      </c>
      <c r="R443">
        <f t="shared" si="976"/>
        <v>1894161.9483677417</v>
      </c>
      <c r="S443">
        <f t="shared" si="977"/>
        <v>18.941619483677417</v>
      </c>
      <c r="T443">
        <f t="shared" si="978"/>
        <v>1.8941619483677417E-2</v>
      </c>
    </row>
    <row r="444" spans="1:20" x14ac:dyDescent="0.25">
      <c r="A444" s="5">
        <v>44149</v>
      </c>
      <c r="B444">
        <v>0.59609999999999996</v>
      </c>
      <c r="C444">
        <v>0.59789999999999999</v>
      </c>
      <c r="D444">
        <v>0.56079999999999997</v>
      </c>
      <c r="E444">
        <v>0.57709999999999995</v>
      </c>
      <c r="F444">
        <v>1241430.42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-0.12129380053908509</v>
      </c>
      <c r="Q444">
        <f t="shared" si="975"/>
        <v>-150577.81374663263</v>
      </c>
      <c r="R444">
        <f t="shared" si="976"/>
        <v>3807274.3130800803</v>
      </c>
      <c r="S444">
        <f t="shared" si="977"/>
        <v>38.072743130800802</v>
      </c>
      <c r="T444">
        <f t="shared" si="978"/>
        <v>3.80727431308008E-2</v>
      </c>
    </row>
    <row r="445" spans="1:20" x14ac:dyDescent="0.25">
      <c r="A445" s="5">
        <v>44148</v>
      </c>
      <c r="B445">
        <v>0.56999999999999995</v>
      </c>
      <c r="C445">
        <v>0.60809999999999997</v>
      </c>
      <c r="D445">
        <v>0.56399999999999995</v>
      </c>
      <c r="E445">
        <v>0.59560000000000002</v>
      </c>
      <c r="F445">
        <v>1993738.86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0.43310657596372121</v>
      </c>
      <c r="Q445">
        <f t="shared" si="975"/>
        <v>863501.41102041292</v>
      </c>
      <c r="R445">
        <f t="shared" si="976"/>
        <v>3957852.1268267129</v>
      </c>
      <c r="S445">
        <f t="shared" si="977"/>
        <v>39.578521268267131</v>
      </c>
      <c r="T445">
        <f t="shared" si="978"/>
        <v>3.9578521268267129E-2</v>
      </c>
    </row>
    <row r="446" spans="1:20" x14ac:dyDescent="0.25">
      <c r="A446" s="5">
        <v>44147</v>
      </c>
      <c r="B446">
        <v>0.59889999999999999</v>
      </c>
      <c r="C446">
        <v>0.60919999999999996</v>
      </c>
      <c r="D446">
        <v>0.55500000000000005</v>
      </c>
      <c r="E446">
        <v>0.57010000000000005</v>
      </c>
      <c r="F446">
        <v>2327289.21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-0.4428044280442795</v>
      </c>
      <c r="Q446">
        <f t="shared" si="975"/>
        <v>-1030533.9675276731</v>
      </c>
      <c r="R446">
        <f t="shared" si="976"/>
        <v>3094350.7158062998</v>
      </c>
      <c r="S446">
        <f t="shared" si="977"/>
        <v>30.943507158062999</v>
      </c>
      <c r="T446">
        <f t="shared" si="978"/>
        <v>3.0943507158062999E-2</v>
      </c>
    </row>
    <row r="447" spans="1:20" x14ac:dyDescent="0.25">
      <c r="A447" s="5">
        <v>44146</v>
      </c>
      <c r="B447">
        <v>0.61040000000000005</v>
      </c>
      <c r="C447">
        <v>0.63839999999999997</v>
      </c>
      <c r="D447">
        <v>0.59540000000000004</v>
      </c>
      <c r="E447">
        <v>0.59819999999999995</v>
      </c>
      <c r="F447">
        <v>3064623.15</v>
      </c>
      <c r="G447">
        <v>0</v>
      </c>
      <c r="L447" t="s">
        <v>8</v>
      </c>
      <c r="M447" t="s">
        <v>7</v>
      </c>
      <c r="N447" t="s">
        <v>8</v>
      </c>
      <c r="P447">
        <f t="shared" si="974"/>
        <v>-0.86976744186046895</v>
      </c>
      <c r="Q447">
        <f t="shared" si="975"/>
        <v>-2665509.437441872</v>
      </c>
      <c r="R447">
        <f t="shared" si="976"/>
        <v>4124884.6833339729</v>
      </c>
      <c r="S447">
        <f t="shared" si="977"/>
        <v>41.248846833339726</v>
      </c>
      <c r="T447">
        <f t="shared" si="978"/>
        <v>4.1248846833339729E-2</v>
      </c>
    </row>
    <row r="448" spans="1:20" x14ac:dyDescent="0.25">
      <c r="A448" s="5">
        <v>44145</v>
      </c>
      <c r="B448">
        <v>0.58689999999999998</v>
      </c>
      <c r="C448">
        <v>0.62670000000000003</v>
      </c>
      <c r="D448">
        <v>0.57820000000000005</v>
      </c>
      <c r="E448">
        <v>0.61050000000000004</v>
      </c>
      <c r="F448">
        <v>3183633.77</v>
      </c>
      <c r="G448">
        <v>0</v>
      </c>
      <c r="L448" t="s">
        <v>8</v>
      </c>
      <c r="M448" t="s">
        <v>7</v>
      </c>
      <c r="N448" t="s">
        <v>8</v>
      </c>
      <c r="P448">
        <f t="shared" si="974"/>
        <v>0.33195876288659809</v>
      </c>
      <c r="Q448">
        <f t="shared" si="975"/>
        <v>1056835.1277731964</v>
      </c>
      <c r="R448">
        <f t="shared" si="976"/>
        <v>6790394.1207758449</v>
      </c>
      <c r="S448">
        <f t="shared" si="977"/>
        <v>67.90394120775845</v>
      </c>
      <c r="T448">
        <f t="shared" si="978"/>
        <v>6.7903941207758445E-2</v>
      </c>
    </row>
    <row r="449" spans="1:20" x14ac:dyDescent="0.25">
      <c r="A449" s="5">
        <v>44144</v>
      </c>
      <c r="B449">
        <v>0.5927</v>
      </c>
      <c r="C449">
        <v>0.60489999999999999</v>
      </c>
      <c r="D449">
        <v>0.55049999999999999</v>
      </c>
      <c r="E449">
        <v>0.58679999999999999</v>
      </c>
      <c r="F449">
        <v>3541718.03</v>
      </c>
      <c r="G449">
        <v>0</v>
      </c>
      <c r="L449" t="s">
        <v>8</v>
      </c>
      <c r="M449" t="s">
        <v>7</v>
      </c>
      <c r="N449" t="s">
        <v>8</v>
      </c>
      <c r="P449">
        <f t="shared" si="974"/>
        <v>0.33455882352941163</v>
      </c>
      <c r="Q449">
        <f t="shared" si="975"/>
        <v>1184913.0173897054</v>
      </c>
      <c r="R449">
        <f t="shared" si="976"/>
        <v>5733558.9930026485</v>
      </c>
      <c r="S449">
        <f t="shared" si="977"/>
        <v>57.335589930026487</v>
      </c>
      <c r="T449">
        <f t="shared" si="978"/>
        <v>5.7335589930026486E-2</v>
      </c>
    </row>
    <row r="450" spans="1:20" x14ac:dyDescent="0.25">
      <c r="A450" s="5">
        <v>44143</v>
      </c>
      <c r="B450">
        <v>0.54649999999999999</v>
      </c>
      <c r="C450">
        <v>0.60589999999999999</v>
      </c>
      <c r="D450">
        <v>0.54</v>
      </c>
      <c r="E450">
        <v>0.59389999999999998</v>
      </c>
      <c r="F450">
        <v>4246714.53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0.63581183611532566</v>
      </c>
      <c r="Q450">
        <f t="shared" si="975"/>
        <v>2700111.3627769323</v>
      </c>
      <c r="R450">
        <f t="shared" si="976"/>
        <v>4548645.9756129431</v>
      </c>
      <c r="S450">
        <f t="shared" si="977"/>
        <v>45.486459756129427</v>
      </c>
      <c r="T450">
        <f t="shared" si="978"/>
        <v>4.548645975612943E-2</v>
      </c>
    </row>
    <row r="451" spans="1:20" x14ac:dyDescent="0.25">
      <c r="A451" s="5">
        <v>44142</v>
      </c>
      <c r="B451">
        <v>0.58709999999999996</v>
      </c>
      <c r="C451">
        <v>0.67090000000000005</v>
      </c>
      <c r="D451">
        <v>0.52400000000000002</v>
      </c>
      <c r="E451">
        <v>0.54710000000000003</v>
      </c>
      <c r="F451">
        <v>10394307.550000001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-0.68550034036759699</v>
      </c>
      <c r="Q451">
        <f t="shared" si="975"/>
        <v>-7125301.363410484</v>
      </c>
      <c r="R451">
        <f t="shared" si="976"/>
        <v>1848534.6128360108</v>
      </c>
      <c r="S451">
        <f t="shared" si="977"/>
        <v>18.485346128360106</v>
      </c>
      <c r="T451">
        <f t="shared" si="978"/>
        <v>1.8485346128360107E-2</v>
      </c>
    </row>
    <row r="452" spans="1:20" x14ac:dyDescent="0.25">
      <c r="A452" s="5">
        <v>44141</v>
      </c>
      <c r="B452">
        <v>0.52270000000000005</v>
      </c>
      <c r="C452">
        <v>0.6</v>
      </c>
      <c r="D452">
        <v>0.5212</v>
      </c>
      <c r="E452">
        <v>0.58540000000000003</v>
      </c>
      <c r="F452">
        <v>4476826.3600000003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0.62944162436548345</v>
      </c>
      <c r="Q452">
        <f t="shared" si="975"/>
        <v>2817900.8560406147</v>
      </c>
      <c r="R452">
        <f t="shared" si="976"/>
        <v>8973835.9762464948</v>
      </c>
      <c r="S452">
        <f t="shared" si="977"/>
        <v>89.738359762464952</v>
      </c>
      <c r="T452">
        <f t="shared" si="978"/>
        <v>8.9738359762464956E-2</v>
      </c>
    </row>
    <row r="453" spans="1:20" x14ac:dyDescent="0.25">
      <c r="A453" s="5">
        <v>44140</v>
      </c>
      <c r="B453">
        <v>0.4899</v>
      </c>
      <c r="C453">
        <v>0.52800000000000002</v>
      </c>
      <c r="D453">
        <v>0.47820000000000001</v>
      </c>
      <c r="E453">
        <v>0.5212</v>
      </c>
      <c r="F453">
        <v>2237419.33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0.72690763052208729</v>
      </c>
      <c r="Q453">
        <f t="shared" si="975"/>
        <v>1626397.1836546161</v>
      </c>
      <c r="R453">
        <f t="shared" si="976"/>
        <v>6155935.1202058811</v>
      </c>
      <c r="S453">
        <f t="shared" si="977"/>
        <v>61.559351202058814</v>
      </c>
      <c r="T453">
        <f t="shared" si="978"/>
        <v>6.1559351202058812E-2</v>
      </c>
    </row>
    <row r="454" spans="1:20" x14ac:dyDescent="0.25">
      <c r="A454" s="5">
        <v>44139</v>
      </c>
      <c r="B454">
        <v>0.50529999999999997</v>
      </c>
      <c r="C454">
        <v>0.50529999999999997</v>
      </c>
      <c r="D454">
        <v>0.46600000000000003</v>
      </c>
      <c r="E454">
        <v>0.48880000000000001</v>
      </c>
      <c r="F454">
        <v>2307566.7799999998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0.16030534351145131</v>
      </c>
      <c r="Q454">
        <f t="shared" ref="Q454:Q517" si="980">F454*P454</f>
        <v>369915.28534351359</v>
      </c>
      <c r="R454">
        <f t="shared" ref="R454:R517" si="981">R455+Q454</f>
        <v>4529537.9365512645</v>
      </c>
      <c r="S454">
        <f t="shared" ref="S454:S517" si="982">R454/100000</f>
        <v>45.295379365512645</v>
      </c>
      <c r="T454">
        <f t="shared" ref="T454:T517" si="983">S454/1000</f>
        <v>4.5295379365512645E-2</v>
      </c>
    </row>
    <row r="455" spans="1:20" x14ac:dyDescent="0.25">
      <c r="A455" s="5">
        <v>44138</v>
      </c>
      <c r="B455">
        <v>0.51400000000000001</v>
      </c>
      <c r="C455">
        <v>0.52210000000000001</v>
      </c>
      <c r="D455">
        <v>0.48089999999999999</v>
      </c>
      <c r="E455">
        <v>0.50519999999999998</v>
      </c>
      <c r="F455">
        <v>2556085.92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0.17961165048543593</v>
      </c>
      <c r="Q455">
        <f t="shared" si="980"/>
        <v>459102.81087378389</v>
      </c>
      <c r="R455">
        <f t="shared" si="981"/>
        <v>4159622.6512077507</v>
      </c>
      <c r="S455">
        <f t="shared" si="982"/>
        <v>41.596226512077507</v>
      </c>
      <c r="T455">
        <f t="shared" si="983"/>
        <v>4.1596226512077505E-2</v>
      </c>
    </row>
    <row r="456" spans="1:20" x14ac:dyDescent="0.25">
      <c r="A456" s="5">
        <v>44137</v>
      </c>
      <c r="B456">
        <v>0.55330000000000001</v>
      </c>
      <c r="C456">
        <v>0.56950000000000001</v>
      </c>
      <c r="D456">
        <v>0.51290000000000002</v>
      </c>
      <c r="E456">
        <v>0.51480000000000004</v>
      </c>
      <c r="F456">
        <v>4172187.12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-0.93286219081272037</v>
      </c>
      <c r="Q456">
        <f t="shared" si="980"/>
        <v>-3892075.6172438143</v>
      </c>
      <c r="R456">
        <f t="shared" si="981"/>
        <v>3700519.8403339665</v>
      </c>
      <c r="S456">
        <f t="shared" si="982"/>
        <v>37.005198403339662</v>
      </c>
      <c r="T456">
        <f t="shared" si="983"/>
        <v>3.7005198403339663E-2</v>
      </c>
    </row>
    <row r="457" spans="1:20" x14ac:dyDescent="0.25">
      <c r="A457" s="5">
        <v>44136</v>
      </c>
      <c r="B457">
        <v>0.54430000000000001</v>
      </c>
      <c r="C457">
        <v>0.5665</v>
      </c>
      <c r="D457">
        <v>0.51149999999999995</v>
      </c>
      <c r="E457">
        <v>0.55359999999999998</v>
      </c>
      <c r="F457">
        <v>2884384.19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0.53090909090909055</v>
      </c>
      <c r="Q457">
        <f t="shared" si="980"/>
        <v>1531345.7881454534</v>
      </c>
      <c r="R457">
        <f t="shared" si="981"/>
        <v>7592595.4575777808</v>
      </c>
      <c r="S457">
        <f t="shared" si="982"/>
        <v>75.925954575777808</v>
      </c>
      <c r="T457">
        <f t="shared" si="983"/>
        <v>7.5925954575777804E-2</v>
      </c>
    </row>
    <row r="458" spans="1:20" x14ac:dyDescent="0.25">
      <c r="A458" s="5">
        <v>44135</v>
      </c>
      <c r="B458">
        <v>0.56259999999999999</v>
      </c>
      <c r="C458">
        <v>0.5766</v>
      </c>
      <c r="D458">
        <v>0.53</v>
      </c>
      <c r="E458">
        <v>0.5444</v>
      </c>
      <c r="F458">
        <v>1969929.86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-0.38197424892703963</v>
      </c>
      <c r="Q458">
        <f t="shared" si="980"/>
        <v>-752462.47871244838</v>
      </c>
      <c r="R458">
        <f t="shared" si="981"/>
        <v>6061249.6694323272</v>
      </c>
      <c r="S458">
        <f t="shared" si="982"/>
        <v>60.612496694323269</v>
      </c>
      <c r="T458">
        <f t="shared" si="983"/>
        <v>6.0612496694323267E-2</v>
      </c>
    </row>
    <row r="459" spans="1:20" x14ac:dyDescent="0.25">
      <c r="A459" s="5">
        <v>44134</v>
      </c>
      <c r="B459">
        <v>0.58230000000000004</v>
      </c>
      <c r="C459">
        <v>0.58689999999999998</v>
      </c>
      <c r="D459">
        <v>0.53110000000000002</v>
      </c>
      <c r="E459">
        <v>0.56200000000000006</v>
      </c>
      <c r="F459">
        <v>4465652.5999999996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0.10752688172043227</v>
      </c>
      <c r="Q459">
        <f t="shared" si="980"/>
        <v>480177.69892474083</v>
      </c>
      <c r="R459">
        <f t="shared" si="981"/>
        <v>6813712.148144776</v>
      </c>
      <c r="S459">
        <f t="shared" si="982"/>
        <v>68.137121481447764</v>
      </c>
      <c r="T459">
        <f t="shared" si="983"/>
        <v>6.8137121481447765E-2</v>
      </c>
    </row>
    <row r="460" spans="1:20" x14ac:dyDescent="0.25">
      <c r="A460" s="5">
        <v>44133</v>
      </c>
      <c r="B460">
        <v>0.63370000000000004</v>
      </c>
      <c r="C460">
        <v>0.67800000000000005</v>
      </c>
      <c r="D460">
        <v>0.57299999999999995</v>
      </c>
      <c r="E460">
        <v>0.58240000000000003</v>
      </c>
      <c r="F460">
        <v>5704164.4299999997</v>
      </c>
      <c r="G460">
        <v>0</v>
      </c>
      <c r="L460" t="s">
        <v>8</v>
      </c>
      <c r="M460" t="s">
        <v>8</v>
      </c>
      <c r="N460" t="s">
        <v>7</v>
      </c>
      <c r="P460">
        <f t="shared" si="979"/>
        <v>-0.82095238095237966</v>
      </c>
      <c r="Q460">
        <f t="shared" si="980"/>
        <v>-4682847.3701523729</v>
      </c>
      <c r="R460">
        <f t="shared" si="981"/>
        <v>6333534.4492200352</v>
      </c>
      <c r="S460">
        <f t="shared" si="982"/>
        <v>63.335344492200349</v>
      </c>
      <c r="T460">
        <f t="shared" si="983"/>
        <v>6.3335344492200352E-2</v>
      </c>
    </row>
    <row r="461" spans="1:20" x14ac:dyDescent="0.25">
      <c r="A461" s="5">
        <v>44132</v>
      </c>
      <c r="B461">
        <v>0.62390000000000001</v>
      </c>
      <c r="C461">
        <v>0.64539999999999997</v>
      </c>
      <c r="D461">
        <v>0.56999999999999995</v>
      </c>
      <c r="E461">
        <v>0.63380000000000003</v>
      </c>
      <c r="F461">
        <v>4169542.77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0.69230769230769384</v>
      </c>
      <c r="Q461">
        <f t="shared" si="980"/>
        <v>2886606.5330769294</v>
      </c>
      <c r="R461">
        <f t="shared" si="981"/>
        <v>11016381.819372408</v>
      </c>
      <c r="S461">
        <f t="shared" si="982"/>
        <v>110.16381819372408</v>
      </c>
      <c r="T461">
        <f t="shared" si="983"/>
        <v>0.11016381819372409</v>
      </c>
    </row>
    <row r="462" spans="1:20" x14ac:dyDescent="0.25">
      <c r="A462" s="5">
        <v>44131</v>
      </c>
      <c r="B462">
        <v>0.62760000000000005</v>
      </c>
      <c r="C462">
        <v>0.63959999999999995</v>
      </c>
      <c r="D462">
        <v>0.60119999999999996</v>
      </c>
      <c r="E462">
        <v>0.626</v>
      </c>
      <c r="F462">
        <v>1757154.41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0.29166666666666929</v>
      </c>
      <c r="Q462">
        <f t="shared" si="980"/>
        <v>512503.36958333792</v>
      </c>
      <c r="R462">
        <f t="shared" si="981"/>
        <v>8129775.2862954782</v>
      </c>
      <c r="S462">
        <f t="shared" si="982"/>
        <v>81.297752862954781</v>
      </c>
      <c r="T462">
        <f t="shared" si="983"/>
        <v>8.1297752862954778E-2</v>
      </c>
    </row>
    <row r="463" spans="1:20" x14ac:dyDescent="0.25">
      <c r="A463" s="5">
        <v>44130</v>
      </c>
      <c r="B463">
        <v>0.64090000000000003</v>
      </c>
      <c r="C463">
        <v>0.66479999999999995</v>
      </c>
      <c r="D463">
        <v>0.6</v>
      </c>
      <c r="E463">
        <v>0.62849999999999995</v>
      </c>
      <c r="F463">
        <v>2221102.2599999998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-0.12037037037037088</v>
      </c>
      <c r="Q463">
        <f t="shared" si="980"/>
        <v>-267354.90166666778</v>
      </c>
      <c r="R463">
        <f t="shared" si="981"/>
        <v>7617271.9167121407</v>
      </c>
      <c r="S463">
        <f t="shared" si="982"/>
        <v>76.1727191671214</v>
      </c>
      <c r="T463">
        <f t="shared" si="983"/>
        <v>7.61727191671214E-2</v>
      </c>
    </row>
    <row r="464" spans="1:20" x14ac:dyDescent="0.25">
      <c r="A464" s="5">
        <v>44129</v>
      </c>
      <c r="B464">
        <v>0.66169999999999995</v>
      </c>
      <c r="C464">
        <v>0.67320000000000002</v>
      </c>
      <c r="D464">
        <v>0.63370000000000004</v>
      </c>
      <c r="E464">
        <v>0.6391</v>
      </c>
      <c r="F464">
        <v>1905146.57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-0.72658227848101453</v>
      </c>
      <c r="Q464">
        <f t="shared" si="980"/>
        <v>-1384245.7356708897</v>
      </c>
      <c r="R464">
        <f t="shared" si="981"/>
        <v>7884626.8183788089</v>
      </c>
      <c r="S464">
        <f t="shared" si="982"/>
        <v>78.846268183788084</v>
      </c>
      <c r="T464">
        <f t="shared" si="983"/>
        <v>7.8846268183788079E-2</v>
      </c>
    </row>
    <row r="465" spans="1:20" x14ac:dyDescent="0.25">
      <c r="A465" s="5">
        <v>44128</v>
      </c>
      <c r="B465">
        <v>0.68489999999999995</v>
      </c>
      <c r="C465">
        <v>0.69299999999999995</v>
      </c>
      <c r="D465">
        <v>0.65810000000000002</v>
      </c>
      <c r="E465">
        <v>0.66069999999999995</v>
      </c>
      <c r="F465">
        <v>1517741.4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-0.8510028653295163</v>
      </c>
      <c r="Q465">
        <f t="shared" si="980"/>
        <v>-1291602.2802292313</v>
      </c>
      <c r="R465">
        <f t="shared" si="981"/>
        <v>9268872.5540496986</v>
      </c>
      <c r="S465">
        <f t="shared" si="982"/>
        <v>92.688725540496989</v>
      </c>
      <c r="T465">
        <f t="shared" si="983"/>
        <v>9.2688725540496994E-2</v>
      </c>
    </row>
    <row r="466" spans="1:20" x14ac:dyDescent="0.25">
      <c r="A466" s="5">
        <v>44127</v>
      </c>
      <c r="B466">
        <v>0.6643</v>
      </c>
      <c r="C466">
        <v>0.71220000000000006</v>
      </c>
      <c r="D466">
        <v>0.6482</v>
      </c>
      <c r="E466">
        <v>0.68520000000000003</v>
      </c>
      <c r="F466">
        <v>3967910.84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0.15625</v>
      </c>
      <c r="Q466">
        <f t="shared" si="980"/>
        <v>619986.06874999998</v>
      </c>
      <c r="R466">
        <f t="shared" si="981"/>
        <v>10560474.83427893</v>
      </c>
      <c r="S466">
        <f t="shared" si="982"/>
        <v>105.60474834278929</v>
      </c>
      <c r="T466">
        <f t="shared" si="983"/>
        <v>0.1056047483427893</v>
      </c>
    </row>
    <row r="467" spans="1:20" x14ac:dyDescent="0.25">
      <c r="A467" s="5">
        <v>44126</v>
      </c>
      <c r="B467">
        <v>0.63560000000000005</v>
      </c>
      <c r="C467">
        <v>0.68710000000000004</v>
      </c>
      <c r="D467">
        <v>0.59609999999999996</v>
      </c>
      <c r="E467">
        <v>0.66420000000000001</v>
      </c>
      <c r="F467">
        <v>3386226.17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0.49670329670329644</v>
      </c>
      <c r="Q467">
        <f t="shared" si="980"/>
        <v>1681949.7020219772</v>
      </c>
      <c r="R467">
        <f t="shared" si="981"/>
        <v>9940488.7655289304</v>
      </c>
      <c r="S467">
        <f t="shared" si="982"/>
        <v>99.404887655289301</v>
      </c>
      <c r="T467">
        <f t="shared" si="983"/>
        <v>9.9404887655289306E-2</v>
      </c>
    </row>
    <row r="468" spans="1:20" x14ac:dyDescent="0.25">
      <c r="A468" s="5">
        <v>44125</v>
      </c>
      <c r="B468">
        <v>0.61780000000000002</v>
      </c>
      <c r="C468">
        <v>0.65710000000000002</v>
      </c>
      <c r="D468">
        <v>0.61029999999999995</v>
      </c>
      <c r="E468">
        <v>0.63460000000000005</v>
      </c>
      <c r="F468">
        <v>3370280.7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3.8461538461541288E-2</v>
      </c>
      <c r="Q468">
        <f t="shared" si="980"/>
        <v>129626.18076924029</v>
      </c>
      <c r="R468">
        <f t="shared" si="981"/>
        <v>8258539.0635069525</v>
      </c>
      <c r="S468">
        <f t="shared" si="982"/>
        <v>82.58539063506953</v>
      </c>
      <c r="T468">
        <f t="shared" si="983"/>
        <v>8.2585390635069533E-2</v>
      </c>
    </row>
    <row r="469" spans="1:20" x14ac:dyDescent="0.25">
      <c r="A469" s="5">
        <v>44124</v>
      </c>
      <c r="B469">
        <v>0.68389999999999995</v>
      </c>
      <c r="C469">
        <v>0.68400000000000005</v>
      </c>
      <c r="D469">
        <v>0.59209999999999996</v>
      </c>
      <c r="E469">
        <v>0.61460000000000004</v>
      </c>
      <c r="F469">
        <v>3974728.94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-0.51033732317736558</v>
      </c>
      <c r="Q469">
        <f t="shared" si="980"/>
        <v>-2028452.5275952078</v>
      </c>
      <c r="R469">
        <f t="shared" si="981"/>
        <v>8128912.882737712</v>
      </c>
      <c r="S469">
        <f t="shared" si="982"/>
        <v>81.289128827377127</v>
      </c>
      <c r="T469">
        <f t="shared" si="983"/>
        <v>8.1289128827377127E-2</v>
      </c>
    </row>
    <row r="470" spans="1:20" x14ac:dyDescent="0.25">
      <c r="A470" s="5">
        <v>44123</v>
      </c>
      <c r="B470">
        <v>0.71660000000000001</v>
      </c>
      <c r="C470">
        <v>0.72299999999999998</v>
      </c>
      <c r="D470">
        <v>0.67449999999999999</v>
      </c>
      <c r="E470">
        <v>0.68400000000000005</v>
      </c>
      <c r="F470">
        <v>2086538.44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-0.60824742268040966</v>
      </c>
      <c r="Q470">
        <f t="shared" si="980"/>
        <v>-1269131.6284536025</v>
      </c>
      <c r="R470">
        <f t="shared" si="981"/>
        <v>10157365.41033292</v>
      </c>
      <c r="S470">
        <f t="shared" si="982"/>
        <v>101.5736541033292</v>
      </c>
      <c r="T470">
        <f t="shared" si="983"/>
        <v>0.10157365410332921</v>
      </c>
    </row>
    <row r="471" spans="1:20" x14ac:dyDescent="0.25">
      <c r="A471" s="5">
        <v>44122</v>
      </c>
      <c r="B471">
        <v>0.68889999999999996</v>
      </c>
      <c r="C471">
        <v>0.72529999999999994</v>
      </c>
      <c r="D471">
        <v>0.68320000000000003</v>
      </c>
      <c r="E471">
        <v>0.71630000000000005</v>
      </c>
      <c r="F471">
        <v>1802554.67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0.57244655581948145</v>
      </c>
      <c r="Q471">
        <f t="shared" si="980"/>
        <v>1031866.2125178219</v>
      </c>
      <c r="R471">
        <f t="shared" si="981"/>
        <v>11426497.038786523</v>
      </c>
      <c r="S471">
        <f t="shared" si="982"/>
        <v>114.26497038786523</v>
      </c>
      <c r="T471">
        <f t="shared" si="983"/>
        <v>0.11426497038786523</v>
      </c>
    </row>
    <row r="472" spans="1:20" x14ac:dyDescent="0.25">
      <c r="A472" s="5">
        <v>44121</v>
      </c>
      <c r="B472">
        <v>0.68179999999999996</v>
      </c>
      <c r="C472">
        <v>0.70289999999999997</v>
      </c>
      <c r="D472">
        <v>0.65100000000000002</v>
      </c>
      <c r="E472">
        <v>0.69010000000000005</v>
      </c>
      <c r="F472">
        <v>2144082.27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0.50674373795761329</v>
      </c>
      <c r="Q472">
        <f t="shared" si="980"/>
        <v>1086500.2639884446</v>
      </c>
      <c r="R472">
        <f t="shared" si="981"/>
        <v>10394630.826268701</v>
      </c>
      <c r="S472">
        <f t="shared" si="982"/>
        <v>103.94630826268701</v>
      </c>
      <c r="T472">
        <f t="shared" si="983"/>
        <v>0.10394630826268701</v>
      </c>
    </row>
    <row r="473" spans="1:20" x14ac:dyDescent="0.25">
      <c r="A473" s="5">
        <v>44120</v>
      </c>
      <c r="B473">
        <v>0.73829999999999996</v>
      </c>
      <c r="C473">
        <v>0.75290000000000001</v>
      </c>
      <c r="D473">
        <v>0.67079999999999995</v>
      </c>
      <c r="E473">
        <v>0.68389999999999995</v>
      </c>
      <c r="F473">
        <v>3311539.06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-0.68087697929354474</v>
      </c>
      <c r="Q473">
        <f t="shared" si="980"/>
        <v>-2254750.7119853846</v>
      </c>
      <c r="R473">
        <f t="shared" si="981"/>
        <v>9308130.5622802563</v>
      </c>
      <c r="S473">
        <f t="shared" si="982"/>
        <v>93.08130562280256</v>
      </c>
      <c r="T473">
        <f t="shared" si="983"/>
        <v>9.3081305622802563E-2</v>
      </c>
    </row>
    <row r="474" spans="1:20" x14ac:dyDescent="0.25">
      <c r="A474" s="5">
        <v>44119</v>
      </c>
      <c r="B474">
        <v>0.7954</v>
      </c>
      <c r="C474">
        <v>0.7954</v>
      </c>
      <c r="D474">
        <v>0.70189999999999997</v>
      </c>
      <c r="E474">
        <v>0.73829999999999996</v>
      </c>
      <c r="F474">
        <v>5122658.46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-0.22139037433155129</v>
      </c>
      <c r="Q474">
        <f t="shared" si="980"/>
        <v>-1134107.274032088</v>
      </c>
      <c r="R474">
        <f t="shared" si="981"/>
        <v>11562881.274265641</v>
      </c>
      <c r="S474">
        <f t="shared" si="982"/>
        <v>115.62881274265641</v>
      </c>
      <c r="T474">
        <f t="shared" si="983"/>
        <v>0.11562881274265641</v>
      </c>
    </row>
    <row r="475" spans="1:20" x14ac:dyDescent="0.25">
      <c r="A475" s="5">
        <v>44118</v>
      </c>
      <c r="B475">
        <v>0.79990000000000006</v>
      </c>
      <c r="C475">
        <v>0.82830000000000004</v>
      </c>
      <c r="D475">
        <v>0.76119999999999999</v>
      </c>
      <c r="E475">
        <v>0.79549999999999998</v>
      </c>
      <c r="F475">
        <v>5686886.3399999999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2.2354694485841202E-2</v>
      </c>
      <c r="Q475">
        <f t="shared" si="980"/>
        <v>127128.60670640365</v>
      </c>
      <c r="R475">
        <f t="shared" si="981"/>
        <v>12696988.548297729</v>
      </c>
      <c r="S475">
        <f t="shared" si="982"/>
        <v>126.96988548297729</v>
      </c>
      <c r="T475">
        <f t="shared" si="983"/>
        <v>0.1269698854829773</v>
      </c>
    </row>
    <row r="476" spans="1:20" x14ac:dyDescent="0.25">
      <c r="A476" s="5">
        <v>44117</v>
      </c>
      <c r="B476">
        <v>0.73799999999999999</v>
      </c>
      <c r="C476">
        <v>0.81810000000000005</v>
      </c>
      <c r="D476">
        <v>0.72330000000000005</v>
      </c>
      <c r="E476">
        <v>0.80189999999999995</v>
      </c>
      <c r="F476">
        <v>8024757.71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0.65822784810126367</v>
      </c>
      <c r="Q476">
        <f t="shared" si="980"/>
        <v>5282118.9989873245</v>
      </c>
      <c r="R476">
        <f t="shared" si="981"/>
        <v>12569859.941591326</v>
      </c>
      <c r="S476">
        <f t="shared" si="982"/>
        <v>125.69859941591326</v>
      </c>
      <c r="T476">
        <f t="shared" si="983"/>
        <v>0.12569859941591327</v>
      </c>
    </row>
    <row r="477" spans="1:20" x14ac:dyDescent="0.25">
      <c r="A477" s="5">
        <v>44116</v>
      </c>
      <c r="B477">
        <v>0.72989999999999999</v>
      </c>
      <c r="C477">
        <v>0.76959999999999995</v>
      </c>
      <c r="D477">
        <v>0.70709999999999995</v>
      </c>
      <c r="E477">
        <v>0.73870000000000002</v>
      </c>
      <c r="F477">
        <v>4212676.34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1.1200000000002319E-2</v>
      </c>
      <c r="Q477">
        <f t="shared" si="980"/>
        <v>47181.975008009766</v>
      </c>
      <c r="R477">
        <f t="shared" si="981"/>
        <v>7287740.9426040016</v>
      </c>
      <c r="S477">
        <f t="shared" si="982"/>
        <v>72.877409426040018</v>
      </c>
      <c r="T477">
        <f t="shared" si="983"/>
        <v>7.2877409426040013E-2</v>
      </c>
    </row>
    <row r="478" spans="1:20" x14ac:dyDescent="0.25">
      <c r="A478" s="5">
        <v>44115</v>
      </c>
      <c r="B478">
        <v>0.72640000000000005</v>
      </c>
      <c r="C478">
        <v>0.75890000000000002</v>
      </c>
      <c r="D478">
        <v>0.72370000000000001</v>
      </c>
      <c r="E478">
        <v>0.73</v>
      </c>
      <c r="F478">
        <v>1473963.87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-0.64204545454545625</v>
      </c>
      <c r="Q478">
        <f t="shared" si="980"/>
        <v>-946351.80289772991</v>
      </c>
      <c r="R478">
        <f t="shared" si="981"/>
        <v>7240558.9675959917</v>
      </c>
      <c r="S478">
        <f t="shared" si="982"/>
        <v>72.405589675959916</v>
      </c>
      <c r="T478">
        <f t="shared" si="983"/>
        <v>7.2405589675959919E-2</v>
      </c>
    </row>
    <row r="479" spans="1:20" x14ac:dyDescent="0.25">
      <c r="A479" s="5">
        <v>44114</v>
      </c>
      <c r="B479">
        <v>0.73770000000000002</v>
      </c>
      <c r="C479">
        <v>0.77</v>
      </c>
      <c r="D479">
        <v>0.72599999999999998</v>
      </c>
      <c r="E479">
        <v>0.72640000000000005</v>
      </c>
      <c r="F479">
        <v>3032332.9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-0.98181818181817881</v>
      </c>
      <c r="Q479">
        <f t="shared" si="980"/>
        <v>-2977199.5745454454</v>
      </c>
      <c r="R479">
        <f t="shared" si="981"/>
        <v>8186910.7704937216</v>
      </c>
      <c r="S479">
        <f t="shared" si="982"/>
        <v>81.869107704937221</v>
      </c>
      <c r="T479">
        <f t="shared" si="983"/>
        <v>8.1869107704937216E-2</v>
      </c>
    </row>
    <row r="480" spans="1:20" x14ac:dyDescent="0.25">
      <c r="A480" s="5">
        <v>44113</v>
      </c>
      <c r="B480">
        <v>0.72260000000000002</v>
      </c>
      <c r="C480">
        <v>0.75119999999999998</v>
      </c>
      <c r="D480">
        <v>0.69210000000000005</v>
      </c>
      <c r="E480">
        <v>0.73980000000000001</v>
      </c>
      <c r="F480">
        <v>3365765.75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0.61421319796954388</v>
      </c>
      <c r="Q480">
        <f t="shared" si="980"/>
        <v>2067297.7449238603</v>
      </c>
      <c r="R480">
        <f t="shared" si="981"/>
        <v>11164110.345039167</v>
      </c>
      <c r="S480">
        <f t="shared" si="982"/>
        <v>111.64110345039167</v>
      </c>
      <c r="T480">
        <f t="shared" si="983"/>
        <v>0.11164110345039167</v>
      </c>
    </row>
    <row r="481" spans="1:20" x14ac:dyDescent="0.25">
      <c r="A481" s="5">
        <v>44112</v>
      </c>
      <c r="B481">
        <v>0.71020000000000005</v>
      </c>
      <c r="C481">
        <v>0.73</v>
      </c>
      <c r="D481">
        <v>0.66659999999999997</v>
      </c>
      <c r="E481">
        <v>0.72250000000000003</v>
      </c>
      <c r="F481">
        <v>3438301.16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0.76340694006309306</v>
      </c>
      <c r="Q481">
        <f t="shared" si="980"/>
        <v>2624822.9675709833</v>
      </c>
      <c r="R481">
        <f t="shared" si="981"/>
        <v>9096812.6001153067</v>
      </c>
      <c r="S481">
        <f t="shared" si="982"/>
        <v>90.968126001153067</v>
      </c>
      <c r="T481">
        <f t="shared" si="983"/>
        <v>9.096812600115306E-2</v>
      </c>
    </row>
    <row r="482" spans="1:20" x14ac:dyDescent="0.25">
      <c r="A482" s="5">
        <v>44111</v>
      </c>
      <c r="B482">
        <v>0.69099999999999995</v>
      </c>
      <c r="C482">
        <v>0.73299999999999998</v>
      </c>
      <c r="D482">
        <v>0.63949999999999996</v>
      </c>
      <c r="E482">
        <v>0.71009999999999995</v>
      </c>
      <c r="F482">
        <v>5212457.82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0.51016042780748605</v>
      </c>
      <c r="Q482">
        <f t="shared" si="980"/>
        <v>2659189.7113796761</v>
      </c>
      <c r="R482">
        <f t="shared" si="981"/>
        <v>6471989.6325443238</v>
      </c>
      <c r="S482">
        <f t="shared" si="982"/>
        <v>64.719896325443244</v>
      </c>
      <c r="T482">
        <f t="shared" si="983"/>
        <v>6.4719896325443241E-2</v>
      </c>
    </row>
    <row r="483" spans="1:20" x14ac:dyDescent="0.25">
      <c r="A483" s="5">
        <v>44110</v>
      </c>
      <c r="B483">
        <v>0.82410000000000005</v>
      </c>
      <c r="C483">
        <v>0.83479999999999999</v>
      </c>
      <c r="D483">
        <v>0.67379999999999995</v>
      </c>
      <c r="E483">
        <v>0.69289999999999996</v>
      </c>
      <c r="F483">
        <v>4261586.46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-0.76273291925465836</v>
      </c>
      <c r="Q483">
        <f t="shared" si="980"/>
        <v>-3250452.2812919253</v>
      </c>
      <c r="R483">
        <f t="shared" si="981"/>
        <v>3812799.9211646477</v>
      </c>
      <c r="S483">
        <f t="shared" si="982"/>
        <v>38.127999211646475</v>
      </c>
      <c r="T483">
        <f t="shared" si="983"/>
        <v>3.8127999211646474E-2</v>
      </c>
    </row>
    <row r="484" spans="1:20" x14ac:dyDescent="0.25">
      <c r="A484" s="5">
        <v>44109</v>
      </c>
      <c r="B484">
        <v>0.91810000000000003</v>
      </c>
      <c r="C484">
        <v>0.92810000000000004</v>
      </c>
      <c r="D484">
        <v>0.81630000000000003</v>
      </c>
      <c r="E484">
        <v>0.8226</v>
      </c>
      <c r="F484">
        <v>2230758.36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-0.88729874776386453</v>
      </c>
      <c r="Q484">
        <f t="shared" si="980"/>
        <v>-1979349.0993917719</v>
      </c>
      <c r="R484">
        <f t="shared" si="981"/>
        <v>7063252.202456573</v>
      </c>
      <c r="S484">
        <f t="shared" si="982"/>
        <v>70.632522024565731</v>
      </c>
      <c r="T484">
        <f t="shared" si="983"/>
        <v>7.0632522024565728E-2</v>
      </c>
    </row>
    <row r="485" spans="1:20" x14ac:dyDescent="0.25">
      <c r="A485" s="5">
        <v>44108</v>
      </c>
      <c r="B485">
        <v>0.93500000000000005</v>
      </c>
      <c r="C485">
        <v>0.96399999999999997</v>
      </c>
      <c r="D485">
        <v>0.89</v>
      </c>
      <c r="E485">
        <v>0.91849999999999998</v>
      </c>
      <c r="F485">
        <v>3254608.72</v>
      </c>
      <c r="G485">
        <v>0</v>
      </c>
      <c r="L485" t="s">
        <v>8</v>
      </c>
      <c r="M485" t="s">
        <v>7</v>
      </c>
      <c r="N485" t="s">
        <v>8</v>
      </c>
      <c r="P485">
        <f t="shared" si="979"/>
        <v>-0.22972972972973008</v>
      </c>
      <c r="Q485">
        <f t="shared" si="980"/>
        <v>-747680.38162162283</v>
      </c>
      <c r="R485">
        <f t="shared" si="981"/>
        <v>9042601.3018483445</v>
      </c>
      <c r="S485">
        <f t="shared" si="982"/>
        <v>90.426013018483445</v>
      </c>
      <c r="T485">
        <f t="shared" si="983"/>
        <v>9.042601301848345E-2</v>
      </c>
    </row>
    <row r="486" spans="1:20" x14ac:dyDescent="0.25">
      <c r="A486" s="5">
        <v>44107</v>
      </c>
      <c r="B486">
        <v>0.90600000000000003</v>
      </c>
      <c r="C486">
        <v>0.96</v>
      </c>
      <c r="D486">
        <v>0.89300000000000002</v>
      </c>
      <c r="E486">
        <v>0.93600000000000005</v>
      </c>
      <c r="F486">
        <v>3633551.53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0.28358208955224096</v>
      </c>
      <c r="Q486">
        <f t="shared" si="980"/>
        <v>1030410.1353731421</v>
      </c>
      <c r="R486">
        <f t="shared" si="981"/>
        <v>9790281.6834699679</v>
      </c>
      <c r="S486">
        <f t="shared" si="982"/>
        <v>97.902816834699678</v>
      </c>
      <c r="T486">
        <f t="shared" si="983"/>
        <v>9.7902816834699674E-2</v>
      </c>
    </row>
    <row r="487" spans="1:20" x14ac:dyDescent="0.25">
      <c r="A487" s="5">
        <v>44106</v>
      </c>
      <c r="B487">
        <v>0.93420000000000003</v>
      </c>
      <c r="C487">
        <v>0.93700000000000006</v>
      </c>
      <c r="D487">
        <v>0.84499999999999997</v>
      </c>
      <c r="E487">
        <v>0.90939999999999999</v>
      </c>
      <c r="F487">
        <v>7877923.6600000001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0.39999999999999902</v>
      </c>
      <c r="Q487">
        <f t="shared" si="980"/>
        <v>3151169.4639999922</v>
      </c>
      <c r="R487">
        <f t="shared" si="981"/>
        <v>8759871.5480968263</v>
      </c>
      <c r="S487">
        <f t="shared" si="982"/>
        <v>87.598715480968266</v>
      </c>
      <c r="T487">
        <f t="shared" si="983"/>
        <v>8.7598715480968273E-2</v>
      </c>
    </row>
    <row r="488" spans="1:20" x14ac:dyDescent="0.25">
      <c r="A488" s="5">
        <v>44105</v>
      </c>
      <c r="B488">
        <v>1.1195999999999999</v>
      </c>
      <c r="C488">
        <v>1.2</v>
      </c>
      <c r="D488">
        <v>0.86970000000000003</v>
      </c>
      <c r="E488">
        <v>0.93799999999999994</v>
      </c>
      <c r="F488">
        <v>15944610.99</v>
      </c>
      <c r="G488">
        <v>0</v>
      </c>
      <c r="L488" t="s">
        <v>7</v>
      </c>
      <c r="M488" t="s">
        <v>7</v>
      </c>
      <c r="N488" t="s">
        <v>8</v>
      </c>
      <c r="P488">
        <f t="shared" si="979"/>
        <v>-0.58643657281259498</v>
      </c>
      <c r="Q488">
        <f t="shared" si="980"/>
        <v>-9350503.0238056369</v>
      </c>
      <c r="R488">
        <f t="shared" si="981"/>
        <v>5608702.0840968341</v>
      </c>
      <c r="S488">
        <f t="shared" si="982"/>
        <v>56.087020840968343</v>
      </c>
      <c r="T488">
        <f t="shared" si="983"/>
        <v>5.6087020840968345E-2</v>
      </c>
    </row>
    <row r="489" spans="1:20" x14ac:dyDescent="0.25">
      <c r="A489" s="5">
        <v>44104</v>
      </c>
      <c r="B489">
        <v>1.0454000000000001</v>
      </c>
      <c r="C489">
        <v>1.2</v>
      </c>
      <c r="D489">
        <v>0.9889</v>
      </c>
      <c r="E489">
        <v>1.1171</v>
      </c>
      <c r="F489">
        <v>15260897.210000001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0.21459024159166279</v>
      </c>
      <c r="Q489">
        <f t="shared" si="980"/>
        <v>3274839.6191994329</v>
      </c>
      <c r="R489">
        <f t="shared" si="981"/>
        <v>14959205.107902471</v>
      </c>
      <c r="S489">
        <f t="shared" si="982"/>
        <v>149.59205107902471</v>
      </c>
      <c r="T489">
        <f t="shared" si="983"/>
        <v>0.14959205107902471</v>
      </c>
    </row>
    <row r="490" spans="1:20" x14ac:dyDescent="0.25">
      <c r="A490" s="5">
        <v>44103</v>
      </c>
      <c r="B490">
        <v>0.81289999999999996</v>
      </c>
      <c r="C490">
        <v>1.069</v>
      </c>
      <c r="D490">
        <v>0.7964</v>
      </c>
      <c r="E490">
        <v>1.0416000000000001</v>
      </c>
      <c r="F490">
        <v>13717639.119999999</v>
      </c>
      <c r="G490">
        <v>0</v>
      </c>
      <c r="L490" t="s">
        <v>8</v>
      </c>
      <c r="M490" t="s">
        <v>8</v>
      </c>
      <c r="N490" t="s">
        <v>8</v>
      </c>
      <c r="P490">
        <f t="shared" si="979"/>
        <v>0.79897285399853357</v>
      </c>
      <c r="Q490">
        <f t="shared" si="980"/>
        <v>10960021.277828332</v>
      </c>
      <c r="R490">
        <f t="shared" si="981"/>
        <v>11684365.488703039</v>
      </c>
      <c r="S490">
        <f t="shared" si="982"/>
        <v>116.84365488703038</v>
      </c>
      <c r="T490">
        <f t="shared" si="983"/>
        <v>0.11684365488703038</v>
      </c>
    </row>
    <row r="491" spans="1:20" x14ac:dyDescent="0.25">
      <c r="A491" s="5">
        <v>44102</v>
      </c>
      <c r="B491">
        <v>0.76859999999999995</v>
      </c>
      <c r="C491">
        <v>0.85499999999999998</v>
      </c>
      <c r="D491">
        <v>0.73240000000000005</v>
      </c>
      <c r="E491">
        <v>0.81340000000000001</v>
      </c>
      <c r="F491">
        <v>6250682.7699999996</v>
      </c>
      <c r="G491">
        <v>0</v>
      </c>
      <c r="L491" t="s">
        <v>8</v>
      </c>
      <c r="M491" t="s">
        <v>7</v>
      </c>
      <c r="N491" t="s">
        <v>8</v>
      </c>
      <c r="P491">
        <f t="shared" si="979"/>
        <v>0.32137030995106047</v>
      </c>
      <c r="Q491">
        <f t="shared" si="980"/>
        <v>2008783.8592006532</v>
      </c>
      <c r="R491">
        <f t="shared" si="981"/>
        <v>724344.21087470721</v>
      </c>
      <c r="S491">
        <f t="shared" si="982"/>
        <v>7.2434421087470717</v>
      </c>
      <c r="T491">
        <f t="shared" si="983"/>
        <v>7.2434421087470714E-3</v>
      </c>
    </row>
    <row r="492" spans="1:20" x14ac:dyDescent="0.25">
      <c r="A492" s="5">
        <v>44101</v>
      </c>
      <c r="B492">
        <v>0.79920000000000002</v>
      </c>
      <c r="C492">
        <v>0.82450000000000001</v>
      </c>
      <c r="D492">
        <v>0.7228</v>
      </c>
      <c r="E492">
        <v>0.76859999999999995</v>
      </c>
      <c r="F492">
        <v>4953988.54</v>
      </c>
      <c r="G492">
        <v>0</v>
      </c>
      <c r="L492" t="s">
        <v>7</v>
      </c>
      <c r="M492" t="s">
        <v>7</v>
      </c>
      <c r="N492" t="s">
        <v>8</v>
      </c>
      <c r="P492">
        <f t="shared" si="979"/>
        <v>-9.9311701081613649E-2</v>
      </c>
      <c r="Q492">
        <f t="shared" si="980"/>
        <v>-491989.0290462196</v>
      </c>
      <c r="R492">
        <f t="shared" si="981"/>
        <v>-1284439.6483259459</v>
      </c>
      <c r="S492">
        <f t="shared" si="982"/>
        <v>-12.844396483259459</v>
      </c>
      <c r="T492">
        <f t="shared" si="983"/>
        <v>-1.2844396483259459E-2</v>
      </c>
    </row>
    <row r="493" spans="1:20" x14ac:dyDescent="0.25">
      <c r="A493" s="5">
        <v>44100</v>
      </c>
      <c r="B493">
        <v>0.80759999999999998</v>
      </c>
      <c r="C493">
        <v>0.81559999999999999</v>
      </c>
      <c r="D493">
        <v>0.75829999999999997</v>
      </c>
      <c r="E493">
        <v>0.79869999999999997</v>
      </c>
      <c r="F493">
        <v>6141723.6299999999</v>
      </c>
      <c r="G493">
        <v>0</v>
      </c>
      <c r="L493" t="s">
        <v>7</v>
      </c>
      <c r="M493" t="s">
        <v>7</v>
      </c>
      <c r="N493" t="s">
        <v>8</v>
      </c>
      <c r="P493">
        <f t="shared" si="979"/>
        <v>0.41012216404886487</v>
      </c>
      <c r="Q493">
        <f t="shared" si="980"/>
        <v>2518856.9861256499</v>
      </c>
      <c r="R493">
        <f t="shared" si="981"/>
        <v>-792450.61927972641</v>
      </c>
      <c r="S493">
        <f t="shared" si="982"/>
        <v>-7.9245061927972644</v>
      </c>
      <c r="T493">
        <f t="shared" si="983"/>
        <v>-7.9245061927972638E-3</v>
      </c>
    </row>
    <row r="494" spans="1:20" x14ac:dyDescent="0.25">
      <c r="A494" s="5">
        <v>44099</v>
      </c>
      <c r="B494">
        <v>0.91359999999999997</v>
      </c>
      <c r="C494">
        <v>0.97519999999999996</v>
      </c>
      <c r="D494">
        <v>0.79549999999999998</v>
      </c>
      <c r="E494">
        <v>0.8075</v>
      </c>
      <c r="F494">
        <v>11941087.27</v>
      </c>
      <c r="G494">
        <v>0</v>
      </c>
      <c r="L494" t="s">
        <v>8</v>
      </c>
      <c r="M494" t="s">
        <v>8</v>
      </c>
      <c r="N494" t="s">
        <v>8</v>
      </c>
      <c r="P494">
        <f t="shared" si="979"/>
        <v>-0.86644407345575947</v>
      </c>
      <c r="Q494">
        <f t="shared" si="980"/>
        <v>-10346284.295709513</v>
      </c>
      <c r="R494">
        <f t="shared" si="981"/>
        <v>-3311307.6054053763</v>
      </c>
      <c r="S494">
        <f t="shared" si="982"/>
        <v>-33.113076054053764</v>
      </c>
      <c r="T494">
        <f t="shared" si="983"/>
        <v>-3.3113076054053767E-2</v>
      </c>
    </row>
    <row r="495" spans="1:20" x14ac:dyDescent="0.25">
      <c r="A495" s="5">
        <v>44098</v>
      </c>
      <c r="B495">
        <v>0.79700000000000004</v>
      </c>
      <c r="C495">
        <v>0.92889999999999995</v>
      </c>
      <c r="D495">
        <v>0.77639999999999998</v>
      </c>
      <c r="E495">
        <v>0.91020000000000001</v>
      </c>
      <c r="F495">
        <v>10415456.640000001</v>
      </c>
      <c r="G495">
        <v>0</v>
      </c>
      <c r="L495" t="s">
        <v>8</v>
      </c>
      <c r="M495" t="s">
        <v>8</v>
      </c>
      <c r="N495" t="s">
        <v>8</v>
      </c>
      <c r="P495">
        <f t="shared" si="979"/>
        <v>0.75475409836065654</v>
      </c>
      <c r="Q495">
        <f t="shared" si="980"/>
        <v>7861108.5853377134</v>
      </c>
      <c r="R495">
        <f t="shared" si="981"/>
        <v>7034976.6903041368</v>
      </c>
      <c r="S495">
        <f t="shared" si="982"/>
        <v>70.34976690304137</v>
      </c>
      <c r="T495">
        <f t="shared" si="983"/>
        <v>7.0349766903041372E-2</v>
      </c>
    </row>
    <row r="496" spans="1:20" x14ac:dyDescent="0.25">
      <c r="A496" s="5">
        <v>44097</v>
      </c>
      <c r="B496">
        <v>0.7782</v>
      </c>
      <c r="C496">
        <v>0.84560000000000002</v>
      </c>
      <c r="D496">
        <v>0.73280000000000001</v>
      </c>
      <c r="E496">
        <v>0.79700000000000004</v>
      </c>
      <c r="F496">
        <v>9990046.8699999992</v>
      </c>
      <c r="G496">
        <v>0</v>
      </c>
      <c r="L496" t="s">
        <v>8</v>
      </c>
      <c r="M496" t="s">
        <v>8</v>
      </c>
      <c r="N496" t="s">
        <v>8</v>
      </c>
      <c r="P496">
        <f t="shared" si="979"/>
        <v>0.13829787234042604</v>
      </c>
      <c r="Q496">
        <f t="shared" si="980"/>
        <v>1381602.2267021325</v>
      </c>
      <c r="R496">
        <f t="shared" si="981"/>
        <v>-826131.89503357629</v>
      </c>
      <c r="S496">
        <f t="shared" si="982"/>
        <v>-8.2613189503357631</v>
      </c>
      <c r="T496">
        <f t="shared" si="983"/>
        <v>-8.2613189503357633E-3</v>
      </c>
    </row>
    <row r="497" spans="1:20" x14ac:dyDescent="0.25">
      <c r="A497" s="5">
        <v>44096</v>
      </c>
      <c r="B497">
        <v>0.70330000000000004</v>
      </c>
      <c r="C497">
        <v>0.82989999999999997</v>
      </c>
      <c r="D497">
        <v>0.68969999999999998</v>
      </c>
      <c r="E497">
        <v>0.7782</v>
      </c>
      <c r="F497">
        <v>15772991.619999999</v>
      </c>
      <c r="G497">
        <v>0</v>
      </c>
      <c r="L497" t="s">
        <v>8</v>
      </c>
      <c r="M497" t="s">
        <v>8</v>
      </c>
      <c r="N497" t="s">
        <v>8</v>
      </c>
      <c r="P497">
        <f t="shared" si="979"/>
        <v>0.26248216833095617</v>
      </c>
      <c r="Q497">
        <f t="shared" si="980"/>
        <v>4140129.0414836006</v>
      </c>
      <c r="R497">
        <f t="shared" si="981"/>
        <v>-2207734.1217357088</v>
      </c>
      <c r="S497">
        <f t="shared" si="982"/>
        <v>-22.077341217357088</v>
      </c>
      <c r="T497">
        <f t="shared" si="983"/>
        <v>-2.2077341217357088E-2</v>
      </c>
    </row>
    <row r="498" spans="1:20" x14ac:dyDescent="0.25">
      <c r="A498" s="5">
        <v>44095</v>
      </c>
      <c r="B498">
        <v>0.64080000000000004</v>
      </c>
      <c r="C498">
        <v>0.77449999999999997</v>
      </c>
      <c r="D498">
        <v>0.627</v>
      </c>
      <c r="E498">
        <v>0.70330000000000004</v>
      </c>
      <c r="F498">
        <v>10941475.720000001</v>
      </c>
      <c r="G498">
        <v>0</v>
      </c>
      <c r="L498" t="s">
        <v>8</v>
      </c>
      <c r="M498" t="s">
        <v>8</v>
      </c>
      <c r="N498" t="s">
        <v>8</v>
      </c>
      <c r="P498">
        <f t="shared" si="979"/>
        <v>3.4576271186441396E-2</v>
      </c>
      <c r="Q498">
        <f t="shared" si="980"/>
        <v>378315.43167458416</v>
      </c>
      <c r="R498">
        <f t="shared" si="981"/>
        <v>-6347863.1632193094</v>
      </c>
      <c r="S498">
        <f t="shared" si="982"/>
        <v>-63.478631632193093</v>
      </c>
      <c r="T498">
        <f t="shared" si="983"/>
        <v>-6.3478631632193097E-2</v>
      </c>
    </row>
    <row r="499" spans="1:20" x14ac:dyDescent="0.25">
      <c r="A499" s="5">
        <v>44094</v>
      </c>
      <c r="B499">
        <v>0.68630000000000002</v>
      </c>
      <c r="C499">
        <v>0.69750000000000001</v>
      </c>
      <c r="D499">
        <v>0.63229999999999997</v>
      </c>
      <c r="E499">
        <v>0.63890000000000002</v>
      </c>
      <c r="F499">
        <v>2587297.69</v>
      </c>
      <c r="G499">
        <v>0</v>
      </c>
      <c r="L499" t="s">
        <v>7</v>
      </c>
      <c r="M499" t="s">
        <v>8</v>
      </c>
      <c r="N499" t="s">
        <v>8</v>
      </c>
      <c r="P499">
        <f t="shared" si="979"/>
        <v>-0.79754601226993727</v>
      </c>
      <c r="Q499">
        <f t="shared" si="980"/>
        <v>-2063488.9552147202</v>
      </c>
      <c r="R499">
        <f t="shared" si="981"/>
        <v>-6726178.5948938932</v>
      </c>
      <c r="S499">
        <f t="shared" si="982"/>
        <v>-67.261785948938936</v>
      </c>
      <c r="T499">
        <f t="shared" si="983"/>
        <v>-6.7261785948938932E-2</v>
      </c>
    </row>
    <row r="500" spans="1:20" x14ac:dyDescent="0.25">
      <c r="A500" s="5">
        <v>44093</v>
      </c>
      <c r="B500">
        <v>0.64300000000000002</v>
      </c>
      <c r="C500">
        <v>0.69950000000000001</v>
      </c>
      <c r="D500">
        <v>0.62580000000000002</v>
      </c>
      <c r="E500">
        <v>0.68610000000000004</v>
      </c>
      <c r="F500">
        <v>3244233.31</v>
      </c>
      <c r="G500">
        <v>0</v>
      </c>
      <c r="L500" t="s">
        <v>8</v>
      </c>
      <c r="M500" t="s">
        <v>8</v>
      </c>
      <c r="N500" t="s">
        <v>8</v>
      </c>
      <c r="P500">
        <f t="shared" si="979"/>
        <v>0.63636363636363713</v>
      </c>
      <c r="Q500">
        <f t="shared" si="980"/>
        <v>2064512.106363639</v>
      </c>
      <c r="R500">
        <f t="shared" si="981"/>
        <v>-4662689.639679173</v>
      </c>
      <c r="S500">
        <f t="shared" si="982"/>
        <v>-46.626896396791729</v>
      </c>
      <c r="T500">
        <f t="shared" si="983"/>
        <v>-4.6626896396791725E-2</v>
      </c>
    </row>
    <row r="501" spans="1:20" x14ac:dyDescent="0.25">
      <c r="A501" s="5">
        <v>44092</v>
      </c>
      <c r="B501">
        <v>0.62529999999999997</v>
      </c>
      <c r="C501">
        <v>0.68</v>
      </c>
      <c r="D501">
        <v>0.61219999999999997</v>
      </c>
      <c r="E501">
        <v>0.64329999999999998</v>
      </c>
      <c r="F501">
        <v>2637733.91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-8.2595870206490299E-2</v>
      </c>
      <c r="Q501">
        <f t="shared" si="980"/>
        <v>-217865.92766961816</v>
      </c>
      <c r="R501">
        <f t="shared" si="981"/>
        <v>-6727201.7460428122</v>
      </c>
      <c r="S501">
        <f t="shared" si="982"/>
        <v>-67.272017460428117</v>
      </c>
      <c r="T501">
        <f t="shared" si="983"/>
        <v>-6.7272017460428116E-2</v>
      </c>
    </row>
    <row r="502" spans="1:20" x14ac:dyDescent="0.25">
      <c r="A502" s="5">
        <v>44091</v>
      </c>
      <c r="B502">
        <v>0.61909999999999998</v>
      </c>
      <c r="C502">
        <v>0.65</v>
      </c>
      <c r="D502">
        <v>0.6</v>
      </c>
      <c r="E502">
        <v>0.628</v>
      </c>
      <c r="F502">
        <v>2076474.92</v>
      </c>
      <c r="G502">
        <v>0</v>
      </c>
      <c r="L502" t="s">
        <v>8</v>
      </c>
      <c r="M502" t="s">
        <v>7</v>
      </c>
      <c r="N502" t="s">
        <v>8</v>
      </c>
      <c r="P502">
        <f t="shared" si="979"/>
        <v>0.12</v>
      </c>
      <c r="Q502">
        <f t="shared" si="980"/>
        <v>249176.99039999998</v>
      </c>
      <c r="R502">
        <f t="shared" si="981"/>
        <v>-6509335.818373194</v>
      </c>
      <c r="S502">
        <f t="shared" si="982"/>
        <v>-65.093358183731937</v>
      </c>
      <c r="T502">
        <f t="shared" si="983"/>
        <v>-6.5093358183731936E-2</v>
      </c>
    </row>
    <row r="503" spans="1:20" x14ac:dyDescent="0.25">
      <c r="A503" s="5">
        <v>44090</v>
      </c>
      <c r="B503">
        <v>0.62319999999999998</v>
      </c>
      <c r="C503">
        <v>0.64180000000000004</v>
      </c>
      <c r="D503">
        <v>0.57999999999999996</v>
      </c>
      <c r="E503">
        <v>0.61729999999999996</v>
      </c>
      <c r="F503">
        <v>3219016.64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0.20711974110032211</v>
      </c>
      <c r="Q503">
        <f t="shared" si="980"/>
        <v>666721.89307442878</v>
      </c>
      <c r="R503">
        <f t="shared" si="981"/>
        <v>-6758512.8087731935</v>
      </c>
      <c r="S503">
        <f t="shared" si="982"/>
        <v>-67.585128087731931</v>
      </c>
      <c r="T503">
        <f t="shared" si="983"/>
        <v>-6.7585128087731927E-2</v>
      </c>
    </row>
    <row r="504" spans="1:20" x14ac:dyDescent="0.25">
      <c r="A504" s="5">
        <v>44089</v>
      </c>
      <c r="B504">
        <v>0.65969999999999995</v>
      </c>
      <c r="C504">
        <v>0.71679999999999999</v>
      </c>
      <c r="D504">
        <v>0.62060000000000004</v>
      </c>
      <c r="E504">
        <v>0.62350000000000005</v>
      </c>
      <c r="F504">
        <v>3903666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-0.93970893970893943</v>
      </c>
      <c r="Q504">
        <f t="shared" si="980"/>
        <v>-3668309.8378378367</v>
      </c>
      <c r="R504">
        <f t="shared" si="981"/>
        <v>-7425234.7018476222</v>
      </c>
      <c r="S504">
        <f t="shared" si="982"/>
        <v>-74.252347018476215</v>
      </c>
      <c r="T504">
        <f t="shared" si="983"/>
        <v>-7.4252347018476217E-2</v>
      </c>
    </row>
    <row r="505" spans="1:20" x14ac:dyDescent="0.25">
      <c r="A505" s="5">
        <v>44088</v>
      </c>
      <c r="B505">
        <v>0.66810000000000003</v>
      </c>
      <c r="C505">
        <v>0.70920000000000005</v>
      </c>
      <c r="D505">
        <v>0.63360000000000005</v>
      </c>
      <c r="E505">
        <v>0.65959999999999996</v>
      </c>
      <c r="F505">
        <v>3389860.85</v>
      </c>
      <c r="G505">
        <v>0</v>
      </c>
      <c r="L505" t="s">
        <v>7</v>
      </c>
      <c r="M505" t="s">
        <v>7</v>
      </c>
      <c r="N505" t="s">
        <v>8</v>
      </c>
      <c r="P505">
        <f t="shared" si="979"/>
        <v>-0.31216931216931448</v>
      </c>
      <c r="Q505">
        <f t="shared" si="980"/>
        <v>-1058210.5298941878</v>
      </c>
      <c r="R505">
        <f t="shared" si="981"/>
        <v>-3756924.8640097855</v>
      </c>
      <c r="S505">
        <f t="shared" si="982"/>
        <v>-37.569248640097854</v>
      </c>
      <c r="T505">
        <f t="shared" si="983"/>
        <v>-3.7569248640097856E-2</v>
      </c>
    </row>
    <row r="506" spans="1:20" x14ac:dyDescent="0.25">
      <c r="A506" s="5">
        <v>44087</v>
      </c>
      <c r="B506">
        <v>0.73240000000000005</v>
      </c>
      <c r="C506">
        <v>0.79679999999999995</v>
      </c>
      <c r="D506">
        <v>0.63080000000000003</v>
      </c>
      <c r="E506">
        <v>0.66820000000000002</v>
      </c>
      <c r="F506">
        <v>5478091.6500000004</v>
      </c>
      <c r="G506">
        <v>0</v>
      </c>
      <c r="L506" t="s">
        <v>8</v>
      </c>
      <c r="M506" t="s">
        <v>8</v>
      </c>
      <c r="N506" t="s">
        <v>8</v>
      </c>
      <c r="P506">
        <f t="shared" si="979"/>
        <v>-0.54939759036144575</v>
      </c>
      <c r="Q506">
        <f t="shared" si="980"/>
        <v>-3009650.3522891565</v>
      </c>
      <c r="R506">
        <f t="shared" si="981"/>
        <v>-2698714.3341155974</v>
      </c>
      <c r="S506">
        <f t="shared" si="982"/>
        <v>-26.987143341155974</v>
      </c>
      <c r="T506">
        <f t="shared" si="983"/>
        <v>-2.6987143341155973E-2</v>
      </c>
    </row>
    <row r="507" spans="1:20" x14ac:dyDescent="0.25">
      <c r="A507" s="5">
        <v>44086</v>
      </c>
      <c r="B507">
        <v>0.6764</v>
      </c>
      <c r="C507">
        <v>0.74739999999999995</v>
      </c>
      <c r="D507">
        <v>0.66600000000000004</v>
      </c>
      <c r="E507">
        <v>0.73280000000000001</v>
      </c>
      <c r="F507">
        <v>4329022.5199999996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0.6412776412776422</v>
      </c>
      <c r="Q507">
        <f t="shared" si="980"/>
        <v>2776105.3506633942</v>
      </c>
      <c r="R507">
        <f t="shared" si="981"/>
        <v>310936.0181735591</v>
      </c>
      <c r="S507">
        <f t="shared" si="982"/>
        <v>3.1093601817355911</v>
      </c>
      <c r="T507">
        <f t="shared" si="983"/>
        <v>3.1093601817355912E-3</v>
      </c>
    </row>
    <row r="508" spans="1:20" x14ac:dyDescent="0.25">
      <c r="A508" s="5">
        <v>44085</v>
      </c>
      <c r="B508">
        <v>0.68259999999999998</v>
      </c>
      <c r="C508">
        <v>0.69799999999999995</v>
      </c>
      <c r="D508">
        <v>0.63949999999999996</v>
      </c>
      <c r="E508">
        <v>0.67600000000000005</v>
      </c>
      <c r="F508">
        <v>3210252.29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0.24786324786325095</v>
      </c>
      <c r="Q508">
        <f t="shared" si="980"/>
        <v>795703.559059839</v>
      </c>
      <c r="R508">
        <f t="shared" si="981"/>
        <v>-2465169.3324898351</v>
      </c>
      <c r="S508">
        <f t="shared" si="982"/>
        <v>-24.65169332489835</v>
      </c>
      <c r="T508">
        <f t="shared" si="983"/>
        <v>-2.465169332489835E-2</v>
      </c>
    </row>
    <row r="509" spans="1:20" x14ac:dyDescent="0.25">
      <c r="A509" s="5">
        <v>44084</v>
      </c>
      <c r="B509">
        <v>0.64390000000000003</v>
      </c>
      <c r="C509">
        <v>0.71</v>
      </c>
      <c r="D509">
        <v>0.64390000000000003</v>
      </c>
      <c r="E509">
        <v>0.68330000000000002</v>
      </c>
      <c r="F509">
        <v>5060288.38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0.19213313161876031</v>
      </c>
      <c r="Q509">
        <f t="shared" si="980"/>
        <v>972249.05334342329</v>
      </c>
      <c r="R509">
        <f t="shared" si="981"/>
        <v>-3260872.8915496743</v>
      </c>
      <c r="S509">
        <f t="shared" si="982"/>
        <v>-32.608728915496741</v>
      </c>
      <c r="T509">
        <f t="shared" si="983"/>
        <v>-3.2608728915496737E-2</v>
      </c>
    </row>
    <row r="510" spans="1:20" x14ac:dyDescent="0.25">
      <c r="A510" s="5">
        <v>44083</v>
      </c>
      <c r="B510">
        <v>0.61109999999999998</v>
      </c>
      <c r="C510">
        <v>0.6714</v>
      </c>
      <c r="D510">
        <v>0.58720000000000006</v>
      </c>
      <c r="E510">
        <v>0.64390000000000003</v>
      </c>
      <c r="F510">
        <v>3062058.3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0.34679334916864635</v>
      </c>
      <c r="Q510">
        <f t="shared" si="980"/>
        <v>1061901.4532066516</v>
      </c>
      <c r="R510">
        <f t="shared" si="981"/>
        <v>-4233121.9448930975</v>
      </c>
      <c r="S510">
        <f t="shared" si="982"/>
        <v>-42.331219448930973</v>
      </c>
      <c r="T510">
        <f t="shared" si="983"/>
        <v>-4.2331219448930972E-2</v>
      </c>
    </row>
    <row r="511" spans="1:20" x14ac:dyDescent="0.25">
      <c r="A511" s="5">
        <v>44082</v>
      </c>
      <c r="B511">
        <v>0.63890000000000002</v>
      </c>
      <c r="C511">
        <v>0.65620000000000001</v>
      </c>
      <c r="D511">
        <v>0.58409999999999995</v>
      </c>
      <c r="E511">
        <v>0.61280000000000001</v>
      </c>
      <c r="F511">
        <v>2753115.5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-0.20388349514563003</v>
      </c>
      <c r="Q511">
        <f t="shared" si="980"/>
        <v>-561314.81067960884</v>
      </c>
      <c r="R511">
        <f t="shared" si="981"/>
        <v>-5295023.3980997493</v>
      </c>
      <c r="S511">
        <f t="shared" si="982"/>
        <v>-52.950233980997496</v>
      </c>
      <c r="T511">
        <f t="shared" si="983"/>
        <v>-5.2950233980997498E-2</v>
      </c>
    </row>
    <row r="512" spans="1:20" x14ac:dyDescent="0.25">
      <c r="A512" s="5">
        <v>44081</v>
      </c>
      <c r="B512">
        <v>0.66359999999999997</v>
      </c>
      <c r="C512">
        <v>0.67379999999999995</v>
      </c>
      <c r="D512">
        <v>0.56089999999999995</v>
      </c>
      <c r="E512">
        <v>0.63880000000000003</v>
      </c>
      <c r="F512">
        <v>6432466.4000000004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0.37998228520815025</v>
      </c>
      <c r="Q512">
        <f t="shared" si="980"/>
        <v>2444223.2821966438</v>
      </c>
      <c r="R512">
        <f t="shared" si="981"/>
        <v>-4733708.5874201404</v>
      </c>
      <c r="S512">
        <f t="shared" si="982"/>
        <v>-47.337085874201406</v>
      </c>
      <c r="T512">
        <f t="shared" si="983"/>
        <v>-4.7337085874201407E-2</v>
      </c>
    </row>
    <row r="513" spans="1:20" x14ac:dyDescent="0.25">
      <c r="A513" s="5">
        <v>44080</v>
      </c>
      <c r="B513">
        <v>0.58909999999999996</v>
      </c>
      <c r="C513">
        <v>0.69650000000000001</v>
      </c>
      <c r="D513">
        <v>0.56000000000000005</v>
      </c>
      <c r="E513">
        <v>0.66320000000000001</v>
      </c>
      <c r="F513">
        <v>8878497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0.51208791208791193</v>
      </c>
      <c r="Q513">
        <f t="shared" si="980"/>
        <v>4546570.9912087899</v>
      </c>
      <c r="R513">
        <f t="shared" si="981"/>
        <v>-7177931.8696167842</v>
      </c>
      <c r="S513">
        <f t="shared" si="982"/>
        <v>-71.779318696167849</v>
      </c>
      <c r="T513">
        <f t="shared" si="983"/>
        <v>-7.1779318696167854E-2</v>
      </c>
    </row>
    <row r="514" spans="1:20" x14ac:dyDescent="0.25">
      <c r="A514" s="5">
        <v>44079</v>
      </c>
      <c r="B514">
        <v>0.73680000000000001</v>
      </c>
      <c r="C514">
        <v>0.77</v>
      </c>
      <c r="D514">
        <v>0.52</v>
      </c>
      <c r="E514">
        <v>0.59289999999999998</v>
      </c>
      <c r="F514">
        <v>9446505.2200000007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-0.41680000000000028</v>
      </c>
      <c r="Q514">
        <f t="shared" si="980"/>
        <v>-3937303.375696003</v>
      </c>
      <c r="R514">
        <f t="shared" si="981"/>
        <v>-11724502.860825574</v>
      </c>
      <c r="S514">
        <f t="shared" si="982"/>
        <v>-117.24502860825574</v>
      </c>
      <c r="T514">
        <f t="shared" si="983"/>
        <v>-0.11724502860825574</v>
      </c>
    </row>
    <row r="515" spans="1:20" x14ac:dyDescent="0.25">
      <c r="A515" s="5">
        <v>44078</v>
      </c>
      <c r="B515">
        <v>0.70050000000000001</v>
      </c>
      <c r="C515">
        <v>0.8</v>
      </c>
      <c r="D515">
        <v>0.65</v>
      </c>
      <c r="E515">
        <v>0.74119999999999997</v>
      </c>
      <c r="F515">
        <v>6273820.7400000002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0.21599999999999914</v>
      </c>
      <c r="Q515">
        <f t="shared" si="980"/>
        <v>1355145.2798399946</v>
      </c>
      <c r="R515">
        <f t="shared" si="981"/>
        <v>-7787199.4851295706</v>
      </c>
      <c r="S515">
        <f t="shared" si="982"/>
        <v>-77.87199485129571</v>
      </c>
      <c r="T515">
        <f t="shared" si="983"/>
        <v>-7.7871994851295714E-2</v>
      </c>
    </row>
    <row r="516" spans="1:20" x14ac:dyDescent="0.25">
      <c r="A516" s="5">
        <v>44077</v>
      </c>
      <c r="B516">
        <v>0.9304</v>
      </c>
      <c r="C516">
        <v>0.94530000000000003</v>
      </c>
      <c r="D516">
        <v>0.64219999999999999</v>
      </c>
      <c r="E516">
        <v>0.70050000000000001</v>
      </c>
      <c r="F516">
        <v>5489905.8200000003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-0.61530847904981845</v>
      </c>
      <c r="Q516">
        <f t="shared" si="980"/>
        <v>-3377985.6002309467</v>
      </c>
      <c r="R516">
        <f t="shared" si="981"/>
        <v>-9142344.764969565</v>
      </c>
      <c r="S516">
        <f t="shared" si="982"/>
        <v>-91.423447649695646</v>
      </c>
      <c r="T516">
        <f t="shared" si="983"/>
        <v>-9.1423447649695649E-2</v>
      </c>
    </row>
    <row r="517" spans="1:20" x14ac:dyDescent="0.25">
      <c r="A517" s="5">
        <v>44076</v>
      </c>
      <c r="B517">
        <v>0.9909</v>
      </c>
      <c r="C517">
        <v>1.0177</v>
      </c>
      <c r="D517">
        <v>0.82210000000000005</v>
      </c>
      <c r="E517">
        <v>0.92800000000000005</v>
      </c>
      <c r="F517">
        <v>3814261.81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8.2822085889570518E-2</v>
      </c>
      <c r="Q517">
        <f t="shared" si="980"/>
        <v>315905.11923312873</v>
      </c>
      <c r="R517">
        <f t="shared" si="981"/>
        <v>-5764359.1647386188</v>
      </c>
      <c r="S517">
        <f t="shared" si="982"/>
        <v>-57.643591647386188</v>
      </c>
      <c r="T517">
        <f t="shared" si="983"/>
        <v>-5.7643591647386187E-2</v>
      </c>
    </row>
    <row r="518" spans="1:20" x14ac:dyDescent="0.25">
      <c r="A518" s="5">
        <v>44075</v>
      </c>
      <c r="B518">
        <v>1.0377000000000001</v>
      </c>
      <c r="C518">
        <v>1.1499999999999999</v>
      </c>
      <c r="D518">
        <v>0.95799999999999996</v>
      </c>
      <c r="E518">
        <v>0.99060000000000004</v>
      </c>
      <c r="F518">
        <v>3820344.27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-0.66041666666666576</v>
      </c>
      <c r="Q518">
        <f t="shared" ref="Q518:Q581" si="985">F518*P518</f>
        <v>-2523019.0283124964</v>
      </c>
      <c r="R518">
        <f t="shared" ref="R518:R581" si="986">R519+Q518</f>
        <v>-6080264.2839717474</v>
      </c>
      <c r="S518">
        <f t="shared" ref="S518:S581" si="987">R518/100000</f>
        <v>-60.802642839717471</v>
      </c>
      <c r="T518">
        <f t="shared" ref="T518:T581" si="988">S518/1000</f>
        <v>-6.0802642839717473E-2</v>
      </c>
    </row>
    <row r="519" spans="1:20" x14ac:dyDescent="0.25">
      <c r="A519" s="5">
        <v>44074</v>
      </c>
      <c r="B519">
        <v>1.0949</v>
      </c>
      <c r="C519">
        <v>1.099</v>
      </c>
      <c r="D519">
        <v>1.0201</v>
      </c>
      <c r="E519">
        <v>1.0348999999999999</v>
      </c>
      <c r="F519">
        <v>2130113.34</v>
      </c>
      <c r="G519">
        <v>0</v>
      </c>
      <c r="L519" t="s">
        <v>7</v>
      </c>
      <c r="M519" t="s">
        <v>8</v>
      </c>
      <c r="N519" t="s">
        <v>7</v>
      </c>
      <c r="P519">
        <f t="shared" si="984"/>
        <v>-0.62484157160963427</v>
      </c>
      <c r="Q519">
        <f t="shared" si="985"/>
        <v>-1330983.3670722472</v>
      </c>
      <c r="R519">
        <f t="shared" si="986"/>
        <v>-3557245.2556592515</v>
      </c>
      <c r="S519">
        <f t="shared" si="987"/>
        <v>-35.572452556592516</v>
      </c>
      <c r="T519">
        <f t="shared" si="988"/>
        <v>-3.557245255659252E-2</v>
      </c>
    </row>
    <row r="520" spans="1:20" x14ac:dyDescent="0.25">
      <c r="A520" s="5">
        <v>44073</v>
      </c>
      <c r="B520">
        <v>1.1006</v>
      </c>
      <c r="C520">
        <v>1.1200000000000001</v>
      </c>
      <c r="D520">
        <v>1.0750999999999999</v>
      </c>
      <c r="E520">
        <v>1.0942000000000001</v>
      </c>
      <c r="F520">
        <v>1658337.99</v>
      </c>
      <c r="G520">
        <v>0</v>
      </c>
      <c r="L520" t="s">
        <v>7</v>
      </c>
      <c r="M520" t="s">
        <v>8</v>
      </c>
      <c r="N520" t="s">
        <v>7</v>
      </c>
      <c r="P520">
        <f t="shared" si="984"/>
        <v>-0.14922048997772616</v>
      </c>
      <c r="Q520">
        <f t="shared" si="985"/>
        <v>-247458.00741647754</v>
      </c>
      <c r="R520">
        <f t="shared" si="986"/>
        <v>-2226261.888587004</v>
      </c>
      <c r="S520">
        <f t="shared" si="987"/>
        <v>-22.26261888587004</v>
      </c>
      <c r="T520">
        <f t="shared" si="988"/>
        <v>-2.2262618885870042E-2</v>
      </c>
    </row>
    <row r="521" spans="1:20" x14ac:dyDescent="0.25">
      <c r="A521" s="5">
        <v>44072</v>
      </c>
      <c r="B521">
        <v>1.0288999999999999</v>
      </c>
      <c r="C521">
        <v>1.1577999999999999</v>
      </c>
      <c r="D521">
        <v>1.0142</v>
      </c>
      <c r="E521">
        <v>1.0962000000000001</v>
      </c>
      <c r="F521">
        <v>3505172.44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0.14206128133704876</v>
      </c>
      <c r="Q521">
        <f t="shared" si="985"/>
        <v>497949.28813370963</v>
      </c>
      <c r="R521">
        <f t="shared" si="986"/>
        <v>-1978803.8811705266</v>
      </c>
      <c r="S521">
        <f t="shared" si="987"/>
        <v>-19.788038811705267</v>
      </c>
      <c r="T521">
        <f t="shared" si="988"/>
        <v>-1.9788038811705266E-2</v>
      </c>
    </row>
    <row r="522" spans="1:20" x14ac:dyDescent="0.25">
      <c r="A522" s="5">
        <v>44071</v>
      </c>
      <c r="B522">
        <v>0.97189999999999999</v>
      </c>
      <c r="C522">
        <v>1.0561</v>
      </c>
      <c r="D522">
        <v>0.94620000000000004</v>
      </c>
      <c r="E522">
        <v>1.0261</v>
      </c>
      <c r="F522">
        <v>2616059.79</v>
      </c>
      <c r="G522">
        <v>0</v>
      </c>
      <c r="L522" t="s">
        <v>7</v>
      </c>
      <c r="M522" t="s">
        <v>8</v>
      </c>
      <c r="N522" t="s">
        <v>7</v>
      </c>
      <c r="P522">
        <f t="shared" si="984"/>
        <v>0.45404913557779752</v>
      </c>
      <c r="Q522">
        <f t="shared" si="985"/>
        <v>1187819.6862693345</v>
      </c>
      <c r="R522">
        <f t="shared" si="986"/>
        <v>-2476753.1693042363</v>
      </c>
      <c r="S522">
        <f t="shared" si="987"/>
        <v>-24.767531693042365</v>
      </c>
      <c r="T522">
        <f t="shared" si="988"/>
        <v>-2.4767531693042365E-2</v>
      </c>
    </row>
    <row r="523" spans="1:20" x14ac:dyDescent="0.25">
      <c r="A523" s="5">
        <v>44070</v>
      </c>
      <c r="B523">
        <v>1.0164</v>
      </c>
      <c r="C523">
        <v>1.0625</v>
      </c>
      <c r="D523">
        <v>0.9</v>
      </c>
      <c r="E523">
        <v>0.97189999999999999</v>
      </c>
      <c r="F523">
        <v>3624426.82</v>
      </c>
      <c r="G523">
        <v>0</v>
      </c>
      <c r="L523" t="s">
        <v>8</v>
      </c>
      <c r="M523" t="s">
        <v>7</v>
      </c>
      <c r="N523" t="s">
        <v>7</v>
      </c>
      <c r="P523">
        <f t="shared" si="984"/>
        <v>-0.1150769230769234</v>
      </c>
      <c r="Q523">
        <f t="shared" si="985"/>
        <v>-417087.88636307808</v>
      </c>
      <c r="R523">
        <f t="shared" si="986"/>
        <v>-3664572.8555735708</v>
      </c>
      <c r="S523">
        <f t="shared" si="987"/>
        <v>-36.645728555735708</v>
      </c>
      <c r="T523">
        <f t="shared" si="988"/>
        <v>-3.664572855573571E-2</v>
      </c>
    </row>
    <row r="524" spans="1:20" x14ac:dyDescent="0.25">
      <c r="A524" s="5">
        <v>44069</v>
      </c>
      <c r="B524">
        <v>1.0297000000000001</v>
      </c>
      <c r="C524">
        <v>1.0463</v>
      </c>
      <c r="D524">
        <v>0.96199999999999997</v>
      </c>
      <c r="E524">
        <v>1.0164</v>
      </c>
      <c r="F524">
        <v>1951405.75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0.29062870699881321</v>
      </c>
      <c r="Q524">
        <f t="shared" si="985"/>
        <v>567134.52995254938</v>
      </c>
      <c r="R524">
        <f t="shared" si="986"/>
        <v>-3247484.9692104929</v>
      </c>
      <c r="S524">
        <f t="shared" si="987"/>
        <v>-32.474849692104932</v>
      </c>
      <c r="T524">
        <f t="shared" si="988"/>
        <v>-3.2474849692104929E-2</v>
      </c>
    </row>
    <row r="525" spans="1:20" x14ac:dyDescent="0.25">
      <c r="A525" s="5">
        <v>44068</v>
      </c>
      <c r="B525">
        <v>1.1085</v>
      </c>
      <c r="C525">
        <v>1.1369</v>
      </c>
      <c r="D525">
        <v>0.95</v>
      </c>
      <c r="E525">
        <v>1.0298</v>
      </c>
      <c r="F525">
        <v>2501341.39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-0.14606741573033638</v>
      </c>
      <c r="Q525">
        <f t="shared" si="985"/>
        <v>-365364.47269662749</v>
      </c>
      <c r="R525">
        <f t="shared" si="986"/>
        <v>-3814619.4991630423</v>
      </c>
      <c r="S525">
        <f t="shared" si="987"/>
        <v>-38.146194991630423</v>
      </c>
      <c r="T525">
        <f t="shared" si="988"/>
        <v>-3.8146194991630425E-2</v>
      </c>
    </row>
    <row r="526" spans="1:20" x14ac:dyDescent="0.25">
      <c r="A526" s="5">
        <v>44067</v>
      </c>
      <c r="B526">
        <v>1.0786</v>
      </c>
      <c r="C526">
        <v>1.17</v>
      </c>
      <c r="D526">
        <v>1.0590999999999999</v>
      </c>
      <c r="E526">
        <v>1.1080000000000001</v>
      </c>
      <c r="F526">
        <v>2307883.33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-0.11812443642921251</v>
      </c>
      <c r="Q526">
        <f t="shared" si="985"/>
        <v>-272617.41770062427</v>
      </c>
      <c r="R526">
        <f t="shared" si="986"/>
        <v>-3449255.0264664148</v>
      </c>
      <c r="S526">
        <f t="shared" si="987"/>
        <v>-34.492550264664146</v>
      </c>
      <c r="T526">
        <f t="shared" si="988"/>
        <v>-3.4492550264664149E-2</v>
      </c>
    </row>
    <row r="527" spans="1:20" x14ac:dyDescent="0.25">
      <c r="A527" s="5">
        <v>44066</v>
      </c>
      <c r="B527">
        <v>1.1088</v>
      </c>
      <c r="C527">
        <v>1.1459999999999999</v>
      </c>
      <c r="D527">
        <v>1.0491999999999999</v>
      </c>
      <c r="E527">
        <v>1.0767</v>
      </c>
      <c r="F527">
        <v>1484821.4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-0.43181818181818016</v>
      </c>
      <c r="Q527">
        <f t="shared" si="985"/>
        <v>-641172.87727272476</v>
      </c>
      <c r="R527">
        <f t="shared" si="986"/>
        <v>-3176637.6087657907</v>
      </c>
      <c r="S527">
        <f t="shared" si="987"/>
        <v>-31.766376087657907</v>
      </c>
      <c r="T527">
        <f t="shared" si="988"/>
        <v>-3.1766376087657908E-2</v>
      </c>
    </row>
    <row r="528" spans="1:20" x14ac:dyDescent="0.25">
      <c r="A528" s="5">
        <v>44065</v>
      </c>
      <c r="B528">
        <v>1.069</v>
      </c>
      <c r="C528">
        <v>1.1680999999999999</v>
      </c>
      <c r="D528">
        <v>0.95709999999999995</v>
      </c>
      <c r="E528">
        <v>1.1100000000000001</v>
      </c>
      <c r="F528">
        <v>2829413.01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0.44928909952606799</v>
      </c>
      <c r="Q528">
        <f t="shared" si="985"/>
        <v>1271224.4234502416</v>
      </c>
      <c r="R528">
        <f t="shared" si="986"/>
        <v>-2535464.7314930661</v>
      </c>
      <c r="S528">
        <f t="shared" si="987"/>
        <v>-25.354647314930659</v>
      </c>
      <c r="T528">
        <f t="shared" si="988"/>
        <v>-2.5354647314930659E-2</v>
      </c>
    </row>
    <row r="529" spans="1:20" x14ac:dyDescent="0.25">
      <c r="A529" s="5">
        <v>44064</v>
      </c>
      <c r="B529">
        <v>1.2451000000000001</v>
      </c>
      <c r="C529">
        <v>1.2942</v>
      </c>
      <c r="D529">
        <v>1.0530999999999999</v>
      </c>
      <c r="E529">
        <v>1.0686</v>
      </c>
      <c r="F529">
        <v>3739988</v>
      </c>
      <c r="G529">
        <v>0</v>
      </c>
      <c r="L529" t="s">
        <v>8</v>
      </c>
      <c r="M529" t="s">
        <v>8</v>
      </c>
      <c r="N529" t="s">
        <v>7</v>
      </c>
      <c r="P529">
        <f t="shared" si="984"/>
        <v>-0.87142264620489374</v>
      </c>
      <c r="Q529">
        <f t="shared" si="985"/>
        <v>-3259110.2397345481</v>
      </c>
      <c r="R529">
        <f t="shared" si="986"/>
        <v>-3806689.1549433079</v>
      </c>
      <c r="S529">
        <f t="shared" si="987"/>
        <v>-38.06689154943308</v>
      </c>
      <c r="T529">
        <f t="shared" si="988"/>
        <v>-3.8066891549433081E-2</v>
      </c>
    </row>
    <row r="530" spans="1:20" x14ac:dyDescent="0.25">
      <c r="A530" s="5">
        <v>44063</v>
      </c>
      <c r="B530">
        <v>1.1365000000000001</v>
      </c>
      <c r="C530">
        <v>1.2675000000000001</v>
      </c>
      <c r="D530">
        <v>1.1032</v>
      </c>
      <c r="E530">
        <v>1.2519</v>
      </c>
      <c r="F530">
        <v>2055201.96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0.81010346926354171</v>
      </c>
      <c r="Q530">
        <f t="shared" si="985"/>
        <v>1664926.2378332308</v>
      </c>
      <c r="R530">
        <f t="shared" si="986"/>
        <v>-547578.91520875972</v>
      </c>
      <c r="S530">
        <f t="shared" si="987"/>
        <v>-5.4757891520875974</v>
      </c>
      <c r="T530">
        <f t="shared" si="988"/>
        <v>-5.4757891520875977E-3</v>
      </c>
    </row>
    <row r="531" spans="1:20" x14ac:dyDescent="0.25">
      <c r="A531" s="5">
        <v>44062</v>
      </c>
      <c r="B531">
        <v>1.1900999999999999</v>
      </c>
      <c r="C531">
        <v>1.2111000000000001</v>
      </c>
      <c r="D531">
        <v>1.0504</v>
      </c>
      <c r="E531">
        <v>1.1332</v>
      </c>
      <c r="F531">
        <v>3064020.32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3.049159925326635E-2</v>
      </c>
      <c r="Q531">
        <f t="shared" si="985"/>
        <v>93426.879701304919</v>
      </c>
      <c r="R531">
        <f t="shared" si="986"/>
        <v>-2212505.1530419905</v>
      </c>
      <c r="S531">
        <f t="shared" si="987"/>
        <v>-22.125051530419906</v>
      </c>
      <c r="T531">
        <f t="shared" si="988"/>
        <v>-2.2125051530419906E-2</v>
      </c>
    </row>
    <row r="532" spans="1:20" x14ac:dyDescent="0.25">
      <c r="A532" s="5">
        <v>44061</v>
      </c>
      <c r="B532">
        <v>1.2757000000000001</v>
      </c>
      <c r="C532">
        <v>1.3251999999999999</v>
      </c>
      <c r="D532">
        <v>1.1500999999999999</v>
      </c>
      <c r="E532">
        <v>1.1901999999999999</v>
      </c>
      <c r="F532">
        <v>2261926.11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-0.54197601370645321</v>
      </c>
      <c r="Q532">
        <f t="shared" si="985"/>
        <v>-1225909.6963963443</v>
      </c>
      <c r="R532">
        <f t="shared" si="986"/>
        <v>-2305932.0327432952</v>
      </c>
      <c r="S532">
        <f t="shared" si="987"/>
        <v>-23.059320327432953</v>
      </c>
      <c r="T532">
        <f t="shared" si="988"/>
        <v>-2.3059320327432953E-2</v>
      </c>
    </row>
    <row r="533" spans="1:20" x14ac:dyDescent="0.25">
      <c r="A533" s="5">
        <v>44060</v>
      </c>
      <c r="B533">
        <v>1.4207000000000001</v>
      </c>
      <c r="C533">
        <v>1.4224000000000001</v>
      </c>
      <c r="D533">
        <v>1.2</v>
      </c>
      <c r="E533">
        <v>1.28</v>
      </c>
      <c r="F533">
        <v>3061564.49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-0.28057553956834519</v>
      </c>
      <c r="Q533">
        <f t="shared" si="985"/>
        <v>-859000.10870503564</v>
      </c>
      <c r="R533">
        <f t="shared" si="986"/>
        <v>-1080022.3363469508</v>
      </c>
      <c r="S533">
        <f t="shared" si="987"/>
        <v>-10.800223363469508</v>
      </c>
      <c r="T533">
        <f t="shared" si="988"/>
        <v>-1.0800223363469507E-2</v>
      </c>
    </row>
    <row r="534" spans="1:20" x14ac:dyDescent="0.25">
      <c r="A534" s="5">
        <v>44059</v>
      </c>
      <c r="B534">
        <v>1.3533999999999999</v>
      </c>
      <c r="C534">
        <v>1.4661999999999999</v>
      </c>
      <c r="D534">
        <v>1.3376999999999999</v>
      </c>
      <c r="E534">
        <v>1.4209000000000001</v>
      </c>
      <c r="F534">
        <v>2419800.65</v>
      </c>
      <c r="G534">
        <v>0</v>
      </c>
      <c r="L534" t="s">
        <v>8</v>
      </c>
      <c r="M534" t="s">
        <v>7</v>
      </c>
      <c r="N534" t="s">
        <v>8</v>
      </c>
      <c r="P534">
        <f t="shared" si="984"/>
        <v>0.29494163424124709</v>
      </c>
      <c r="Q534">
        <f t="shared" si="985"/>
        <v>713699.95824903192</v>
      </c>
      <c r="R534">
        <f t="shared" si="986"/>
        <v>-221022.22764191509</v>
      </c>
      <c r="S534">
        <f t="shared" si="987"/>
        <v>-2.210222276419151</v>
      </c>
      <c r="T534">
        <f t="shared" si="988"/>
        <v>-2.210222276419151E-3</v>
      </c>
    </row>
    <row r="535" spans="1:20" x14ac:dyDescent="0.25">
      <c r="A535" s="5">
        <v>44058</v>
      </c>
      <c r="B535">
        <v>1.3824000000000001</v>
      </c>
      <c r="C535">
        <v>1.4319999999999999</v>
      </c>
      <c r="D535">
        <v>1.3087</v>
      </c>
      <c r="E535">
        <v>1.3532999999999999</v>
      </c>
      <c r="F535">
        <v>2036993.41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-0.27656123276561256</v>
      </c>
      <c r="Q535">
        <f t="shared" si="985"/>
        <v>-563353.40860502888</v>
      </c>
      <c r="R535">
        <f t="shared" si="986"/>
        <v>-934722.185890947</v>
      </c>
      <c r="S535">
        <f t="shared" si="987"/>
        <v>-9.3472218589094709</v>
      </c>
      <c r="T535">
        <f t="shared" si="988"/>
        <v>-9.3472218589094706E-3</v>
      </c>
    </row>
    <row r="536" spans="1:20" x14ac:dyDescent="0.25">
      <c r="A536" s="5">
        <v>44057</v>
      </c>
      <c r="B536">
        <v>1.4053</v>
      </c>
      <c r="C536">
        <v>1.5029999999999999</v>
      </c>
      <c r="D536">
        <v>1.3752</v>
      </c>
      <c r="E536">
        <v>1.3782000000000001</v>
      </c>
      <c r="F536">
        <v>1979138.96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-0.95305164319248648</v>
      </c>
      <c r="Q536">
        <f t="shared" si="985"/>
        <v>-1886221.6379342687</v>
      </c>
      <c r="R536">
        <f t="shared" si="986"/>
        <v>-371368.77728591813</v>
      </c>
      <c r="S536">
        <f t="shared" si="987"/>
        <v>-3.7136877728591813</v>
      </c>
      <c r="T536">
        <f t="shared" si="988"/>
        <v>-3.7136877728591814E-3</v>
      </c>
    </row>
    <row r="537" spans="1:20" x14ac:dyDescent="0.25">
      <c r="A537" s="5">
        <v>44056</v>
      </c>
      <c r="B537">
        <v>1.2868999999999999</v>
      </c>
      <c r="C537">
        <v>1.5532999999999999</v>
      </c>
      <c r="D537">
        <v>1.2611000000000001</v>
      </c>
      <c r="E537">
        <v>1.4092</v>
      </c>
      <c r="F537">
        <v>5541658.9500000002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1.3689253935660528E-2</v>
      </c>
      <c r="Q537">
        <f t="shared" si="985"/>
        <v>75861.176591375901</v>
      </c>
      <c r="R537">
        <f t="shared" si="986"/>
        <v>1514852.8606483506</v>
      </c>
      <c r="S537">
        <f t="shared" si="987"/>
        <v>15.148528606483506</v>
      </c>
      <c r="T537">
        <f t="shared" si="988"/>
        <v>1.5148528606483505E-2</v>
      </c>
    </row>
    <row r="538" spans="1:20" x14ac:dyDescent="0.25">
      <c r="A538" s="5">
        <v>44055</v>
      </c>
      <c r="B538">
        <v>1.1105</v>
      </c>
      <c r="C538">
        <v>1.3380000000000001</v>
      </c>
      <c r="D538">
        <v>1.0765</v>
      </c>
      <c r="E538">
        <v>1.2868999999999999</v>
      </c>
      <c r="F538">
        <v>4132326.62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0.60917782026768541</v>
      </c>
      <c r="Q538">
        <f t="shared" si="985"/>
        <v>2517321.7230057321</v>
      </c>
      <c r="R538">
        <f t="shared" si="986"/>
        <v>1438991.6840569747</v>
      </c>
      <c r="S538">
        <f t="shared" si="987"/>
        <v>14.389916840569747</v>
      </c>
      <c r="T538">
        <f t="shared" si="988"/>
        <v>1.4389916840569747E-2</v>
      </c>
    </row>
    <row r="539" spans="1:20" x14ac:dyDescent="0.25">
      <c r="A539" s="5">
        <v>44054</v>
      </c>
      <c r="B539">
        <v>1.1944999999999999</v>
      </c>
      <c r="C539">
        <v>1.2725</v>
      </c>
      <c r="D539">
        <v>1.06</v>
      </c>
      <c r="E539">
        <v>1.1134999999999999</v>
      </c>
      <c r="F539">
        <v>4077525.52</v>
      </c>
      <c r="G539">
        <v>0</v>
      </c>
      <c r="L539" t="s">
        <v>8</v>
      </c>
      <c r="M539" t="s">
        <v>7</v>
      </c>
      <c r="N539" t="s">
        <v>8</v>
      </c>
      <c r="P539">
        <f t="shared" si="984"/>
        <v>-0.49647058823529505</v>
      </c>
      <c r="Q539">
        <f t="shared" si="985"/>
        <v>-2024371.4934588273</v>
      </c>
      <c r="R539">
        <f t="shared" si="986"/>
        <v>-1078330.0389487573</v>
      </c>
      <c r="S539">
        <f t="shared" si="987"/>
        <v>-10.783300389487573</v>
      </c>
      <c r="T539">
        <f t="shared" si="988"/>
        <v>-1.0783300389487573E-2</v>
      </c>
    </row>
    <row r="540" spans="1:20" x14ac:dyDescent="0.25">
      <c r="A540" s="5">
        <v>44053</v>
      </c>
      <c r="B540">
        <v>1.2783</v>
      </c>
      <c r="C540">
        <v>1.3560000000000001</v>
      </c>
      <c r="D540">
        <v>1.054</v>
      </c>
      <c r="E540">
        <v>1.1946000000000001</v>
      </c>
      <c r="F540">
        <v>5511498.1500000004</v>
      </c>
      <c r="G540">
        <v>0</v>
      </c>
      <c r="L540" t="s">
        <v>7</v>
      </c>
      <c r="M540" t="s">
        <v>7</v>
      </c>
      <c r="N540" t="s">
        <v>8</v>
      </c>
      <c r="P540">
        <f t="shared" si="984"/>
        <v>-6.8874172185430224E-2</v>
      </c>
      <c r="Q540">
        <f t="shared" si="985"/>
        <v>-379599.87258278014</v>
      </c>
      <c r="R540">
        <f t="shared" si="986"/>
        <v>946041.45451006992</v>
      </c>
      <c r="S540">
        <f t="shared" si="987"/>
        <v>9.4604145451006989</v>
      </c>
      <c r="T540">
        <f t="shared" si="988"/>
        <v>9.4604145451006993E-3</v>
      </c>
    </row>
    <row r="541" spans="1:20" x14ac:dyDescent="0.25">
      <c r="A541" s="5">
        <v>44052</v>
      </c>
      <c r="B541">
        <v>1.0269999999999999</v>
      </c>
      <c r="C541">
        <v>1.35</v>
      </c>
      <c r="D541">
        <v>1.0104</v>
      </c>
      <c r="E541">
        <v>1.2783</v>
      </c>
      <c r="F541">
        <v>4331561.3600000003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0.57773851590105962</v>
      </c>
      <c r="Q541">
        <f t="shared" si="985"/>
        <v>2502509.8316607755</v>
      </c>
      <c r="R541">
        <f t="shared" si="986"/>
        <v>1325641.3270928501</v>
      </c>
      <c r="S541">
        <f t="shared" si="987"/>
        <v>13.256413270928501</v>
      </c>
      <c r="T541">
        <f t="shared" si="988"/>
        <v>1.3256413270928502E-2</v>
      </c>
    </row>
    <row r="542" spans="1:20" x14ac:dyDescent="0.25">
      <c r="A542" s="5">
        <v>44051</v>
      </c>
      <c r="B542">
        <v>1.038</v>
      </c>
      <c r="C542">
        <v>1.1002000000000001</v>
      </c>
      <c r="D542">
        <v>1.0059</v>
      </c>
      <c r="E542">
        <v>1.028</v>
      </c>
      <c r="F542">
        <v>3155656.15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-0.53128313891834578</v>
      </c>
      <c r="Q542">
        <f t="shared" si="985"/>
        <v>-1676546.9047189821</v>
      </c>
      <c r="R542">
        <f t="shared" si="986"/>
        <v>-1176868.5045679254</v>
      </c>
      <c r="S542">
        <f t="shared" si="987"/>
        <v>-11.768685045679254</v>
      </c>
      <c r="T542">
        <f t="shared" si="988"/>
        <v>-1.1768685045679253E-2</v>
      </c>
    </row>
    <row r="543" spans="1:20" x14ac:dyDescent="0.25">
      <c r="A543" s="5">
        <v>44050</v>
      </c>
      <c r="B543">
        <v>0.99070000000000003</v>
      </c>
      <c r="C543">
        <v>1.0713999999999999</v>
      </c>
      <c r="D543">
        <v>0.96109999999999995</v>
      </c>
      <c r="E543">
        <v>1.0384</v>
      </c>
      <c r="F543">
        <v>3481813.16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0.40163191296464312</v>
      </c>
      <c r="Q543">
        <f t="shared" si="985"/>
        <v>1398407.280036269</v>
      </c>
      <c r="R543">
        <f t="shared" si="986"/>
        <v>499678.4001510567</v>
      </c>
      <c r="S543">
        <f t="shared" si="987"/>
        <v>4.9967840015105667</v>
      </c>
      <c r="T543">
        <f t="shared" si="988"/>
        <v>4.9967840015105666E-3</v>
      </c>
    </row>
    <row r="544" spans="1:20" x14ac:dyDescent="0.25">
      <c r="A544" s="5">
        <v>44049</v>
      </c>
      <c r="B544">
        <v>0.92549999999999999</v>
      </c>
      <c r="C544">
        <v>1.0091000000000001</v>
      </c>
      <c r="D544">
        <v>0.91149999999999998</v>
      </c>
      <c r="E544">
        <v>0.99080000000000001</v>
      </c>
      <c r="F544">
        <v>2807788.39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0.62499999999999856</v>
      </c>
      <c r="Q544">
        <f t="shared" si="985"/>
        <v>1754867.7437499959</v>
      </c>
      <c r="R544">
        <f t="shared" si="986"/>
        <v>-898728.87988521229</v>
      </c>
      <c r="S544">
        <f t="shared" si="987"/>
        <v>-8.9872887988521235</v>
      </c>
      <c r="T544">
        <f t="shared" si="988"/>
        <v>-8.9872887988521229E-3</v>
      </c>
    </row>
    <row r="545" spans="1:20" x14ac:dyDescent="0.25">
      <c r="A545" s="5">
        <v>44048</v>
      </c>
      <c r="B545">
        <v>0.93769999999999998</v>
      </c>
      <c r="C545">
        <v>0.94359999999999999</v>
      </c>
      <c r="D545">
        <v>0.88849999999999996</v>
      </c>
      <c r="E545">
        <v>0.92549999999999999</v>
      </c>
      <c r="F545">
        <v>1845559.3</v>
      </c>
      <c r="G545">
        <v>0</v>
      </c>
      <c r="L545" t="s">
        <v>7</v>
      </c>
      <c r="M545" t="s">
        <v>8</v>
      </c>
      <c r="N545" t="s">
        <v>7</v>
      </c>
      <c r="P545">
        <f t="shared" si="984"/>
        <v>0.34301270417422897</v>
      </c>
      <c r="Q545">
        <f t="shared" si="985"/>
        <v>633050.28620689712</v>
      </c>
      <c r="R545">
        <f t="shared" si="986"/>
        <v>-2653596.6236352082</v>
      </c>
      <c r="S545">
        <f t="shared" si="987"/>
        <v>-26.535966236352081</v>
      </c>
      <c r="T545">
        <f t="shared" si="988"/>
        <v>-2.6535966236352081E-2</v>
      </c>
    </row>
    <row r="546" spans="1:20" x14ac:dyDescent="0.25">
      <c r="A546" s="5">
        <v>44047</v>
      </c>
      <c r="B546">
        <v>0.91500000000000004</v>
      </c>
      <c r="C546">
        <v>0.97</v>
      </c>
      <c r="D546">
        <v>0.89880000000000004</v>
      </c>
      <c r="E546">
        <v>0.93779999999999997</v>
      </c>
      <c r="F546">
        <v>1690327.28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9.5505617977527019E-2</v>
      </c>
      <c r="Q546">
        <f t="shared" si="985"/>
        <v>161435.75146067236</v>
      </c>
      <c r="R546">
        <f t="shared" si="986"/>
        <v>-3286646.9098421056</v>
      </c>
      <c r="S546">
        <f t="shared" si="987"/>
        <v>-32.866469098421057</v>
      </c>
      <c r="T546">
        <f t="shared" si="988"/>
        <v>-3.2866469098421058E-2</v>
      </c>
    </row>
    <row r="547" spans="1:20" x14ac:dyDescent="0.25">
      <c r="A547" s="5">
        <v>44046</v>
      </c>
      <c r="B547">
        <v>0.86980000000000002</v>
      </c>
      <c r="C547">
        <v>0.93500000000000005</v>
      </c>
      <c r="D547">
        <v>0.85489999999999999</v>
      </c>
      <c r="E547">
        <v>0.91390000000000005</v>
      </c>
      <c r="F547">
        <v>2275362.96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0.47315855181023742</v>
      </c>
      <c r="Q547">
        <f t="shared" si="985"/>
        <v>1076607.4429962551</v>
      </c>
      <c r="R547">
        <f t="shared" si="986"/>
        <v>-3448082.6613027779</v>
      </c>
      <c r="S547">
        <f t="shared" si="987"/>
        <v>-34.48082661302778</v>
      </c>
      <c r="T547">
        <f t="shared" si="988"/>
        <v>-3.448082661302778E-2</v>
      </c>
    </row>
    <row r="548" spans="1:20" x14ac:dyDescent="0.25">
      <c r="A548" s="5">
        <v>44045</v>
      </c>
      <c r="B548">
        <v>0.94020000000000004</v>
      </c>
      <c r="C548">
        <v>0.96150000000000002</v>
      </c>
      <c r="D548">
        <v>0.77839999999999998</v>
      </c>
      <c r="E548">
        <v>0.86799999999999999</v>
      </c>
      <c r="F548">
        <v>5849204.71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-2.1299836155106572E-2</v>
      </c>
      <c r="Q548">
        <f t="shared" si="985"/>
        <v>-124587.10196067765</v>
      </c>
      <c r="R548">
        <f t="shared" si="986"/>
        <v>-4524690.1042990331</v>
      </c>
      <c r="S548">
        <f t="shared" si="987"/>
        <v>-45.246901042990331</v>
      </c>
      <c r="T548">
        <f t="shared" si="988"/>
        <v>-4.5246901042990333E-2</v>
      </c>
    </row>
    <row r="549" spans="1:20" x14ac:dyDescent="0.25">
      <c r="A549" s="5">
        <v>44044</v>
      </c>
      <c r="B549">
        <v>0.85619999999999996</v>
      </c>
      <c r="C549">
        <v>0.96950000000000003</v>
      </c>
      <c r="D549">
        <v>0.83</v>
      </c>
      <c r="E549">
        <v>0.93840000000000001</v>
      </c>
      <c r="F549">
        <v>3433723.33</v>
      </c>
      <c r="G549">
        <v>0</v>
      </c>
      <c r="L549" t="s">
        <v>7</v>
      </c>
      <c r="M549" t="s">
        <v>7</v>
      </c>
      <c r="N549" t="s">
        <v>8</v>
      </c>
      <c r="P549">
        <f t="shared" si="984"/>
        <v>0.55412186379928319</v>
      </c>
      <c r="Q549">
        <f t="shared" si="985"/>
        <v>1902701.1713906811</v>
      </c>
      <c r="R549">
        <f t="shared" si="986"/>
        <v>-4400103.0023383554</v>
      </c>
      <c r="S549">
        <f t="shared" si="987"/>
        <v>-44.001030023383557</v>
      </c>
      <c r="T549">
        <f t="shared" si="988"/>
        <v>-4.4001030023383556E-2</v>
      </c>
    </row>
    <row r="550" spans="1:20" x14ac:dyDescent="0.25">
      <c r="A550" s="5">
        <v>44043</v>
      </c>
      <c r="B550">
        <v>0.91149999999999998</v>
      </c>
      <c r="C550">
        <v>0.93400000000000005</v>
      </c>
      <c r="D550">
        <v>0.8458</v>
      </c>
      <c r="E550">
        <v>0.85699999999999998</v>
      </c>
      <c r="F550">
        <v>2448288.09</v>
      </c>
      <c r="G550">
        <v>0</v>
      </c>
      <c r="L550" t="s">
        <v>7</v>
      </c>
      <c r="M550" t="s">
        <v>7</v>
      </c>
      <c r="N550" t="s">
        <v>8</v>
      </c>
      <c r="P550">
        <f t="shared" si="984"/>
        <v>-0.74603174603174649</v>
      </c>
      <c r="Q550">
        <f t="shared" si="985"/>
        <v>-1826500.6385714295</v>
      </c>
      <c r="R550">
        <f t="shared" si="986"/>
        <v>-6302804.173729036</v>
      </c>
      <c r="S550">
        <f t="shared" si="987"/>
        <v>-63.028041737290359</v>
      </c>
      <c r="T550">
        <f t="shared" si="988"/>
        <v>-6.3028041737290361E-2</v>
      </c>
    </row>
    <row r="551" spans="1:20" x14ac:dyDescent="0.25">
      <c r="A551" s="5">
        <v>44042</v>
      </c>
      <c r="B551">
        <v>0.91469999999999996</v>
      </c>
      <c r="C551">
        <v>0.93140000000000001</v>
      </c>
      <c r="D551">
        <v>0.88700000000000001</v>
      </c>
      <c r="E551">
        <v>0.91490000000000005</v>
      </c>
      <c r="F551">
        <v>1743115.57</v>
      </c>
      <c r="G551">
        <v>0</v>
      </c>
      <c r="L551" t="s">
        <v>7</v>
      </c>
      <c r="M551" t="s">
        <v>7</v>
      </c>
      <c r="N551" t="s">
        <v>8</v>
      </c>
      <c r="P551">
        <f t="shared" si="984"/>
        <v>0.25675675675675852</v>
      </c>
      <c r="Q551">
        <f t="shared" si="985"/>
        <v>447556.70040540851</v>
      </c>
      <c r="R551">
        <f t="shared" si="986"/>
        <v>-4476303.5351576069</v>
      </c>
      <c r="S551">
        <f t="shared" si="987"/>
        <v>-44.763035351576072</v>
      </c>
      <c r="T551">
        <f t="shared" si="988"/>
        <v>-4.4763035351576073E-2</v>
      </c>
    </row>
    <row r="552" spans="1:20" x14ac:dyDescent="0.25">
      <c r="A552" s="5">
        <v>44041</v>
      </c>
      <c r="B552">
        <v>0.95650000000000002</v>
      </c>
      <c r="C552">
        <v>0.96360000000000001</v>
      </c>
      <c r="D552">
        <v>0.87519999999999998</v>
      </c>
      <c r="E552">
        <v>0.91269999999999996</v>
      </c>
      <c r="F552">
        <v>2365268.29</v>
      </c>
      <c r="G552">
        <v>0</v>
      </c>
      <c r="L552" t="s">
        <v>7</v>
      </c>
      <c r="M552" t="s">
        <v>7</v>
      </c>
      <c r="N552" t="s">
        <v>8</v>
      </c>
      <c r="P552">
        <f t="shared" si="984"/>
        <v>-0.15158371040724064</v>
      </c>
      <c r="Q552">
        <f t="shared" si="985"/>
        <v>-358536.14350678929</v>
      </c>
      <c r="R552">
        <f t="shared" si="986"/>
        <v>-4923860.2355630156</v>
      </c>
      <c r="S552">
        <f t="shared" si="987"/>
        <v>-49.238602355630157</v>
      </c>
      <c r="T552">
        <f t="shared" si="988"/>
        <v>-4.9238602355630157E-2</v>
      </c>
    </row>
    <row r="553" spans="1:20" x14ac:dyDescent="0.25">
      <c r="A553" s="5">
        <v>44040</v>
      </c>
      <c r="B553">
        <v>0.90620000000000001</v>
      </c>
      <c r="C553">
        <v>0.97119999999999995</v>
      </c>
      <c r="D553">
        <v>0.86880000000000002</v>
      </c>
      <c r="E553">
        <v>0.95579999999999998</v>
      </c>
      <c r="F553">
        <v>2924093.82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0.69921875000000044</v>
      </c>
      <c r="Q553">
        <f t="shared" si="985"/>
        <v>2044581.2257031263</v>
      </c>
      <c r="R553">
        <f t="shared" si="986"/>
        <v>-4565324.092056226</v>
      </c>
      <c r="S553">
        <f t="shared" si="987"/>
        <v>-45.653240920562261</v>
      </c>
      <c r="T553">
        <f t="shared" si="988"/>
        <v>-4.5653240920562263E-2</v>
      </c>
    </row>
    <row r="554" spans="1:20" x14ac:dyDescent="0.25">
      <c r="A554" s="5">
        <v>44039</v>
      </c>
      <c r="B554">
        <v>1.0541</v>
      </c>
      <c r="C554">
        <v>1.0572999999999999</v>
      </c>
      <c r="D554">
        <v>0.8569</v>
      </c>
      <c r="E554">
        <v>0.9012</v>
      </c>
      <c r="F554">
        <v>8056152.2999999998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-0.5578842315369259</v>
      </c>
      <c r="Q554">
        <f t="shared" si="985"/>
        <v>-4494400.3350299383</v>
      </c>
      <c r="R554">
        <f t="shared" si="986"/>
        <v>-6609905.3177593527</v>
      </c>
      <c r="S554">
        <f t="shared" si="987"/>
        <v>-66.099053177593532</v>
      </c>
      <c r="T554">
        <f t="shared" si="988"/>
        <v>-6.6099053177593528E-2</v>
      </c>
    </row>
    <row r="555" spans="1:20" x14ac:dyDescent="0.25">
      <c r="A555" s="5">
        <v>44038</v>
      </c>
      <c r="B555">
        <v>1.0669999999999999</v>
      </c>
      <c r="C555">
        <v>1.1548</v>
      </c>
      <c r="D555">
        <v>1.0310999999999999</v>
      </c>
      <c r="E555">
        <v>1.0579000000000001</v>
      </c>
      <c r="F555">
        <v>2136186.29</v>
      </c>
      <c r="G555">
        <v>0</v>
      </c>
      <c r="L555" t="s">
        <v>7</v>
      </c>
      <c r="M555" t="s">
        <v>8</v>
      </c>
      <c r="N555" t="s">
        <v>8</v>
      </c>
      <c r="P555">
        <f t="shared" si="984"/>
        <v>-0.56669361358124293</v>
      </c>
      <c r="Q555">
        <f t="shared" si="985"/>
        <v>-1210563.1279628091</v>
      </c>
      <c r="R555">
        <f t="shared" si="986"/>
        <v>-2115504.9827294145</v>
      </c>
      <c r="S555">
        <f t="shared" si="987"/>
        <v>-21.155049827294146</v>
      </c>
      <c r="T555">
        <f t="shared" si="988"/>
        <v>-2.1155049827294145E-2</v>
      </c>
    </row>
    <row r="556" spans="1:20" x14ac:dyDescent="0.25">
      <c r="A556" s="5">
        <v>44037</v>
      </c>
      <c r="B556">
        <v>0.98970000000000002</v>
      </c>
      <c r="C556">
        <v>1.1599999999999999</v>
      </c>
      <c r="D556">
        <v>0.96750000000000003</v>
      </c>
      <c r="E556">
        <v>1.0658000000000001</v>
      </c>
      <c r="F556">
        <v>5189706.3899999997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2.1298701298702424E-2</v>
      </c>
      <c r="Q556">
        <f t="shared" si="985"/>
        <v>110534.00622857726</v>
      </c>
      <c r="R556">
        <f t="shared" si="986"/>
        <v>-904941.85476660554</v>
      </c>
      <c r="S556">
        <f t="shared" si="987"/>
        <v>-9.0494185476660558</v>
      </c>
      <c r="T556">
        <f t="shared" si="988"/>
        <v>-9.0494185476660566E-3</v>
      </c>
    </row>
    <row r="557" spans="1:20" x14ac:dyDescent="0.25">
      <c r="A557" s="5">
        <v>44036</v>
      </c>
      <c r="B557">
        <v>0.93859999999999999</v>
      </c>
      <c r="C557">
        <v>1.0379</v>
      </c>
      <c r="D557">
        <v>0.91930000000000001</v>
      </c>
      <c r="E557">
        <v>0.98819999999999997</v>
      </c>
      <c r="F557">
        <v>3937117.39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0.16188870151770554</v>
      </c>
      <c r="Q557">
        <f t="shared" si="985"/>
        <v>637374.82198987785</v>
      </c>
      <c r="R557">
        <f t="shared" si="986"/>
        <v>-1015475.8609951828</v>
      </c>
      <c r="S557">
        <f t="shared" si="987"/>
        <v>-10.154758609951827</v>
      </c>
      <c r="T557">
        <f t="shared" si="988"/>
        <v>-1.0154758609951827E-2</v>
      </c>
    </row>
    <row r="558" spans="1:20" x14ac:dyDescent="0.25">
      <c r="A558" s="5">
        <v>44035</v>
      </c>
      <c r="B558">
        <v>0.8901</v>
      </c>
      <c r="C558">
        <v>0.98250000000000004</v>
      </c>
      <c r="D558">
        <v>0.88</v>
      </c>
      <c r="E558">
        <v>0.93589999999999995</v>
      </c>
      <c r="F558">
        <v>2485908.91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9.0731707317071808E-2</v>
      </c>
      <c r="Q558">
        <f t="shared" si="985"/>
        <v>225550.75963902101</v>
      </c>
      <c r="R558">
        <f t="shared" si="986"/>
        <v>-1652850.6829850606</v>
      </c>
      <c r="S558">
        <f t="shared" si="987"/>
        <v>-16.528506829850606</v>
      </c>
      <c r="T558">
        <f t="shared" si="988"/>
        <v>-1.6528506829850607E-2</v>
      </c>
    </row>
    <row r="559" spans="1:20" x14ac:dyDescent="0.25">
      <c r="A559" s="5">
        <v>44034</v>
      </c>
      <c r="B559">
        <v>0.88839999999999997</v>
      </c>
      <c r="C559">
        <v>0.9819</v>
      </c>
      <c r="D559">
        <v>0.87539999999999996</v>
      </c>
      <c r="E559">
        <v>0.89100000000000001</v>
      </c>
      <c r="F559">
        <v>2537110.7999999998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-0.70704225352112582</v>
      </c>
      <c r="Q559">
        <f t="shared" si="985"/>
        <v>-1793844.5374647863</v>
      </c>
      <c r="R559">
        <f t="shared" si="986"/>
        <v>-1878401.4426240816</v>
      </c>
      <c r="S559">
        <f t="shared" si="987"/>
        <v>-18.784014426240816</v>
      </c>
      <c r="T559">
        <f t="shared" si="988"/>
        <v>-1.8784014426240815E-2</v>
      </c>
    </row>
    <row r="560" spans="1:20" x14ac:dyDescent="0.25">
      <c r="A560" s="5">
        <v>44033</v>
      </c>
      <c r="B560">
        <v>0.90129999999999999</v>
      </c>
      <c r="C560">
        <v>0.95409999999999995</v>
      </c>
      <c r="D560">
        <v>0.83679999999999999</v>
      </c>
      <c r="E560">
        <v>0.89180000000000004</v>
      </c>
      <c r="F560">
        <v>3595629.22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-6.2233589087807885E-2</v>
      </c>
      <c r="Q560">
        <f t="shared" si="985"/>
        <v>-223768.91138959519</v>
      </c>
      <c r="R560">
        <f t="shared" si="986"/>
        <v>-84556.905159295362</v>
      </c>
      <c r="S560">
        <f t="shared" si="987"/>
        <v>-0.84556905159295359</v>
      </c>
      <c r="T560">
        <f t="shared" si="988"/>
        <v>-8.4556905159295355E-4</v>
      </c>
    </row>
    <row r="561" spans="1:104" x14ac:dyDescent="0.25">
      <c r="A561" s="5">
        <v>44032</v>
      </c>
      <c r="B561">
        <v>0.89429999999999998</v>
      </c>
      <c r="C561">
        <v>1.05</v>
      </c>
      <c r="D561">
        <v>0.85409999999999997</v>
      </c>
      <c r="E561">
        <v>0.90649999999999997</v>
      </c>
      <c r="F561">
        <v>7074272.71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-0.46503318019397671</v>
      </c>
      <c r="Q561">
        <f t="shared" si="985"/>
        <v>-3289771.5358907618</v>
      </c>
      <c r="R561">
        <f t="shared" si="986"/>
        <v>139212.00623029983</v>
      </c>
      <c r="S561">
        <f t="shared" si="987"/>
        <v>1.3921200623029983</v>
      </c>
      <c r="T561">
        <f t="shared" si="988"/>
        <v>1.3921200623029984E-3</v>
      </c>
      <c r="CZ561" t="s">
        <v>7</v>
      </c>
    </row>
    <row r="562" spans="1:104" x14ac:dyDescent="0.25">
      <c r="A562" s="5">
        <v>44031</v>
      </c>
      <c r="B562">
        <v>0.7258</v>
      </c>
      <c r="C562">
        <v>0.90990000000000004</v>
      </c>
      <c r="D562">
        <v>0.72019999999999995</v>
      </c>
      <c r="E562">
        <v>0.89500000000000002</v>
      </c>
      <c r="F562">
        <v>3807533.64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0.84290985767000504</v>
      </c>
      <c r="Q562">
        <f t="shared" si="985"/>
        <v>3209407.6385661564</v>
      </c>
      <c r="R562">
        <f t="shared" si="986"/>
        <v>3428983.5421210616</v>
      </c>
      <c r="S562">
        <f t="shared" si="987"/>
        <v>34.289835421210618</v>
      </c>
      <c r="T562">
        <f t="shared" si="988"/>
        <v>3.428983542121062E-2</v>
      </c>
      <c r="CZ562" t="s">
        <v>7</v>
      </c>
    </row>
    <row r="563" spans="1:104" x14ac:dyDescent="0.25">
      <c r="A563" s="5">
        <v>44030</v>
      </c>
      <c r="B563">
        <v>0.74809999999999999</v>
      </c>
      <c r="C563">
        <v>0.74839999999999995</v>
      </c>
      <c r="D563">
        <v>0.71240000000000003</v>
      </c>
      <c r="E563">
        <v>0.72719999999999996</v>
      </c>
      <c r="F563">
        <v>915872.25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-0.17777777777778017</v>
      </c>
      <c r="Q563">
        <f t="shared" si="985"/>
        <v>-162821.73333333552</v>
      </c>
      <c r="R563">
        <f t="shared" si="986"/>
        <v>219575.90355490529</v>
      </c>
      <c r="S563">
        <f t="shared" si="987"/>
        <v>2.1957590355490528</v>
      </c>
      <c r="T563">
        <f t="shared" si="988"/>
        <v>2.1957590355490527E-3</v>
      </c>
      <c r="CZ563" t="s">
        <v>7</v>
      </c>
    </row>
    <row r="564" spans="1:104" x14ac:dyDescent="0.25">
      <c r="A564" s="5">
        <v>44029</v>
      </c>
      <c r="B564">
        <v>0.74</v>
      </c>
      <c r="C564">
        <v>0.76600000000000001</v>
      </c>
      <c r="D564">
        <v>0.71799999999999997</v>
      </c>
      <c r="E564">
        <v>0.74719999999999998</v>
      </c>
      <c r="F564">
        <v>1020530.04</v>
      </c>
      <c r="G564">
        <v>0</v>
      </c>
      <c r="L564" t="s">
        <v>7</v>
      </c>
      <c r="M564" t="s">
        <v>8</v>
      </c>
      <c r="N564" t="s">
        <v>8</v>
      </c>
      <c r="P564">
        <f t="shared" si="984"/>
        <v>0.21666666666666573</v>
      </c>
      <c r="Q564">
        <f t="shared" si="985"/>
        <v>221114.84199999904</v>
      </c>
      <c r="R564">
        <f t="shared" si="986"/>
        <v>382397.63688824081</v>
      </c>
      <c r="S564">
        <f t="shared" si="987"/>
        <v>3.8239763688824082</v>
      </c>
      <c r="T564">
        <f t="shared" si="988"/>
        <v>3.8239763688824083E-3</v>
      </c>
    </row>
    <row r="565" spans="1:104" x14ac:dyDescent="0.25">
      <c r="A565" s="5">
        <v>44028</v>
      </c>
      <c r="B565">
        <v>0.72140000000000004</v>
      </c>
      <c r="C565">
        <v>0.8</v>
      </c>
      <c r="D565">
        <v>0.69699999999999995</v>
      </c>
      <c r="E565">
        <v>0.74</v>
      </c>
      <c r="F565">
        <v>3121564.49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-0.1650485436893204</v>
      </c>
      <c r="Q565">
        <f t="shared" si="985"/>
        <v>-515209.67310679617</v>
      </c>
      <c r="R565">
        <f t="shared" si="986"/>
        <v>161282.79488824174</v>
      </c>
      <c r="S565">
        <f t="shared" si="987"/>
        <v>1.6128279488824173</v>
      </c>
      <c r="T565">
        <f t="shared" si="988"/>
        <v>1.6128279488824174E-3</v>
      </c>
    </row>
    <row r="566" spans="1:104" x14ac:dyDescent="0.25">
      <c r="A566" s="5">
        <v>44027</v>
      </c>
      <c r="B566">
        <v>0.7026</v>
      </c>
      <c r="C566">
        <v>0.75</v>
      </c>
      <c r="D566">
        <v>0.68859999999999999</v>
      </c>
      <c r="E566">
        <v>0.71970000000000001</v>
      </c>
      <c r="F566">
        <v>1627055.18</v>
      </c>
      <c r="G566">
        <v>0</v>
      </c>
      <c r="L566" t="s">
        <v>8</v>
      </c>
      <c r="M566" t="s">
        <v>7</v>
      </c>
      <c r="N566" t="s">
        <v>8</v>
      </c>
      <c r="P566">
        <f t="shared" si="984"/>
        <v>1.3029315960912424E-2</v>
      </c>
      <c r="Q566">
        <f t="shared" si="985"/>
        <v>21199.416026059236</v>
      </c>
      <c r="R566">
        <f t="shared" si="986"/>
        <v>676492.46799503791</v>
      </c>
      <c r="S566">
        <f t="shared" si="987"/>
        <v>6.7649246799503793</v>
      </c>
      <c r="T566">
        <f t="shared" si="988"/>
        <v>6.7649246799503793E-3</v>
      </c>
    </row>
    <row r="567" spans="1:104" x14ac:dyDescent="0.25">
      <c r="A567" s="5">
        <v>44026</v>
      </c>
      <c r="B567">
        <v>0.74070000000000003</v>
      </c>
      <c r="C567">
        <v>0.75870000000000004</v>
      </c>
      <c r="D567">
        <v>0.66379999999999995</v>
      </c>
      <c r="E567">
        <v>0.70189999999999997</v>
      </c>
      <c r="F567">
        <v>1756383.07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-0.19704952581664945</v>
      </c>
      <c r="Q567">
        <f t="shared" si="985"/>
        <v>-346094.45109589101</v>
      </c>
      <c r="R567">
        <f t="shared" si="986"/>
        <v>655293.05196897872</v>
      </c>
      <c r="S567">
        <f t="shared" si="987"/>
        <v>6.5529305196897871</v>
      </c>
      <c r="T567">
        <f t="shared" si="988"/>
        <v>6.5529305196897871E-3</v>
      </c>
    </row>
    <row r="568" spans="1:104" x14ac:dyDescent="0.25">
      <c r="A568" s="5">
        <v>44025</v>
      </c>
      <c r="B568">
        <v>0.70809999999999995</v>
      </c>
      <c r="C568">
        <v>0.78790000000000004</v>
      </c>
      <c r="D568">
        <v>0.69769999999999999</v>
      </c>
      <c r="E568">
        <v>0.74260000000000004</v>
      </c>
      <c r="F568">
        <v>3615987.79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-4.434589800442968E-3</v>
      </c>
      <c r="Q568">
        <f t="shared" si="985"/>
        <v>-16035.42257206031</v>
      </c>
      <c r="R568">
        <f t="shared" si="986"/>
        <v>1001387.5030648698</v>
      </c>
      <c r="S568">
        <f t="shared" si="987"/>
        <v>10.013875030648698</v>
      </c>
      <c r="T568">
        <f t="shared" si="988"/>
        <v>1.0013875030648699E-2</v>
      </c>
    </row>
    <row r="569" spans="1:104" x14ac:dyDescent="0.25">
      <c r="A569" s="5">
        <v>44024</v>
      </c>
      <c r="B569">
        <v>0.70199999999999996</v>
      </c>
      <c r="C569">
        <v>0.71120000000000005</v>
      </c>
      <c r="D569">
        <v>0.67500000000000004</v>
      </c>
      <c r="E569">
        <v>0.70899999999999996</v>
      </c>
      <c r="F569">
        <v>1412927.68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0.87845303867402813</v>
      </c>
      <c r="Q569">
        <f t="shared" si="985"/>
        <v>1241190.6139226449</v>
      </c>
      <c r="R569">
        <f t="shared" si="986"/>
        <v>1017422.92563693</v>
      </c>
      <c r="S569">
        <f t="shared" si="987"/>
        <v>10.1742292563693</v>
      </c>
      <c r="T569">
        <f t="shared" si="988"/>
        <v>1.0174229256369299E-2</v>
      </c>
    </row>
    <row r="570" spans="1:104" x14ac:dyDescent="0.25">
      <c r="A570" s="5">
        <v>44023</v>
      </c>
      <c r="B570">
        <v>0.66559999999999997</v>
      </c>
      <c r="C570">
        <v>0.72389999999999999</v>
      </c>
      <c r="D570">
        <v>0.65010000000000001</v>
      </c>
      <c r="E570">
        <v>0.70489999999999997</v>
      </c>
      <c r="F570">
        <v>1341392.04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0.48509485094850885</v>
      </c>
      <c r="Q570">
        <f t="shared" si="985"/>
        <v>650702.37170731626</v>
      </c>
      <c r="R570">
        <f t="shared" si="986"/>
        <v>-223767.68828571483</v>
      </c>
      <c r="S570">
        <f t="shared" si="987"/>
        <v>-2.2376768828571483</v>
      </c>
      <c r="T570">
        <f t="shared" si="988"/>
        <v>-2.2376768828571481E-3</v>
      </c>
    </row>
    <row r="571" spans="1:104" x14ac:dyDescent="0.25">
      <c r="A571" s="5">
        <v>44022</v>
      </c>
      <c r="B571">
        <v>0.64159999999999995</v>
      </c>
      <c r="C571">
        <v>0.69440000000000002</v>
      </c>
      <c r="D571">
        <v>0.62829999999999997</v>
      </c>
      <c r="E571">
        <v>0.66969999999999996</v>
      </c>
      <c r="F571">
        <v>2236876.9500000002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0.25264750378214712</v>
      </c>
      <c r="Q571">
        <f t="shared" si="985"/>
        <v>565141.37768532278</v>
      </c>
      <c r="R571">
        <f t="shared" si="986"/>
        <v>-874470.05999303109</v>
      </c>
      <c r="S571">
        <f t="shared" si="987"/>
        <v>-8.7447005999303116</v>
      </c>
      <c r="T571">
        <f t="shared" si="988"/>
        <v>-8.7447005999303114E-3</v>
      </c>
    </row>
    <row r="572" spans="1:104" x14ac:dyDescent="0.25">
      <c r="A572" s="5">
        <v>44021</v>
      </c>
      <c r="B572">
        <v>0.6804</v>
      </c>
      <c r="C572">
        <v>0.68910000000000005</v>
      </c>
      <c r="D572">
        <v>0.62529999999999997</v>
      </c>
      <c r="E572">
        <v>0.64370000000000005</v>
      </c>
      <c r="F572">
        <v>2285301.14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-0.4231974921630075</v>
      </c>
      <c r="Q572">
        <f t="shared" si="985"/>
        <v>-967133.71128526214</v>
      </c>
      <c r="R572">
        <f t="shared" si="986"/>
        <v>-1439611.4376783539</v>
      </c>
      <c r="S572">
        <f t="shared" si="987"/>
        <v>-14.396114376783538</v>
      </c>
      <c r="T572">
        <f t="shared" si="988"/>
        <v>-1.4396114376783538E-2</v>
      </c>
    </row>
    <row r="573" spans="1:104" x14ac:dyDescent="0.25">
      <c r="A573" s="5">
        <v>44020</v>
      </c>
      <c r="B573">
        <v>0.70799999999999996</v>
      </c>
      <c r="C573">
        <v>0.71950000000000003</v>
      </c>
      <c r="D573">
        <v>0.66420000000000001</v>
      </c>
      <c r="E573">
        <v>0.6804</v>
      </c>
      <c r="F573">
        <v>2641555.5</v>
      </c>
      <c r="G573">
        <v>0</v>
      </c>
      <c r="L573" t="s">
        <v>7</v>
      </c>
      <c r="M573" t="s">
        <v>8</v>
      </c>
      <c r="N573" t="s">
        <v>8</v>
      </c>
      <c r="P573">
        <f t="shared" si="984"/>
        <v>-0.41410488245931326</v>
      </c>
      <c r="Q573">
        <f t="shared" si="985"/>
        <v>-1093881.0298372526</v>
      </c>
      <c r="R573">
        <f t="shared" si="986"/>
        <v>-472477.72639309173</v>
      </c>
      <c r="S573">
        <f t="shared" si="987"/>
        <v>-4.7247772639309176</v>
      </c>
      <c r="T573">
        <f t="shared" si="988"/>
        <v>-4.7247772639309174E-3</v>
      </c>
    </row>
    <row r="574" spans="1:104" x14ac:dyDescent="0.25">
      <c r="A574" s="5">
        <v>44019</v>
      </c>
      <c r="B574">
        <v>0.65659999999999996</v>
      </c>
      <c r="C574">
        <v>0.71840000000000004</v>
      </c>
      <c r="D574">
        <v>0.63249999999999995</v>
      </c>
      <c r="E574">
        <v>0.70709999999999995</v>
      </c>
      <c r="F574">
        <v>2180995.38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0.73690337601862455</v>
      </c>
      <c r="Q574">
        <f t="shared" si="985"/>
        <v>1607182.8586030228</v>
      </c>
      <c r="R574">
        <f t="shared" si="986"/>
        <v>621403.30344416085</v>
      </c>
      <c r="S574">
        <f t="shared" si="987"/>
        <v>6.2140330344416084</v>
      </c>
      <c r="T574">
        <f t="shared" si="988"/>
        <v>6.2140330344416083E-3</v>
      </c>
    </row>
    <row r="575" spans="1:104" x14ac:dyDescent="0.25">
      <c r="A575" s="5">
        <v>44018</v>
      </c>
      <c r="B575">
        <v>0.5655</v>
      </c>
      <c r="C575">
        <v>0.68</v>
      </c>
      <c r="D575">
        <v>0.5655</v>
      </c>
      <c r="E575">
        <v>0.6593</v>
      </c>
      <c r="F575">
        <v>4446805.84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0.6384279475982525</v>
      </c>
      <c r="Q575">
        <f t="shared" si="985"/>
        <v>2838965.1257991232</v>
      </c>
      <c r="R575">
        <f t="shared" si="986"/>
        <v>-985779.55515886191</v>
      </c>
      <c r="S575">
        <f t="shared" si="987"/>
        <v>-9.8577955515886195</v>
      </c>
      <c r="T575">
        <f t="shared" si="988"/>
        <v>-9.8577955515886193E-3</v>
      </c>
    </row>
    <row r="576" spans="1:104" x14ac:dyDescent="0.25">
      <c r="A576" s="5">
        <v>44017</v>
      </c>
      <c r="B576">
        <v>0.58730000000000004</v>
      </c>
      <c r="C576">
        <v>0.62</v>
      </c>
      <c r="D576">
        <v>0.5403</v>
      </c>
      <c r="E576">
        <v>0.56920000000000004</v>
      </c>
      <c r="F576">
        <v>1638131.57</v>
      </c>
      <c r="G576">
        <v>0</v>
      </c>
      <c r="L576" t="s">
        <v>7</v>
      </c>
      <c r="M576" t="s">
        <v>8</v>
      </c>
      <c r="N576" t="s">
        <v>8</v>
      </c>
      <c r="P576">
        <f t="shared" si="984"/>
        <v>-0.27478042659974805</v>
      </c>
      <c r="Q576">
        <f t="shared" si="985"/>
        <v>-450126.49163111503</v>
      </c>
      <c r="R576">
        <f t="shared" si="986"/>
        <v>-3824744.6809579851</v>
      </c>
      <c r="S576">
        <f t="shared" si="987"/>
        <v>-38.247446809579849</v>
      </c>
      <c r="T576">
        <f t="shared" si="988"/>
        <v>-3.8247446809579852E-2</v>
      </c>
    </row>
    <row r="577" spans="1:20" x14ac:dyDescent="0.25">
      <c r="A577" s="5">
        <v>44016</v>
      </c>
      <c r="B577">
        <v>0.5675</v>
      </c>
      <c r="C577">
        <v>0.61399999999999999</v>
      </c>
      <c r="D577">
        <v>0.5665</v>
      </c>
      <c r="E577">
        <v>0.58909999999999996</v>
      </c>
      <c r="F577">
        <v>2197607.67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-4.8421052631580641E-2</v>
      </c>
      <c r="Q577">
        <f t="shared" si="985"/>
        <v>-106410.47665263529</v>
      </c>
      <c r="R577">
        <f t="shared" si="986"/>
        <v>-3374618.1893268703</v>
      </c>
      <c r="S577">
        <f t="shared" si="987"/>
        <v>-33.746181893268705</v>
      </c>
      <c r="T577">
        <f t="shared" si="988"/>
        <v>-3.3746181893268702E-2</v>
      </c>
    </row>
    <row r="578" spans="1:20" x14ac:dyDescent="0.25">
      <c r="A578" s="5">
        <v>44015</v>
      </c>
      <c r="B578">
        <v>0.51190000000000002</v>
      </c>
      <c r="C578">
        <v>0.59470000000000001</v>
      </c>
      <c r="D578">
        <v>0.50490000000000002</v>
      </c>
      <c r="E578">
        <v>0.56989999999999996</v>
      </c>
      <c r="F578">
        <v>2748585.49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0.44766146993318384</v>
      </c>
      <c r="Q578">
        <f t="shared" si="985"/>
        <v>1230435.8206904205</v>
      </c>
      <c r="R578">
        <f t="shared" si="986"/>
        <v>-3268207.712674235</v>
      </c>
      <c r="S578">
        <f t="shared" si="987"/>
        <v>-32.68207712674235</v>
      </c>
      <c r="T578">
        <f t="shared" si="988"/>
        <v>-3.268207712674235E-2</v>
      </c>
    </row>
    <row r="579" spans="1:20" x14ac:dyDescent="0.25">
      <c r="A579" s="5">
        <v>44014</v>
      </c>
      <c r="B579">
        <v>0.5081</v>
      </c>
      <c r="C579">
        <v>0.53600000000000003</v>
      </c>
      <c r="D579">
        <v>0.48670000000000002</v>
      </c>
      <c r="E579">
        <v>0.51200000000000001</v>
      </c>
      <c r="F579">
        <v>1463414.95</v>
      </c>
      <c r="G579">
        <v>0</v>
      </c>
      <c r="L579" t="s">
        <v>7</v>
      </c>
      <c r="M579" t="s">
        <v>8</v>
      </c>
      <c r="N579" t="s">
        <v>8</v>
      </c>
      <c r="P579">
        <f t="shared" si="984"/>
        <v>2.6369168356997316E-2</v>
      </c>
      <c r="Q579">
        <f t="shared" si="985"/>
        <v>38589.035192696807</v>
      </c>
      <c r="R579">
        <f t="shared" si="986"/>
        <v>-4498643.5333646554</v>
      </c>
      <c r="S579">
        <f t="shared" si="987"/>
        <v>-44.986435333646554</v>
      </c>
      <c r="T579">
        <f t="shared" si="988"/>
        <v>-4.4986435333646553E-2</v>
      </c>
    </row>
    <row r="580" spans="1:20" x14ac:dyDescent="0.25">
      <c r="A580" s="5">
        <v>44013</v>
      </c>
      <c r="B580">
        <v>0.4879</v>
      </c>
      <c r="C580">
        <v>0.54100000000000004</v>
      </c>
      <c r="D580">
        <v>0.4723</v>
      </c>
      <c r="E580">
        <v>0.50680000000000003</v>
      </c>
      <c r="F580">
        <v>2499049.5699999998</v>
      </c>
      <c r="G580">
        <v>0</v>
      </c>
      <c r="L580" t="s">
        <v>8</v>
      </c>
      <c r="M580" t="s">
        <v>8</v>
      </c>
      <c r="N580" t="s">
        <v>8</v>
      </c>
      <c r="P580">
        <f t="shared" si="984"/>
        <v>4.3668122270745608E-3</v>
      </c>
      <c r="Q580">
        <f t="shared" si="985"/>
        <v>10912.880218341423</v>
      </c>
      <c r="R580">
        <f t="shared" si="986"/>
        <v>-4537232.5685573518</v>
      </c>
      <c r="S580">
        <f t="shared" si="987"/>
        <v>-45.372325685573522</v>
      </c>
      <c r="T580">
        <f t="shared" si="988"/>
        <v>-4.537232568557352E-2</v>
      </c>
    </row>
    <row r="581" spans="1:20" x14ac:dyDescent="0.25">
      <c r="A581" s="5">
        <v>44012</v>
      </c>
      <c r="B581">
        <v>0.5141</v>
      </c>
      <c r="C581">
        <v>0.51529999999999998</v>
      </c>
      <c r="D581">
        <v>0.4834</v>
      </c>
      <c r="E581">
        <v>0.4879</v>
      </c>
      <c r="F581">
        <v>842159.7</v>
      </c>
      <c r="G581">
        <v>0</v>
      </c>
      <c r="L581" t="s">
        <v>8</v>
      </c>
      <c r="M581" t="s">
        <v>8</v>
      </c>
      <c r="N581" t="s">
        <v>8</v>
      </c>
      <c r="P581">
        <f t="shared" si="984"/>
        <v>-0.71786833855799337</v>
      </c>
      <c r="Q581">
        <f t="shared" si="985"/>
        <v>-604559.7846394981</v>
      </c>
      <c r="R581">
        <f t="shared" si="986"/>
        <v>-4548145.4487756928</v>
      </c>
      <c r="S581">
        <f t="shared" si="987"/>
        <v>-45.481454487756928</v>
      </c>
      <c r="T581">
        <f t="shared" si="988"/>
        <v>-4.548145448775693E-2</v>
      </c>
    </row>
    <row r="582" spans="1:20" x14ac:dyDescent="0.25">
      <c r="A582" s="5">
        <v>44011</v>
      </c>
      <c r="B582">
        <v>0.50360000000000005</v>
      </c>
      <c r="C582">
        <v>0.51919999999999999</v>
      </c>
      <c r="D582">
        <v>0.48430000000000001</v>
      </c>
      <c r="E582">
        <v>0.51219999999999999</v>
      </c>
      <c r="F582">
        <v>1405164.8</v>
      </c>
      <c r="G582">
        <v>0</v>
      </c>
      <c r="L582" t="s">
        <v>8</v>
      </c>
      <c r="M582" t="s">
        <v>8</v>
      </c>
      <c r="N582" t="s">
        <v>8</v>
      </c>
      <c r="P582">
        <f t="shared" ref="P582:P645" si="989">IF(C582=D582,0,((E582-D582)-(C582-E582))/(C582-D582))</f>
        <v>0.59885386819484188</v>
      </c>
      <c r="Q582">
        <f t="shared" ref="Q582:Q645" si="990">F582*P582</f>
        <v>841488.37593123142</v>
      </c>
      <c r="R582">
        <f t="shared" ref="R582:R645" si="991">R583+Q582</f>
        <v>-3943585.6641361946</v>
      </c>
      <c r="S582">
        <f t="shared" ref="S582:S645" si="992">R582/100000</f>
        <v>-39.435856641361944</v>
      </c>
      <c r="T582">
        <f t="shared" ref="T582:T645" si="993">S582/1000</f>
        <v>-3.9435856641361941E-2</v>
      </c>
    </row>
    <row r="583" spans="1:20" x14ac:dyDescent="0.25">
      <c r="A583" s="5">
        <v>44010</v>
      </c>
      <c r="B583">
        <v>0.49</v>
      </c>
      <c r="C583">
        <v>0.54779999999999995</v>
      </c>
      <c r="D583">
        <v>0.46129999999999999</v>
      </c>
      <c r="E583">
        <v>0.50490000000000002</v>
      </c>
      <c r="F583">
        <v>2584126.6800000002</v>
      </c>
      <c r="G583">
        <v>0</v>
      </c>
      <c r="L583" t="s">
        <v>7</v>
      </c>
      <c r="M583" t="s">
        <v>8</v>
      </c>
      <c r="N583" t="s">
        <v>8</v>
      </c>
      <c r="P583">
        <f t="shared" si="989"/>
        <v>8.0924855491339848E-3</v>
      </c>
      <c r="Q583">
        <f t="shared" si="990"/>
        <v>20912.007815031582</v>
      </c>
      <c r="R583">
        <f t="shared" si="991"/>
        <v>-4785074.0400674259</v>
      </c>
      <c r="S583">
        <f t="shared" si="992"/>
        <v>-47.850740400674262</v>
      </c>
      <c r="T583">
        <f t="shared" si="993"/>
        <v>-4.785074040067426E-2</v>
      </c>
    </row>
    <row r="584" spans="1:20" x14ac:dyDescent="0.25">
      <c r="A584" s="5">
        <v>44009</v>
      </c>
      <c r="B584">
        <v>0.5595</v>
      </c>
      <c r="C584">
        <v>0.58240000000000003</v>
      </c>
      <c r="D584">
        <v>0.45</v>
      </c>
      <c r="E584">
        <v>0.49459999999999998</v>
      </c>
      <c r="F584">
        <v>4251052.41</v>
      </c>
      <c r="G584">
        <v>0</v>
      </c>
      <c r="L584" t="s">
        <v>8</v>
      </c>
      <c r="M584" t="s">
        <v>7</v>
      </c>
      <c r="N584" t="s">
        <v>8</v>
      </c>
      <c r="P584">
        <f t="shared" si="989"/>
        <v>-0.32628398791540836</v>
      </c>
      <c r="Q584">
        <f t="shared" si="990"/>
        <v>-1387050.3331722077</v>
      </c>
      <c r="R584">
        <f t="shared" si="991"/>
        <v>-4805986.0478824573</v>
      </c>
      <c r="S584">
        <f t="shared" si="992"/>
        <v>-48.059860478824575</v>
      </c>
      <c r="T584">
        <f t="shared" si="993"/>
        <v>-4.8059860478824573E-2</v>
      </c>
    </row>
    <row r="585" spans="1:20" x14ac:dyDescent="0.25">
      <c r="A585" s="5">
        <v>44008</v>
      </c>
      <c r="B585">
        <v>0.51549999999999996</v>
      </c>
      <c r="C585">
        <v>0.56850000000000001</v>
      </c>
      <c r="D585">
        <v>0.48080000000000001</v>
      </c>
      <c r="E585">
        <v>0.5595</v>
      </c>
      <c r="F585">
        <v>6560820.3899999997</v>
      </c>
      <c r="G585">
        <v>0</v>
      </c>
      <c r="L585" t="s">
        <v>8</v>
      </c>
      <c r="M585" t="s">
        <v>8</v>
      </c>
      <c r="N585" t="s">
        <v>8</v>
      </c>
      <c r="P585">
        <f t="shared" si="989"/>
        <v>0.79475484606613434</v>
      </c>
      <c r="Q585">
        <f t="shared" si="990"/>
        <v>5214243.7991220048</v>
      </c>
      <c r="R585">
        <f t="shared" si="991"/>
        <v>-3418935.7147102496</v>
      </c>
      <c r="S585">
        <f t="shared" si="992"/>
        <v>-34.189357147102498</v>
      </c>
      <c r="T585">
        <f t="shared" si="993"/>
        <v>-3.41893571471025E-2</v>
      </c>
    </row>
    <row r="586" spans="1:20" x14ac:dyDescent="0.25">
      <c r="A586" s="5">
        <v>44007</v>
      </c>
      <c r="B586">
        <v>0.46100000000000002</v>
      </c>
      <c r="C586">
        <v>0.52600000000000002</v>
      </c>
      <c r="D586">
        <v>0.43719999999999998</v>
      </c>
      <c r="E586">
        <v>0.51549999999999996</v>
      </c>
      <c r="F586">
        <v>4454614.4400000004</v>
      </c>
      <c r="G586">
        <v>0</v>
      </c>
      <c r="L586" t="s">
        <v>8</v>
      </c>
      <c r="M586" t="s">
        <v>8</v>
      </c>
      <c r="N586" t="s">
        <v>8</v>
      </c>
      <c r="P586">
        <f t="shared" si="989"/>
        <v>0.76351351351351215</v>
      </c>
      <c r="Q586">
        <f t="shared" si="990"/>
        <v>3401158.3224324267</v>
      </c>
      <c r="R586">
        <f t="shared" si="991"/>
        <v>-8633179.5138322543</v>
      </c>
      <c r="S586">
        <f t="shared" si="992"/>
        <v>-86.331795138322548</v>
      </c>
      <c r="T586">
        <f t="shared" si="993"/>
        <v>-8.6331795138322551E-2</v>
      </c>
    </row>
    <row r="587" spans="1:20" x14ac:dyDescent="0.25">
      <c r="A587" s="5">
        <v>44006</v>
      </c>
      <c r="B587">
        <v>0.45029999999999998</v>
      </c>
      <c r="C587">
        <v>0.47</v>
      </c>
      <c r="D587">
        <v>0.44640000000000002</v>
      </c>
      <c r="E587">
        <v>0.46110000000000001</v>
      </c>
      <c r="F587">
        <v>1486340.66</v>
      </c>
      <c r="G587">
        <v>0</v>
      </c>
      <c r="L587" t="s">
        <v>8</v>
      </c>
      <c r="M587" t="s">
        <v>8</v>
      </c>
      <c r="N587" t="s">
        <v>7</v>
      </c>
      <c r="P587">
        <f t="shared" si="989"/>
        <v>0.2457627118644084</v>
      </c>
      <c r="Q587">
        <f t="shared" si="990"/>
        <v>365287.11135593458</v>
      </c>
      <c r="R587">
        <f t="shared" si="991"/>
        <v>-12034337.836264681</v>
      </c>
      <c r="S587">
        <f t="shared" si="992"/>
        <v>-120.34337836264682</v>
      </c>
      <c r="T587">
        <f t="shared" si="993"/>
        <v>-0.12034337836264682</v>
      </c>
    </row>
    <row r="588" spans="1:20" x14ac:dyDescent="0.25">
      <c r="A588" s="5">
        <v>44005</v>
      </c>
      <c r="B588">
        <v>0.44140000000000001</v>
      </c>
      <c r="C588">
        <v>0.46429999999999999</v>
      </c>
      <c r="D588">
        <v>0.44140000000000001</v>
      </c>
      <c r="E588">
        <v>0.4516</v>
      </c>
      <c r="F588">
        <v>810066.87</v>
      </c>
      <c r="G588">
        <v>0</v>
      </c>
      <c r="L588" t="s">
        <v>8</v>
      </c>
      <c r="M588" t="s">
        <v>8</v>
      </c>
      <c r="N588" t="s">
        <v>7</v>
      </c>
      <c r="P588">
        <f t="shared" si="989"/>
        <v>-0.10917030567685611</v>
      </c>
      <c r="Q588">
        <f t="shared" si="990"/>
        <v>-88435.247816594056</v>
      </c>
      <c r="R588">
        <f t="shared" si="991"/>
        <v>-12399624.947620615</v>
      </c>
      <c r="S588">
        <f t="shared" si="992"/>
        <v>-123.99624947620616</v>
      </c>
      <c r="T588">
        <f t="shared" si="993"/>
        <v>-0.12399624947620616</v>
      </c>
    </row>
    <row r="589" spans="1:20" x14ac:dyDescent="0.25">
      <c r="A589" s="5">
        <v>44004</v>
      </c>
      <c r="B589">
        <v>0.4365</v>
      </c>
      <c r="C589">
        <v>0.4531</v>
      </c>
      <c r="D589">
        <v>0.42809999999999998</v>
      </c>
      <c r="E589">
        <v>0.44130000000000003</v>
      </c>
      <c r="F589">
        <v>896438.67</v>
      </c>
      <c r="G589">
        <v>0</v>
      </c>
      <c r="L589" t="s">
        <v>7</v>
      </c>
      <c r="M589" t="s">
        <v>8</v>
      </c>
      <c r="N589" t="s">
        <v>7</v>
      </c>
      <c r="P589">
        <f t="shared" si="989"/>
        <v>5.6000000000002666E-2</v>
      </c>
      <c r="Q589">
        <f t="shared" si="990"/>
        <v>50200.56552000239</v>
      </c>
      <c r="R589">
        <f t="shared" si="991"/>
        <v>-12311189.699804021</v>
      </c>
      <c r="S589">
        <f t="shared" si="992"/>
        <v>-123.11189699804021</v>
      </c>
      <c r="T589">
        <f t="shared" si="993"/>
        <v>-0.1231118969980402</v>
      </c>
    </row>
    <row r="590" spans="1:20" x14ac:dyDescent="0.25">
      <c r="A590" s="5">
        <v>44003</v>
      </c>
      <c r="B590">
        <v>0.46529999999999999</v>
      </c>
      <c r="C590">
        <v>0.46920000000000001</v>
      </c>
      <c r="D590">
        <v>0.43109999999999998</v>
      </c>
      <c r="E590">
        <v>0.4365</v>
      </c>
      <c r="F590">
        <v>761104.88</v>
      </c>
      <c r="G590">
        <v>0</v>
      </c>
      <c r="L590" t="s">
        <v>7</v>
      </c>
      <c r="M590" t="s">
        <v>8</v>
      </c>
      <c r="N590" t="s">
        <v>7</v>
      </c>
      <c r="P590">
        <f t="shared" si="989"/>
        <v>-0.71653543307086542</v>
      </c>
      <c r="Q590">
        <f t="shared" si="990"/>
        <v>-545358.61480314902</v>
      </c>
      <c r="R590">
        <f t="shared" si="991"/>
        <v>-12361390.265324023</v>
      </c>
      <c r="S590">
        <f t="shared" si="992"/>
        <v>-123.61390265324023</v>
      </c>
      <c r="T590">
        <f t="shared" si="993"/>
        <v>-0.12361390265324024</v>
      </c>
    </row>
    <row r="591" spans="1:20" x14ac:dyDescent="0.25">
      <c r="A591" s="5">
        <v>44002</v>
      </c>
      <c r="B591">
        <v>0.48039999999999999</v>
      </c>
      <c r="C591">
        <v>0.48039999999999999</v>
      </c>
      <c r="D591">
        <v>0.438</v>
      </c>
      <c r="E591">
        <v>0.46300000000000002</v>
      </c>
      <c r="F591">
        <v>1168535.78</v>
      </c>
      <c r="G591">
        <v>0</v>
      </c>
      <c r="L591" t="s">
        <v>7</v>
      </c>
      <c r="M591" t="s">
        <v>8</v>
      </c>
      <c r="N591" t="s">
        <v>7</v>
      </c>
      <c r="P591">
        <f t="shared" si="989"/>
        <v>0.17924528301886916</v>
      </c>
      <c r="Q591">
        <f t="shared" si="990"/>
        <v>209454.52660377504</v>
      </c>
      <c r="R591">
        <f t="shared" si="991"/>
        <v>-11816031.650520874</v>
      </c>
      <c r="S591">
        <f t="shared" si="992"/>
        <v>-118.16031650520874</v>
      </c>
      <c r="T591">
        <f t="shared" si="993"/>
        <v>-0.11816031650520874</v>
      </c>
    </row>
    <row r="592" spans="1:20" x14ac:dyDescent="0.25">
      <c r="A592" s="5">
        <v>44001</v>
      </c>
      <c r="B592">
        <v>0.44450000000000001</v>
      </c>
      <c r="C592">
        <v>0.48459999999999998</v>
      </c>
      <c r="D592">
        <v>0.43</v>
      </c>
      <c r="E592">
        <v>0.47749999999999998</v>
      </c>
      <c r="F592">
        <v>2399147.69</v>
      </c>
      <c r="G592">
        <v>0</v>
      </c>
      <c r="L592" t="s">
        <v>8</v>
      </c>
      <c r="M592" t="s">
        <v>8</v>
      </c>
      <c r="N592" t="s">
        <v>7</v>
      </c>
      <c r="P592">
        <f t="shared" si="989"/>
        <v>0.73992673992673996</v>
      </c>
      <c r="Q592">
        <f t="shared" si="990"/>
        <v>1775193.5288644689</v>
      </c>
      <c r="R592">
        <f t="shared" si="991"/>
        <v>-12025486.177124649</v>
      </c>
      <c r="S592">
        <f t="shared" si="992"/>
        <v>-120.2548617712465</v>
      </c>
      <c r="T592">
        <f t="shared" si="993"/>
        <v>-0.1202548617712465</v>
      </c>
    </row>
    <row r="593" spans="1:20" x14ac:dyDescent="0.25">
      <c r="A593" s="5">
        <v>44000</v>
      </c>
      <c r="B593">
        <v>0.42920000000000003</v>
      </c>
      <c r="C593">
        <v>0.45369999999999999</v>
      </c>
      <c r="D593">
        <v>0.42220000000000002</v>
      </c>
      <c r="E593">
        <v>0.4446</v>
      </c>
      <c r="F593">
        <v>1369439.89</v>
      </c>
      <c r="G593">
        <v>0</v>
      </c>
      <c r="L593" t="s">
        <v>8</v>
      </c>
      <c r="M593" t="s">
        <v>7</v>
      </c>
      <c r="N593" t="s">
        <v>7</v>
      </c>
      <c r="P593">
        <f t="shared" si="989"/>
        <v>0.42222222222222189</v>
      </c>
      <c r="Q593">
        <f t="shared" si="990"/>
        <v>578207.95355555508</v>
      </c>
      <c r="R593">
        <f t="shared" si="991"/>
        <v>-13800679.705989119</v>
      </c>
      <c r="S593">
        <f t="shared" si="992"/>
        <v>-138.0067970598912</v>
      </c>
      <c r="T593">
        <f t="shared" si="993"/>
        <v>-0.13800679705989119</v>
      </c>
    </row>
    <row r="594" spans="1:20" x14ac:dyDescent="0.25">
      <c r="A594" s="5">
        <v>43999</v>
      </c>
      <c r="B594">
        <v>0.43140000000000001</v>
      </c>
      <c r="C594">
        <v>0.43690000000000001</v>
      </c>
      <c r="D594">
        <v>0.41010000000000002</v>
      </c>
      <c r="E594">
        <v>0.42920000000000003</v>
      </c>
      <c r="F594">
        <v>848796.31</v>
      </c>
      <c r="G594">
        <v>0</v>
      </c>
      <c r="L594" t="s">
        <v>7</v>
      </c>
      <c r="M594" t="s">
        <v>7</v>
      </c>
      <c r="N594" t="s">
        <v>7</v>
      </c>
      <c r="P594">
        <f t="shared" si="989"/>
        <v>0.42537313432835916</v>
      </c>
      <c r="Q594">
        <f t="shared" si="990"/>
        <v>361055.14679104561</v>
      </c>
      <c r="R594">
        <f t="shared" si="991"/>
        <v>-14378887.659544675</v>
      </c>
      <c r="S594">
        <f t="shared" si="992"/>
        <v>-143.78887659544674</v>
      </c>
      <c r="T594">
        <f t="shared" si="993"/>
        <v>-0.14378887659544673</v>
      </c>
    </row>
    <row r="595" spans="1:20" x14ac:dyDescent="0.25">
      <c r="A595" s="5">
        <v>43998</v>
      </c>
      <c r="B595">
        <v>0.41899999999999998</v>
      </c>
      <c r="C595">
        <v>0.44350000000000001</v>
      </c>
      <c r="D595">
        <v>0.41260000000000002</v>
      </c>
      <c r="E595">
        <v>0.42930000000000001</v>
      </c>
      <c r="F595">
        <v>1451681.9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8.0906148867314037E-2</v>
      </c>
      <c r="Q595">
        <f t="shared" si="990"/>
        <v>117449.99190938528</v>
      </c>
      <c r="R595">
        <f t="shared" si="991"/>
        <v>-14739942.806335721</v>
      </c>
      <c r="S595">
        <f t="shared" si="992"/>
        <v>-147.39942806335722</v>
      </c>
      <c r="T595">
        <f t="shared" si="993"/>
        <v>-0.14739942806335721</v>
      </c>
    </row>
    <row r="596" spans="1:20" x14ac:dyDescent="0.25">
      <c r="A596" s="5">
        <v>43997</v>
      </c>
      <c r="B596">
        <v>0.41270000000000001</v>
      </c>
      <c r="C596">
        <v>0.42</v>
      </c>
      <c r="D596">
        <v>0.38450000000000001</v>
      </c>
      <c r="E596">
        <v>0.41720000000000002</v>
      </c>
      <c r="F596">
        <v>1573602.68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0.84225352112676222</v>
      </c>
      <c r="Q596">
        <f t="shared" si="990"/>
        <v>1325372.3980845097</v>
      </c>
      <c r="R596">
        <f t="shared" si="991"/>
        <v>-14857392.798245106</v>
      </c>
      <c r="S596">
        <f t="shared" si="992"/>
        <v>-148.57392798245107</v>
      </c>
      <c r="T596">
        <f t="shared" si="993"/>
        <v>-0.14857392798245106</v>
      </c>
    </row>
    <row r="597" spans="1:20" x14ac:dyDescent="0.25">
      <c r="A597" s="5">
        <v>43996</v>
      </c>
      <c r="B597">
        <v>0.43859999999999999</v>
      </c>
      <c r="C597">
        <v>0.44650000000000001</v>
      </c>
      <c r="D597">
        <v>0.40550000000000003</v>
      </c>
      <c r="E597">
        <v>0.41360000000000002</v>
      </c>
      <c r="F597">
        <v>981484</v>
      </c>
      <c r="G597">
        <v>0</v>
      </c>
      <c r="L597" t="s">
        <v>7</v>
      </c>
      <c r="M597" t="s">
        <v>8</v>
      </c>
      <c r="N597" t="s">
        <v>7</v>
      </c>
      <c r="P597">
        <f t="shared" si="989"/>
        <v>-0.60487804878048779</v>
      </c>
      <c r="Q597">
        <f t="shared" si="990"/>
        <v>-593678.12682926829</v>
      </c>
      <c r="R597">
        <f t="shared" si="991"/>
        <v>-16182765.196329616</v>
      </c>
      <c r="S597">
        <f t="shared" si="992"/>
        <v>-161.82765196329615</v>
      </c>
      <c r="T597">
        <f t="shared" si="993"/>
        <v>-0.16182765196329615</v>
      </c>
    </row>
    <row r="598" spans="1:20" x14ac:dyDescent="0.25">
      <c r="A598" s="5">
        <v>43995</v>
      </c>
      <c r="B598">
        <v>0.44929999999999998</v>
      </c>
      <c r="C598">
        <v>0.46579999999999999</v>
      </c>
      <c r="D598">
        <v>0.43369999999999997</v>
      </c>
      <c r="E598">
        <v>0.43859999999999999</v>
      </c>
      <c r="F598">
        <v>1222736.8999999999</v>
      </c>
      <c r="G598">
        <v>0</v>
      </c>
      <c r="L598" t="s">
        <v>7</v>
      </c>
      <c r="M598" t="s">
        <v>8</v>
      </c>
      <c r="N598" t="s">
        <v>7</v>
      </c>
      <c r="P598">
        <f t="shared" si="989"/>
        <v>-0.69470404984423595</v>
      </c>
      <c r="Q598">
        <f t="shared" si="990"/>
        <v>-849440.27632398647</v>
      </c>
      <c r="R598">
        <f t="shared" si="991"/>
        <v>-15589087.069500348</v>
      </c>
      <c r="S598">
        <f t="shared" si="992"/>
        <v>-155.89087069500349</v>
      </c>
      <c r="T598">
        <f t="shared" si="993"/>
        <v>-0.15589087069500349</v>
      </c>
    </row>
    <row r="599" spans="1:20" x14ac:dyDescent="0.25">
      <c r="A599" s="5">
        <v>43994</v>
      </c>
      <c r="B599">
        <v>0.43049999999999999</v>
      </c>
      <c r="C599">
        <v>0.46500000000000002</v>
      </c>
      <c r="D599">
        <v>0.41499999999999998</v>
      </c>
      <c r="E599">
        <v>0.44940000000000002</v>
      </c>
      <c r="F599">
        <v>1661099.3</v>
      </c>
      <c r="G599">
        <v>0</v>
      </c>
      <c r="L599" t="s">
        <v>8</v>
      </c>
      <c r="M599" t="s">
        <v>8</v>
      </c>
      <c r="N599" t="s">
        <v>7</v>
      </c>
      <c r="P599">
        <f t="shared" si="989"/>
        <v>0.37600000000000044</v>
      </c>
      <c r="Q599">
        <f t="shared" si="990"/>
        <v>624573.33680000075</v>
      </c>
      <c r="R599">
        <f t="shared" si="991"/>
        <v>-14739646.79317636</v>
      </c>
      <c r="S599">
        <f t="shared" si="992"/>
        <v>-147.3964679317636</v>
      </c>
      <c r="T599">
        <f t="shared" si="993"/>
        <v>-0.14739646793176359</v>
      </c>
    </row>
    <row r="600" spans="1:20" x14ac:dyDescent="0.25">
      <c r="A600" s="5">
        <v>43993</v>
      </c>
      <c r="B600">
        <v>0.51719999999999999</v>
      </c>
      <c r="C600">
        <v>0.51749999999999996</v>
      </c>
      <c r="D600">
        <v>0.38279999999999997</v>
      </c>
      <c r="E600">
        <v>0.43049999999999999</v>
      </c>
      <c r="F600">
        <v>4037612.92</v>
      </c>
      <c r="G600">
        <v>0</v>
      </c>
      <c r="L600" t="s">
        <v>7</v>
      </c>
      <c r="M600" t="s">
        <v>7</v>
      </c>
      <c r="N600" t="s">
        <v>7</v>
      </c>
      <c r="P600">
        <f t="shared" si="989"/>
        <v>-0.29175946547884152</v>
      </c>
      <c r="Q600">
        <f t="shared" si="990"/>
        <v>-1178011.7873496644</v>
      </c>
      <c r="R600">
        <f t="shared" si="991"/>
        <v>-15364220.129976362</v>
      </c>
      <c r="S600">
        <f t="shared" si="992"/>
        <v>-153.64220129976363</v>
      </c>
      <c r="T600">
        <f t="shared" si="993"/>
        <v>-0.15364220129976364</v>
      </c>
    </row>
    <row r="601" spans="1:20" x14ac:dyDescent="0.25">
      <c r="A601" s="5">
        <v>43992</v>
      </c>
      <c r="B601">
        <v>0.45329999999999998</v>
      </c>
      <c r="C601">
        <v>0.51749999999999996</v>
      </c>
      <c r="D601">
        <v>0.44180000000000003</v>
      </c>
      <c r="E601">
        <v>0.51749999999999996</v>
      </c>
      <c r="F601">
        <v>2743239.21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1</v>
      </c>
      <c r="Q601">
        <f t="shared" si="990"/>
        <v>2743239.21</v>
      </c>
      <c r="R601">
        <f t="shared" si="991"/>
        <v>-14186208.342626698</v>
      </c>
      <c r="S601">
        <f t="shared" si="992"/>
        <v>-141.86208342626699</v>
      </c>
      <c r="T601">
        <f t="shared" si="993"/>
        <v>-0.14186208342626699</v>
      </c>
    </row>
    <row r="602" spans="1:20" x14ac:dyDescent="0.25">
      <c r="A602" s="5">
        <v>43991</v>
      </c>
      <c r="B602">
        <v>0.45050000000000001</v>
      </c>
      <c r="C602">
        <v>0.47310000000000002</v>
      </c>
      <c r="D602">
        <v>0.43469999999999998</v>
      </c>
      <c r="E602">
        <v>0.45329999999999998</v>
      </c>
      <c r="F602">
        <v>2054928.93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-3.125000000000086E-2</v>
      </c>
      <c r="Q602">
        <f t="shared" si="990"/>
        <v>-64216.529062501766</v>
      </c>
      <c r="R602">
        <f t="shared" si="991"/>
        <v>-16929447.552626699</v>
      </c>
      <c r="S602">
        <f t="shared" si="992"/>
        <v>-169.29447552626698</v>
      </c>
      <c r="T602">
        <f t="shared" si="993"/>
        <v>-0.16929447552626697</v>
      </c>
    </row>
    <row r="603" spans="1:20" x14ac:dyDescent="0.25">
      <c r="A603" s="5">
        <v>43990</v>
      </c>
      <c r="B603">
        <v>0.4163</v>
      </c>
      <c r="C603">
        <v>0.46139999999999998</v>
      </c>
      <c r="D603">
        <v>0.4138</v>
      </c>
      <c r="E603">
        <v>0.44929999999999998</v>
      </c>
      <c r="F603">
        <v>3305676.26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0.49159663865546194</v>
      </c>
      <c r="Q603">
        <f t="shared" si="990"/>
        <v>1625059.3378991587</v>
      </c>
      <c r="R603">
        <f t="shared" si="991"/>
        <v>-16865231.023564197</v>
      </c>
      <c r="S603">
        <f t="shared" si="992"/>
        <v>-168.65231023564198</v>
      </c>
      <c r="T603">
        <f t="shared" si="993"/>
        <v>-0.16865231023564198</v>
      </c>
    </row>
    <row r="604" spans="1:20" x14ac:dyDescent="0.25">
      <c r="A604" s="5">
        <v>43989</v>
      </c>
      <c r="B604">
        <v>0.40300000000000002</v>
      </c>
      <c r="C604">
        <v>0.42080000000000001</v>
      </c>
      <c r="D604">
        <v>0.39019999999999999</v>
      </c>
      <c r="E604">
        <v>0.41589999999999999</v>
      </c>
      <c r="F604">
        <v>1189137.47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0.67973856209150241</v>
      </c>
      <c r="Q604">
        <f t="shared" si="990"/>
        <v>808302.59398692707</v>
      </c>
      <c r="R604">
        <f t="shared" si="991"/>
        <v>-18490290.361463357</v>
      </c>
      <c r="S604">
        <f t="shared" si="992"/>
        <v>-184.90290361463357</v>
      </c>
      <c r="T604">
        <f t="shared" si="993"/>
        <v>-0.18490290361463357</v>
      </c>
    </row>
    <row r="605" spans="1:20" x14ac:dyDescent="0.25">
      <c r="A605" s="5">
        <v>43988</v>
      </c>
      <c r="B605">
        <v>0.3997</v>
      </c>
      <c r="C605">
        <v>0.41620000000000001</v>
      </c>
      <c r="D605">
        <v>0.39700000000000002</v>
      </c>
      <c r="E605">
        <v>0.40339999999999998</v>
      </c>
      <c r="F605">
        <v>950228.93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-0.3333333333333372</v>
      </c>
      <c r="Q605">
        <f t="shared" si="990"/>
        <v>-316742.97666667035</v>
      </c>
      <c r="R605">
        <f t="shared" si="991"/>
        <v>-19298592.955450285</v>
      </c>
      <c r="S605">
        <f t="shared" si="992"/>
        <v>-192.98592955450286</v>
      </c>
      <c r="T605">
        <f t="shared" si="993"/>
        <v>-0.19298592955450286</v>
      </c>
    </row>
    <row r="606" spans="1:20" x14ac:dyDescent="0.25">
      <c r="A606" s="5">
        <v>43987</v>
      </c>
      <c r="B606">
        <v>0.39979999999999999</v>
      </c>
      <c r="C606">
        <v>0.40489999999999998</v>
      </c>
      <c r="D606">
        <v>0.39629999999999999</v>
      </c>
      <c r="E606">
        <v>0.3997</v>
      </c>
      <c r="F606">
        <v>527986.06000000006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-0.20930232558139175</v>
      </c>
      <c r="Q606">
        <f t="shared" si="990"/>
        <v>-110508.71023255626</v>
      </c>
      <c r="R606">
        <f t="shared" si="991"/>
        <v>-18981849.978783615</v>
      </c>
      <c r="S606">
        <f t="shared" si="992"/>
        <v>-189.81849978783615</v>
      </c>
      <c r="T606">
        <f t="shared" si="993"/>
        <v>-0.18981849978783616</v>
      </c>
    </row>
    <row r="607" spans="1:20" x14ac:dyDescent="0.25">
      <c r="A607" s="5">
        <v>43986</v>
      </c>
      <c r="B607">
        <v>0.39910000000000001</v>
      </c>
      <c r="C607">
        <v>0.4052</v>
      </c>
      <c r="D607">
        <v>0.38890000000000002</v>
      </c>
      <c r="E607">
        <v>0.39960000000000001</v>
      </c>
      <c r="F607">
        <v>688307.48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0.31288343558282206</v>
      </c>
      <c r="Q607">
        <f t="shared" si="990"/>
        <v>215360.00907975459</v>
      </c>
      <c r="R607">
        <f t="shared" si="991"/>
        <v>-18871341.268551059</v>
      </c>
      <c r="S607">
        <f t="shared" si="992"/>
        <v>-188.7134126855106</v>
      </c>
      <c r="T607">
        <f t="shared" si="993"/>
        <v>-0.18871341268551062</v>
      </c>
    </row>
    <row r="608" spans="1:20" x14ac:dyDescent="0.25">
      <c r="A608" s="5">
        <v>43985</v>
      </c>
      <c r="B608">
        <v>0.39860000000000001</v>
      </c>
      <c r="C608">
        <v>0.41</v>
      </c>
      <c r="D608">
        <v>0.38950000000000001</v>
      </c>
      <c r="E608">
        <v>0.40039999999999998</v>
      </c>
      <c r="F608">
        <v>862683.77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6.3414634146340007E-2</v>
      </c>
      <c r="Q608">
        <f t="shared" si="990"/>
        <v>54706.775658535327</v>
      </c>
      <c r="R608">
        <f t="shared" si="991"/>
        <v>-19086701.277630813</v>
      </c>
      <c r="S608">
        <f t="shared" si="992"/>
        <v>-190.86701277630814</v>
      </c>
      <c r="T608">
        <f t="shared" si="993"/>
        <v>-0.19086701277630813</v>
      </c>
    </row>
    <row r="609" spans="1:20" x14ac:dyDescent="0.25">
      <c r="A609" s="5">
        <v>43984</v>
      </c>
      <c r="B609">
        <v>0.40699999999999997</v>
      </c>
      <c r="C609">
        <v>0.41870000000000002</v>
      </c>
      <c r="D609">
        <v>0.37790000000000001</v>
      </c>
      <c r="E609">
        <v>0.39950000000000002</v>
      </c>
      <c r="F609">
        <v>1503509.45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5.8823529411765024E-2</v>
      </c>
      <c r="Q609">
        <f t="shared" si="990"/>
        <v>88441.732352941646</v>
      </c>
      <c r="R609">
        <f t="shared" si="991"/>
        <v>-19141408.05328935</v>
      </c>
      <c r="S609">
        <f t="shared" si="992"/>
        <v>-191.41408053289351</v>
      </c>
      <c r="T609">
        <f t="shared" si="993"/>
        <v>-0.19141408053289349</v>
      </c>
    </row>
    <row r="610" spans="1:20" x14ac:dyDescent="0.25">
      <c r="A610" s="5">
        <v>43983</v>
      </c>
      <c r="B610">
        <v>0.3881</v>
      </c>
      <c r="C610">
        <v>0.432</v>
      </c>
      <c r="D610">
        <v>0.3856</v>
      </c>
      <c r="E610">
        <v>0.40500000000000003</v>
      </c>
      <c r="F610">
        <v>2556355.36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-0.16379310344827458</v>
      </c>
      <c r="Q610">
        <f t="shared" si="990"/>
        <v>-418713.37793103117</v>
      </c>
      <c r="R610">
        <f t="shared" si="991"/>
        <v>-19229849.785642292</v>
      </c>
      <c r="S610">
        <f t="shared" si="992"/>
        <v>-192.29849785642293</v>
      </c>
      <c r="T610">
        <f t="shared" si="993"/>
        <v>-0.19229849785642292</v>
      </c>
    </row>
    <row r="611" spans="1:20" x14ac:dyDescent="0.25">
      <c r="A611" s="5">
        <v>43982</v>
      </c>
      <c r="B611">
        <v>0.40610000000000002</v>
      </c>
      <c r="C611">
        <v>0.41089999999999999</v>
      </c>
      <c r="D611">
        <v>0.38179999999999997</v>
      </c>
      <c r="E611">
        <v>0.38850000000000001</v>
      </c>
      <c r="F611">
        <v>792496.43</v>
      </c>
      <c r="G611">
        <v>0</v>
      </c>
      <c r="L611" t="s">
        <v>7</v>
      </c>
      <c r="M611" t="s">
        <v>8</v>
      </c>
      <c r="N611" t="s">
        <v>8</v>
      </c>
      <c r="P611">
        <f t="shared" si="989"/>
        <v>-0.53951890034364014</v>
      </c>
      <c r="Q611">
        <f t="shared" si="990"/>
        <v>-427566.80243986059</v>
      </c>
      <c r="R611">
        <f t="shared" si="991"/>
        <v>-18811136.40771126</v>
      </c>
      <c r="S611">
        <f t="shared" si="992"/>
        <v>-188.1113640771126</v>
      </c>
      <c r="T611">
        <f t="shared" si="993"/>
        <v>-0.1881113640771126</v>
      </c>
    </row>
    <row r="612" spans="1:20" x14ac:dyDescent="0.25">
      <c r="A612" s="5">
        <v>43981</v>
      </c>
      <c r="B612">
        <v>0.3997</v>
      </c>
      <c r="C612">
        <v>0.434</v>
      </c>
      <c r="D612">
        <v>0.39739999999999998</v>
      </c>
      <c r="E612">
        <v>0.40660000000000002</v>
      </c>
      <c r="F612">
        <v>1502381.78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-0.49726775956283958</v>
      </c>
      <c r="Q612">
        <f t="shared" si="990"/>
        <v>-747086.02174863091</v>
      </c>
      <c r="R612">
        <f t="shared" si="991"/>
        <v>-18383569.605271399</v>
      </c>
      <c r="S612">
        <f t="shared" si="992"/>
        <v>-183.83569605271398</v>
      </c>
      <c r="T612">
        <f t="shared" si="993"/>
        <v>-0.18383569605271399</v>
      </c>
    </row>
    <row r="613" spans="1:20" x14ac:dyDescent="0.25">
      <c r="A613" s="5">
        <v>43980</v>
      </c>
      <c r="B613">
        <v>0.40150000000000002</v>
      </c>
      <c r="C613">
        <v>0.40860000000000002</v>
      </c>
      <c r="D613">
        <v>0.39500000000000002</v>
      </c>
      <c r="E613">
        <v>0.39800000000000002</v>
      </c>
      <c r="F613">
        <v>653453.16</v>
      </c>
      <c r="G613">
        <v>0</v>
      </c>
      <c r="L613" t="s">
        <v>7</v>
      </c>
      <c r="M613" t="s">
        <v>8</v>
      </c>
      <c r="N613" t="s">
        <v>8</v>
      </c>
      <c r="P613">
        <f t="shared" si="989"/>
        <v>-0.55882352941176439</v>
      </c>
      <c r="Q613">
        <f t="shared" si="990"/>
        <v>-365165.00117647042</v>
      </c>
      <c r="R613">
        <f t="shared" si="991"/>
        <v>-17636483.583522767</v>
      </c>
      <c r="S613">
        <f t="shared" si="992"/>
        <v>-176.36483583522767</v>
      </c>
      <c r="T613">
        <f t="shared" si="993"/>
        <v>-0.17636483583522766</v>
      </c>
    </row>
    <row r="614" spans="1:20" x14ac:dyDescent="0.25">
      <c r="A614" s="5">
        <v>43979</v>
      </c>
      <c r="B614">
        <v>0.40300000000000002</v>
      </c>
      <c r="C614">
        <v>0.40970000000000001</v>
      </c>
      <c r="D614">
        <v>0.3926</v>
      </c>
      <c r="E614">
        <v>0.39950000000000002</v>
      </c>
      <c r="F614">
        <v>591787.86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-0.19298245614034906</v>
      </c>
      <c r="Q614">
        <f t="shared" si="990"/>
        <v>-114204.67473684103</v>
      </c>
      <c r="R614">
        <f t="shared" si="991"/>
        <v>-17271318.582346298</v>
      </c>
      <c r="S614">
        <f t="shared" si="992"/>
        <v>-172.71318582346296</v>
      </c>
      <c r="T614">
        <f t="shared" si="993"/>
        <v>-0.17271318582346296</v>
      </c>
    </row>
    <row r="615" spans="1:20" x14ac:dyDescent="0.25">
      <c r="A615" s="5">
        <v>43978</v>
      </c>
      <c r="B615">
        <v>0.4224</v>
      </c>
      <c r="C615">
        <v>0.4249</v>
      </c>
      <c r="D615">
        <v>0.38550000000000001</v>
      </c>
      <c r="E615">
        <v>0.40379999999999999</v>
      </c>
      <c r="F615">
        <v>1322922.97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-7.1065989847716379E-2</v>
      </c>
      <c r="Q615">
        <f t="shared" si="990"/>
        <v>-94014.830355330792</v>
      </c>
      <c r="R615">
        <f t="shared" si="991"/>
        <v>-17157113.907609455</v>
      </c>
      <c r="S615">
        <f t="shared" si="992"/>
        <v>-171.57113907609454</v>
      </c>
      <c r="T615">
        <f t="shared" si="993"/>
        <v>-0.17157113907609453</v>
      </c>
    </row>
    <row r="616" spans="1:20" x14ac:dyDescent="0.25">
      <c r="A616" s="5">
        <v>43977</v>
      </c>
      <c r="B616">
        <v>0.4098</v>
      </c>
      <c r="C616">
        <v>0.42599999999999999</v>
      </c>
      <c r="D616">
        <v>0.39119999999999999</v>
      </c>
      <c r="E616">
        <v>0.42170000000000002</v>
      </c>
      <c r="F616">
        <v>1474214.38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0.75287356321839249</v>
      </c>
      <c r="Q616">
        <f t="shared" si="990"/>
        <v>1109897.0332183931</v>
      </c>
      <c r="R616">
        <f t="shared" si="991"/>
        <v>-17063099.077254124</v>
      </c>
      <c r="S616">
        <f t="shared" si="992"/>
        <v>-170.63099077254125</v>
      </c>
      <c r="T616">
        <f t="shared" si="993"/>
        <v>-0.17063099077254126</v>
      </c>
    </row>
    <row r="617" spans="1:20" x14ac:dyDescent="0.25">
      <c r="A617" s="5">
        <v>43976</v>
      </c>
      <c r="B617">
        <v>0.37</v>
      </c>
      <c r="C617">
        <v>0.41199999999999998</v>
      </c>
      <c r="D617">
        <v>0.36620000000000003</v>
      </c>
      <c r="E617">
        <v>0.40939999999999999</v>
      </c>
      <c r="F617">
        <v>2419338.5299999998</v>
      </c>
      <c r="G617">
        <v>0</v>
      </c>
      <c r="L617" t="s">
        <v>8</v>
      </c>
      <c r="M617" t="s">
        <v>8</v>
      </c>
      <c r="N617" t="s">
        <v>7</v>
      </c>
      <c r="P617">
        <f t="shared" si="989"/>
        <v>0.88646288209607016</v>
      </c>
      <c r="Q617">
        <f t="shared" si="990"/>
        <v>2144653.8060698695</v>
      </c>
      <c r="R617">
        <f t="shared" si="991"/>
        <v>-18172996.110472515</v>
      </c>
      <c r="S617">
        <f t="shared" si="992"/>
        <v>-181.72996110472516</v>
      </c>
      <c r="T617">
        <f t="shared" si="993"/>
        <v>-0.18172996110472517</v>
      </c>
    </row>
    <row r="618" spans="1:20" x14ac:dyDescent="0.25">
      <c r="A618" s="5">
        <v>43975</v>
      </c>
      <c r="B618">
        <v>0.37930000000000003</v>
      </c>
      <c r="C618">
        <v>0.39889999999999998</v>
      </c>
      <c r="D618">
        <v>0.36709999999999998</v>
      </c>
      <c r="E618">
        <v>0.3705</v>
      </c>
      <c r="F618">
        <v>1439422</v>
      </c>
      <c r="G618">
        <v>0</v>
      </c>
      <c r="L618" t="s">
        <v>7</v>
      </c>
      <c r="M618" t="s">
        <v>8</v>
      </c>
      <c r="N618" t="s">
        <v>7</v>
      </c>
      <c r="P618">
        <f t="shared" si="989"/>
        <v>-0.78616352201257766</v>
      </c>
      <c r="Q618">
        <f t="shared" si="990"/>
        <v>-1131621.0691823885</v>
      </c>
      <c r="R618">
        <f t="shared" si="991"/>
        <v>-20317649.916542385</v>
      </c>
      <c r="S618">
        <f t="shared" si="992"/>
        <v>-203.17649916542385</v>
      </c>
      <c r="T618">
        <f t="shared" si="993"/>
        <v>-0.20317649916542385</v>
      </c>
    </row>
    <row r="619" spans="1:20" x14ac:dyDescent="0.25">
      <c r="A619" s="5">
        <v>43974</v>
      </c>
      <c r="B619">
        <v>0.39179999999999998</v>
      </c>
      <c r="C619">
        <v>0.40770000000000001</v>
      </c>
      <c r="D619">
        <v>0.3795</v>
      </c>
      <c r="E619">
        <v>0.38</v>
      </c>
      <c r="F619">
        <v>1069795.28</v>
      </c>
      <c r="G619">
        <v>0</v>
      </c>
      <c r="L619" t="s">
        <v>8</v>
      </c>
      <c r="M619" t="s">
        <v>8</v>
      </c>
      <c r="N619" t="s">
        <v>7</v>
      </c>
      <c r="P619">
        <f t="shared" si="989"/>
        <v>-0.96453900709219853</v>
      </c>
      <c r="Q619">
        <f t="shared" si="990"/>
        <v>-1031859.2771631206</v>
      </c>
      <c r="R619">
        <f t="shared" si="991"/>
        <v>-19186028.847359996</v>
      </c>
      <c r="S619">
        <f t="shared" si="992"/>
        <v>-191.86028847359995</v>
      </c>
      <c r="T619">
        <f t="shared" si="993"/>
        <v>-0.19186028847359995</v>
      </c>
    </row>
    <row r="620" spans="1:20" x14ac:dyDescent="0.25">
      <c r="A620" s="5">
        <v>43973</v>
      </c>
      <c r="B620">
        <v>0.372</v>
      </c>
      <c r="C620">
        <v>0.39729999999999999</v>
      </c>
      <c r="D620">
        <v>0.35639999999999999</v>
      </c>
      <c r="E620">
        <v>0.39179999999999998</v>
      </c>
      <c r="F620">
        <v>1077165.25</v>
      </c>
      <c r="G620">
        <v>0</v>
      </c>
      <c r="L620" t="s">
        <v>8</v>
      </c>
      <c r="M620" t="s">
        <v>8</v>
      </c>
      <c r="N620" t="s">
        <v>7</v>
      </c>
      <c r="P620">
        <f t="shared" si="989"/>
        <v>0.73105134474327604</v>
      </c>
      <c r="Q620">
        <f t="shared" si="990"/>
        <v>787463.10452322708</v>
      </c>
      <c r="R620">
        <f t="shared" si="991"/>
        <v>-18154169.570196874</v>
      </c>
      <c r="S620">
        <f t="shared" si="992"/>
        <v>-181.54169570196873</v>
      </c>
      <c r="T620">
        <f t="shared" si="993"/>
        <v>-0.18154169570196874</v>
      </c>
    </row>
    <row r="621" spans="1:20" x14ac:dyDescent="0.25">
      <c r="A621" s="5">
        <v>43972</v>
      </c>
      <c r="B621">
        <v>0.37609999999999999</v>
      </c>
      <c r="C621">
        <v>0.38190000000000002</v>
      </c>
      <c r="D621">
        <v>0.35139999999999999</v>
      </c>
      <c r="E621">
        <v>0.36990000000000001</v>
      </c>
      <c r="F621">
        <v>1241164.78</v>
      </c>
      <c r="G621">
        <v>0</v>
      </c>
      <c r="L621" t="s">
        <v>7</v>
      </c>
      <c r="M621" t="s">
        <v>8</v>
      </c>
      <c r="N621" t="s">
        <v>7</v>
      </c>
      <c r="P621">
        <f t="shared" si="989"/>
        <v>0.21311475409836064</v>
      </c>
      <c r="Q621">
        <f t="shared" si="990"/>
        <v>264510.52688524587</v>
      </c>
      <c r="R621">
        <f t="shared" si="991"/>
        <v>-18941632.674720101</v>
      </c>
      <c r="S621">
        <f t="shared" si="992"/>
        <v>-189.416326747201</v>
      </c>
      <c r="T621">
        <f t="shared" si="993"/>
        <v>-0.18941632674720099</v>
      </c>
    </row>
    <row r="622" spans="1:20" x14ac:dyDescent="0.25">
      <c r="A622" s="5">
        <v>43971</v>
      </c>
      <c r="B622">
        <v>0.3831</v>
      </c>
      <c r="C622">
        <v>0.3957</v>
      </c>
      <c r="D622">
        <v>0.36509999999999998</v>
      </c>
      <c r="E622">
        <v>0.37709999999999999</v>
      </c>
      <c r="F622">
        <v>1044351.41</v>
      </c>
      <c r="G622">
        <v>0</v>
      </c>
      <c r="L622" t="s">
        <v>7</v>
      </c>
      <c r="M622" t="s">
        <v>8</v>
      </c>
      <c r="N622" t="s">
        <v>7</v>
      </c>
      <c r="P622">
        <f t="shared" si="989"/>
        <v>-0.21568627450980363</v>
      </c>
      <c r="Q622">
        <f t="shared" si="990"/>
        <v>-225252.26490196047</v>
      </c>
      <c r="R622">
        <f t="shared" si="991"/>
        <v>-19206143.201605346</v>
      </c>
      <c r="S622">
        <f t="shared" si="992"/>
        <v>-192.06143201605346</v>
      </c>
      <c r="T622">
        <f t="shared" si="993"/>
        <v>-0.19206143201605347</v>
      </c>
    </row>
    <row r="623" spans="1:20" x14ac:dyDescent="0.25">
      <c r="A623" s="5">
        <v>43970</v>
      </c>
      <c r="B623">
        <v>0.38040000000000002</v>
      </c>
      <c r="C623">
        <v>0.40500000000000003</v>
      </c>
      <c r="D623">
        <v>0.37259999999999999</v>
      </c>
      <c r="E623">
        <v>0.38319999999999999</v>
      </c>
      <c r="F623">
        <v>1164461.3799999999</v>
      </c>
      <c r="G623">
        <v>0</v>
      </c>
      <c r="L623" t="s">
        <v>8</v>
      </c>
      <c r="M623" t="s">
        <v>8</v>
      </c>
      <c r="N623" t="s">
        <v>7</v>
      </c>
      <c r="P623">
        <f t="shared" si="989"/>
        <v>-0.34567901234567994</v>
      </c>
      <c r="Q623">
        <f t="shared" si="990"/>
        <v>-402529.85975308745</v>
      </c>
      <c r="R623">
        <f t="shared" si="991"/>
        <v>-18980890.936703384</v>
      </c>
      <c r="S623">
        <f t="shared" si="992"/>
        <v>-189.80890936703383</v>
      </c>
      <c r="T623">
        <f t="shared" si="993"/>
        <v>-0.18980890936703385</v>
      </c>
    </row>
    <row r="624" spans="1:20" x14ac:dyDescent="0.25">
      <c r="A624" s="5">
        <v>43969</v>
      </c>
      <c r="B624">
        <v>0.3891</v>
      </c>
      <c r="C624">
        <v>0.39340000000000003</v>
      </c>
      <c r="D624">
        <v>0.3629</v>
      </c>
      <c r="E624">
        <v>0.37909999999999999</v>
      </c>
      <c r="F624">
        <v>1085885.21</v>
      </c>
      <c r="G624">
        <v>0</v>
      </c>
      <c r="L624" t="s">
        <v>7</v>
      </c>
      <c r="M624" t="s">
        <v>8</v>
      </c>
      <c r="N624" t="s">
        <v>7</v>
      </c>
      <c r="P624">
        <f t="shared" si="989"/>
        <v>6.229508196721166E-2</v>
      </c>
      <c r="Q624">
        <f t="shared" si="990"/>
        <v>67645.308163932845</v>
      </c>
      <c r="R624">
        <f t="shared" si="991"/>
        <v>-18578361.076950297</v>
      </c>
      <c r="S624">
        <f t="shared" si="992"/>
        <v>-185.78361076950296</v>
      </c>
      <c r="T624">
        <f t="shared" si="993"/>
        <v>-0.18578361076950295</v>
      </c>
    </row>
    <row r="625" spans="1:20" x14ac:dyDescent="0.25">
      <c r="A625" s="5">
        <v>43968</v>
      </c>
      <c r="B625">
        <v>0.38419999999999999</v>
      </c>
      <c r="C625">
        <v>0.40279999999999999</v>
      </c>
      <c r="D625">
        <v>0.3821</v>
      </c>
      <c r="E625">
        <v>0.38919999999999999</v>
      </c>
      <c r="F625">
        <v>934629.06</v>
      </c>
      <c r="G625">
        <v>0</v>
      </c>
      <c r="L625" t="s">
        <v>8</v>
      </c>
      <c r="M625" t="s">
        <v>8</v>
      </c>
      <c r="N625" t="s">
        <v>7</v>
      </c>
      <c r="P625">
        <f t="shared" si="989"/>
        <v>-0.31400966183574913</v>
      </c>
      <c r="Q625">
        <f t="shared" si="990"/>
        <v>-293482.55507246411</v>
      </c>
      <c r="R625">
        <f t="shared" si="991"/>
        <v>-18646006.38511423</v>
      </c>
      <c r="S625">
        <f t="shared" si="992"/>
        <v>-186.46006385114231</v>
      </c>
      <c r="T625">
        <f t="shared" si="993"/>
        <v>-0.1864600638511423</v>
      </c>
    </row>
    <row r="626" spans="1:20" x14ac:dyDescent="0.25">
      <c r="A626" s="5">
        <v>43967</v>
      </c>
      <c r="B626">
        <v>0.36399999999999999</v>
      </c>
      <c r="C626">
        <v>0.39319999999999999</v>
      </c>
      <c r="D626">
        <v>0.35930000000000001</v>
      </c>
      <c r="E626">
        <v>0.3851</v>
      </c>
      <c r="F626">
        <v>1248705.01</v>
      </c>
      <c r="G626">
        <v>0</v>
      </c>
      <c r="L626" t="s">
        <v>8</v>
      </c>
      <c r="M626" t="s">
        <v>8</v>
      </c>
      <c r="N626" t="s">
        <v>7</v>
      </c>
      <c r="P626">
        <f t="shared" si="989"/>
        <v>0.52212389380530977</v>
      </c>
      <c r="Q626">
        <f t="shared" si="990"/>
        <v>651978.72203539824</v>
      </c>
      <c r="R626">
        <f t="shared" si="991"/>
        <v>-18352523.830041766</v>
      </c>
      <c r="S626">
        <f t="shared" si="992"/>
        <v>-183.52523830041767</v>
      </c>
      <c r="T626">
        <f t="shared" si="993"/>
        <v>-0.18352523830041767</v>
      </c>
    </row>
    <row r="627" spans="1:20" x14ac:dyDescent="0.25">
      <c r="A627" s="5">
        <v>43966</v>
      </c>
      <c r="B627">
        <v>0.3775</v>
      </c>
      <c r="C627">
        <v>0.38500000000000001</v>
      </c>
      <c r="D627">
        <v>0.3478</v>
      </c>
      <c r="E627">
        <v>0.36399999999999999</v>
      </c>
      <c r="F627">
        <v>1252150.26</v>
      </c>
      <c r="G627">
        <v>0</v>
      </c>
      <c r="L627" t="s">
        <v>7</v>
      </c>
      <c r="M627" t="s">
        <v>8</v>
      </c>
      <c r="N627" t="s">
        <v>7</v>
      </c>
      <c r="P627">
        <f t="shared" si="989"/>
        <v>-0.12903225806451679</v>
      </c>
      <c r="Q627">
        <f t="shared" si="990"/>
        <v>-161567.77548387181</v>
      </c>
      <c r="R627">
        <f t="shared" si="991"/>
        <v>-19004502.552077163</v>
      </c>
      <c r="S627">
        <f t="shared" si="992"/>
        <v>-190.04502552077162</v>
      </c>
      <c r="T627">
        <f t="shared" si="993"/>
        <v>-0.19004502552077163</v>
      </c>
    </row>
    <row r="628" spans="1:20" x14ac:dyDescent="0.25">
      <c r="A628" s="5">
        <v>43965</v>
      </c>
      <c r="B628">
        <v>0.3775</v>
      </c>
      <c r="C628">
        <v>0.39639999999999997</v>
      </c>
      <c r="D628">
        <v>0.36759999999999998</v>
      </c>
      <c r="E628">
        <v>0.37709999999999999</v>
      </c>
      <c r="F628">
        <v>1467547</v>
      </c>
      <c r="G628">
        <v>0</v>
      </c>
      <c r="L628" t="s">
        <v>8</v>
      </c>
      <c r="M628" t="s">
        <v>8</v>
      </c>
      <c r="N628" t="s">
        <v>7</v>
      </c>
      <c r="P628">
        <f t="shared" si="989"/>
        <v>-0.34027777777777701</v>
      </c>
      <c r="Q628">
        <f t="shared" si="990"/>
        <v>-499373.63194444333</v>
      </c>
      <c r="R628">
        <f t="shared" si="991"/>
        <v>-18842934.77659329</v>
      </c>
      <c r="S628">
        <f t="shared" si="992"/>
        <v>-188.4293477659329</v>
      </c>
      <c r="T628">
        <f t="shared" si="993"/>
        <v>-0.1884293477659329</v>
      </c>
    </row>
    <row r="629" spans="1:20" x14ac:dyDescent="0.25">
      <c r="A629" s="5">
        <v>43964</v>
      </c>
      <c r="B629">
        <v>0.375</v>
      </c>
      <c r="C629">
        <v>0.38400000000000001</v>
      </c>
      <c r="D629">
        <v>0.36630000000000001</v>
      </c>
      <c r="E629">
        <v>0.37630000000000002</v>
      </c>
      <c r="F629">
        <v>1273697.28</v>
      </c>
      <c r="G629">
        <v>0</v>
      </c>
      <c r="L629" t="s">
        <v>7</v>
      </c>
      <c r="M629" t="s">
        <v>8</v>
      </c>
      <c r="N629" t="s">
        <v>7</v>
      </c>
      <c r="P629">
        <f t="shared" si="989"/>
        <v>0.12994350282486017</v>
      </c>
      <c r="Q629">
        <f t="shared" si="990"/>
        <v>165508.68610169672</v>
      </c>
      <c r="R629">
        <f t="shared" si="991"/>
        <v>-18343561.144648846</v>
      </c>
      <c r="S629">
        <f t="shared" si="992"/>
        <v>-183.43561144648845</v>
      </c>
      <c r="T629">
        <f t="shared" si="993"/>
        <v>-0.18343561144648846</v>
      </c>
    </row>
    <row r="630" spans="1:20" x14ac:dyDescent="0.25">
      <c r="A630" s="5">
        <v>43963</v>
      </c>
      <c r="B630">
        <v>0.37769999999999998</v>
      </c>
      <c r="C630">
        <v>0.38679999999999998</v>
      </c>
      <c r="D630">
        <v>0.37219999999999998</v>
      </c>
      <c r="E630">
        <v>0.375</v>
      </c>
      <c r="F630">
        <v>1223075.75</v>
      </c>
      <c r="G630">
        <v>0</v>
      </c>
      <c r="L630" t="s">
        <v>8</v>
      </c>
      <c r="M630" t="s">
        <v>8</v>
      </c>
      <c r="N630" t="s">
        <v>7</v>
      </c>
      <c r="P630">
        <f t="shared" si="989"/>
        <v>-0.61643835616438025</v>
      </c>
      <c r="Q630">
        <f t="shared" si="990"/>
        <v>-753950.80479451653</v>
      </c>
      <c r="R630">
        <f t="shared" si="991"/>
        <v>-18509069.830750544</v>
      </c>
      <c r="S630">
        <f t="shared" si="992"/>
        <v>-185.09069830750545</v>
      </c>
      <c r="T630">
        <f t="shared" si="993"/>
        <v>-0.18509069830750544</v>
      </c>
    </row>
    <row r="631" spans="1:20" x14ac:dyDescent="0.25">
      <c r="A631" s="5">
        <v>43962</v>
      </c>
      <c r="B631">
        <v>0.38469999999999999</v>
      </c>
      <c r="C631">
        <v>0.3967</v>
      </c>
      <c r="D631">
        <v>0.34699999999999998</v>
      </c>
      <c r="E631">
        <v>0.37640000000000001</v>
      </c>
      <c r="F631">
        <v>2248700.92</v>
      </c>
      <c r="G631">
        <v>0</v>
      </c>
      <c r="L631" t="s">
        <v>8</v>
      </c>
      <c r="M631" t="s">
        <v>8</v>
      </c>
      <c r="N631" t="s">
        <v>7</v>
      </c>
      <c r="P631">
        <f t="shared" si="989"/>
        <v>0.18309859154929675</v>
      </c>
      <c r="Q631">
        <f t="shared" si="990"/>
        <v>411733.97126760782</v>
      </c>
      <c r="R631">
        <f t="shared" si="991"/>
        <v>-17755119.025956027</v>
      </c>
      <c r="S631">
        <f t="shared" si="992"/>
        <v>-177.55119025956029</v>
      </c>
      <c r="T631">
        <f t="shared" si="993"/>
        <v>-0.17755119025956029</v>
      </c>
    </row>
    <row r="632" spans="1:20" x14ac:dyDescent="0.25">
      <c r="A632" s="5">
        <v>43961</v>
      </c>
      <c r="B632">
        <v>0.42670000000000002</v>
      </c>
      <c r="C632">
        <v>0.439</v>
      </c>
      <c r="D632">
        <v>0.29449999999999998</v>
      </c>
      <c r="E632">
        <v>0.38719999999999999</v>
      </c>
      <c r="F632">
        <v>4731365.0199999996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0.28304498269896183</v>
      </c>
      <c r="Q632">
        <f t="shared" si="990"/>
        <v>1339189.130228373</v>
      </c>
      <c r="R632">
        <f t="shared" si="991"/>
        <v>-18166852.997223634</v>
      </c>
      <c r="S632">
        <f t="shared" si="992"/>
        <v>-181.66852997223634</v>
      </c>
      <c r="T632">
        <f t="shared" si="993"/>
        <v>-0.18166852997223634</v>
      </c>
    </row>
    <row r="633" spans="1:20" x14ac:dyDescent="0.25">
      <c r="A633" s="5">
        <v>43960</v>
      </c>
      <c r="B633">
        <v>0.42920000000000003</v>
      </c>
      <c r="C633">
        <v>0.44769999999999999</v>
      </c>
      <c r="D633">
        <v>0.40560000000000002</v>
      </c>
      <c r="E633">
        <v>0.42670000000000002</v>
      </c>
      <c r="F633">
        <v>2513465.7400000002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2.375296912115073E-3</v>
      </c>
      <c r="Q633">
        <f t="shared" si="990"/>
        <v>5970.2274109290274</v>
      </c>
      <c r="R633">
        <f t="shared" si="991"/>
        <v>-19506042.127452008</v>
      </c>
      <c r="S633">
        <f t="shared" si="992"/>
        <v>-195.06042127452008</v>
      </c>
      <c r="T633">
        <f t="shared" si="993"/>
        <v>-0.19506042127452008</v>
      </c>
    </row>
    <row r="634" spans="1:20" x14ac:dyDescent="0.25">
      <c r="A634" s="5">
        <v>43959</v>
      </c>
      <c r="B634">
        <v>0.39679999999999999</v>
      </c>
      <c r="C634">
        <v>0.44309999999999999</v>
      </c>
      <c r="D634">
        <v>0.38740000000000002</v>
      </c>
      <c r="E634">
        <v>0.42980000000000002</v>
      </c>
      <c r="F634">
        <v>3242355.4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0.52244165170556611</v>
      </c>
      <c r="Q634">
        <f t="shared" si="990"/>
        <v>1693941.5105924613</v>
      </c>
      <c r="R634">
        <f t="shared" si="991"/>
        <v>-19512012.354862936</v>
      </c>
      <c r="S634">
        <f t="shared" si="992"/>
        <v>-195.12012354862935</v>
      </c>
      <c r="T634">
        <f t="shared" si="993"/>
        <v>-0.19512012354862934</v>
      </c>
    </row>
    <row r="635" spans="1:20" x14ac:dyDescent="0.25">
      <c r="A635" s="5">
        <v>43958</v>
      </c>
      <c r="B635">
        <v>0.36099999999999999</v>
      </c>
      <c r="C635">
        <v>0.39910000000000001</v>
      </c>
      <c r="D635">
        <v>0.35859999999999997</v>
      </c>
      <c r="E635">
        <v>0.3962</v>
      </c>
      <c r="F635">
        <v>2577800.5299999998</v>
      </c>
      <c r="G635">
        <v>0</v>
      </c>
      <c r="L635" t="s">
        <v>8</v>
      </c>
      <c r="M635" t="s">
        <v>8</v>
      </c>
      <c r="N635" t="s">
        <v>8</v>
      </c>
      <c r="P635">
        <f t="shared" si="989"/>
        <v>0.85679012345678962</v>
      </c>
      <c r="Q635">
        <f t="shared" si="990"/>
        <v>2208634.0343456776</v>
      </c>
      <c r="R635">
        <f t="shared" si="991"/>
        <v>-21205953.865455396</v>
      </c>
      <c r="S635">
        <f t="shared" si="992"/>
        <v>-212.05953865455396</v>
      </c>
      <c r="T635">
        <f t="shared" si="993"/>
        <v>-0.21205953865455396</v>
      </c>
    </row>
    <row r="636" spans="1:20" x14ac:dyDescent="0.25">
      <c r="A636" s="5">
        <v>43957</v>
      </c>
      <c r="B636">
        <v>0.36430000000000001</v>
      </c>
      <c r="C636">
        <v>0.38479999999999998</v>
      </c>
      <c r="D636">
        <v>0.35699999999999998</v>
      </c>
      <c r="E636">
        <v>0.3619</v>
      </c>
      <c r="F636">
        <v>1206053.79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-0.64748201438848796</v>
      </c>
      <c r="Q636">
        <f t="shared" si="990"/>
        <v>-780898.13741007051</v>
      </c>
      <c r="R636">
        <f t="shared" si="991"/>
        <v>-23414587.899801075</v>
      </c>
      <c r="S636">
        <f t="shared" si="992"/>
        <v>-234.14587899801074</v>
      </c>
      <c r="T636">
        <f t="shared" si="993"/>
        <v>-0.23414587899801073</v>
      </c>
    </row>
    <row r="637" spans="1:20" x14ac:dyDescent="0.25">
      <c r="A637" s="5">
        <v>43956</v>
      </c>
      <c r="B637">
        <v>0.36870000000000003</v>
      </c>
      <c r="C637">
        <v>0.37409999999999999</v>
      </c>
      <c r="D637">
        <v>0.35139999999999999</v>
      </c>
      <c r="E637">
        <v>0.36430000000000001</v>
      </c>
      <c r="F637">
        <v>500251.1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0.13656387665198447</v>
      </c>
      <c r="Q637">
        <f t="shared" si="990"/>
        <v>68316.229515419545</v>
      </c>
      <c r="R637">
        <f t="shared" si="991"/>
        <v>-22633689.762391005</v>
      </c>
      <c r="S637">
        <f t="shared" si="992"/>
        <v>-226.33689762391003</v>
      </c>
      <c r="T637">
        <f t="shared" si="993"/>
        <v>-0.22633689762391004</v>
      </c>
    </row>
    <row r="638" spans="1:20" x14ac:dyDescent="0.25">
      <c r="A638" s="5">
        <v>43955</v>
      </c>
      <c r="B638">
        <v>0.35730000000000001</v>
      </c>
      <c r="C638">
        <v>0.376</v>
      </c>
      <c r="D638">
        <v>0.33239999999999997</v>
      </c>
      <c r="E638">
        <v>0.36680000000000001</v>
      </c>
      <c r="F638">
        <v>1725481.64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0.57798165137614765</v>
      </c>
      <c r="Q638">
        <f t="shared" si="990"/>
        <v>997296.72770642349</v>
      </c>
      <c r="R638">
        <f t="shared" si="991"/>
        <v>-22702005.991906423</v>
      </c>
      <c r="S638">
        <f t="shared" si="992"/>
        <v>-227.02005991906424</v>
      </c>
      <c r="T638">
        <f t="shared" si="993"/>
        <v>-0.22702005991906424</v>
      </c>
    </row>
    <row r="639" spans="1:20" x14ac:dyDescent="0.25">
      <c r="A639" s="5">
        <v>43954</v>
      </c>
      <c r="B639">
        <v>0.376</v>
      </c>
      <c r="C639">
        <v>0.3785</v>
      </c>
      <c r="D639">
        <v>0.35410000000000003</v>
      </c>
      <c r="E639">
        <v>0.35709999999999997</v>
      </c>
      <c r="F639">
        <v>956548.83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-0.75409836065574176</v>
      </c>
      <c r="Q639">
        <f t="shared" si="990"/>
        <v>-721331.9045901678</v>
      </c>
      <c r="R639">
        <f t="shared" si="991"/>
        <v>-23699302.719612848</v>
      </c>
      <c r="S639">
        <f t="shared" si="992"/>
        <v>-236.99302719612848</v>
      </c>
      <c r="T639">
        <f t="shared" si="993"/>
        <v>-0.23699302719612847</v>
      </c>
    </row>
    <row r="640" spans="1:20" x14ac:dyDescent="0.25">
      <c r="A640" s="5">
        <v>43953</v>
      </c>
      <c r="B640">
        <v>0.35980000000000001</v>
      </c>
      <c r="C640">
        <v>0.37859999999999999</v>
      </c>
      <c r="D640">
        <v>0.35859999999999997</v>
      </c>
      <c r="E640">
        <v>0.3765</v>
      </c>
      <c r="F640">
        <v>864452.68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0.79000000000000115</v>
      </c>
      <c r="Q640">
        <f t="shared" si="990"/>
        <v>682917.61720000103</v>
      </c>
      <c r="R640">
        <f t="shared" si="991"/>
        <v>-22977970.815022681</v>
      </c>
      <c r="S640">
        <f t="shared" si="992"/>
        <v>-229.77970815022681</v>
      </c>
      <c r="T640">
        <f t="shared" si="993"/>
        <v>-0.2297797081502268</v>
      </c>
    </row>
    <row r="641" spans="1:20" x14ac:dyDescent="0.25">
      <c r="A641" s="5">
        <v>43952</v>
      </c>
      <c r="B641">
        <v>0.35460000000000003</v>
      </c>
      <c r="C641">
        <v>0.373</v>
      </c>
      <c r="D641">
        <v>0.35460000000000003</v>
      </c>
      <c r="E641">
        <v>0.35980000000000001</v>
      </c>
      <c r="F641">
        <v>963024.75</v>
      </c>
      <c r="G641">
        <v>0</v>
      </c>
      <c r="L641" t="s">
        <v>8</v>
      </c>
      <c r="M641" t="s">
        <v>8</v>
      </c>
      <c r="N641" t="s">
        <v>8</v>
      </c>
      <c r="P641">
        <f t="shared" si="989"/>
        <v>-0.43478260869565322</v>
      </c>
      <c r="Q641">
        <f t="shared" si="990"/>
        <v>-418706.41304347926</v>
      </c>
      <c r="R641">
        <f t="shared" si="991"/>
        <v>-23660888.432222683</v>
      </c>
      <c r="S641">
        <f t="shared" si="992"/>
        <v>-236.60888432222683</v>
      </c>
      <c r="T641">
        <f t="shared" si="993"/>
        <v>-0.23660888432222682</v>
      </c>
    </row>
    <row r="642" spans="1:20" x14ac:dyDescent="0.25">
      <c r="A642" s="5">
        <v>43951</v>
      </c>
      <c r="B642">
        <v>0.3644</v>
      </c>
      <c r="C642">
        <v>0.38419999999999999</v>
      </c>
      <c r="D642">
        <v>0.33610000000000001</v>
      </c>
      <c r="E642">
        <v>0.35539999999999999</v>
      </c>
      <c r="F642">
        <v>2573609.2599999998</v>
      </c>
      <c r="G642">
        <v>0</v>
      </c>
      <c r="L642" t="s">
        <v>7</v>
      </c>
      <c r="M642" t="s">
        <v>8</v>
      </c>
      <c r="N642" t="s">
        <v>8</v>
      </c>
      <c r="P642">
        <f t="shared" si="989"/>
        <v>-0.19750519750519777</v>
      </c>
      <c r="Q642">
        <f t="shared" si="990"/>
        <v>-508301.20519750583</v>
      </c>
      <c r="R642">
        <f t="shared" si="991"/>
        <v>-23242182.019179203</v>
      </c>
      <c r="S642">
        <f t="shared" si="992"/>
        <v>-232.42182019179202</v>
      </c>
      <c r="T642">
        <f t="shared" si="993"/>
        <v>-0.23242182019179203</v>
      </c>
    </row>
    <row r="643" spans="1:20" x14ac:dyDescent="0.25">
      <c r="A643" s="5">
        <v>43950</v>
      </c>
      <c r="B643">
        <v>0.34799999999999998</v>
      </c>
      <c r="C643">
        <v>0.3826</v>
      </c>
      <c r="D643">
        <v>0.34689999999999999</v>
      </c>
      <c r="E643">
        <v>0.36409999999999998</v>
      </c>
      <c r="F643">
        <v>2290370.63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-3.641456582633118E-2</v>
      </c>
      <c r="Q643">
        <f t="shared" si="990"/>
        <v>-83402.852072830618</v>
      </c>
      <c r="R643">
        <f t="shared" si="991"/>
        <v>-22733880.813981697</v>
      </c>
      <c r="S643">
        <f t="shared" si="992"/>
        <v>-227.33880813981696</v>
      </c>
      <c r="T643">
        <f t="shared" si="993"/>
        <v>-0.22733880813981697</v>
      </c>
    </row>
    <row r="644" spans="1:20" x14ac:dyDescent="0.25">
      <c r="A644" s="5">
        <v>43949</v>
      </c>
      <c r="B644">
        <v>0.34520000000000001</v>
      </c>
      <c r="C644">
        <v>0.35470000000000002</v>
      </c>
      <c r="D644">
        <v>0.33800000000000002</v>
      </c>
      <c r="E644">
        <v>0.34799999999999998</v>
      </c>
      <c r="F644">
        <v>605131.5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0.19760479041915663</v>
      </c>
      <c r="Q644">
        <f t="shared" si="990"/>
        <v>119576.88323352988</v>
      </c>
      <c r="R644">
        <f t="shared" si="991"/>
        <v>-22650477.961908866</v>
      </c>
      <c r="S644">
        <f t="shared" si="992"/>
        <v>-226.50477961908865</v>
      </c>
      <c r="T644">
        <f t="shared" si="993"/>
        <v>-0.22650477961908866</v>
      </c>
    </row>
    <row r="645" spans="1:20" x14ac:dyDescent="0.25">
      <c r="A645" s="5">
        <v>43948</v>
      </c>
      <c r="B645">
        <v>0.35070000000000001</v>
      </c>
      <c r="C645">
        <v>0.35870000000000002</v>
      </c>
      <c r="D645">
        <v>0.33150000000000002</v>
      </c>
      <c r="E645">
        <v>0.34510000000000002</v>
      </c>
      <c r="F645">
        <v>923978.53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0</v>
      </c>
      <c r="Q645">
        <f t="shared" si="990"/>
        <v>0</v>
      </c>
      <c r="R645">
        <f t="shared" si="991"/>
        <v>-22770054.845142394</v>
      </c>
      <c r="S645">
        <f t="shared" si="992"/>
        <v>-227.70054845142394</v>
      </c>
      <c r="T645">
        <f t="shared" si="993"/>
        <v>-0.22770054845142393</v>
      </c>
    </row>
    <row r="646" spans="1:20" x14ac:dyDescent="0.25">
      <c r="A646" s="5">
        <v>43947</v>
      </c>
      <c r="B646">
        <v>0.35170000000000001</v>
      </c>
      <c r="C646">
        <v>0.36009999999999998</v>
      </c>
      <c r="D646">
        <v>0.33400000000000002</v>
      </c>
      <c r="E646">
        <v>0.35070000000000001</v>
      </c>
      <c r="F646">
        <v>1363076.51</v>
      </c>
      <c r="G646">
        <v>0</v>
      </c>
      <c r="L646" t="s">
        <v>7</v>
      </c>
      <c r="M646" t="s">
        <v>8</v>
      </c>
      <c r="N646" t="s">
        <v>8</v>
      </c>
      <c r="P646">
        <f t="shared" ref="P646:P709" si="994">IF(C646=D646,0,((E646-D646)-(C646-E646))/(C646-D646))</f>
        <v>0.2796934865900399</v>
      </c>
      <c r="Q646">
        <f t="shared" ref="Q646:Q709" si="995">F646*P646</f>
        <v>381243.62157088338</v>
      </c>
      <c r="R646">
        <f t="shared" ref="R646:R709" si="996">R647+Q646</f>
        <v>-22770054.845142394</v>
      </c>
      <c r="S646">
        <f t="shared" ref="S646:S709" si="997">R646/100000</f>
        <v>-227.70054845142394</v>
      </c>
      <c r="T646">
        <f t="shared" ref="T646:T709" si="998">S646/1000</f>
        <v>-0.22770054845142393</v>
      </c>
    </row>
    <row r="647" spans="1:20" x14ac:dyDescent="0.25">
      <c r="A647" s="5">
        <v>43946</v>
      </c>
      <c r="B647">
        <v>0.33950000000000002</v>
      </c>
      <c r="C647">
        <v>0.36909999999999998</v>
      </c>
      <c r="D647">
        <v>0.33600000000000002</v>
      </c>
      <c r="E647">
        <v>0.3518</v>
      </c>
      <c r="F647">
        <v>1967872.92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-4.5317220543806741E-2</v>
      </c>
      <c r="Q647">
        <f t="shared" si="995"/>
        <v>-89178.531117824954</v>
      </c>
      <c r="R647">
        <f t="shared" si="996"/>
        <v>-23151298.466713279</v>
      </c>
      <c r="S647">
        <f t="shared" si="997"/>
        <v>-231.5129846671328</v>
      </c>
      <c r="T647">
        <f t="shared" si="998"/>
        <v>-0.2315129846671328</v>
      </c>
    </row>
    <row r="648" spans="1:20" x14ac:dyDescent="0.25">
      <c r="A648" s="5">
        <v>43945</v>
      </c>
      <c r="B648">
        <v>0.32990000000000003</v>
      </c>
      <c r="C648">
        <v>0.3468</v>
      </c>
      <c r="D648">
        <v>0.32650000000000001</v>
      </c>
      <c r="E648">
        <v>0.33879999999999999</v>
      </c>
      <c r="F648">
        <v>1168896.3600000001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0.21182266009852088</v>
      </c>
      <c r="Q648">
        <f t="shared" si="995"/>
        <v>247598.73635467832</v>
      </c>
      <c r="R648">
        <f t="shared" si="996"/>
        <v>-23062119.935595453</v>
      </c>
      <c r="S648">
        <f t="shared" si="997"/>
        <v>-230.62119935595453</v>
      </c>
      <c r="T648">
        <f t="shared" si="998"/>
        <v>-0.23062119935595454</v>
      </c>
    </row>
    <row r="649" spans="1:20" x14ac:dyDescent="0.25">
      <c r="A649" s="5">
        <v>43944</v>
      </c>
      <c r="B649">
        <v>0.32679999999999998</v>
      </c>
      <c r="C649">
        <v>0.34329999999999999</v>
      </c>
      <c r="D649">
        <v>0.31509999999999999</v>
      </c>
      <c r="E649">
        <v>0.32969999999999999</v>
      </c>
      <c r="F649">
        <v>1591487.77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3.5460992907801449E-2</v>
      </c>
      <c r="Q649">
        <f t="shared" si="995"/>
        <v>56435.736524822743</v>
      </c>
      <c r="R649">
        <f t="shared" si="996"/>
        <v>-23309718.671950132</v>
      </c>
      <c r="S649">
        <f t="shared" si="997"/>
        <v>-233.09718671950131</v>
      </c>
      <c r="T649">
        <f t="shared" si="998"/>
        <v>-0.2330971867195013</v>
      </c>
    </row>
    <row r="650" spans="1:20" x14ac:dyDescent="0.25">
      <c r="A650" s="5">
        <v>43943</v>
      </c>
      <c r="B650">
        <v>0.31540000000000001</v>
      </c>
      <c r="C650">
        <v>0.33050000000000002</v>
      </c>
      <c r="D650">
        <v>0.31159999999999999</v>
      </c>
      <c r="E650">
        <v>0.32600000000000001</v>
      </c>
      <c r="F650">
        <v>1263088.3600000001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0.52380952380952406</v>
      </c>
      <c r="Q650">
        <f t="shared" si="995"/>
        <v>661617.71238095278</v>
      </c>
      <c r="R650">
        <f t="shared" si="996"/>
        <v>-23366154.408474956</v>
      </c>
      <c r="S650">
        <f t="shared" si="997"/>
        <v>-233.66154408474955</v>
      </c>
      <c r="T650">
        <f t="shared" si="998"/>
        <v>-0.23366154408474954</v>
      </c>
    </row>
    <row r="651" spans="1:20" x14ac:dyDescent="0.25">
      <c r="A651" s="5">
        <v>43942</v>
      </c>
      <c r="B651">
        <v>0.30230000000000001</v>
      </c>
      <c r="C651">
        <v>0.32990000000000003</v>
      </c>
      <c r="D651">
        <v>0.3</v>
      </c>
      <c r="E651">
        <v>0.31380000000000002</v>
      </c>
      <c r="F651">
        <v>2172932.56</v>
      </c>
      <c r="G651">
        <v>0</v>
      </c>
      <c r="L651" t="s">
        <v>8</v>
      </c>
      <c r="M651" t="s">
        <v>8</v>
      </c>
      <c r="N651" t="s">
        <v>8</v>
      </c>
      <c r="P651">
        <f t="shared" si="994"/>
        <v>-7.6923076923075775E-2</v>
      </c>
      <c r="Q651">
        <f t="shared" si="995"/>
        <v>-167148.65846153596</v>
      </c>
      <c r="R651">
        <f t="shared" si="996"/>
        <v>-24027772.120855909</v>
      </c>
      <c r="S651">
        <f t="shared" si="997"/>
        <v>-240.27772120855909</v>
      </c>
      <c r="T651">
        <f t="shared" si="998"/>
        <v>-0.24027772120855909</v>
      </c>
    </row>
    <row r="652" spans="1:20" x14ac:dyDescent="0.25">
      <c r="A652" s="5">
        <v>43941</v>
      </c>
      <c r="B652">
        <v>0.31519999999999998</v>
      </c>
      <c r="C652">
        <v>0.33329999999999999</v>
      </c>
      <c r="D652">
        <v>0.27729999999999999</v>
      </c>
      <c r="E652">
        <v>0.30230000000000001</v>
      </c>
      <c r="F652">
        <v>2351920.85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-0.10714285714285626</v>
      </c>
      <c r="Q652">
        <f t="shared" si="995"/>
        <v>-251991.51964285507</v>
      </c>
      <c r="R652">
        <f t="shared" si="996"/>
        <v>-23860623.462394372</v>
      </c>
      <c r="S652">
        <f t="shared" si="997"/>
        <v>-238.60623462394372</v>
      </c>
      <c r="T652">
        <f t="shared" si="998"/>
        <v>-0.23860623462394373</v>
      </c>
    </row>
    <row r="653" spans="1:20" x14ac:dyDescent="0.25">
      <c r="A653" s="5">
        <v>43940</v>
      </c>
      <c r="B653">
        <v>0.34039999999999998</v>
      </c>
      <c r="C653">
        <v>0.34039999999999998</v>
      </c>
      <c r="D653">
        <v>0.31219999999999998</v>
      </c>
      <c r="E653">
        <v>0.31640000000000001</v>
      </c>
      <c r="F653">
        <v>1864628.2</v>
      </c>
      <c r="G653">
        <v>0</v>
      </c>
      <c r="L653" t="s">
        <v>7</v>
      </c>
      <c r="M653" t="s">
        <v>8</v>
      </c>
      <c r="N653" t="s">
        <v>8</v>
      </c>
      <c r="P653">
        <f t="shared" si="994"/>
        <v>-0.70212765957446543</v>
      </c>
      <c r="Q653">
        <f t="shared" si="995"/>
        <v>-1309207.0340425482</v>
      </c>
      <c r="R653">
        <f t="shared" si="996"/>
        <v>-23608631.942751516</v>
      </c>
      <c r="S653">
        <f t="shared" si="997"/>
        <v>-236.08631942751515</v>
      </c>
      <c r="T653">
        <f t="shared" si="998"/>
        <v>-0.23608631942751515</v>
      </c>
    </row>
    <row r="654" spans="1:20" x14ac:dyDescent="0.25">
      <c r="A654" s="5">
        <v>43939</v>
      </c>
      <c r="B654">
        <v>0.33850000000000002</v>
      </c>
      <c r="C654">
        <v>0.36</v>
      </c>
      <c r="D654">
        <v>0.32469999999999999</v>
      </c>
      <c r="E654">
        <v>0.3392</v>
      </c>
      <c r="F654">
        <v>2570519.14</v>
      </c>
      <c r="G654">
        <v>0</v>
      </c>
      <c r="L654" t="s">
        <v>7</v>
      </c>
      <c r="M654" t="s">
        <v>8</v>
      </c>
      <c r="N654" t="s">
        <v>8</v>
      </c>
      <c r="P654">
        <f t="shared" si="994"/>
        <v>-0.17847025495750632</v>
      </c>
      <c r="Q654">
        <f t="shared" si="995"/>
        <v>-458761.20628894988</v>
      </c>
      <c r="R654">
        <f t="shared" si="996"/>
        <v>-22299424.908708967</v>
      </c>
      <c r="S654">
        <f t="shared" si="997"/>
        <v>-222.99424908708968</v>
      </c>
      <c r="T654">
        <f t="shared" si="998"/>
        <v>-0.22299424908708967</v>
      </c>
    </row>
    <row r="655" spans="1:20" x14ac:dyDescent="0.25">
      <c r="A655" s="5">
        <v>43938</v>
      </c>
      <c r="B655">
        <v>0.33100000000000002</v>
      </c>
      <c r="C655">
        <v>0.37659999999999999</v>
      </c>
      <c r="D655">
        <v>0.3256</v>
      </c>
      <c r="E655">
        <v>0.33810000000000001</v>
      </c>
      <c r="F655">
        <v>5505292.8300000001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-0.50980392156862697</v>
      </c>
      <c r="Q655">
        <f t="shared" si="995"/>
        <v>-2806619.8741176445</v>
      </c>
      <c r="R655">
        <f t="shared" si="996"/>
        <v>-21840663.702420019</v>
      </c>
      <c r="S655">
        <f t="shared" si="997"/>
        <v>-218.40663702420019</v>
      </c>
      <c r="T655">
        <f t="shared" si="998"/>
        <v>-0.21840663702420018</v>
      </c>
    </row>
    <row r="656" spans="1:20" x14ac:dyDescent="0.25">
      <c r="A656" s="5">
        <v>43937</v>
      </c>
      <c r="B656">
        <v>0.2873</v>
      </c>
      <c r="C656">
        <v>0.34439999999999998</v>
      </c>
      <c r="D656">
        <v>0.27710000000000001</v>
      </c>
      <c r="E656">
        <v>0.33069999999999999</v>
      </c>
      <c r="F656">
        <v>4064715.56</v>
      </c>
      <c r="G656">
        <v>0</v>
      </c>
      <c r="L656" t="s">
        <v>8</v>
      </c>
      <c r="M656" t="s">
        <v>8</v>
      </c>
      <c r="N656" t="s">
        <v>8</v>
      </c>
      <c r="P656">
        <f t="shared" si="994"/>
        <v>0.59286775631500754</v>
      </c>
      <c r="Q656">
        <f t="shared" si="995"/>
        <v>2409838.7941158996</v>
      </c>
      <c r="R656">
        <f t="shared" si="996"/>
        <v>-19034043.828302372</v>
      </c>
      <c r="S656">
        <f t="shared" si="997"/>
        <v>-190.34043828302373</v>
      </c>
      <c r="T656">
        <f t="shared" si="998"/>
        <v>-0.19034043828302372</v>
      </c>
    </row>
    <row r="657" spans="1:20" x14ac:dyDescent="0.25">
      <c r="A657" s="5">
        <v>43936</v>
      </c>
      <c r="B657">
        <v>0.27200000000000002</v>
      </c>
      <c r="C657">
        <v>0.30009999999999998</v>
      </c>
      <c r="D657">
        <v>0.27100000000000002</v>
      </c>
      <c r="E657">
        <v>0.2873</v>
      </c>
      <c r="F657">
        <v>2525592.02</v>
      </c>
      <c r="G657">
        <v>0</v>
      </c>
      <c r="L657" t="s">
        <v>8</v>
      </c>
      <c r="M657" t="s">
        <v>8</v>
      </c>
      <c r="N657" t="s">
        <v>8</v>
      </c>
      <c r="P657">
        <f t="shared" si="994"/>
        <v>0.12027491408934736</v>
      </c>
      <c r="Q657">
        <f t="shared" si="995"/>
        <v>303765.36323024129</v>
      </c>
      <c r="R657">
        <f t="shared" si="996"/>
        <v>-21443882.622418273</v>
      </c>
      <c r="S657">
        <f t="shared" si="997"/>
        <v>-214.43882622418272</v>
      </c>
      <c r="T657">
        <f t="shared" si="998"/>
        <v>-0.21443882622418273</v>
      </c>
    </row>
    <row r="658" spans="1:20" x14ac:dyDescent="0.25">
      <c r="A658" s="5">
        <v>43935</v>
      </c>
      <c r="B658">
        <v>0.26950000000000002</v>
      </c>
      <c r="C658">
        <v>0.2742</v>
      </c>
      <c r="D658">
        <v>0.26200000000000001</v>
      </c>
      <c r="E658">
        <v>0.27229999999999999</v>
      </c>
      <c r="F658">
        <v>645720.67000000004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0.68852459016393208</v>
      </c>
      <c r="Q658">
        <f t="shared" si="995"/>
        <v>444594.55967212969</v>
      </c>
      <c r="R658">
        <f t="shared" si="996"/>
        <v>-21747647.985648513</v>
      </c>
      <c r="S658">
        <f t="shared" si="997"/>
        <v>-217.47647985648513</v>
      </c>
      <c r="T658">
        <f t="shared" si="998"/>
        <v>-0.21747647985648513</v>
      </c>
    </row>
    <row r="659" spans="1:20" x14ac:dyDescent="0.25">
      <c r="A659" s="5">
        <v>43934</v>
      </c>
      <c r="B659">
        <v>0.2717</v>
      </c>
      <c r="C659">
        <v>0.2717</v>
      </c>
      <c r="D659">
        <v>0.25419999999999998</v>
      </c>
      <c r="E659">
        <v>0.2681</v>
      </c>
      <c r="F659">
        <v>960088.24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0.58857142857142986</v>
      </c>
      <c r="Q659">
        <f t="shared" si="995"/>
        <v>565080.5069714298</v>
      </c>
      <c r="R659">
        <f t="shared" si="996"/>
        <v>-22192242.545320641</v>
      </c>
      <c r="S659">
        <f t="shared" si="997"/>
        <v>-221.92242545320642</v>
      </c>
      <c r="T659">
        <f t="shared" si="998"/>
        <v>-0.22192242545320642</v>
      </c>
    </row>
    <row r="660" spans="1:20" x14ac:dyDescent="0.25">
      <c r="A660" s="5">
        <v>43933</v>
      </c>
      <c r="B660">
        <v>0.26979999999999998</v>
      </c>
      <c r="C660">
        <v>0.28999999999999998</v>
      </c>
      <c r="D660">
        <v>0.26119999999999999</v>
      </c>
      <c r="E660">
        <v>0.27260000000000001</v>
      </c>
      <c r="F660">
        <v>1025127.67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-0.20833333333333165</v>
      </c>
      <c r="Q660">
        <f t="shared" si="995"/>
        <v>-213568.26458333162</v>
      </c>
      <c r="R660">
        <f t="shared" si="996"/>
        <v>-22757323.052292071</v>
      </c>
      <c r="S660">
        <f t="shared" si="997"/>
        <v>-227.57323052292071</v>
      </c>
      <c r="T660">
        <f t="shared" si="998"/>
        <v>-0.22757323052292072</v>
      </c>
    </row>
    <row r="661" spans="1:20" x14ac:dyDescent="0.25">
      <c r="A661" s="5">
        <v>43932</v>
      </c>
      <c r="B661">
        <v>0.26450000000000001</v>
      </c>
      <c r="C661">
        <v>0.2767</v>
      </c>
      <c r="D661">
        <v>0.25740000000000002</v>
      </c>
      <c r="E661">
        <v>0.26989999999999997</v>
      </c>
      <c r="F661">
        <v>685206.62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0.29533678756476334</v>
      </c>
      <c r="Q661">
        <f t="shared" si="995"/>
        <v>202366.72196890952</v>
      </c>
      <c r="R661">
        <f t="shared" si="996"/>
        <v>-22543754.787708741</v>
      </c>
      <c r="S661">
        <f t="shared" si="997"/>
        <v>-225.43754787708741</v>
      </c>
      <c r="T661">
        <f t="shared" si="998"/>
        <v>-0.22543754787708742</v>
      </c>
    </row>
    <row r="662" spans="1:20" x14ac:dyDescent="0.25">
      <c r="A662" s="5">
        <v>43931</v>
      </c>
      <c r="B662">
        <v>0.29370000000000002</v>
      </c>
      <c r="C662">
        <v>0.29580000000000001</v>
      </c>
      <c r="D662">
        <v>0.25109999999999999</v>
      </c>
      <c r="E662">
        <v>0.26450000000000001</v>
      </c>
      <c r="F662">
        <v>1363772.35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-0.4004474272930641</v>
      </c>
      <c r="Q662">
        <f t="shared" si="995"/>
        <v>-546119.12897091615</v>
      </c>
      <c r="R662">
        <f t="shared" si="996"/>
        <v>-22746121.509677649</v>
      </c>
      <c r="S662">
        <f t="shared" si="997"/>
        <v>-227.4612150967765</v>
      </c>
      <c r="T662">
        <f t="shared" si="998"/>
        <v>-0.2274612150967765</v>
      </c>
    </row>
    <row r="663" spans="1:20" x14ac:dyDescent="0.25">
      <c r="A663" s="5">
        <v>43930</v>
      </c>
      <c r="B663">
        <v>0.30399999999999999</v>
      </c>
      <c r="C663">
        <v>0.3049</v>
      </c>
      <c r="D663">
        <v>0.28560000000000002</v>
      </c>
      <c r="E663">
        <v>0.29480000000000001</v>
      </c>
      <c r="F663">
        <v>557735.72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-4.6632124352332265E-2</v>
      </c>
      <c r="Q663">
        <f t="shared" si="995"/>
        <v>-26008.401450777568</v>
      </c>
      <c r="R663">
        <f t="shared" si="996"/>
        <v>-22200002.380706731</v>
      </c>
      <c r="S663">
        <f t="shared" si="997"/>
        <v>-222.00002380706732</v>
      </c>
      <c r="T663">
        <f t="shared" si="998"/>
        <v>-0.22200002380706732</v>
      </c>
    </row>
    <row r="664" spans="1:20" x14ac:dyDescent="0.25">
      <c r="A664" s="5">
        <v>43929</v>
      </c>
      <c r="B664">
        <v>0.2848</v>
      </c>
      <c r="C664">
        <v>0.30570000000000003</v>
      </c>
      <c r="D664">
        <v>0.2828</v>
      </c>
      <c r="E664">
        <v>0.30149999999999999</v>
      </c>
      <c r="F664">
        <v>632647.53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0.63318777292576145</v>
      </c>
      <c r="Q664">
        <f t="shared" si="995"/>
        <v>400584.68056768388</v>
      </c>
      <c r="R664">
        <f t="shared" si="996"/>
        <v>-22173993.979255952</v>
      </c>
      <c r="S664">
        <f t="shared" si="997"/>
        <v>-221.73993979255951</v>
      </c>
      <c r="T664">
        <f t="shared" si="998"/>
        <v>-0.22173993979255952</v>
      </c>
    </row>
    <row r="665" spans="1:20" x14ac:dyDescent="0.25">
      <c r="A665" s="5">
        <v>43928</v>
      </c>
      <c r="B665">
        <v>0.28070000000000001</v>
      </c>
      <c r="C665">
        <v>0.3095</v>
      </c>
      <c r="D665">
        <v>0.27579999999999999</v>
      </c>
      <c r="E665">
        <v>0.28589999999999999</v>
      </c>
      <c r="F665">
        <v>1759369.67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-0.40059347181008931</v>
      </c>
      <c r="Q665">
        <f t="shared" si="995"/>
        <v>-704792.00430267106</v>
      </c>
      <c r="R665">
        <f t="shared" si="996"/>
        <v>-22574578.659823637</v>
      </c>
      <c r="S665">
        <f t="shared" si="997"/>
        <v>-225.74578659823638</v>
      </c>
      <c r="T665">
        <f t="shared" si="998"/>
        <v>-0.22574578659823638</v>
      </c>
    </row>
    <row r="666" spans="1:20" x14ac:dyDescent="0.25">
      <c r="A666" s="5">
        <v>43927</v>
      </c>
      <c r="B666">
        <v>0.25969999999999999</v>
      </c>
      <c r="C666">
        <v>0.28349999999999997</v>
      </c>
      <c r="D666">
        <v>0.25890000000000002</v>
      </c>
      <c r="E666">
        <v>0.28060000000000002</v>
      </c>
      <c r="F666">
        <v>1182647.3600000001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0.7642276422764257</v>
      </c>
      <c r="Q666">
        <f t="shared" si="995"/>
        <v>903811.80357723928</v>
      </c>
      <c r="R666">
        <f t="shared" si="996"/>
        <v>-21869786.655520968</v>
      </c>
      <c r="S666">
        <f t="shared" si="997"/>
        <v>-218.69786655520969</v>
      </c>
      <c r="T666">
        <f t="shared" si="998"/>
        <v>-0.21869786655520967</v>
      </c>
    </row>
    <row r="667" spans="1:20" x14ac:dyDescent="0.25">
      <c r="A667" s="5">
        <v>43926</v>
      </c>
      <c r="B667">
        <v>0.26479999999999998</v>
      </c>
      <c r="C667">
        <v>0.27189999999999998</v>
      </c>
      <c r="D667">
        <v>0.25650000000000001</v>
      </c>
      <c r="E667">
        <v>0.25969999999999999</v>
      </c>
      <c r="F667">
        <v>658156.66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-0.58441558441558605</v>
      </c>
      <c r="Q667">
        <f t="shared" si="995"/>
        <v>-384637.0090909102</v>
      </c>
      <c r="R667">
        <f t="shared" si="996"/>
        <v>-22773598.459098209</v>
      </c>
      <c r="S667">
        <f t="shared" si="997"/>
        <v>-227.7359845909821</v>
      </c>
      <c r="T667">
        <f t="shared" si="998"/>
        <v>-0.2277359845909821</v>
      </c>
    </row>
    <row r="668" spans="1:20" x14ac:dyDescent="0.25">
      <c r="A668" s="5">
        <v>43925</v>
      </c>
      <c r="B668">
        <v>0.26500000000000001</v>
      </c>
      <c r="C668">
        <v>0.27810000000000001</v>
      </c>
      <c r="D668">
        <v>0.26</v>
      </c>
      <c r="E668">
        <v>0.26419999999999999</v>
      </c>
      <c r="F668">
        <v>896355.99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-0.53591160220994694</v>
      </c>
      <c r="Q668">
        <f t="shared" si="995"/>
        <v>-480367.57475138316</v>
      </c>
      <c r="R668">
        <f t="shared" si="996"/>
        <v>-22388961.450007297</v>
      </c>
      <c r="S668">
        <f t="shared" si="997"/>
        <v>-223.88961450007298</v>
      </c>
      <c r="T668">
        <f t="shared" si="998"/>
        <v>-0.22388961450007297</v>
      </c>
    </row>
    <row r="669" spans="1:20" x14ac:dyDescent="0.25">
      <c r="A669" s="5">
        <v>43924</v>
      </c>
      <c r="B669">
        <v>0.26</v>
      </c>
      <c r="C669">
        <v>0.2898</v>
      </c>
      <c r="D669">
        <v>0.25719999999999998</v>
      </c>
      <c r="E669">
        <v>0.26590000000000003</v>
      </c>
      <c r="F669">
        <v>1808808.76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-0.46625766871165419</v>
      </c>
      <c r="Q669">
        <f t="shared" si="995"/>
        <v>-843370.95558281802</v>
      </c>
      <c r="R669">
        <f t="shared" si="996"/>
        <v>-21908593.875255913</v>
      </c>
      <c r="S669">
        <f t="shared" si="997"/>
        <v>-219.08593875255912</v>
      </c>
      <c r="T669">
        <f t="shared" si="998"/>
        <v>-0.21908593875255911</v>
      </c>
    </row>
    <row r="670" spans="1:20" x14ac:dyDescent="0.25">
      <c r="A670" s="5">
        <v>43923</v>
      </c>
      <c r="B670">
        <v>0.25840000000000002</v>
      </c>
      <c r="C670">
        <v>0.28799999999999998</v>
      </c>
      <c r="D670">
        <v>0.25309999999999999</v>
      </c>
      <c r="E670">
        <v>0.26</v>
      </c>
      <c r="F670">
        <v>2294921.2599999998</v>
      </c>
      <c r="G670">
        <v>0</v>
      </c>
      <c r="L670" t="s">
        <v>8</v>
      </c>
      <c r="M670" t="s">
        <v>8</v>
      </c>
      <c r="N670" t="s">
        <v>7</v>
      </c>
      <c r="P670">
        <f t="shared" si="994"/>
        <v>-0.60458452722062928</v>
      </c>
      <c r="Q670">
        <f t="shared" si="995"/>
        <v>-1387473.8849856707</v>
      </c>
      <c r="R670">
        <f t="shared" si="996"/>
        <v>-21065222.919673096</v>
      </c>
      <c r="S670">
        <f t="shared" si="997"/>
        <v>-210.65222919673096</v>
      </c>
      <c r="T670">
        <f t="shared" si="998"/>
        <v>-0.21065222919673096</v>
      </c>
    </row>
    <row r="671" spans="1:20" x14ac:dyDescent="0.25">
      <c r="A671" s="5">
        <v>43922</v>
      </c>
      <c r="B671">
        <v>0.24160000000000001</v>
      </c>
      <c r="C671">
        <v>0.25969999999999999</v>
      </c>
      <c r="D671">
        <v>0.23200000000000001</v>
      </c>
      <c r="E671">
        <v>0.25840000000000002</v>
      </c>
      <c r="F671">
        <v>819568.39</v>
      </c>
      <c r="G671">
        <v>0</v>
      </c>
      <c r="L671" t="s">
        <v>8</v>
      </c>
      <c r="M671" t="s">
        <v>8</v>
      </c>
      <c r="N671" t="s">
        <v>7</v>
      </c>
      <c r="P671">
        <f t="shared" si="994"/>
        <v>0.90613718411552568</v>
      </c>
      <c r="Q671">
        <f t="shared" si="995"/>
        <v>742641.39310469502</v>
      </c>
      <c r="R671">
        <f t="shared" si="996"/>
        <v>-19677749.034687426</v>
      </c>
      <c r="S671">
        <f t="shared" si="997"/>
        <v>-196.77749034687426</v>
      </c>
      <c r="T671">
        <f t="shared" si="998"/>
        <v>-0.19677749034687425</v>
      </c>
    </row>
    <row r="672" spans="1:20" x14ac:dyDescent="0.25">
      <c r="A672" s="5">
        <v>43921</v>
      </c>
      <c r="B672">
        <v>0.23449999999999999</v>
      </c>
      <c r="C672">
        <v>0.245</v>
      </c>
      <c r="D672">
        <v>0.23080000000000001</v>
      </c>
      <c r="E672">
        <v>0.24210000000000001</v>
      </c>
      <c r="F672">
        <v>674607.83</v>
      </c>
      <c r="G672">
        <v>0</v>
      </c>
      <c r="L672" t="s">
        <v>7</v>
      </c>
      <c r="M672" t="s">
        <v>7</v>
      </c>
      <c r="N672" t="s">
        <v>7</v>
      </c>
      <c r="P672">
        <f t="shared" si="994"/>
        <v>0.59154929577464954</v>
      </c>
      <c r="Q672">
        <f t="shared" si="995"/>
        <v>399063.78676056449</v>
      </c>
      <c r="R672">
        <f t="shared" si="996"/>
        <v>-20420390.427792121</v>
      </c>
      <c r="S672">
        <f t="shared" si="997"/>
        <v>-204.2039042779212</v>
      </c>
      <c r="T672">
        <f t="shared" si="998"/>
        <v>-0.20420390427792121</v>
      </c>
    </row>
    <row r="673" spans="1:20" x14ac:dyDescent="0.25">
      <c r="A673" s="5">
        <v>43920</v>
      </c>
      <c r="B673">
        <v>0.21290000000000001</v>
      </c>
      <c r="C673">
        <v>0.247</v>
      </c>
      <c r="D673">
        <v>0.2114</v>
      </c>
      <c r="E673">
        <v>0.23350000000000001</v>
      </c>
      <c r="F673">
        <v>729997.73</v>
      </c>
      <c r="G673">
        <v>0</v>
      </c>
      <c r="L673" t="s">
        <v>8</v>
      </c>
      <c r="M673" t="s">
        <v>7</v>
      </c>
      <c r="N673" t="s">
        <v>7</v>
      </c>
      <c r="P673">
        <f t="shared" si="994"/>
        <v>0.2415730337078659</v>
      </c>
      <c r="Q673">
        <f t="shared" si="995"/>
        <v>176347.76623595558</v>
      </c>
      <c r="R673">
        <f t="shared" si="996"/>
        <v>-20819454.214552686</v>
      </c>
      <c r="S673">
        <f t="shared" si="997"/>
        <v>-208.19454214552687</v>
      </c>
      <c r="T673">
        <f t="shared" si="998"/>
        <v>-0.20819454214552688</v>
      </c>
    </row>
    <row r="674" spans="1:20" x14ac:dyDescent="0.25">
      <c r="A674" s="5">
        <v>43919</v>
      </c>
      <c r="B674">
        <v>0.22770000000000001</v>
      </c>
      <c r="C674">
        <v>0.2361</v>
      </c>
      <c r="D674">
        <v>0.2112</v>
      </c>
      <c r="E674">
        <v>0.21290000000000001</v>
      </c>
      <c r="F674">
        <v>1019046.11</v>
      </c>
      <c r="G674">
        <v>0</v>
      </c>
      <c r="L674" t="s">
        <v>7</v>
      </c>
      <c r="M674" t="s">
        <v>7</v>
      </c>
      <c r="N674" t="s">
        <v>7</v>
      </c>
      <c r="P674">
        <f t="shared" si="994"/>
        <v>-0.86345381526104359</v>
      </c>
      <c r="Q674">
        <f t="shared" si="995"/>
        <v>-879899.25160642504</v>
      </c>
      <c r="R674">
        <f t="shared" si="996"/>
        <v>-20995801.980788641</v>
      </c>
      <c r="S674">
        <f t="shared" si="997"/>
        <v>-209.95801980788642</v>
      </c>
      <c r="T674">
        <f t="shared" si="998"/>
        <v>-0.20995801980788642</v>
      </c>
    </row>
    <row r="675" spans="1:20" x14ac:dyDescent="0.25">
      <c r="A675" s="5">
        <v>43918</v>
      </c>
      <c r="B675">
        <v>0.22969999999999999</v>
      </c>
      <c r="C675">
        <v>0.23519999999999999</v>
      </c>
      <c r="D675">
        <v>0.21709999999999999</v>
      </c>
      <c r="E675">
        <v>0.22770000000000001</v>
      </c>
      <c r="F675">
        <v>1589468.51</v>
      </c>
      <c r="G675">
        <v>0</v>
      </c>
      <c r="L675" t="s">
        <v>7</v>
      </c>
      <c r="M675" t="s">
        <v>7</v>
      </c>
      <c r="N675" t="s">
        <v>7</v>
      </c>
      <c r="P675">
        <f t="shared" si="994"/>
        <v>0.17127071823204676</v>
      </c>
      <c r="Q675">
        <f t="shared" si="995"/>
        <v>272229.4133149212</v>
      </c>
      <c r="R675">
        <f t="shared" si="996"/>
        <v>-20115902.729182217</v>
      </c>
      <c r="S675">
        <f t="shared" si="997"/>
        <v>-201.15902729182218</v>
      </c>
      <c r="T675">
        <f t="shared" si="998"/>
        <v>-0.2011590272918222</v>
      </c>
    </row>
    <row r="676" spans="1:20" x14ac:dyDescent="0.25">
      <c r="A676" s="5">
        <v>43917</v>
      </c>
      <c r="B676">
        <v>0.25430000000000003</v>
      </c>
      <c r="C676">
        <v>0.25879999999999997</v>
      </c>
      <c r="D676">
        <v>0.22600000000000001</v>
      </c>
      <c r="E676">
        <v>0.23</v>
      </c>
      <c r="F676">
        <v>2323463.5099999998</v>
      </c>
      <c r="G676">
        <v>0</v>
      </c>
      <c r="L676" t="s">
        <v>7</v>
      </c>
      <c r="M676" t="s">
        <v>8</v>
      </c>
      <c r="N676" t="s">
        <v>7</v>
      </c>
      <c r="P676">
        <f t="shared" si="994"/>
        <v>-0.75609756097560932</v>
      </c>
      <c r="Q676">
        <f t="shared" si="995"/>
        <v>-1756765.0929268282</v>
      </c>
      <c r="R676">
        <f t="shared" si="996"/>
        <v>-20388132.142497137</v>
      </c>
      <c r="S676">
        <f t="shared" si="997"/>
        <v>-203.88132142497136</v>
      </c>
      <c r="T676">
        <f t="shared" si="998"/>
        <v>-0.20388132142497137</v>
      </c>
    </row>
    <row r="677" spans="1:20" x14ac:dyDescent="0.25">
      <c r="A677" s="5">
        <v>43916</v>
      </c>
      <c r="B677">
        <v>0.24590000000000001</v>
      </c>
      <c r="C677">
        <v>0.26440000000000002</v>
      </c>
      <c r="D677">
        <v>0.2266</v>
      </c>
      <c r="E677">
        <v>0.25419999999999998</v>
      </c>
      <c r="F677">
        <v>1724280.29</v>
      </c>
      <c r="G677">
        <v>0</v>
      </c>
      <c r="L677" t="s">
        <v>8</v>
      </c>
      <c r="M677" t="s">
        <v>8</v>
      </c>
      <c r="N677" t="s">
        <v>7</v>
      </c>
      <c r="P677">
        <f t="shared" si="994"/>
        <v>0.46031746031745846</v>
      </c>
      <c r="Q677">
        <f t="shared" si="995"/>
        <v>793716.32396825077</v>
      </c>
      <c r="R677">
        <f t="shared" si="996"/>
        <v>-18631367.049570311</v>
      </c>
      <c r="S677">
        <f t="shared" si="997"/>
        <v>-186.31367049570312</v>
      </c>
      <c r="T677">
        <f t="shared" si="998"/>
        <v>-0.18631367049570313</v>
      </c>
    </row>
    <row r="678" spans="1:20" x14ac:dyDescent="0.25">
      <c r="A678" s="5">
        <v>43915</v>
      </c>
      <c r="B678">
        <v>0.23569999999999999</v>
      </c>
      <c r="C678">
        <v>0.25640000000000002</v>
      </c>
      <c r="D678">
        <v>0.2324</v>
      </c>
      <c r="E678">
        <v>0.24529999999999999</v>
      </c>
      <c r="F678">
        <v>1102114.67</v>
      </c>
      <c r="G678">
        <v>0</v>
      </c>
      <c r="L678" t="s">
        <v>8</v>
      </c>
      <c r="M678" t="s">
        <v>8</v>
      </c>
      <c r="N678" t="s">
        <v>7</v>
      </c>
      <c r="P678">
        <f t="shared" si="994"/>
        <v>7.4999999999998609E-2</v>
      </c>
      <c r="Q678">
        <f t="shared" si="995"/>
        <v>82658.600249998461</v>
      </c>
      <c r="R678">
        <f t="shared" si="996"/>
        <v>-19425083.373538561</v>
      </c>
      <c r="S678">
        <f t="shared" si="997"/>
        <v>-194.25083373538561</v>
      </c>
      <c r="T678">
        <f t="shared" si="998"/>
        <v>-0.19425083373538563</v>
      </c>
    </row>
    <row r="679" spans="1:20" x14ac:dyDescent="0.25">
      <c r="A679" s="5">
        <v>43914</v>
      </c>
      <c r="B679">
        <v>0.2369</v>
      </c>
      <c r="C679">
        <v>0.24410000000000001</v>
      </c>
      <c r="D679">
        <v>0.22220000000000001</v>
      </c>
      <c r="E679">
        <v>0.2369</v>
      </c>
      <c r="F679">
        <v>1494282.84</v>
      </c>
      <c r="G679">
        <v>0</v>
      </c>
      <c r="L679" t="s">
        <v>8</v>
      </c>
      <c r="M679" t="s">
        <v>7</v>
      </c>
      <c r="N679" t="s">
        <v>7</v>
      </c>
      <c r="P679">
        <f t="shared" si="994"/>
        <v>0.34246575342465652</v>
      </c>
      <c r="Q679">
        <f t="shared" si="995"/>
        <v>511740.69863013551</v>
      </c>
      <c r="R679">
        <f t="shared" si="996"/>
        <v>-19507741.973788559</v>
      </c>
      <c r="S679">
        <f t="shared" si="997"/>
        <v>-195.07741973788561</v>
      </c>
      <c r="T679">
        <f t="shared" si="998"/>
        <v>-0.19507741973788562</v>
      </c>
    </row>
    <row r="680" spans="1:20" x14ac:dyDescent="0.25">
      <c r="A680" s="5">
        <v>43913</v>
      </c>
      <c r="B680">
        <v>0.2157</v>
      </c>
      <c r="C680">
        <v>0.2387</v>
      </c>
      <c r="D680">
        <v>0.21199999999999999</v>
      </c>
      <c r="E680">
        <v>0.2349</v>
      </c>
      <c r="F680">
        <v>1144273.49</v>
      </c>
      <c r="G680">
        <v>0</v>
      </c>
      <c r="L680" t="s">
        <v>7</v>
      </c>
      <c r="M680" t="s">
        <v>7</v>
      </c>
      <c r="N680" t="s">
        <v>7</v>
      </c>
      <c r="P680">
        <f t="shared" si="994"/>
        <v>0.71535580524344589</v>
      </c>
      <c r="Q680">
        <f t="shared" si="995"/>
        <v>818562.68385767809</v>
      </c>
      <c r="R680">
        <f t="shared" si="996"/>
        <v>-20019482.672418695</v>
      </c>
      <c r="S680">
        <f t="shared" si="997"/>
        <v>-200.19482672418695</v>
      </c>
      <c r="T680">
        <f t="shared" si="998"/>
        <v>-0.20019482672418695</v>
      </c>
    </row>
    <row r="681" spans="1:20" x14ac:dyDescent="0.25">
      <c r="A681" s="5">
        <v>43912</v>
      </c>
      <c r="B681">
        <v>0.23769999999999999</v>
      </c>
      <c r="C681">
        <v>0.25309999999999999</v>
      </c>
      <c r="D681">
        <v>0.215</v>
      </c>
      <c r="E681">
        <v>0.2162</v>
      </c>
      <c r="F681">
        <v>1217545.78</v>
      </c>
      <c r="G681">
        <v>0</v>
      </c>
      <c r="L681" t="s">
        <v>7</v>
      </c>
      <c r="M681" t="s">
        <v>7</v>
      </c>
      <c r="N681" t="s">
        <v>7</v>
      </c>
      <c r="P681">
        <f t="shared" si="994"/>
        <v>-0.9370078740157477</v>
      </c>
      <c r="Q681">
        <f t="shared" si="995"/>
        <v>-1140849.9828346453</v>
      </c>
      <c r="R681">
        <f t="shared" si="996"/>
        <v>-20838045.356276374</v>
      </c>
      <c r="S681">
        <f t="shared" si="997"/>
        <v>-208.38045356276373</v>
      </c>
      <c r="T681">
        <f t="shared" si="998"/>
        <v>-0.20838045356276375</v>
      </c>
    </row>
    <row r="682" spans="1:20" x14ac:dyDescent="0.25">
      <c r="A682" s="5">
        <v>43911</v>
      </c>
      <c r="B682">
        <v>0.23519999999999999</v>
      </c>
      <c r="C682">
        <v>0.25240000000000001</v>
      </c>
      <c r="D682">
        <v>0.22220000000000001</v>
      </c>
      <c r="E682">
        <v>0.23780000000000001</v>
      </c>
      <c r="F682">
        <v>1716519.68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3.3112582781456977E-2</v>
      </c>
      <c r="Q682">
        <f t="shared" si="995"/>
        <v>56838.400000000038</v>
      </c>
      <c r="R682">
        <f t="shared" si="996"/>
        <v>-19697195.37344173</v>
      </c>
      <c r="S682">
        <f t="shared" si="997"/>
        <v>-196.9719537344173</v>
      </c>
      <c r="T682">
        <f t="shared" si="998"/>
        <v>-0.19697195373441731</v>
      </c>
    </row>
    <row r="683" spans="1:20" x14ac:dyDescent="0.25">
      <c r="A683" s="5">
        <v>43910</v>
      </c>
      <c r="B683">
        <v>0.25330000000000003</v>
      </c>
      <c r="C683">
        <v>0.29499999999999998</v>
      </c>
      <c r="D683">
        <v>0.20599999999999999</v>
      </c>
      <c r="E683">
        <v>0.23580000000000001</v>
      </c>
      <c r="F683">
        <v>3679595.91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-0.33033707865168488</v>
      </c>
      <c r="Q683">
        <f t="shared" si="995"/>
        <v>-1215506.9635280881</v>
      </c>
      <c r="R683">
        <f t="shared" si="996"/>
        <v>-19754033.773441728</v>
      </c>
      <c r="S683">
        <f t="shared" si="997"/>
        <v>-197.54033773441728</v>
      </c>
      <c r="T683">
        <f t="shared" si="998"/>
        <v>-0.19754033773441729</v>
      </c>
    </row>
    <row r="684" spans="1:20" x14ac:dyDescent="0.25">
      <c r="A684" s="5">
        <v>43909</v>
      </c>
      <c r="B684">
        <v>0.22789999999999999</v>
      </c>
      <c r="C684">
        <v>0.26989999999999997</v>
      </c>
      <c r="D684">
        <v>0.224</v>
      </c>
      <c r="E684">
        <v>0.25040000000000001</v>
      </c>
      <c r="F684">
        <v>2595143.04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0.15032679738562199</v>
      </c>
      <c r="Q684">
        <f t="shared" si="995"/>
        <v>390119.54196078709</v>
      </c>
      <c r="R684">
        <f t="shared" si="996"/>
        <v>-18538526.809913639</v>
      </c>
      <c r="S684">
        <f t="shared" si="997"/>
        <v>-185.3852680991364</v>
      </c>
      <c r="T684">
        <f t="shared" si="998"/>
        <v>-0.18538526809913639</v>
      </c>
    </row>
    <row r="685" spans="1:20" x14ac:dyDescent="0.25">
      <c r="A685" s="5">
        <v>43908</v>
      </c>
      <c r="B685">
        <v>0.2402</v>
      </c>
      <c r="C685">
        <v>0.25869999999999999</v>
      </c>
      <c r="D685">
        <v>0.218</v>
      </c>
      <c r="E685">
        <v>0.2278</v>
      </c>
      <c r="F685">
        <v>2495021.2000000002</v>
      </c>
      <c r="G685">
        <v>0</v>
      </c>
      <c r="L685" t="s">
        <v>7</v>
      </c>
      <c r="M685" t="s">
        <v>7</v>
      </c>
      <c r="N685" t="s">
        <v>8</v>
      </c>
      <c r="P685">
        <f t="shared" si="994"/>
        <v>-0.51842751842751811</v>
      </c>
      <c r="Q685">
        <f t="shared" si="995"/>
        <v>-1293487.6491400485</v>
      </c>
      <c r="R685">
        <f t="shared" si="996"/>
        <v>-18928646.351874426</v>
      </c>
      <c r="S685">
        <f t="shared" si="997"/>
        <v>-189.28646351874426</v>
      </c>
      <c r="T685">
        <f t="shared" si="998"/>
        <v>-0.18928646351874426</v>
      </c>
    </row>
    <row r="686" spans="1:20" x14ac:dyDescent="0.25">
      <c r="A686" s="5">
        <v>43907</v>
      </c>
      <c r="B686">
        <v>0.1867</v>
      </c>
      <c r="C686">
        <v>0.28100000000000003</v>
      </c>
      <c r="D686">
        <v>0.18360000000000001</v>
      </c>
      <c r="E686">
        <v>0.2422</v>
      </c>
      <c r="F686">
        <v>2865211.73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0.20328542094455804</v>
      </c>
      <c r="Q686">
        <f t="shared" si="995"/>
        <v>582455.7726283354</v>
      </c>
      <c r="R686">
        <f t="shared" si="996"/>
        <v>-17635158.702734377</v>
      </c>
      <c r="S686">
        <f t="shared" si="997"/>
        <v>-176.35158702734378</v>
      </c>
      <c r="T686">
        <f t="shared" si="998"/>
        <v>-0.17635158702734377</v>
      </c>
    </row>
    <row r="687" spans="1:20" x14ac:dyDescent="0.25">
      <c r="A687" s="5">
        <v>43906</v>
      </c>
      <c r="B687">
        <v>0.20660000000000001</v>
      </c>
      <c r="C687">
        <v>0.2195</v>
      </c>
      <c r="D687">
        <v>0.16500000000000001</v>
      </c>
      <c r="E687">
        <v>0.18590000000000001</v>
      </c>
      <c r="F687">
        <v>2131669.33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-0.23302752293577964</v>
      </c>
      <c r="Q687">
        <f t="shared" si="995"/>
        <v>-496737.62368807301</v>
      </c>
      <c r="R687">
        <f t="shared" si="996"/>
        <v>-18217614.475362714</v>
      </c>
      <c r="S687">
        <f t="shared" si="997"/>
        <v>-182.17614475362714</v>
      </c>
      <c r="T687">
        <f t="shared" si="998"/>
        <v>-0.18217614475362714</v>
      </c>
    </row>
    <row r="688" spans="1:20" x14ac:dyDescent="0.25">
      <c r="A688" s="5">
        <v>43905</v>
      </c>
      <c r="B688">
        <v>0.20499999999999999</v>
      </c>
      <c r="C688">
        <v>0.22500000000000001</v>
      </c>
      <c r="D688">
        <v>0.19719999999999999</v>
      </c>
      <c r="E688">
        <v>0.20660000000000001</v>
      </c>
      <c r="F688">
        <v>1256281.3600000001</v>
      </c>
      <c r="G688">
        <v>0</v>
      </c>
      <c r="L688" t="s">
        <v>7</v>
      </c>
      <c r="M688" t="s">
        <v>7</v>
      </c>
      <c r="N688" t="s">
        <v>8</v>
      </c>
      <c r="P688">
        <f t="shared" si="994"/>
        <v>-0.32374100719424365</v>
      </c>
      <c r="Q688">
        <f t="shared" si="995"/>
        <v>-406709.79280575423</v>
      </c>
      <c r="R688">
        <f t="shared" si="996"/>
        <v>-17720876.851674642</v>
      </c>
      <c r="S688">
        <f t="shared" si="997"/>
        <v>-177.20876851674643</v>
      </c>
      <c r="T688">
        <f t="shared" si="998"/>
        <v>-0.17720876851674644</v>
      </c>
    </row>
    <row r="689" spans="1:20" x14ac:dyDescent="0.25">
      <c r="A689" s="5">
        <v>43904</v>
      </c>
      <c r="B689">
        <v>0.22140000000000001</v>
      </c>
      <c r="C689">
        <v>0.24149999999999999</v>
      </c>
      <c r="D689">
        <v>0.19700000000000001</v>
      </c>
      <c r="E689">
        <v>0.20430000000000001</v>
      </c>
      <c r="F689">
        <v>1362684.72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-0.67191011235955045</v>
      </c>
      <c r="Q689">
        <f t="shared" si="995"/>
        <v>-915601.64332584257</v>
      </c>
      <c r="R689">
        <f t="shared" si="996"/>
        <v>-17314167.058868889</v>
      </c>
      <c r="S689">
        <f t="shared" si="997"/>
        <v>-173.1416705886889</v>
      </c>
      <c r="T689">
        <f t="shared" si="998"/>
        <v>-0.1731416705886889</v>
      </c>
    </row>
    <row r="690" spans="1:20" x14ac:dyDescent="0.25">
      <c r="A690" s="5">
        <v>43903</v>
      </c>
      <c r="B690">
        <v>0.18770000000000001</v>
      </c>
      <c r="C690">
        <v>0.27939999999999998</v>
      </c>
      <c r="D690">
        <v>0.1181</v>
      </c>
      <c r="E690">
        <v>0.22140000000000001</v>
      </c>
      <c r="F690">
        <v>4002056.6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0.28084314941103566</v>
      </c>
      <c r="Q690">
        <f t="shared" si="995"/>
        <v>1123950.1796652214</v>
      </c>
      <c r="R690">
        <f t="shared" si="996"/>
        <v>-16398565.415543048</v>
      </c>
      <c r="S690">
        <f t="shared" si="997"/>
        <v>-163.98565415543047</v>
      </c>
      <c r="T690">
        <f t="shared" si="998"/>
        <v>-0.16398565415543045</v>
      </c>
    </row>
    <row r="691" spans="1:20" x14ac:dyDescent="0.25">
      <c r="A691" s="5">
        <v>43902</v>
      </c>
      <c r="B691">
        <v>0.41320000000000001</v>
      </c>
      <c r="C691">
        <v>0.41349999999999998</v>
      </c>
      <c r="D691">
        <v>0.17530000000000001</v>
      </c>
      <c r="E691">
        <v>0.18770000000000001</v>
      </c>
      <c r="F691">
        <v>4150633.16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-0.8958858102434929</v>
      </c>
      <c r="Q691">
        <f t="shared" si="995"/>
        <v>-3718493.3515701094</v>
      </c>
      <c r="R691">
        <f t="shared" si="996"/>
        <v>-17522515.595208269</v>
      </c>
      <c r="S691">
        <f t="shared" si="997"/>
        <v>-175.22515595208267</v>
      </c>
      <c r="T691">
        <f t="shared" si="998"/>
        <v>-0.17522515595208268</v>
      </c>
    </row>
    <row r="692" spans="1:20" x14ac:dyDescent="0.25">
      <c r="A692" s="5">
        <v>43901</v>
      </c>
      <c r="B692">
        <v>0.43819999999999998</v>
      </c>
      <c r="C692">
        <v>0.44750000000000001</v>
      </c>
      <c r="D692">
        <v>0.38540000000000002</v>
      </c>
      <c r="E692">
        <v>0.41439999999999999</v>
      </c>
      <c r="F692">
        <v>1283393.42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-6.6022544283414641E-2</v>
      </c>
      <c r="Q692">
        <f t="shared" si="995"/>
        <v>-84732.898904992966</v>
      </c>
      <c r="R692">
        <f t="shared" si="996"/>
        <v>-13804022.243638158</v>
      </c>
      <c r="S692">
        <f t="shared" si="997"/>
        <v>-138.04022243638158</v>
      </c>
      <c r="T692">
        <f t="shared" si="998"/>
        <v>-0.13804022243638159</v>
      </c>
    </row>
    <row r="693" spans="1:20" x14ac:dyDescent="0.25">
      <c r="A693" s="5">
        <v>43900</v>
      </c>
      <c r="B693">
        <v>0.44280000000000003</v>
      </c>
      <c r="C693">
        <v>0.46329999999999999</v>
      </c>
      <c r="D693">
        <v>0.42030000000000001</v>
      </c>
      <c r="E693">
        <v>0.44090000000000001</v>
      </c>
      <c r="F693">
        <v>949584.24</v>
      </c>
      <c r="G693">
        <v>0</v>
      </c>
      <c r="L693" t="s">
        <v>8</v>
      </c>
      <c r="M693" t="s">
        <v>8</v>
      </c>
      <c r="N693" t="s">
        <v>7</v>
      </c>
      <c r="P693">
        <f t="shared" si="994"/>
        <v>-4.1860465116278348E-2</v>
      </c>
      <c r="Q693">
        <f t="shared" si="995"/>
        <v>-39750.037953487685</v>
      </c>
      <c r="R693">
        <f t="shared" si="996"/>
        <v>-13719289.344733166</v>
      </c>
      <c r="S693">
        <f t="shared" si="997"/>
        <v>-137.19289344733164</v>
      </c>
      <c r="T693">
        <f t="shared" si="998"/>
        <v>-0.13719289344733165</v>
      </c>
    </row>
    <row r="694" spans="1:20" x14ac:dyDescent="0.25">
      <c r="A694" s="5">
        <v>43899</v>
      </c>
      <c r="B694">
        <v>0.42830000000000001</v>
      </c>
      <c r="C694">
        <v>0.45700000000000002</v>
      </c>
      <c r="D694">
        <v>0.39400000000000002</v>
      </c>
      <c r="E694">
        <v>0.44019999999999998</v>
      </c>
      <c r="F694">
        <v>1575628.63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0.46666666666666551</v>
      </c>
      <c r="Q694">
        <f t="shared" si="995"/>
        <v>735293.36066666478</v>
      </c>
      <c r="R694">
        <f t="shared" si="996"/>
        <v>-13679539.306779677</v>
      </c>
      <c r="S694">
        <f t="shared" si="997"/>
        <v>-136.79539306779677</v>
      </c>
      <c r="T694">
        <f t="shared" si="998"/>
        <v>-0.13679539306779676</v>
      </c>
    </row>
    <row r="695" spans="1:20" x14ac:dyDescent="0.25">
      <c r="A695" s="5">
        <v>43898</v>
      </c>
      <c r="B695">
        <v>0.52210000000000001</v>
      </c>
      <c r="C695">
        <v>0.52290000000000003</v>
      </c>
      <c r="D695">
        <v>0.4234</v>
      </c>
      <c r="E695">
        <v>0.4274</v>
      </c>
      <c r="F695">
        <v>1744493.46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-0.91959798994974873</v>
      </c>
      <c r="Q695">
        <f t="shared" si="995"/>
        <v>-1604232.6792964824</v>
      </c>
      <c r="R695">
        <f t="shared" si="996"/>
        <v>-14414832.667446341</v>
      </c>
      <c r="S695">
        <f t="shared" si="997"/>
        <v>-144.14832667446342</v>
      </c>
      <c r="T695">
        <f t="shared" si="998"/>
        <v>-0.14414832667446342</v>
      </c>
    </row>
    <row r="696" spans="1:20" x14ac:dyDescent="0.25">
      <c r="A696" s="5">
        <v>43897</v>
      </c>
      <c r="B696">
        <v>0.54100000000000004</v>
      </c>
      <c r="C696">
        <v>0.5635</v>
      </c>
      <c r="D696">
        <v>0.51680000000000004</v>
      </c>
      <c r="E696">
        <v>0.52339999999999998</v>
      </c>
      <c r="F696">
        <v>1233619.1599999999</v>
      </c>
      <c r="G696">
        <v>0</v>
      </c>
      <c r="L696" t="s">
        <v>8</v>
      </c>
      <c r="M696" t="s">
        <v>8</v>
      </c>
      <c r="N696" t="s">
        <v>7</v>
      </c>
      <c r="P696">
        <f t="shared" si="994"/>
        <v>-0.71734475374732576</v>
      </c>
      <c r="Q696">
        <f t="shared" si="995"/>
        <v>-884930.23254818283</v>
      </c>
      <c r="R696">
        <f t="shared" si="996"/>
        <v>-12810599.988149859</v>
      </c>
      <c r="S696">
        <f t="shared" si="997"/>
        <v>-128.10599988149858</v>
      </c>
      <c r="T696">
        <f t="shared" si="998"/>
        <v>-0.12810599988149857</v>
      </c>
    </row>
    <row r="697" spans="1:20" x14ac:dyDescent="0.25">
      <c r="A697" s="5">
        <v>43896</v>
      </c>
      <c r="B697">
        <v>0.52849999999999997</v>
      </c>
      <c r="C697">
        <v>0.54900000000000004</v>
      </c>
      <c r="D697">
        <v>0.52</v>
      </c>
      <c r="E697">
        <v>0.53790000000000004</v>
      </c>
      <c r="F697">
        <v>1063951.99</v>
      </c>
      <c r="G697">
        <v>0</v>
      </c>
      <c r="L697" t="s">
        <v>7</v>
      </c>
      <c r="M697" t="s">
        <v>8</v>
      </c>
      <c r="N697" t="s">
        <v>7</v>
      </c>
      <c r="P697">
        <f t="shared" si="994"/>
        <v>0.23448275862069043</v>
      </c>
      <c r="Q697">
        <f t="shared" si="995"/>
        <v>249478.39765517323</v>
      </c>
      <c r="R697">
        <f t="shared" si="996"/>
        <v>-11925669.755601676</v>
      </c>
      <c r="S697">
        <f t="shared" si="997"/>
        <v>-119.25669755601676</v>
      </c>
      <c r="T697">
        <f t="shared" si="998"/>
        <v>-0.11925669755601676</v>
      </c>
    </row>
    <row r="698" spans="1:20" x14ac:dyDescent="0.25">
      <c r="A698" s="5">
        <v>43895</v>
      </c>
      <c r="B698">
        <v>0.52790000000000004</v>
      </c>
      <c r="C698">
        <v>0.58989999999999998</v>
      </c>
      <c r="D698">
        <v>0.52210000000000001</v>
      </c>
      <c r="E698">
        <v>0.52849999999999997</v>
      </c>
      <c r="F698">
        <v>1572374.25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-0.81120943952802471</v>
      </c>
      <c r="Q698">
        <f t="shared" si="995"/>
        <v>-1275524.8340707982</v>
      </c>
      <c r="R698">
        <f t="shared" si="996"/>
        <v>-12175148.15325685</v>
      </c>
      <c r="S698">
        <f t="shared" si="997"/>
        <v>-121.7514815325685</v>
      </c>
      <c r="T698">
        <f t="shared" si="998"/>
        <v>-0.12175148153256851</v>
      </c>
    </row>
    <row r="699" spans="1:20" x14ac:dyDescent="0.25">
      <c r="A699" s="5">
        <v>43894</v>
      </c>
      <c r="B699">
        <v>0.50490000000000002</v>
      </c>
      <c r="C699">
        <v>0.53469999999999995</v>
      </c>
      <c r="D699">
        <v>0.49930000000000002</v>
      </c>
      <c r="E699">
        <v>0.52790000000000004</v>
      </c>
      <c r="F699">
        <v>923397.72</v>
      </c>
      <c r="G699">
        <v>0</v>
      </c>
      <c r="L699" t="s">
        <v>7</v>
      </c>
      <c r="M699" t="s">
        <v>8</v>
      </c>
      <c r="N699" t="s">
        <v>7</v>
      </c>
      <c r="P699">
        <f t="shared" si="994"/>
        <v>0.61581920903955201</v>
      </c>
      <c r="Q699">
        <f t="shared" si="995"/>
        <v>568646.05355932575</v>
      </c>
      <c r="R699">
        <f t="shared" si="996"/>
        <v>-10899623.319186052</v>
      </c>
      <c r="S699">
        <f t="shared" si="997"/>
        <v>-108.99623319186053</v>
      </c>
      <c r="T699">
        <f t="shared" si="998"/>
        <v>-0.10899623319186053</v>
      </c>
    </row>
    <row r="700" spans="1:20" x14ac:dyDescent="0.25">
      <c r="A700" s="5">
        <v>43893</v>
      </c>
      <c r="B700">
        <v>0.51880000000000004</v>
      </c>
      <c r="C700">
        <v>0.53180000000000005</v>
      </c>
      <c r="D700">
        <v>0.5</v>
      </c>
      <c r="E700">
        <v>0.50309999999999999</v>
      </c>
      <c r="F700">
        <v>774603.06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-0.80503144654088132</v>
      </c>
      <c r="Q700">
        <f t="shared" si="995"/>
        <v>-623579.82188679313</v>
      </c>
      <c r="R700">
        <f t="shared" si="996"/>
        <v>-11468269.372745378</v>
      </c>
      <c r="S700">
        <f t="shared" si="997"/>
        <v>-114.68269372745378</v>
      </c>
      <c r="T700">
        <f t="shared" si="998"/>
        <v>-0.11468269372745378</v>
      </c>
    </row>
    <row r="701" spans="1:20" x14ac:dyDescent="0.25">
      <c r="A701" s="5">
        <v>43892</v>
      </c>
      <c r="B701">
        <v>0.4763</v>
      </c>
      <c r="C701">
        <v>0.53</v>
      </c>
      <c r="D701">
        <v>0.47320000000000001</v>
      </c>
      <c r="E701">
        <v>0.51880000000000004</v>
      </c>
      <c r="F701">
        <v>1044410.77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0.60563380281690193</v>
      </c>
      <c r="Q701">
        <f t="shared" si="995"/>
        <v>632530.46633802878</v>
      </c>
      <c r="R701">
        <f t="shared" si="996"/>
        <v>-10844689.550858585</v>
      </c>
      <c r="S701">
        <f t="shared" si="997"/>
        <v>-108.44689550858585</v>
      </c>
      <c r="T701">
        <f t="shared" si="998"/>
        <v>-0.10844689550858586</v>
      </c>
    </row>
    <row r="702" spans="1:20" x14ac:dyDescent="0.25">
      <c r="A702" s="5">
        <v>43891</v>
      </c>
      <c r="B702">
        <v>0.49299999999999999</v>
      </c>
      <c r="C702">
        <v>0.50860000000000005</v>
      </c>
      <c r="D702">
        <v>0.46389999999999998</v>
      </c>
      <c r="E702">
        <v>0.4733</v>
      </c>
      <c r="F702">
        <v>917782.77</v>
      </c>
      <c r="G702">
        <v>0</v>
      </c>
      <c r="L702" t="s">
        <v>7</v>
      </c>
      <c r="M702" t="s">
        <v>8</v>
      </c>
      <c r="N702" t="s">
        <v>7</v>
      </c>
      <c r="P702">
        <f t="shared" si="994"/>
        <v>-0.57941834451901553</v>
      </c>
      <c r="Q702">
        <f t="shared" si="995"/>
        <v>-531780.17322147638</v>
      </c>
      <c r="R702">
        <f t="shared" si="996"/>
        <v>-11477220.017196614</v>
      </c>
      <c r="S702">
        <f t="shared" si="997"/>
        <v>-114.77220017196615</v>
      </c>
      <c r="T702">
        <f t="shared" si="998"/>
        <v>-0.11477220017196615</v>
      </c>
    </row>
    <row r="703" spans="1:20" x14ac:dyDescent="0.25">
      <c r="A703" s="5">
        <v>43890</v>
      </c>
      <c r="B703">
        <v>0.50800000000000001</v>
      </c>
      <c r="C703">
        <v>0.53320000000000001</v>
      </c>
      <c r="D703">
        <v>0.4909</v>
      </c>
      <c r="E703">
        <v>0.49630000000000002</v>
      </c>
      <c r="F703">
        <v>801207.07</v>
      </c>
      <c r="G703">
        <v>0</v>
      </c>
      <c r="L703" t="s">
        <v>8</v>
      </c>
      <c r="M703" t="s">
        <v>8</v>
      </c>
      <c r="N703" t="s">
        <v>7</v>
      </c>
      <c r="P703">
        <f t="shared" si="994"/>
        <v>-0.74468085106382909</v>
      </c>
      <c r="Q703">
        <f t="shared" si="995"/>
        <v>-596643.56276595686</v>
      </c>
      <c r="R703">
        <f t="shared" si="996"/>
        <v>-10945439.843975138</v>
      </c>
      <c r="S703">
        <f t="shared" si="997"/>
        <v>-109.45439843975137</v>
      </c>
      <c r="T703">
        <f t="shared" si="998"/>
        <v>-0.10945439843975137</v>
      </c>
    </row>
    <row r="704" spans="1:20" x14ac:dyDescent="0.25">
      <c r="A704" s="5">
        <v>43889</v>
      </c>
      <c r="B704">
        <v>0.52759999999999996</v>
      </c>
      <c r="C704">
        <v>0.53320000000000001</v>
      </c>
      <c r="D704">
        <v>0.48299999999999998</v>
      </c>
      <c r="E704">
        <v>0.5081</v>
      </c>
      <c r="F704">
        <v>1070530.8799999999</v>
      </c>
      <c r="G704">
        <v>0</v>
      </c>
      <c r="L704" t="s">
        <v>7</v>
      </c>
      <c r="M704" t="s">
        <v>8</v>
      </c>
      <c r="N704" t="s">
        <v>7</v>
      </c>
      <c r="P704">
        <f t="shared" si="994"/>
        <v>0</v>
      </c>
      <c r="Q704">
        <f t="shared" si="995"/>
        <v>0</v>
      </c>
      <c r="R704">
        <f t="shared" si="996"/>
        <v>-10348796.281209182</v>
      </c>
      <c r="S704">
        <f t="shared" si="997"/>
        <v>-103.48796281209182</v>
      </c>
      <c r="T704">
        <f t="shared" si="998"/>
        <v>-0.10348796281209183</v>
      </c>
    </row>
    <row r="705" spans="1:20" x14ac:dyDescent="0.25">
      <c r="A705" s="5">
        <v>43888</v>
      </c>
      <c r="B705">
        <v>0.49</v>
      </c>
      <c r="C705">
        <v>0.54449999999999998</v>
      </c>
      <c r="D705">
        <v>0.45800000000000002</v>
      </c>
      <c r="E705">
        <v>0.52759999999999996</v>
      </c>
      <c r="F705">
        <v>1375031.11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0.60924855491329399</v>
      </c>
      <c r="Q705">
        <f t="shared" si="995"/>
        <v>837735.71672832267</v>
      </c>
      <c r="R705">
        <f t="shared" si="996"/>
        <v>-10348796.281209182</v>
      </c>
      <c r="S705">
        <f t="shared" si="997"/>
        <v>-103.48796281209182</v>
      </c>
      <c r="T705">
        <f t="shared" si="998"/>
        <v>-0.10348796281209183</v>
      </c>
    </row>
    <row r="706" spans="1:20" x14ac:dyDescent="0.25">
      <c r="A706" s="5">
        <v>43887</v>
      </c>
      <c r="B706">
        <v>0.54600000000000004</v>
      </c>
      <c r="C706">
        <v>0.54769999999999996</v>
      </c>
      <c r="D706">
        <v>0.45</v>
      </c>
      <c r="E706">
        <v>0.48899999999999999</v>
      </c>
      <c r="F706">
        <v>1787984.64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-0.20163766632548624</v>
      </c>
      <c r="Q706">
        <f t="shared" si="995"/>
        <v>-360525.05023541464</v>
      </c>
      <c r="R706">
        <f t="shared" si="996"/>
        <v>-11186531.997937504</v>
      </c>
      <c r="S706">
        <f t="shared" si="997"/>
        <v>-111.86531997937504</v>
      </c>
      <c r="T706">
        <f t="shared" si="998"/>
        <v>-0.11186531997937504</v>
      </c>
    </row>
    <row r="707" spans="1:20" x14ac:dyDescent="0.25">
      <c r="A707" s="5">
        <v>43886</v>
      </c>
      <c r="B707">
        <v>0.60040000000000004</v>
      </c>
      <c r="C707">
        <v>0.63</v>
      </c>
      <c r="D707">
        <v>0.53069999999999995</v>
      </c>
      <c r="E707">
        <v>0.54859999999999998</v>
      </c>
      <c r="F707">
        <v>2394774.4</v>
      </c>
      <c r="G707">
        <v>0</v>
      </c>
      <c r="L707" t="s">
        <v>7</v>
      </c>
      <c r="M707" t="s">
        <v>8</v>
      </c>
      <c r="N707" t="s">
        <v>7</v>
      </c>
      <c r="P707">
        <f t="shared" si="994"/>
        <v>-0.63947633434038231</v>
      </c>
      <c r="Q707">
        <f t="shared" si="995"/>
        <v>-1531401.5548841883</v>
      </c>
      <c r="R707">
        <f t="shared" si="996"/>
        <v>-10826006.947702089</v>
      </c>
      <c r="S707">
        <f t="shared" si="997"/>
        <v>-108.26006947702089</v>
      </c>
      <c r="T707">
        <f t="shared" si="998"/>
        <v>-0.1082600694770209</v>
      </c>
    </row>
    <row r="708" spans="1:20" x14ac:dyDescent="0.25">
      <c r="A708" s="5">
        <v>43885</v>
      </c>
      <c r="B708">
        <v>0.58850000000000002</v>
      </c>
      <c r="C708">
        <v>0.62</v>
      </c>
      <c r="D708">
        <v>0.55110000000000003</v>
      </c>
      <c r="E708">
        <v>0.60129999999999995</v>
      </c>
      <c r="F708">
        <v>1756733.02</v>
      </c>
      <c r="G708">
        <v>0</v>
      </c>
      <c r="L708" t="s">
        <v>7</v>
      </c>
      <c r="M708" t="s">
        <v>8</v>
      </c>
      <c r="N708" t="s">
        <v>7</v>
      </c>
      <c r="P708">
        <f t="shared" si="994"/>
        <v>0.45718432510885165</v>
      </c>
      <c r="Q708">
        <f t="shared" si="995"/>
        <v>803150.8001451348</v>
      </c>
      <c r="R708">
        <f t="shared" si="996"/>
        <v>-9294605.3928179014</v>
      </c>
      <c r="S708">
        <f t="shared" si="997"/>
        <v>-92.946053928179012</v>
      </c>
      <c r="T708">
        <f t="shared" si="998"/>
        <v>-9.2946053928179007E-2</v>
      </c>
    </row>
    <row r="709" spans="1:20" x14ac:dyDescent="0.25">
      <c r="A709" s="5">
        <v>43884</v>
      </c>
      <c r="B709">
        <v>0.56559999999999999</v>
      </c>
      <c r="C709">
        <v>0.61299999999999999</v>
      </c>
      <c r="D709">
        <v>0.56559999999999999</v>
      </c>
      <c r="E709">
        <v>0.58919999999999995</v>
      </c>
      <c r="F709">
        <v>1023893.13</v>
      </c>
      <c r="G709">
        <v>0</v>
      </c>
      <c r="L709" t="s">
        <v>8</v>
      </c>
      <c r="M709" t="s">
        <v>8</v>
      </c>
      <c r="N709" t="s">
        <v>7</v>
      </c>
      <c r="P709">
        <f t="shared" si="994"/>
        <v>-4.2194092827022994E-3</v>
      </c>
      <c r="Q709">
        <f t="shared" si="995"/>
        <v>-4320.2241772171119</v>
      </c>
      <c r="R709">
        <f t="shared" si="996"/>
        <v>-10097756.192963036</v>
      </c>
      <c r="S709">
        <f t="shared" si="997"/>
        <v>-100.97756192963035</v>
      </c>
      <c r="T709">
        <f t="shared" si="998"/>
        <v>-0.10097756192963035</v>
      </c>
    </row>
    <row r="710" spans="1:20" x14ac:dyDescent="0.25">
      <c r="A710" s="5">
        <v>43883</v>
      </c>
      <c r="B710">
        <v>0.56489999999999996</v>
      </c>
      <c r="C710">
        <v>0.58909999999999996</v>
      </c>
      <c r="D710">
        <v>0.55359999999999998</v>
      </c>
      <c r="E710">
        <v>0.56569999999999998</v>
      </c>
      <c r="F710">
        <v>855887.51</v>
      </c>
      <c r="G710">
        <v>0</v>
      </c>
      <c r="L710" t="s">
        <v>7</v>
      </c>
      <c r="M710" t="s">
        <v>8</v>
      </c>
      <c r="N710" t="s">
        <v>7</v>
      </c>
      <c r="P710">
        <f t="shared" ref="P710:P766" si="999">IF(C710=D710,0,((E710-D710)-(C710-E710))/(C710-D710))</f>
        <v>-0.31830985915492915</v>
      </c>
      <c r="Q710">
        <f t="shared" ref="Q710:Q766" si="1000">F710*P710</f>
        <v>-272437.43276056304</v>
      </c>
      <c r="R710">
        <f t="shared" ref="R710:R766" si="1001">R711+Q710</f>
        <v>-10093435.968785819</v>
      </c>
      <c r="S710">
        <f t="shared" ref="S710:S766" si="1002">R710/100000</f>
        <v>-100.93435968785819</v>
      </c>
      <c r="T710">
        <f t="shared" ref="T710:T766" si="1003">S710/1000</f>
        <v>-0.10093435968785819</v>
      </c>
    </row>
    <row r="711" spans="1:20" x14ac:dyDescent="0.25">
      <c r="A711" s="5">
        <v>43882</v>
      </c>
      <c r="B711">
        <v>0.57879999999999998</v>
      </c>
      <c r="C711">
        <v>0.63080000000000003</v>
      </c>
      <c r="D711">
        <v>0.55500000000000005</v>
      </c>
      <c r="E711">
        <v>0.56130000000000002</v>
      </c>
      <c r="F711">
        <v>2194324.61</v>
      </c>
      <c r="G711">
        <v>0</v>
      </c>
      <c r="L711" t="s">
        <v>8</v>
      </c>
      <c r="M711" t="s">
        <v>8</v>
      </c>
      <c r="N711" t="s">
        <v>7</v>
      </c>
      <c r="P711">
        <f t="shared" si="999"/>
        <v>-0.83377308707124076</v>
      </c>
      <c r="Q711">
        <f t="shared" si="1000"/>
        <v>-1829568.8041160963</v>
      </c>
      <c r="R711">
        <f t="shared" si="1001"/>
        <v>-9820998.5360252559</v>
      </c>
      <c r="S711">
        <f t="shared" si="1002"/>
        <v>-98.20998536025256</v>
      </c>
      <c r="T711">
        <f t="shared" si="1003"/>
        <v>-9.8209985360252564E-2</v>
      </c>
    </row>
    <row r="712" spans="1:20" x14ac:dyDescent="0.25">
      <c r="A712" s="5">
        <v>43881</v>
      </c>
      <c r="B712">
        <v>0.50670000000000004</v>
      </c>
      <c r="C712">
        <v>0.61099999999999999</v>
      </c>
      <c r="D712">
        <v>0.49</v>
      </c>
      <c r="E712">
        <v>0.58250000000000002</v>
      </c>
      <c r="F712">
        <v>2183283.89</v>
      </c>
      <c r="G712">
        <v>0</v>
      </c>
      <c r="L712" t="s">
        <v>8</v>
      </c>
      <c r="M712" t="s">
        <v>8</v>
      </c>
      <c r="N712" t="s">
        <v>7</v>
      </c>
      <c r="P712">
        <f t="shared" si="999"/>
        <v>0.5289256198347112</v>
      </c>
      <c r="Q712">
        <f t="shared" si="1000"/>
        <v>1154794.7847933895</v>
      </c>
      <c r="R712">
        <f t="shared" si="1001"/>
        <v>-7991429.7319091596</v>
      </c>
      <c r="S712">
        <f t="shared" si="1002"/>
        <v>-79.914297319091602</v>
      </c>
      <c r="T712">
        <f t="shared" si="1003"/>
        <v>-7.9914297319091596E-2</v>
      </c>
    </row>
    <row r="713" spans="1:20" x14ac:dyDescent="0.25">
      <c r="A713" s="5">
        <v>43880</v>
      </c>
      <c r="B713">
        <v>0.55779999999999996</v>
      </c>
      <c r="C713">
        <v>0.57979999999999998</v>
      </c>
      <c r="D713">
        <v>0.49080000000000001</v>
      </c>
      <c r="E713">
        <v>0.50939999999999996</v>
      </c>
      <c r="F713">
        <v>753900.4</v>
      </c>
      <c r="G713">
        <v>0</v>
      </c>
      <c r="L713" t="s">
        <v>8</v>
      </c>
      <c r="M713" t="s">
        <v>8</v>
      </c>
      <c r="N713" t="s">
        <v>7</v>
      </c>
      <c r="P713">
        <f t="shared" si="999"/>
        <v>-0.58202247191011336</v>
      </c>
      <c r="Q713">
        <f t="shared" si="1000"/>
        <v>-438786.97438202321</v>
      </c>
      <c r="R713">
        <f t="shared" si="1001"/>
        <v>-9146224.5167025495</v>
      </c>
      <c r="S713">
        <f t="shared" si="1002"/>
        <v>-91.4622451670255</v>
      </c>
      <c r="T713">
        <f t="shared" si="1003"/>
        <v>-9.1462245167025502E-2</v>
      </c>
    </row>
    <row r="714" spans="1:20" x14ac:dyDescent="0.25">
      <c r="A714" s="5">
        <v>43879</v>
      </c>
      <c r="B714">
        <v>0.52639999999999998</v>
      </c>
      <c r="C714">
        <v>0.56010000000000004</v>
      </c>
      <c r="D714">
        <v>0.51</v>
      </c>
      <c r="E714">
        <v>0.55779999999999996</v>
      </c>
      <c r="F714">
        <v>937736.56</v>
      </c>
      <c r="G714">
        <v>0</v>
      </c>
      <c r="L714" t="s">
        <v>8</v>
      </c>
      <c r="M714" t="s">
        <v>8</v>
      </c>
      <c r="N714" t="s">
        <v>7</v>
      </c>
      <c r="P714">
        <f t="shared" si="999"/>
        <v>0.90818363273452785</v>
      </c>
      <c r="Q714">
        <f t="shared" si="1000"/>
        <v>851636.9956087796</v>
      </c>
      <c r="R714">
        <f t="shared" si="1001"/>
        <v>-8707437.5423205271</v>
      </c>
      <c r="S714">
        <f t="shared" si="1002"/>
        <v>-87.074375423205268</v>
      </c>
      <c r="T714">
        <f t="shared" si="1003"/>
        <v>-8.7074375423205272E-2</v>
      </c>
    </row>
    <row r="715" spans="1:20" x14ac:dyDescent="0.25">
      <c r="A715" s="5">
        <v>43878</v>
      </c>
      <c r="B715">
        <v>0.54859999999999998</v>
      </c>
      <c r="C715">
        <v>0.54859999999999998</v>
      </c>
      <c r="D715">
        <v>0.495</v>
      </c>
      <c r="E715">
        <v>0.52659999999999996</v>
      </c>
      <c r="F715">
        <v>1292804.3500000001</v>
      </c>
      <c r="G715">
        <v>0</v>
      </c>
      <c r="L715" t="s">
        <v>8</v>
      </c>
      <c r="M715" t="s">
        <v>7</v>
      </c>
      <c r="N715" t="s">
        <v>7</v>
      </c>
      <c r="P715">
        <f t="shared" si="999"/>
        <v>0.17910447761193929</v>
      </c>
      <c r="Q715">
        <f t="shared" si="1000"/>
        <v>231547.04776119275</v>
      </c>
      <c r="R715">
        <f t="shared" si="1001"/>
        <v>-9559074.5379293058</v>
      </c>
      <c r="S715">
        <f t="shared" si="1002"/>
        <v>-95.590745379293054</v>
      </c>
      <c r="T715">
        <f t="shared" si="1003"/>
        <v>-9.559074537929306E-2</v>
      </c>
    </row>
    <row r="716" spans="1:20" x14ac:dyDescent="0.25">
      <c r="A716" s="5">
        <v>43877</v>
      </c>
      <c r="B716">
        <v>0.55959999999999999</v>
      </c>
      <c r="C716">
        <v>0.60140000000000005</v>
      </c>
      <c r="D716">
        <v>0.47899999999999998</v>
      </c>
      <c r="E716">
        <v>0.54859999999999998</v>
      </c>
      <c r="F716">
        <v>2263539.7000000002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0.13725490196078363</v>
      </c>
      <c r="Q716">
        <f t="shared" si="1000"/>
        <v>310681.91960784164</v>
      </c>
      <c r="R716">
        <f t="shared" si="1001"/>
        <v>-9790621.5856904984</v>
      </c>
      <c r="S716">
        <f t="shared" si="1002"/>
        <v>-97.906215856904979</v>
      </c>
      <c r="T716">
        <f t="shared" si="1003"/>
        <v>-9.7906215856904982E-2</v>
      </c>
    </row>
    <row r="717" spans="1:20" x14ac:dyDescent="0.25">
      <c r="A717" s="5">
        <v>43876</v>
      </c>
      <c r="B717">
        <v>0.60529999999999995</v>
      </c>
      <c r="C717">
        <v>0.63749999999999996</v>
      </c>
      <c r="D717">
        <v>0.54310000000000003</v>
      </c>
      <c r="E717">
        <v>0.56220000000000003</v>
      </c>
      <c r="F717">
        <v>2028021.49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-0.59533898305084698</v>
      </c>
      <c r="Q717">
        <f t="shared" si="1000"/>
        <v>-1207360.2514618635</v>
      </c>
      <c r="R717">
        <f t="shared" si="1001"/>
        <v>-10101303.505298341</v>
      </c>
      <c r="S717">
        <f t="shared" si="1002"/>
        <v>-101.01303505298341</v>
      </c>
      <c r="T717">
        <f t="shared" si="1003"/>
        <v>-0.10101303505298341</v>
      </c>
    </row>
    <row r="718" spans="1:20" x14ac:dyDescent="0.25">
      <c r="A718" s="5">
        <v>43875</v>
      </c>
      <c r="B718">
        <v>0.5756</v>
      </c>
      <c r="C718">
        <v>0.64949999999999997</v>
      </c>
      <c r="D718">
        <v>0.56089999999999995</v>
      </c>
      <c r="E718">
        <v>0.60529999999999995</v>
      </c>
      <c r="F718">
        <v>1672784.41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2.257336343114875E-3</v>
      </c>
      <c r="Q718">
        <f t="shared" si="1000"/>
        <v>3776.0370428889737</v>
      </c>
      <c r="R718">
        <f t="shared" si="1001"/>
        <v>-8893943.2538364772</v>
      </c>
      <c r="S718">
        <f t="shared" si="1002"/>
        <v>-88.93943253836477</v>
      </c>
      <c r="T718">
        <f t="shared" si="1003"/>
        <v>-8.8939432538364768E-2</v>
      </c>
    </row>
    <row r="719" spans="1:20" x14ac:dyDescent="0.25">
      <c r="A719" s="5">
        <v>43874</v>
      </c>
      <c r="B719">
        <v>0.59719999999999995</v>
      </c>
      <c r="C719">
        <v>0.62</v>
      </c>
      <c r="D719">
        <v>0.55489999999999995</v>
      </c>
      <c r="E719">
        <v>0.57609999999999995</v>
      </c>
      <c r="F719">
        <v>1874718.52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-0.34869431643625248</v>
      </c>
      <c r="Q719">
        <f t="shared" si="1000"/>
        <v>-653703.69284178293</v>
      </c>
      <c r="R719">
        <f t="shared" si="1001"/>
        <v>-8897719.2908793669</v>
      </c>
      <c r="S719">
        <f t="shared" si="1002"/>
        <v>-88.977192908793668</v>
      </c>
      <c r="T719">
        <f t="shared" si="1003"/>
        <v>-8.8977192908793662E-2</v>
      </c>
    </row>
    <row r="720" spans="1:20" x14ac:dyDescent="0.25">
      <c r="A720" s="5">
        <v>43873</v>
      </c>
      <c r="B720">
        <v>0.56679999999999997</v>
      </c>
      <c r="C720">
        <v>0.69520000000000004</v>
      </c>
      <c r="D720">
        <v>0.54510000000000003</v>
      </c>
      <c r="E720">
        <v>0.59719999999999995</v>
      </c>
      <c r="F720">
        <v>4446665.87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-0.30579613590939481</v>
      </c>
      <c r="Q720">
        <f t="shared" si="1000"/>
        <v>-1359773.2407261874</v>
      </c>
      <c r="R720">
        <f t="shared" si="1001"/>
        <v>-8244015.5980375838</v>
      </c>
      <c r="S720">
        <f t="shared" si="1002"/>
        <v>-82.440155980375835</v>
      </c>
      <c r="T720">
        <f t="shared" si="1003"/>
        <v>-8.2440155980375837E-2</v>
      </c>
    </row>
    <row r="721" spans="1:20" x14ac:dyDescent="0.25">
      <c r="A721" s="5">
        <v>43872</v>
      </c>
      <c r="B721">
        <v>0.49299999999999999</v>
      </c>
      <c r="C721">
        <v>0.56769999999999998</v>
      </c>
      <c r="D721">
        <v>0.4803</v>
      </c>
      <c r="E721">
        <v>0.56659999999999999</v>
      </c>
      <c r="F721">
        <v>1907345.62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0.97482837528604138</v>
      </c>
      <c r="Q721">
        <f t="shared" si="1000"/>
        <v>1859334.6318535474</v>
      </c>
      <c r="R721">
        <f t="shared" si="1001"/>
        <v>-6884242.3573113959</v>
      </c>
      <c r="S721">
        <f t="shared" si="1002"/>
        <v>-68.842423573113962</v>
      </c>
      <c r="T721">
        <f t="shared" si="1003"/>
        <v>-6.8842423573113959E-2</v>
      </c>
    </row>
    <row r="722" spans="1:20" x14ac:dyDescent="0.25">
      <c r="A722" s="5">
        <v>43871</v>
      </c>
      <c r="B722">
        <v>0.49120000000000003</v>
      </c>
      <c r="C722">
        <v>0.50309999999999999</v>
      </c>
      <c r="D722">
        <v>0.47199999999999998</v>
      </c>
      <c r="E722">
        <v>0.49159999999999998</v>
      </c>
      <c r="F722">
        <v>1109479.58</v>
      </c>
      <c r="G722">
        <v>0</v>
      </c>
      <c r="L722" t="s">
        <v>8</v>
      </c>
      <c r="M722" t="s">
        <v>7</v>
      </c>
      <c r="N722" t="s">
        <v>8</v>
      </c>
      <c r="P722">
        <f t="shared" si="999"/>
        <v>0.26045016077170391</v>
      </c>
      <c r="Q722">
        <f t="shared" si="1000"/>
        <v>288964.13498392253</v>
      </c>
      <c r="R722">
        <f t="shared" si="1001"/>
        <v>-8743576.9891649429</v>
      </c>
      <c r="S722">
        <f t="shared" si="1002"/>
        <v>-87.435769891649429</v>
      </c>
      <c r="T722">
        <f t="shared" si="1003"/>
        <v>-8.7435769891649431E-2</v>
      </c>
    </row>
    <row r="723" spans="1:20" x14ac:dyDescent="0.25">
      <c r="A723" s="5">
        <v>43870</v>
      </c>
      <c r="B723">
        <v>0.48620000000000002</v>
      </c>
      <c r="C723">
        <v>0.50619999999999998</v>
      </c>
      <c r="D723">
        <v>0.48270000000000002</v>
      </c>
      <c r="E723">
        <v>0.49120000000000003</v>
      </c>
      <c r="F723">
        <v>912162.42</v>
      </c>
      <c r="G723">
        <v>0</v>
      </c>
      <c r="L723" t="s">
        <v>8</v>
      </c>
      <c r="M723" t="s">
        <v>7</v>
      </c>
      <c r="N723" t="s">
        <v>8</v>
      </c>
      <c r="P723">
        <f t="shared" si="999"/>
        <v>-0.27659574468084935</v>
      </c>
      <c r="Q723">
        <f t="shared" si="1000"/>
        <v>-252300.24382978567</v>
      </c>
      <c r="R723">
        <f t="shared" si="1001"/>
        <v>-9032541.1241488662</v>
      </c>
      <c r="S723">
        <f t="shared" si="1002"/>
        <v>-90.325411241488666</v>
      </c>
      <c r="T723">
        <f t="shared" si="1003"/>
        <v>-9.0325411241488671E-2</v>
      </c>
    </row>
    <row r="724" spans="1:20" x14ac:dyDescent="0.25">
      <c r="A724" s="5">
        <v>43869</v>
      </c>
      <c r="B724">
        <v>0.52769999999999995</v>
      </c>
      <c r="C724">
        <v>0.52949999999999997</v>
      </c>
      <c r="D724">
        <v>0.4657</v>
      </c>
      <c r="E724">
        <v>0.48780000000000001</v>
      </c>
      <c r="F724">
        <v>2042175.59</v>
      </c>
      <c r="G724">
        <v>0</v>
      </c>
      <c r="L724" t="s">
        <v>7</v>
      </c>
      <c r="M724" t="s">
        <v>7</v>
      </c>
      <c r="N724" t="s">
        <v>8</v>
      </c>
      <c r="P724">
        <f t="shared" si="999"/>
        <v>-0.30721003134796177</v>
      </c>
      <c r="Q724">
        <f t="shared" si="1000"/>
        <v>-627376.82702194236</v>
      </c>
      <c r="R724">
        <f t="shared" si="1001"/>
        <v>-8780240.8803190812</v>
      </c>
      <c r="S724">
        <f t="shared" si="1002"/>
        <v>-87.802408803190815</v>
      </c>
      <c r="T724">
        <f t="shared" si="1003"/>
        <v>-8.7802408803190818E-2</v>
      </c>
    </row>
    <row r="725" spans="1:20" x14ac:dyDescent="0.25">
      <c r="A725" s="5">
        <v>43868</v>
      </c>
      <c r="B725">
        <v>0.52359999999999995</v>
      </c>
      <c r="C725">
        <v>0.56540000000000001</v>
      </c>
      <c r="D725">
        <v>0.51570000000000005</v>
      </c>
      <c r="E725">
        <v>0.52769999999999995</v>
      </c>
      <c r="F725">
        <v>1890132.44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-0.51710261569416871</v>
      </c>
      <c r="Q725">
        <f t="shared" si="1000"/>
        <v>-977392.42873240134</v>
      </c>
      <c r="R725">
        <f t="shared" si="1001"/>
        <v>-8152864.0532971388</v>
      </c>
      <c r="S725">
        <f t="shared" si="1002"/>
        <v>-81.528640532971394</v>
      </c>
      <c r="T725">
        <f t="shared" si="1003"/>
        <v>-8.1528640532971389E-2</v>
      </c>
    </row>
    <row r="726" spans="1:20" x14ac:dyDescent="0.25">
      <c r="A726" s="5">
        <v>43867</v>
      </c>
      <c r="B726">
        <v>0.53159999999999996</v>
      </c>
      <c r="C726">
        <v>0.54720000000000002</v>
      </c>
      <c r="D726">
        <v>0.50929999999999997</v>
      </c>
      <c r="E726">
        <v>0.52349999999999997</v>
      </c>
      <c r="F726">
        <v>1600715.46</v>
      </c>
      <c r="G726">
        <v>0</v>
      </c>
      <c r="L726" t="s">
        <v>8</v>
      </c>
      <c r="M726" t="s">
        <v>8</v>
      </c>
      <c r="N726" t="s">
        <v>7</v>
      </c>
      <c r="P726">
        <f t="shared" si="999"/>
        <v>-0.25065963060686153</v>
      </c>
      <c r="Q726">
        <f t="shared" si="1000"/>
        <v>-401234.74591029243</v>
      </c>
      <c r="R726">
        <f t="shared" si="1001"/>
        <v>-7175471.6245647371</v>
      </c>
      <c r="S726">
        <f t="shared" si="1002"/>
        <v>-71.754716245647373</v>
      </c>
      <c r="T726">
        <f t="shared" si="1003"/>
        <v>-7.1754716245647374E-2</v>
      </c>
    </row>
    <row r="727" spans="1:20" x14ac:dyDescent="0.25">
      <c r="A727" s="5">
        <v>43866</v>
      </c>
      <c r="B727">
        <v>0.53169999999999995</v>
      </c>
      <c r="C727">
        <v>0.53610000000000002</v>
      </c>
      <c r="D727">
        <v>0.49120000000000003</v>
      </c>
      <c r="E727">
        <v>0.53159999999999996</v>
      </c>
      <c r="F727">
        <v>1485330.08</v>
      </c>
      <c r="G727">
        <v>0</v>
      </c>
      <c r="L727" t="s">
        <v>7</v>
      </c>
      <c r="M727" t="s">
        <v>8</v>
      </c>
      <c r="N727" t="s">
        <v>7</v>
      </c>
      <c r="P727">
        <f t="shared" si="999"/>
        <v>0.79955456570155636</v>
      </c>
      <c r="Q727">
        <f t="shared" si="1000"/>
        <v>1187602.447037858</v>
      </c>
      <c r="R727">
        <f t="shared" si="1001"/>
        <v>-6774236.8786544446</v>
      </c>
      <c r="S727">
        <f t="shared" si="1002"/>
        <v>-67.742368786544446</v>
      </c>
      <c r="T727">
        <f t="shared" si="1003"/>
        <v>-6.7742368786544452E-2</v>
      </c>
    </row>
    <row r="728" spans="1:20" x14ac:dyDescent="0.25">
      <c r="A728" s="5">
        <v>43865</v>
      </c>
      <c r="B728">
        <v>0.50849999999999995</v>
      </c>
      <c r="C728">
        <v>0.55740000000000001</v>
      </c>
      <c r="D728">
        <v>0.49080000000000001</v>
      </c>
      <c r="E728">
        <v>0.53169999999999995</v>
      </c>
      <c r="F728">
        <v>1583136.05</v>
      </c>
      <c r="G728">
        <v>0</v>
      </c>
      <c r="L728" t="s">
        <v>8</v>
      </c>
      <c r="M728" t="s">
        <v>8</v>
      </c>
      <c r="N728" t="s">
        <v>7</v>
      </c>
      <c r="P728">
        <f t="shared" si="999"/>
        <v>0.22822822822822644</v>
      </c>
      <c r="Q728">
        <f t="shared" si="1000"/>
        <v>361316.33573573292</v>
      </c>
      <c r="R728">
        <f t="shared" si="1001"/>
        <v>-7961839.3256923025</v>
      </c>
      <c r="S728">
        <f t="shared" si="1002"/>
        <v>-79.618393256923028</v>
      </c>
      <c r="T728">
        <f t="shared" si="1003"/>
        <v>-7.9618393256923034E-2</v>
      </c>
    </row>
    <row r="729" spans="1:20" x14ac:dyDescent="0.25">
      <c r="A729" s="5">
        <v>43864</v>
      </c>
      <c r="B729">
        <v>0.49130000000000001</v>
      </c>
      <c r="C729">
        <v>0.52059999999999995</v>
      </c>
      <c r="D729">
        <v>0.48299999999999998</v>
      </c>
      <c r="E729">
        <v>0.50819999999999999</v>
      </c>
      <c r="F729">
        <v>994377.6</v>
      </c>
      <c r="G729">
        <v>0</v>
      </c>
      <c r="L729" t="s">
        <v>8</v>
      </c>
      <c r="M729" t="s">
        <v>8</v>
      </c>
      <c r="N729" t="s">
        <v>7</v>
      </c>
      <c r="P729">
        <f t="shared" si="999"/>
        <v>0.34042553191489483</v>
      </c>
      <c r="Q729">
        <f t="shared" si="1000"/>
        <v>338511.5234042565</v>
      </c>
      <c r="R729">
        <f t="shared" si="1001"/>
        <v>-8323155.6614280352</v>
      </c>
      <c r="S729">
        <f t="shared" si="1002"/>
        <v>-83.23155661428035</v>
      </c>
      <c r="T729">
        <f t="shared" si="1003"/>
        <v>-8.3231556614280347E-2</v>
      </c>
    </row>
    <row r="730" spans="1:20" x14ac:dyDescent="0.25">
      <c r="A730" s="5">
        <v>43863</v>
      </c>
      <c r="B730">
        <v>0.48780000000000001</v>
      </c>
      <c r="C730">
        <v>0.51</v>
      </c>
      <c r="D730">
        <v>0.47299999999999998</v>
      </c>
      <c r="E730">
        <v>0.49170000000000003</v>
      </c>
      <c r="F730">
        <v>1067390.93</v>
      </c>
      <c r="G730">
        <v>0</v>
      </c>
      <c r="L730" t="s">
        <v>8</v>
      </c>
      <c r="M730" t="s">
        <v>8</v>
      </c>
      <c r="N730" t="s">
        <v>7</v>
      </c>
      <c r="P730">
        <f t="shared" si="999"/>
        <v>1.081081081081261E-2</v>
      </c>
      <c r="Q730">
        <f t="shared" si="1000"/>
        <v>11539.361405407326</v>
      </c>
      <c r="R730">
        <f t="shared" si="1001"/>
        <v>-8661667.1848322917</v>
      </c>
      <c r="S730">
        <f t="shared" si="1002"/>
        <v>-86.616671848322923</v>
      </c>
      <c r="T730">
        <f t="shared" si="1003"/>
        <v>-8.6616671848322918E-2</v>
      </c>
    </row>
    <row r="731" spans="1:20" x14ac:dyDescent="0.25">
      <c r="A731" s="5">
        <v>43862</v>
      </c>
      <c r="B731">
        <v>0.46929999999999999</v>
      </c>
      <c r="C731">
        <v>0.5</v>
      </c>
      <c r="D731">
        <v>0.46060000000000001</v>
      </c>
      <c r="E731">
        <v>0.4854</v>
      </c>
      <c r="F731">
        <v>1451895.31</v>
      </c>
      <c r="G731">
        <v>0</v>
      </c>
      <c r="L731" t="s">
        <v>8</v>
      </c>
      <c r="M731" t="s">
        <v>8</v>
      </c>
      <c r="N731" t="s">
        <v>7</v>
      </c>
      <c r="P731">
        <f t="shared" si="999"/>
        <v>0.25888324873096419</v>
      </c>
      <c r="Q731">
        <f t="shared" si="1000"/>
        <v>375871.3746700504</v>
      </c>
      <c r="R731">
        <f t="shared" si="1001"/>
        <v>-8673206.5462376997</v>
      </c>
      <c r="S731">
        <f t="shared" si="1002"/>
        <v>-86.732065462376994</v>
      </c>
      <c r="T731">
        <f t="shared" si="1003"/>
        <v>-8.6732065462376995E-2</v>
      </c>
    </row>
    <row r="732" spans="1:20" x14ac:dyDescent="0.25">
      <c r="A732" s="5">
        <v>43861</v>
      </c>
      <c r="B732">
        <v>0.42499999999999999</v>
      </c>
      <c r="C732">
        <v>0.48099999999999998</v>
      </c>
      <c r="D732">
        <v>0.4143</v>
      </c>
      <c r="E732">
        <v>0.46929999999999999</v>
      </c>
      <c r="F732">
        <v>2140130.2599999998</v>
      </c>
      <c r="G732">
        <v>0</v>
      </c>
      <c r="L732" t="s">
        <v>8</v>
      </c>
      <c r="M732" t="s">
        <v>7</v>
      </c>
      <c r="N732" t="s">
        <v>7</v>
      </c>
      <c r="P732">
        <f t="shared" si="999"/>
        <v>0.64917541229385334</v>
      </c>
      <c r="Q732">
        <f t="shared" si="1000"/>
        <v>1389319.9438980515</v>
      </c>
      <c r="R732">
        <f t="shared" si="1001"/>
        <v>-9049077.9209077507</v>
      </c>
      <c r="S732">
        <f t="shared" si="1002"/>
        <v>-90.490779209077502</v>
      </c>
      <c r="T732">
        <f t="shared" si="1003"/>
        <v>-9.0490779209077499E-2</v>
      </c>
    </row>
    <row r="733" spans="1:20" x14ac:dyDescent="0.25">
      <c r="A733" s="5">
        <v>43860</v>
      </c>
      <c r="B733">
        <v>0.42209999999999998</v>
      </c>
      <c r="C733">
        <v>0.43290000000000001</v>
      </c>
      <c r="D733">
        <v>0.41339999999999999</v>
      </c>
      <c r="E733">
        <v>0.42499999999999999</v>
      </c>
      <c r="F733">
        <v>1159197.01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0.1897435897435886</v>
      </c>
      <c r="Q733">
        <f t="shared" si="1000"/>
        <v>219950.20189743457</v>
      </c>
      <c r="R733">
        <f t="shared" si="1001"/>
        <v>-10438397.864805803</v>
      </c>
      <c r="S733">
        <f t="shared" si="1002"/>
        <v>-104.38397864805803</v>
      </c>
      <c r="T733">
        <f t="shared" si="1003"/>
        <v>-0.10438397864805803</v>
      </c>
    </row>
    <row r="734" spans="1:20" x14ac:dyDescent="0.25">
      <c r="A734" s="5">
        <v>43859</v>
      </c>
      <c r="B734">
        <v>0.43180000000000002</v>
      </c>
      <c r="C734">
        <v>0.44500000000000001</v>
      </c>
      <c r="D734">
        <v>0.41799999999999998</v>
      </c>
      <c r="E734">
        <v>0.42209999999999998</v>
      </c>
      <c r="F734">
        <v>1339684.71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-0.69629629629629708</v>
      </c>
      <c r="Q734">
        <f t="shared" si="1000"/>
        <v>-932817.50177777885</v>
      </c>
      <c r="R734">
        <f t="shared" si="1001"/>
        <v>-10658348.066703238</v>
      </c>
      <c r="S734">
        <f t="shared" si="1002"/>
        <v>-106.58348066703238</v>
      </c>
      <c r="T734">
        <f t="shared" si="1003"/>
        <v>-0.10658348066703238</v>
      </c>
    </row>
    <row r="735" spans="1:20" x14ac:dyDescent="0.25">
      <c r="A735" s="5">
        <v>43858</v>
      </c>
      <c r="B735">
        <v>0.45590000000000003</v>
      </c>
      <c r="C735">
        <v>0.45939999999999998</v>
      </c>
      <c r="D735">
        <v>0.42699999999999999</v>
      </c>
      <c r="E735">
        <v>0.43169999999999997</v>
      </c>
      <c r="F735">
        <v>1628351.78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-0.70987654320987748</v>
      </c>
      <c r="Q735">
        <f t="shared" si="1000"/>
        <v>-1155928.7327160509</v>
      </c>
      <c r="R735">
        <f t="shared" si="1001"/>
        <v>-9725530.5649254583</v>
      </c>
      <c r="S735">
        <f t="shared" si="1002"/>
        <v>-97.255305649254581</v>
      </c>
      <c r="T735">
        <f t="shared" si="1003"/>
        <v>-9.7255305649254581E-2</v>
      </c>
    </row>
    <row r="736" spans="1:20" x14ac:dyDescent="0.25">
      <c r="A736" s="5">
        <v>43857</v>
      </c>
      <c r="B736">
        <v>0.4526</v>
      </c>
      <c r="C736">
        <v>0.47049999999999997</v>
      </c>
      <c r="D736">
        <v>0.45119999999999999</v>
      </c>
      <c r="E736">
        <v>0.45590000000000003</v>
      </c>
      <c r="F736">
        <v>812926.83</v>
      </c>
      <c r="G736">
        <v>0</v>
      </c>
      <c r="L736" t="s">
        <v>8</v>
      </c>
      <c r="M736" t="s">
        <v>7</v>
      </c>
      <c r="N736" t="s">
        <v>7</v>
      </c>
      <c r="P736">
        <f t="shared" si="999"/>
        <v>-0.51295336787564338</v>
      </c>
      <c r="Q736">
        <f t="shared" si="1000"/>
        <v>-416993.55528497061</v>
      </c>
      <c r="R736">
        <f t="shared" si="1001"/>
        <v>-8569601.8322094083</v>
      </c>
      <c r="S736">
        <f t="shared" si="1002"/>
        <v>-85.696018322094076</v>
      </c>
      <c r="T736">
        <f t="shared" si="1003"/>
        <v>-8.5696018322094072E-2</v>
      </c>
    </row>
    <row r="737" spans="1:20" x14ac:dyDescent="0.25">
      <c r="A737" s="5">
        <v>43856</v>
      </c>
      <c r="B737">
        <v>0.4446</v>
      </c>
      <c r="C737">
        <v>0.46500000000000002</v>
      </c>
      <c r="D737">
        <v>0.43740000000000001</v>
      </c>
      <c r="E737">
        <v>0.45479999999999998</v>
      </c>
      <c r="F737">
        <v>716224.2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0.26086956521738858</v>
      </c>
      <c r="Q737">
        <f t="shared" si="1000"/>
        <v>186841.09565217193</v>
      </c>
      <c r="R737">
        <f t="shared" si="1001"/>
        <v>-8152608.2769244369</v>
      </c>
      <c r="S737">
        <f t="shared" si="1002"/>
        <v>-81.526082769244368</v>
      </c>
      <c r="T737">
        <f t="shared" si="1003"/>
        <v>-8.1526082769244362E-2</v>
      </c>
    </row>
    <row r="738" spans="1:20" x14ac:dyDescent="0.25">
      <c r="A738" s="5">
        <v>43855</v>
      </c>
      <c r="B738">
        <v>0.44840000000000002</v>
      </c>
      <c r="C738">
        <v>0.45</v>
      </c>
      <c r="D738">
        <v>0.43440000000000001</v>
      </c>
      <c r="E738">
        <v>0.4446</v>
      </c>
      <c r="F738">
        <v>238959.49</v>
      </c>
      <c r="G738">
        <v>0</v>
      </c>
      <c r="L738" t="s">
        <v>7</v>
      </c>
      <c r="M738" t="s">
        <v>7</v>
      </c>
      <c r="N738" t="s">
        <v>7</v>
      </c>
      <c r="P738">
        <f t="shared" si="999"/>
        <v>0.30769230769230577</v>
      </c>
      <c r="Q738">
        <f t="shared" si="1000"/>
        <v>73525.996923076455</v>
      </c>
      <c r="R738">
        <f t="shared" si="1001"/>
        <v>-8339449.3725766093</v>
      </c>
      <c r="S738">
        <f t="shared" si="1002"/>
        <v>-83.394493725766097</v>
      </c>
      <c r="T738">
        <f t="shared" si="1003"/>
        <v>-8.33944937257661E-2</v>
      </c>
    </row>
    <row r="739" spans="1:20" x14ac:dyDescent="0.25">
      <c r="A739" s="5">
        <v>43854</v>
      </c>
      <c r="B739">
        <v>0.4481</v>
      </c>
      <c r="C739">
        <v>0.45700000000000002</v>
      </c>
      <c r="D739">
        <v>0.42830000000000001</v>
      </c>
      <c r="E739">
        <v>0.44840000000000002</v>
      </c>
      <c r="F739">
        <v>1273735.24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0.40069686411149857</v>
      </c>
      <c r="Q739">
        <f t="shared" si="1000"/>
        <v>510381.71637630701</v>
      </c>
      <c r="R739">
        <f t="shared" si="1001"/>
        <v>-8412975.3694996852</v>
      </c>
      <c r="S739">
        <f t="shared" si="1002"/>
        <v>-84.12975369499685</v>
      </c>
      <c r="T739">
        <f t="shared" si="1003"/>
        <v>-8.4129753694996853E-2</v>
      </c>
    </row>
    <row r="740" spans="1:20" x14ac:dyDescent="0.25">
      <c r="A740" s="5">
        <v>43853</v>
      </c>
      <c r="B740">
        <v>0.4824</v>
      </c>
      <c r="C740">
        <v>0.48330000000000001</v>
      </c>
      <c r="D740">
        <v>0.44</v>
      </c>
      <c r="E740">
        <v>0.4481</v>
      </c>
      <c r="F740">
        <v>887293.34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-0.62586605080831437</v>
      </c>
      <c r="Q740">
        <f t="shared" si="1000"/>
        <v>-555326.77861431893</v>
      </c>
      <c r="R740">
        <f t="shared" si="1001"/>
        <v>-8923357.0858759917</v>
      </c>
      <c r="S740">
        <f t="shared" si="1002"/>
        <v>-89.233570858759919</v>
      </c>
      <c r="T740">
        <f t="shared" si="1003"/>
        <v>-8.9233570858759922E-2</v>
      </c>
    </row>
    <row r="741" spans="1:20" x14ac:dyDescent="0.25">
      <c r="A741" s="5">
        <v>43852</v>
      </c>
      <c r="B741">
        <v>0.46889999999999998</v>
      </c>
      <c r="C741">
        <v>0.48780000000000001</v>
      </c>
      <c r="D741">
        <v>0.46560000000000001</v>
      </c>
      <c r="E741">
        <v>0.4824</v>
      </c>
      <c r="F741">
        <v>923809.26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0.51351351351351204</v>
      </c>
      <c r="Q741">
        <f t="shared" si="1000"/>
        <v>474388.53891891759</v>
      </c>
      <c r="R741">
        <f t="shared" si="1001"/>
        <v>-8368030.3072616737</v>
      </c>
      <c r="S741">
        <f t="shared" si="1002"/>
        <v>-83.680303072616738</v>
      </c>
      <c r="T741">
        <f t="shared" si="1003"/>
        <v>-8.3680303072616743E-2</v>
      </c>
    </row>
    <row r="742" spans="1:20" x14ac:dyDescent="0.25">
      <c r="A742" s="5">
        <v>43851</v>
      </c>
      <c r="B742">
        <v>0.45500000000000002</v>
      </c>
      <c r="C742">
        <v>0.48149999999999998</v>
      </c>
      <c r="D742">
        <v>0.4541</v>
      </c>
      <c r="E742">
        <v>0.46899999999999997</v>
      </c>
      <c r="F742">
        <v>1271395.74</v>
      </c>
      <c r="G742">
        <v>0</v>
      </c>
      <c r="L742" t="s">
        <v>8</v>
      </c>
      <c r="M742" t="s">
        <v>8</v>
      </c>
      <c r="N742" t="s">
        <v>7</v>
      </c>
      <c r="P742">
        <f t="shared" si="999"/>
        <v>8.7591240875910928E-2</v>
      </c>
      <c r="Q742">
        <f t="shared" si="1000"/>
        <v>111363.13051094703</v>
      </c>
      <c r="R742">
        <f t="shared" si="1001"/>
        <v>-8842418.8461805917</v>
      </c>
      <c r="S742">
        <f t="shared" si="1002"/>
        <v>-88.424188461805912</v>
      </c>
      <c r="T742">
        <f t="shared" si="1003"/>
        <v>-8.8424188461805914E-2</v>
      </c>
    </row>
    <row r="743" spans="1:20" x14ac:dyDescent="0.25">
      <c r="A743" s="5">
        <v>43850</v>
      </c>
      <c r="B743">
        <v>0.45789999999999997</v>
      </c>
      <c r="C743">
        <v>0.4637</v>
      </c>
      <c r="D743">
        <v>0.44230000000000003</v>
      </c>
      <c r="E743">
        <v>0.45639999999999997</v>
      </c>
      <c r="F743">
        <v>953690.71</v>
      </c>
      <c r="G743">
        <v>0</v>
      </c>
      <c r="L743" t="s">
        <v>7</v>
      </c>
      <c r="M743" t="s">
        <v>8</v>
      </c>
      <c r="N743" t="s">
        <v>7</v>
      </c>
      <c r="P743">
        <f t="shared" si="999"/>
        <v>0.31775700934579088</v>
      </c>
      <c r="Q743">
        <f t="shared" si="1000"/>
        <v>303041.90785046393</v>
      </c>
      <c r="R743">
        <f t="shared" si="1001"/>
        <v>-8953781.9766915385</v>
      </c>
      <c r="S743">
        <f t="shared" si="1002"/>
        <v>-89.537819766915391</v>
      </c>
      <c r="T743">
        <f t="shared" si="1003"/>
        <v>-8.9537819766915397E-2</v>
      </c>
    </row>
    <row r="744" spans="1:20" x14ac:dyDescent="0.25">
      <c r="A744" s="5">
        <v>43849</v>
      </c>
      <c r="B744">
        <v>0.47560000000000002</v>
      </c>
      <c r="C744">
        <v>0.48089999999999999</v>
      </c>
      <c r="D744">
        <v>0.44409999999999999</v>
      </c>
      <c r="E744">
        <v>0.45579999999999998</v>
      </c>
      <c r="F744">
        <v>1557863.85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-0.36413043478260931</v>
      </c>
      <c r="Q744">
        <f t="shared" si="1000"/>
        <v>-567265.64103260974</v>
      </c>
      <c r="R744">
        <f t="shared" si="1001"/>
        <v>-9256823.8845420033</v>
      </c>
      <c r="S744">
        <f t="shared" si="1002"/>
        <v>-92.568238845420026</v>
      </c>
      <c r="T744">
        <f t="shared" si="1003"/>
        <v>-9.2568238845420023E-2</v>
      </c>
    </row>
    <row r="745" spans="1:20" x14ac:dyDescent="0.25">
      <c r="A745" s="5">
        <v>43848</v>
      </c>
      <c r="B745">
        <v>0.48199999999999998</v>
      </c>
      <c r="C745">
        <v>0.48880000000000001</v>
      </c>
      <c r="D745">
        <v>0.46329999999999999</v>
      </c>
      <c r="E745">
        <v>0.47570000000000001</v>
      </c>
      <c r="F745">
        <v>1056856.24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-2.7450980392155992E-2</v>
      </c>
      <c r="Q745">
        <f t="shared" si="1000"/>
        <v>-29011.739921567707</v>
      </c>
      <c r="R745">
        <f t="shared" si="1001"/>
        <v>-8689558.2435093932</v>
      </c>
      <c r="S745">
        <f t="shared" si="1002"/>
        <v>-86.895582435093928</v>
      </c>
      <c r="T745">
        <f t="shared" si="1003"/>
        <v>-8.6895582435093932E-2</v>
      </c>
    </row>
    <row r="746" spans="1:20" x14ac:dyDescent="0.25">
      <c r="A746" s="5">
        <v>43847</v>
      </c>
      <c r="B746">
        <v>0.46560000000000001</v>
      </c>
      <c r="C746">
        <v>0.4995</v>
      </c>
      <c r="D746">
        <v>0.4632</v>
      </c>
      <c r="E746">
        <v>0.48449999999999999</v>
      </c>
      <c r="F746">
        <v>1737288.52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0.17355371900826372</v>
      </c>
      <c r="Q746">
        <f t="shared" si="1000"/>
        <v>301512.88363636233</v>
      </c>
      <c r="R746">
        <f t="shared" si="1001"/>
        <v>-8660546.5035878252</v>
      </c>
      <c r="S746">
        <f t="shared" si="1002"/>
        <v>-86.605465035878254</v>
      </c>
      <c r="T746">
        <f t="shared" si="1003"/>
        <v>-8.6605465035878251E-2</v>
      </c>
    </row>
    <row r="747" spans="1:20" x14ac:dyDescent="0.25">
      <c r="A747" s="5">
        <v>43846</v>
      </c>
      <c r="B747">
        <v>0.4819</v>
      </c>
      <c r="C747">
        <v>0.48520000000000002</v>
      </c>
      <c r="D747">
        <v>0.45300000000000001</v>
      </c>
      <c r="E747">
        <v>0.46379999999999999</v>
      </c>
      <c r="F747">
        <v>1474267.77</v>
      </c>
      <c r="G747">
        <v>0</v>
      </c>
      <c r="L747" t="s">
        <v>7</v>
      </c>
      <c r="M747" t="s">
        <v>8</v>
      </c>
      <c r="N747" t="s">
        <v>7</v>
      </c>
      <c r="P747">
        <f t="shared" si="999"/>
        <v>-0.32919254658385255</v>
      </c>
      <c r="Q747">
        <f t="shared" si="1000"/>
        <v>-485317.96155279741</v>
      </c>
      <c r="R747">
        <f t="shared" si="1001"/>
        <v>-8962059.3872241881</v>
      </c>
      <c r="S747">
        <f t="shared" si="1002"/>
        <v>-89.620593872241884</v>
      </c>
      <c r="T747">
        <f t="shared" si="1003"/>
        <v>-8.9620593872241888E-2</v>
      </c>
    </row>
    <row r="748" spans="1:20" x14ac:dyDescent="0.25">
      <c r="A748" s="5">
        <v>43845</v>
      </c>
      <c r="B748">
        <v>0.47160000000000002</v>
      </c>
      <c r="C748">
        <v>0.51549999999999996</v>
      </c>
      <c r="D748">
        <v>0.46400000000000002</v>
      </c>
      <c r="E748">
        <v>0.4819</v>
      </c>
      <c r="F748">
        <v>2725818.28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-0.30485436893203904</v>
      </c>
      <c r="Q748">
        <f t="shared" si="1000"/>
        <v>-830977.61157281604</v>
      </c>
      <c r="R748">
        <f t="shared" si="1001"/>
        <v>-8476741.4256713912</v>
      </c>
      <c r="S748">
        <f t="shared" si="1002"/>
        <v>-84.767414256713906</v>
      </c>
      <c r="T748">
        <f t="shared" si="1003"/>
        <v>-8.4767414256713899E-2</v>
      </c>
    </row>
    <row r="749" spans="1:20" x14ac:dyDescent="0.25">
      <c r="A749" s="5">
        <v>43844</v>
      </c>
      <c r="B749">
        <v>0.50260000000000005</v>
      </c>
      <c r="C749">
        <v>0.5141</v>
      </c>
      <c r="D749">
        <v>0.4677</v>
      </c>
      <c r="E749">
        <v>0.47149999999999997</v>
      </c>
      <c r="F749">
        <v>3429508.44</v>
      </c>
      <c r="G749">
        <v>0</v>
      </c>
      <c r="L749" t="s">
        <v>7</v>
      </c>
      <c r="M749" t="s">
        <v>8</v>
      </c>
      <c r="N749" t="s">
        <v>7</v>
      </c>
      <c r="P749">
        <f t="shared" si="999"/>
        <v>-0.83620689655172542</v>
      </c>
      <c r="Q749">
        <f t="shared" si="1000"/>
        <v>-2867778.609310349</v>
      </c>
      <c r="R749">
        <f t="shared" si="1001"/>
        <v>-7645763.8140985742</v>
      </c>
      <c r="S749">
        <f t="shared" si="1002"/>
        <v>-76.457638140985736</v>
      </c>
      <c r="T749">
        <f t="shared" si="1003"/>
        <v>-7.6457638140985731E-2</v>
      </c>
    </row>
    <row r="750" spans="1:20" x14ac:dyDescent="0.25">
      <c r="A750" s="5">
        <v>43843</v>
      </c>
      <c r="B750">
        <v>0.45900000000000002</v>
      </c>
      <c r="C750">
        <v>0.51490000000000002</v>
      </c>
      <c r="D750">
        <v>0.45140000000000002</v>
      </c>
      <c r="E750">
        <v>0.50190000000000001</v>
      </c>
      <c r="F750">
        <v>4108787.48</v>
      </c>
      <c r="G750">
        <v>0</v>
      </c>
      <c r="L750" t="s">
        <v>8</v>
      </c>
      <c r="M750" t="s">
        <v>8</v>
      </c>
      <c r="N750" t="s">
        <v>7</v>
      </c>
      <c r="P750">
        <f t="shared" si="999"/>
        <v>0.59055118110236182</v>
      </c>
      <c r="Q750">
        <f t="shared" si="1000"/>
        <v>2426449.2992125968</v>
      </c>
      <c r="R750">
        <f t="shared" si="1001"/>
        <v>-4777985.2047882248</v>
      </c>
      <c r="S750">
        <f t="shared" si="1002"/>
        <v>-47.779852047882251</v>
      </c>
      <c r="T750">
        <f t="shared" si="1003"/>
        <v>-4.7779852047882251E-2</v>
      </c>
    </row>
    <row r="751" spans="1:20" x14ac:dyDescent="0.25">
      <c r="A751" s="5">
        <v>43842</v>
      </c>
      <c r="B751">
        <v>0.42809999999999998</v>
      </c>
      <c r="C751">
        <v>0.46460000000000001</v>
      </c>
      <c r="D751">
        <v>0.42780000000000001</v>
      </c>
      <c r="E751">
        <v>0.45900000000000002</v>
      </c>
      <c r="F751">
        <v>1837428.27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0.69565217391304379</v>
      </c>
      <c r="Q751">
        <f t="shared" si="1000"/>
        <v>1278210.9704347833</v>
      </c>
      <c r="R751">
        <f t="shared" si="1001"/>
        <v>-7204434.5040008221</v>
      </c>
      <c r="S751">
        <f t="shared" si="1002"/>
        <v>-72.044345040008224</v>
      </c>
      <c r="T751">
        <f t="shared" si="1003"/>
        <v>-7.2044345040008229E-2</v>
      </c>
    </row>
    <row r="752" spans="1:20" x14ac:dyDescent="0.25">
      <c r="A752" s="5">
        <v>43841</v>
      </c>
      <c r="B752">
        <v>0.43330000000000002</v>
      </c>
      <c r="C752">
        <v>0.44119999999999998</v>
      </c>
      <c r="D752">
        <v>0.42499999999999999</v>
      </c>
      <c r="E752">
        <v>0.42809999999999998</v>
      </c>
      <c r="F752">
        <v>1333726.1599999999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-0.6172839506172848</v>
      </c>
      <c r="Q752">
        <f t="shared" si="1000"/>
        <v>-823287.75308642082</v>
      </c>
      <c r="R752">
        <f t="shared" si="1001"/>
        <v>-8482645.4744356051</v>
      </c>
      <c r="S752">
        <f t="shared" si="1002"/>
        <v>-84.826454744356056</v>
      </c>
      <c r="T752">
        <f t="shared" si="1003"/>
        <v>-8.4826454744356058E-2</v>
      </c>
    </row>
    <row r="753" spans="1:20" x14ac:dyDescent="0.25">
      <c r="A753" s="5">
        <v>43840</v>
      </c>
      <c r="B753">
        <v>0.42780000000000001</v>
      </c>
      <c r="C753">
        <v>0.43490000000000001</v>
      </c>
      <c r="D753">
        <v>0.41749999999999998</v>
      </c>
      <c r="E753">
        <v>0.43330000000000002</v>
      </c>
      <c r="F753">
        <v>1177887.6299999999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0.81609195402298995</v>
      </c>
      <c r="Q753">
        <f t="shared" si="1000"/>
        <v>961264.61758620851</v>
      </c>
      <c r="R753">
        <f t="shared" si="1001"/>
        <v>-7659357.7213491835</v>
      </c>
      <c r="S753">
        <f t="shared" si="1002"/>
        <v>-76.593577213491841</v>
      </c>
      <c r="T753">
        <f t="shared" si="1003"/>
        <v>-7.6593577213491845E-2</v>
      </c>
    </row>
    <row r="754" spans="1:20" x14ac:dyDescent="0.25">
      <c r="A754" s="5">
        <v>43839</v>
      </c>
      <c r="B754">
        <v>0.45889999999999997</v>
      </c>
      <c r="C754">
        <v>0.46660000000000001</v>
      </c>
      <c r="D754">
        <v>0.40860000000000002</v>
      </c>
      <c r="E754">
        <v>0.4264</v>
      </c>
      <c r="F754">
        <v>2545742.94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-0.38620689655172469</v>
      </c>
      <c r="Q754">
        <f t="shared" si="1000"/>
        <v>-983183.48027586343</v>
      </c>
      <c r="R754">
        <f t="shared" si="1001"/>
        <v>-8620622.338935392</v>
      </c>
      <c r="S754">
        <f t="shared" si="1002"/>
        <v>-86.206223389353923</v>
      </c>
      <c r="T754">
        <f t="shared" si="1003"/>
        <v>-8.6206223389353923E-2</v>
      </c>
    </row>
    <row r="755" spans="1:20" x14ac:dyDescent="0.25">
      <c r="A755" s="5">
        <v>43838</v>
      </c>
      <c r="B755">
        <v>0.44109999999999999</v>
      </c>
      <c r="C755">
        <v>0.46500000000000002</v>
      </c>
      <c r="D755">
        <v>0.41239999999999999</v>
      </c>
      <c r="E755">
        <v>0.45879999999999999</v>
      </c>
      <c r="F755">
        <v>2296461.85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0.7642585551330785</v>
      </c>
      <c r="Q755">
        <f t="shared" si="1000"/>
        <v>1755090.6153992366</v>
      </c>
      <c r="R755">
        <f t="shared" si="1001"/>
        <v>-7637438.8586595291</v>
      </c>
      <c r="S755">
        <f t="shared" si="1002"/>
        <v>-76.374388586595288</v>
      </c>
      <c r="T755">
        <f t="shared" si="1003"/>
        <v>-7.6374388586595288E-2</v>
      </c>
    </row>
    <row r="756" spans="1:20" x14ac:dyDescent="0.25">
      <c r="A756" s="5">
        <v>43837</v>
      </c>
      <c r="B756">
        <v>0.45079999999999998</v>
      </c>
      <c r="C756">
        <v>0.45350000000000001</v>
      </c>
      <c r="D756">
        <v>0.4209</v>
      </c>
      <c r="E756">
        <v>0.44109999999999999</v>
      </c>
      <c r="F756">
        <v>2254851.2799999998</v>
      </c>
      <c r="G756">
        <v>0</v>
      </c>
      <c r="L756" t="s">
        <v>7</v>
      </c>
      <c r="M756" t="s">
        <v>8</v>
      </c>
      <c r="N756" t="s">
        <v>7</v>
      </c>
      <c r="P756">
        <f t="shared" si="999"/>
        <v>0.23926380368098066</v>
      </c>
      <c r="Q756">
        <f t="shared" si="1000"/>
        <v>539504.29398772796</v>
      </c>
      <c r="R756">
        <f t="shared" si="1001"/>
        <v>-9392529.4740587659</v>
      </c>
      <c r="S756">
        <f t="shared" si="1002"/>
        <v>-93.92529474058766</v>
      </c>
      <c r="T756">
        <f t="shared" si="1003"/>
        <v>-9.3925294740587653E-2</v>
      </c>
    </row>
    <row r="757" spans="1:20" x14ac:dyDescent="0.25">
      <c r="A757" s="5">
        <v>43836</v>
      </c>
      <c r="B757">
        <v>0.443</v>
      </c>
      <c r="C757">
        <v>0.46400000000000002</v>
      </c>
      <c r="D757">
        <v>0.43569999999999998</v>
      </c>
      <c r="E757">
        <v>0.45079999999999998</v>
      </c>
      <c r="F757">
        <v>2664848.58</v>
      </c>
      <c r="G757">
        <v>0</v>
      </c>
      <c r="L757" t="s">
        <v>7</v>
      </c>
      <c r="M757" t="s">
        <v>8</v>
      </c>
      <c r="N757" t="s">
        <v>7</v>
      </c>
      <c r="P757">
        <f t="shared" si="999"/>
        <v>6.7137809187277533E-2</v>
      </c>
      <c r="Q757">
        <f t="shared" si="1000"/>
        <v>178912.0954770275</v>
      </c>
      <c r="R757">
        <f t="shared" si="1001"/>
        <v>-9932033.7680464946</v>
      </c>
      <c r="S757">
        <f t="shared" si="1002"/>
        <v>-99.320337680464945</v>
      </c>
      <c r="T757">
        <f t="shared" si="1003"/>
        <v>-9.9320337680464943E-2</v>
      </c>
    </row>
    <row r="758" spans="1:20" x14ac:dyDescent="0.25">
      <c r="A758" s="5">
        <v>43835</v>
      </c>
      <c r="B758">
        <v>0.4713</v>
      </c>
      <c r="C758">
        <v>0.4834</v>
      </c>
      <c r="D758">
        <v>0.436</v>
      </c>
      <c r="E758">
        <v>0.443</v>
      </c>
      <c r="F758">
        <v>2213237.69</v>
      </c>
      <c r="G758">
        <v>0</v>
      </c>
      <c r="L758" t="s">
        <v>7</v>
      </c>
      <c r="M758" t="s">
        <v>8</v>
      </c>
      <c r="N758" t="s">
        <v>7</v>
      </c>
      <c r="P758">
        <f t="shared" si="999"/>
        <v>-0.70464135021097019</v>
      </c>
      <c r="Q758">
        <f t="shared" si="1000"/>
        <v>-1559538.7942194086</v>
      </c>
      <c r="R758">
        <f t="shared" si="1001"/>
        <v>-10110945.863523522</v>
      </c>
      <c r="S758">
        <f t="shared" si="1002"/>
        <v>-101.10945863523523</v>
      </c>
      <c r="T758">
        <f t="shared" si="1003"/>
        <v>-0.10110945863523522</v>
      </c>
    </row>
    <row r="759" spans="1:20" x14ac:dyDescent="0.25">
      <c r="A759" s="5">
        <v>43834</v>
      </c>
      <c r="B759">
        <v>0.42870000000000003</v>
      </c>
      <c r="C759">
        <v>0.49980000000000002</v>
      </c>
      <c r="D759">
        <v>0.4274</v>
      </c>
      <c r="E759">
        <v>0.46949999999999997</v>
      </c>
      <c r="F759">
        <v>5269723.0999999996</v>
      </c>
      <c r="G759">
        <v>0</v>
      </c>
      <c r="L759" t="s">
        <v>8</v>
      </c>
      <c r="M759" t="s">
        <v>8</v>
      </c>
      <c r="N759" t="s">
        <v>7</v>
      </c>
      <c r="P759">
        <f t="shared" si="999"/>
        <v>0.1629834254143635</v>
      </c>
      <c r="Q759">
        <f t="shared" si="1000"/>
        <v>858877.52182319842</v>
      </c>
      <c r="R759">
        <f t="shared" si="1001"/>
        <v>-8551407.0693041142</v>
      </c>
      <c r="S759">
        <f t="shared" si="1002"/>
        <v>-85.514070693041148</v>
      </c>
      <c r="T759">
        <f t="shared" si="1003"/>
        <v>-8.551407069304115E-2</v>
      </c>
    </row>
    <row r="760" spans="1:20" x14ac:dyDescent="0.25">
      <c r="A760" s="5">
        <v>43833</v>
      </c>
      <c r="B760">
        <v>0.4173</v>
      </c>
      <c r="C760">
        <v>0.433</v>
      </c>
      <c r="D760">
        <v>0.40600000000000003</v>
      </c>
      <c r="E760">
        <v>0.42859999999999998</v>
      </c>
      <c r="F760">
        <v>2278549.86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0.6740740740740726</v>
      </c>
      <c r="Q760">
        <f t="shared" si="1000"/>
        <v>1535911.3871111076</v>
      </c>
      <c r="R760">
        <f t="shared" si="1001"/>
        <v>-9410284.5911273118</v>
      </c>
      <c r="S760">
        <f t="shared" si="1002"/>
        <v>-94.102845911273121</v>
      </c>
      <c r="T760">
        <f t="shared" si="1003"/>
        <v>-9.4102845911273117E-2</v>
      </c>
    </row>
    <row r="761" spans="1:20" x14ac:dyDescent="0.25">
      <c r="A761" s="5">
        <v>43832</v>
      </c>
      <c r="B761">
        <v>0.44540000000000002</v>
      </c>
      <c r="C761">
        <v>0.4597</v>
      </c>
      <c r="D761">
        <v>0.41310000000000002</v>
      </c>
      <c r="E761">
        <v>0.41949999999999998</v>
      </c>
      <c r="F761">
        <v>2198781.44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-0.72532188841201872</v>
      </c>
      <c r="Q761">
        <f t="shared" si="1000"/>
        <v>-1594824.3062660978</v>
      </c>
      <c r="R761">
        <f t="shared" si="1001"/>
        <v>-10946195.978238419</v>
      </c>
      <c r="S761">
        <f t="shared" si="1002"/>
        <v>-109.46195978238418</v>
      </c>
      <c r="T761">
        <f t="shared" si="1003"/>
        <v>-0.10946195978238418</v>
      </c>
    </row>
    <row r="762" spans="1:20" x14ac:dyDescent="0.25">
      <c r="A762" s="5">
        <v>43831</v>
      </c>
      <c r="B762">
        <v>0.44030000000000002</v>
      </c>
      <c r="C762">
        <v>0.46060000000000001</v>
      </c>
      <c r="D762">
        <v>0.42509999999999998</v>
      </c>
      <c r="E762">
        <v>0.44579999999999997</v>
      </c>
      <c r="F762">
        <v>1956749.75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0.1661971830985903</v>
      </c>
      <c r="Q762">
        <f t="shared" si="1000"/>
        <v>325206.29647887079</v>
      </c>
      <c r="R762">
        <f t="shared" si="1001"/>
        <v>-9351371.6719723213</v>
      </c>
      <c r="S762">
        <f t="shared" si="1002"/>
        <v>-93.51371671972322</v>
      </c>
      <c r="T762">
        <f t="shared" si="1003"/>
        <v>-9.3513716719723222E-2</v>
      </c>
    </row>
    <row r="763" spans="1:20" x14ac:dyDescent="0.25">
      <c r="A763" s="5">
        <v>43830</v>
      </c>
      <c r="B763">
        <v>0.50219999999999998</v>
      </c>
      <c r="C763">
        <v>0.50219999999999998</v>
      </c>
      <c r="D763">
        <v>0.43430000000000002</v>
      </c>
      <c r="E763">
        <v>0.44030000000000002</v>
      </c>
      <c r="F763">
        <v>2453563.2000000002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-0.82326951399116322</v>
      </c>
      <c r="Q763">
        <f t="shared" si="1000"/>
        <v>-2019943.7832106033</v>
      </c>
      <c r="R763">
        <f t="shared" si="1001"/>
        <v>-9676577.9684511926</v>
      </c>
      <c r="S763">
        <f t="shared" si="1002"/>
        <v>-96.765779684511926</v>
      </c>
      <c r="T763">
        <f t="shared" si="1003"/>
        <v>-9.6765779684511929E-2</v>
      </c>
    </row>
    <row r="764" spans="1:20" x14ac:dyDescent="0.25">
      <c r="A764" s="5">
        <v>43829</v>
      </c>
      <c r="B764">
        <v>0.51090000000000002</v>
      </c>
      <c r="C764">
        <v>0.54079999999999995</v>
      </c>
      <c r="D764">
        <v>0.48209999999999997</v>
      </c>
      <c r="E764">
        <v>0.50439999999999996</v>
      </c>
      <c r="F764">
        <v>3631934.37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-0.24020442930153335</v>
      </c>
      <c r="Q764">
        <f t="shared" si="1000"/>
        <v>-872406.72260647407</v>
      </c>
      <c r="R764">
        <f t="shared" si="1001"/>
        <v>-7656634.1852405891</v>
      </c>
      <c r="S764">
        <f t="shared" si="1002"/>
        <v>-76.566341852405884</v>
      </c>
      <c r="T764">
        <f t="shared" si="1003"/>
        <v>-7.6566341852405878E-2</v>
      </c>
    </row>
    <row r="765" spans="1:20" x14ac:dyDescent="0.25">
      <c r="A765" s="5">
        <v>43828</v>
      </c>
      <c r="B765">
        <v>0.56730000000000003</v>
      </c>
      <c r="C765">
        <v>0.57399999999999995</v>
      </c>
      <c r="D765">
        <v>0.49390000000000001</v>
      </c>
      <c r="E765">
        <v>0.50880000000000003</v>
      </c>
      <c r="F765">
        <v>2570666.0299999998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-0.62796504369537998</v>
      </c>
      <c r="Q765">
        <f t="shared" si="1000"/>
        <v>-1614288.4058551788</v>
      </c>
      <c r="R765">
        <f t="shared" si="1001"/>
        <v>-6784227.4626341145</v>
      </c>
      <c r="S765">
        <f t="shared" si="1002"/>
        <v>-67.842274626341151</v>
      </c>
      <c r="T765">
        <f t="shared" si="1003"/>
        <v>-6.7842274626341154E-2</v>
      </c>
    </row>
    <row r="766" spans="1:20" x14ac:dyDescent="0.25">
      <c r="A766" s="5">
        <v>43827</v>
      </c>
      <c r="B766">
        <v>0.59360000000000002</v>
      </c>
      <c r="C766">
        <v>0.59360000000000002</v>
      </c>
      <c r="D766">
        <v>0.54290000000000005</v>
      </c>
      <c r="E766">
        <v>0.56679999999999997</v>
      </c>
      <c r="F766">
        <v>3157102.13</v>
      </c>
      <c r="G766">
        <v>0</v>
      </c>
      <c r="L766" t="s">
        <v>8</v>
      </c>
      <c r="M766" t="s">
        <v>7</v>
      </c>
      <c r="N766" t="s">
        <v>8</v>
      </c>
      <c r="P766">
        <f t="shared" si="999"/>
        <v>-5.719921104536739E-2</v>
      </c>
      <c r="Q766">
        <f t="shared" si="1000"/>
        <v>-180583.7510256489</v>
      </c>
      <c r="R766">
        <f t="shared" si="1001"/>
        <v>-5169939.0567789357</v>
      </c>
      <c r="S766">
        <f t="shared" si="1002"/>
        <v>-51.699390567789358</v>
      </c>
      <c r="T766">
        <f t="shared" si="1003"/>
        <v>-5.1699390567789355E-2</v>
      </c>
    </row>
    <row r="767" spans="1:20" x14ac:dyDescent="0.25">
      <c r="A767" s="5">
        <v>43826</v>
      </c>
      <c r="B767">
        <v>0.64600000000000002</v>
      </c>
      <c r="C767">
        <v>0.69</v>
      </c>
      <c r="D767">
        <v>0.54110000000000003</v>
      </c>
      <c r="E767">
        <v>0.59279999999999999</v>
      </c>
      <c r="F767">
        <v>6521668.6299999999</v>
      </c>
      <c r="G767">
        <v>0</v>
      </c>
      <c r="L767" t="s">
        <v>7</v>
      </c>
      <c r="M767" t="s">
        <v>7</v>
      </c>
      <c r="N767" t="s">
        <v>8</v>
      </c>
      <c r="P767">
        <f t="shared" ref="P767:P830" si="1004">IF(C767=D767,0,((E767-D767)-(C767-E767))/(C767-D767))</f>
        <v>-0.30557421087978515</v>
      </c>
      <c r="Q767">
        <f t="shared" ref="Q767:Q830" si="1005">F767*P767</f>
        <v>-1992853.7452316994</v>
      </c>
      <c r="R767">
        <f t="shared" ref="R767:R830" si="1006">R768+Q767</f>
        <v>-4989355.3057532869</v>
      </c>
      <c r="S767">
        <f t="shared" ref="S767:S830" si="1007">R767/100000</f>
        <v>-49.89355305753287</v>
      </c>
      <c r="T767">
        <f t="shared" ref="T767:T830" si="1008">S767/1000</f>
        <v>-4.9893553057532868E-2</v>
      </c>
    </row>
    <row r="768" spans="1:20" x14ac:dyDescent="0.25">
      <c r="A768" s="5">
        <v>43825</v>
      </c>
      <c r="B768">
        <v>0.6502</v>
      </c>
      <c r="C768">
        <v>0.74</v>
      </c>
      <c r="D768">
        <v>0.61990000000000001</v>
      </c>
      <c r="E768">
        <v>0.64290000000000003</v>
      </c>
      <c r="F768">
        <v>6020989.3499999996</v>
      </c>
      <c r="G768">
        <v>0</v>
      </c>
      <c r="L768" t="s">
        <v>8</v>
      </c>
      <c r="M768" t="s">
        <v>8</v>
      </c>
      <c r="N768" t="s">
        <v>8</v>
      </c>
      <c r="P768">
        <f t="shared" si="1004"/>
        <v>-0.61698584512905874</v>
      </c>
      <c r="Q768">
        <f t="shared" si="1005"/>
        <v>-3714865.2026228118</v>
      </c>
      <c r="R768">
        <f t="shared" si="1006"/>
        <v>-2996501.5605215873</v>
      </c>
      <c r="S768">
        <f t="shared" si="1007"/>
        <v>-29.965015605215871</v>
      </c>
      <c r="T768">
        <f t="shared" si="1008"/>
        <v>-2.9965015605215872E-2</v>
      </c>
    </row>
    <row r="769" spans="1:20" x14ac:dyDescent="0.25">
      <c r="A769" s="5">
        <v>43824</v>
      </c>
      <c r="B769">
        <v>0.57599999999999996</v>
      </c>
      <c r="C769">
        <v>0.65980000000000005</v>
      </c>
      <c r="D769">
        <v>0.55679999999999996</v>
      </c>
      <c r="E769">
        <v>0.6502</v>
      </c>
      <c r="F769">
        <v>2970705.63</v>
      </c>
      <c r="G769">
        <v>0</v>
      </c>
      <c r="L769" t="s">
        <v>8</v>
      </c>
      <c r="M769" t="s">
        <v>8</v>
      </c>
      <c r="N769" t="s">
        <v>8</v>
      </c>
      <c r="P769">
        <f t="shared" si="1004"/>
        <v>0.81359223300970784</v>
      </c>
      <c r="Q769">
        <f t="shared" si="1005"/>
        <v>2416943.0271262107</v>
      </c>
      <c r="R769">
        <f t="shared" si="1006"/>
        <v>718363.64210122451</v>
      </c>
      <c r="S769">
        <f t="shared" si="1007"/>
        <v>7.1836364210122454</v>
      </c>
      <c r="T769">
        <f t="shared" si="1008"/>
        <v>7.1836364210122452E-3</v>
      </c>
    </row>
    <row r="770" spans="1:20" x14ac:dyDescent="0.25">
      <c r="A770" s="5">
        <v>43823</v>
      </c>
      <c r="B770">
        <v>0.56589999999999996</v>
      </c>
      <c r="C770">
        <v>0.60199999999999998</v>
      </c>
      <c r="D770">
        <v>0.5605</v>
      </c>
      <c r="E770">
        <v>0.57620000000000005</v>
      </c>
      <c r="F770">
        <v>1743524.1</v>
      </c>
      <c r="G770">
        <v>0</v>
      </c>
      <c r="L770" t="s">
        <v>7</v>
      </c>
      <c r="M770" t="s">
        <v>7</v>
      </c>
      <c r="N770" t="s">
        <v>8</v>
      </c>
      <c r="P770">
        <f t="shared" si="1004"/>
        <v>-0.243373493975901</v>
      </c>
      <c r="Q770">
        <f t="shared" si="1005"/>
        <v>-424327.55204818823</v>
      </c>
      <c r="R770">
        <f t="shared" si="1006"/>
        <v>-1698579.3850249862</v>
      </c>
      <c r="S770">
        <f t="shared" si="1007"/>
        <v>-16.985793850249863</v>
      </c>
      <c r="T770">
        <f t="shared" si="1008"/>
        <v>-1.6985793850249863E-2</v>
      </c>
    </row>
    <row r="771" spans="1:20" x14ac:dyDescent="0.25">
      <c r="A771" s="5">
        <v>43822</v>
      </c>
      <c r="B771">
        <v>0.56030000000000002</v>
      </c>
      <c r="C771">
        <v>0.60770000000000002</v>
      </c>
      <c r="D771">
        <v>0.54520000000000002</v>
      </c>
      <c r="E771">
        <v>0.56989999999999996</v>
      </c>
      <c r="F771">
        <v>3139355.59</v>
      </c>
      <c r="G771">
        <v>0</v>
      </c>
      <c r="L771" t="s">
        <v>8</v>
      </c>
      <c r="M771" t="s">
        <v>7</v>
      </c>
      <c r="N771" t="s">
        <v>8</v>
      </c>
      <c r="P771">
        <f t="shared" si="1004"/>
        <v>-0.20960000000000178</v>
      </c>
      <c r="Q771">
        <f t="shared" si="1005"/>
        <v>-658008.93166400562</v>
      </c>
      <c r="R771">
        <f t="shared" si="1006"/>
        <v>-1274251.8329767981</v>
      </c>
      <c r="S771">
        <f t="shared" si="1007"/>
        <v>-12.74251832976798</v>
      </c>
      <c r="T771">
        <f t="shared" si="1008"/>
        <v>-1.274251832976798E-2</v>
      </c>
    </row>
    <row r="772" spans="1:20" x14ac:dyDescent="0.25">
      <c r="A772" s="5">
        <v>43821</v>
      </c>
      <c r="B772">
        <v>0.60140000000000005</v>
      </c>
      <c r="C772">
        <v>0.60499999999999998</v>
      </c>
      <c r="D772">
        <v>0.52549999999999997</v>
      </c>
      <c r="E772">
        <v>0.56030000000000002</v>
      </c>
      <c r="F772">
        <v>4083761.99</v>
      </c>
      <c r="G772">
        <v>0</v>
      </c>
      <c r="L772" t="s">
        <v>7</v>
      </c>
      <c r="M772" t="s">
        <v>7</v>
      </c>
      <c r="N772" t="s">
        <v>8</v>
      </c>
      <c r="P772">
        <f t="shared" si="1004"/>
        <v>-0.12452830188679129</v>
      </c>
      <c r="Q772">
        <f t="shared" si="1005"/>
        <v>-508543.94592452358</v>
      </c>
      <c r="R772">
        <f t="shared" si="1006"/>
        <v>-616242.90131279244</v>
      </c>
      <c r="S772">
        <f t="shared" si="1007"/>
        <v>-6.162429013127924</v>
      </c>
      <c r="T772">
        <f t="shared" si="1008"/>
        <v>-6.1624290131279237E-3</v>
      </c>
    </row>
    <row r="773" spans="1:20" x14ac:dyDescent="0.25">
      <c r="A773" s="5">
        <v>43820</v>
      </c>
      <c r="B773">
        <v>0.56720000000000004</v>
      </c>
      <c r="C773">
        <v>0.61580000000000001</v>
      </c>
      <c r="D773">
        <v>0.53669999999999995</v>
      </c>
      <c r="E773">
        <v>0.6018</v>
      </c>
      <c r="F773">
        <v>4504863.4800000004</v>
      </c>
      <c r="G773">
        <v>0</v>
      </c>
      <c r="L773" t="s">
        <v>7</v>
      </c>
      <c r="M773" t="s">
        <v>7</v>
      </c>
      <c r="N773" t="s">
        <v>8</v>
      </c>
      <c r="P773">
        <f t="shared" si="1004"/>
        <v>0.64601769911504425</v>
      </c>
      <c r="Q773">
        <f t="shared" si="1005"/>
        <v>2910221.5401769914</v>
      </c>
      <c r="R773">
        <f t="shared" si="1006"/>
        <v>-107698.95538826892</v>
      </c>
      <c r="S773">
        <f t="shared" si="1007"/>
        <v>-1.0769895538826892</v>
      </c>
      <c r="T773">
        <f t="shared" si="1008"/>
        <v>-1.0769895538826893E-3</v>
      </c>
    </row>
    <row r="774" spans="1:20" x14ac:dyDescent="0.25">
      <c r="A774" s="5">
        <v>43819</v>
      </c>
      <c r="B774">
        <v>0.60529999999999995</v>
      </c>
      <c r="C774">
        <v>0.62109999999999999</v>
      </c>
      <c r="D774">
        <v>0.55910000000000004</v>
      </c>
      <c r="E774">
        <v>0.56930000000000003</v>
      </c>
      <c r="F774">
        <v>5066601.72</v>
      </c>
      <c r="G774">
        <v>0</v>
      </c>
      <c r="L774" t="s">
        <v>7</v>
      </c>
      <c r="M774" t="s">
        <v>7</v>
      </c>
      <c r="N774" t="s">
        <v>8</v>
      </c>
      <c r="P774">
        <f t="shared" si="1004"/>
        <v>-0.67096774193548403</v>
      </c>
      <c r="Q774">
        <f t="shared" si="1005"/>
        <v>-3399526.3153548394</v>
      </c>
      <c r="R774">
        <f t="shared" si="1006"/>
        <v>-3017920.4955652603</v>
      </c>
      <c r="S774">
        <f t="shared" si="1007"/>
        <v>-30.179204955652605</v>
      </c>
      <c r="T774">
        <f t="shared" si="1008"/>
        <v>-3.0179204955652603E-2</v>
      </c>
    </row>
    <row r="775" spans="1:20" x14ac:dyDescent="0.25">
      <c r="A775" s="5">
        <v>43818</v>
      </c>
      <c r="B775">
        <v>0.54900000000000004</v>
      </c>
      <c r="C775">
        <v>0.69</v>
      </c>
      <c r="D775">
        <v>0.52629999999999999</v>
      </c>
      <c r="E775">
        <v>0.60509999999999997</v>
      </c>
      <c r="F775">
        <v>8409245.3100000005</v>
      </c>
      <c r="G775">
        <v>0</v>
      </c>
      <c r="L775" t="s">
        <v>8</v>
      </c>
      <c r="M775" t="s">
        <v>8</v>
      </c>
      <c r="N775" t="s">
        <v>8</v>
      </c>
      <c r="P775">
        <f t="shared" si="1004"/>
        <v>-3.7263286499694535E-2</v>
      </c>
      <c r="Q775">
        <f t="shared" si="1005"/>
        <v>-313356.1172327426</v>
      </c>
      <c r="R775">
        <f t="shared" si="1006"/>
        <v>381605.81978957925</v>
      </c>
      <c r="S775">
        <f t="shared" si="1007"/>
        <v>3.8160581978957926</v>
      </c>
      <c r="T775">
        <f t="shared" si="1008"/>
        <v>3.8160581978957924E-3</v>
      </c>
    </row>
    <row r="776" spans="1:20" x14ac:dyDescent="0.25">
      <c r="A776" s="5">
        <v>43817</v>
      </c>
      <c r="B776">
        <v>0.4657</v>
      </c>
      <c r="C776">
        <v>0.58589999999999998</v>
      </c>
      <c r="D776">
        <v>0.45</v>
      </c>
      <c r="E776">
        <v>0.54890000000000005</v>
      </c>
      <c r="F776">
        <v>9748328.3599999994</v>
      </c>
      <c r="G776">
        <v>0</v>
      </c>
      <c r="L776" t="s">
        <v>8</v>
      </c>
      <c r="M776" t="s">
        <v>8</v>
      </c>
      <c r="N776" t="s">
        <v>8</v>
      </c>
      <c r="P776">
        <f t="shared" si="1004"/>
        <v>0.45548197203826446</v>
      </c>
      <c r="Q776">
        <f t="shared" si="1005"/>
        <v>4440187.8254893404</v>
      </c>
      <c r="R776">
        <f t="shared" si="1006"/>
        <v>694961.93702232186</v>
      </c>
      <c r="S776">
        <f t="shared" si="1007"/>
        <v>6.9496193702232185</v>
      </c>
      <c r="T776">
        <f t="shared" si="1008"/>
        <v>6.9496193702232182E-3</v>
      </c>
    </row>
    <row r="777" spans="1:20" x14ac:dyDescent="0.25">
      <c r="A777" s="5">
        <v>43816</v>
      </c>
      <c r="B777">
        <v>0.54020000000000001</v>
      </c>
      <c r="C777">
        <v>0.54110000000000003</v>
      </c>
      <c r="D777">
        <v>0.44059999999999999</v>
      </c>
      <c r="E777">
        <v>0.46200000000000002</v>
      </c>
      <c r="F777">
        <v>8125729.7800000003</v>
      </c>
      <c r="G777">
        <v>0</v>
      </c>
      <c r="L777" t="s">
        <v>7</v>
      </c>
      <c r="M777" t="s">
        <v>7</v>
      </c>
      <c r="N777" t="s">
        <v>8</v>
      </c>
      <c r="P777">
        <f t="shared" si="1004"/>
        <v>-0.57412935323383041</v>
      </c>
      <c r="Q777">
        <f t="shared" si="1005"/>
        <v>-4665219.9831442749</v>
      </c>
      <c r="R777">
        <f t="shared" si="1006"/>
        <v>-3745225.8884670185</v>
      </c>
      <c r="S777">
        <f t="shared" si="1007"/>
        <v>-37.452258884670186</v>
      </c>
      <c r="T777">
        <f t="shared" si="1008"/>
        <v>-3.7452258884670186E-2</v>
      </c>
    </row>
    <row r="778" spans="1:20" x14ac:dyDescent="0.25">
      <c r="A778" s="5">
        <v>43815</v>
      </c>
      <c r="B778">
        <v>0.50290000000000001</v>
      </c>
      <c r="C778">
        <v>0.59989999999999999</v>
      </c>
      <c r="D778">
        <v>0.45</v>
      </c>
      <c r="E778">
        <v>0.54020000000000001</v>
      </c>
      <c r="F778">
        <v>20106935.789999999</v>
      </c>
      <c r="G778">
        <v>0</v>
      </c>
      <c r="L778" t="s">
        <v>8</v>
      </c>
      <c r="M778" t="s">
        <v>8</v>
      </c>
      <c r="N778" t="s">
        <v>8</v>
      </c>
      <c r="P778">
        <f t="shared" si="1004"/>
        <v>0.20346897931954658</v>
      </c>
      <c r="Q778">
        <f t="shared" si="1005"/>
        <v>4091137.7024349608</v>
      </c>
      <c r="R778">
        <f t="shared" si="1006"/>
        <v>919994.09467725642</v>
      </c>
      <c r="S778">
        <f t="shared" si="1007"/>
        <v>9.1999409467725641</v>
      </c>
      <c r="T778">
        <f t="shared" si="1008"/>
        <v>9.1999409467725633E-3</v>
      </c>
    </row>
    <row r="779" spans="1:20" x14ac:dyDescent="0.25">
      <c r="A779" s="5">
        <v>43814</v>
      </c>
      <c r="B779">
        <v>0.41830000000000001</v>
      </c>
      <c r="C779">
        <v>0.57950000000000002</v>
      </c>
      <c r="D779">
        <v>0.38800000000000001</v>
      </c>
      <c r="E779">
        <v>0.502</v>
      </c>
      <c r="F779">
        <v>22756636.329999998</v>
      </c>
      <c r="G779">
        <v>0</v>
      </c>
      <c r="L779" t="s">
        <v>8</v>
      </c>
      <c r="M779" t="s">
        <v>7</v>
      </c>
      <c r="N779" t="s">
        <v>7</v>
      </c>
      <c r="P779">
        <f t="shared" si="1004"/>
        <v>0.19060052219321136</v>
      </c>
      <c r="Q779">
        <f t="shared" si="1005"/>
        <v>4337426.7678590044</v>
      </c>
      <c r="R779">
        <f t="shared" si="1006"/>
        <v>-3171143.6077577043</v>
      </c>
      <c r="S779">
        <f t="shared" si="1007"/>
        <v>-31.711436077577044</v>
      </c>
      <c r="T779">
        <f t="shared" si="1008"/>
        <v>-3.1711436077577045E-2</v>
      </c>
    </row>
    <row r="780" spans="1:20" x14ac:dyDescent="0.25">
      <c r="A780" s="5">
        <v>43813</v>
      </c>
      <c r="B780">
        <v>0.35820000000000002</v>
      </c>
      <c r="C780">
        <v>0.75619999999999998</v>
      </c>
      <c r="D780">
        <v>0.33479999999999999</v>
      </c>
      <c r="E780">
        <v>0.41820000000000002</v>
      </c>
      <c r="F780">
        <v>22927116.66</v>
      </c>
      <c r="G780">
        <v>0</v>
      </c>
      <c r="L780" t="s">
        <v>7</v>
      </c>
      <c r="M780" t="s">
        <v>8</v>
      </c>
      <c r="N780" t="s">
        <v>8</v>
      </c>
      <c r="P780">
        <f t="shared" si="1004"/>
        <v>-0.60417655434266715</v>
      </c>
      <c r="Q780">
        <f t="shared" si="1005"/>
        <v>-13852026.344651159</v>
      </c>
      <c r="R780">
        <f t="shared" si="1006"/>
        <v>-7508570.3756167088</v>
      </c>
      <c r="S780">
        <f t="shared" si="1007"/>
        <v>-75.085703756167092</v>
      </c>
      <c r="T780">
        <f t="shared" si="1008"/>
        <v>-7.5085703756167091E-2</v>
      </c>
    </row>
    <row r="781" spans="1:20" x14ac:dyDescent="0.25">
      <c r="A781" s="5">
        <v>43812</v>
      </c>
      <c r="B781">
        <v>0.36830000000000002</v>
      </c>
      <c r="C781">
        <v>0.37880000000000003</v>
      </c>
      <c r="D781">
        <v>0.34010000000000001</v>
      </c>
      <c r="E781">
        <v>0.35749999999999998</v>
      </c>
      <c r="F781">
        <v>2024617.05</v>
      </c>
      <c r="G781">
        <v>0</v>
      </c>
      <c r="L781" t="s">
        <v>7</v>
      </c>
      <c r="M781" t="s">
        <v>8</v>
      </c>
      <c r="N781" t="s">
        <v>7</v>
      </c>
      <c r="P781">
        <f t="shared" si="1004"/>
        <v>-0.10077519379845139</v>
      </c>
      <c r="Q781">
        <f t="shared" si="1005"/>
        <v>-204031.17558139894</v>
      </c>
      <c r="R781">
        <f t="shared" si="1006"/>
        <v>6343455.9690344501</v>
      </c>
      <c r="S781">
        <f t="shared" si="1007"/>
        <v>63.4345596903445</v>
      </c>
      <c r="T781">
        <f t="shared" si="1008"/>
        <v>6.3434559690344505E-2</v>
      </c>
    </row>
    <row r="782" spans="1:20" x14ac:dyDescent="0.25">
      <c r="A782" s="5">
        <v>43811</v>
      </c>
      <c r="B782">
        <v>0.33450000000000002</v>
      </c>
      <c r="C782">
        <v>0.375</v>
      </c>
      <c r="D782">
        <v>0.313</v>
      </c>
      <c r="E782">
        <v>0.36870000000000003</v>
      </c>
      <c r="F782">
        <v>1911326.75</v>
      </c>
      <c r="G782">
        <v>0</v>
      </c>
      <c r="L782" t="s">
        <v>8</v>
      </c>
      <c r="M782" t="s">
        <v>8</v>
      </c>
      <c r="N782" t="s">
        <v>7</v>
      </c>
      <c r="P782">
        <f t="shared" si="1004"/>
        <v>0.79677419354838797</v>
      </c>
      <c r="Q782">
        <f t="shared" si="1005"/>
        <v>1522895.8298387113</v>
      </c>
      <c r="R782">
        <f t="shared" si="1006"/>
        <v>6547487.1446158495</v>
      </c>
      <c r="S782">
        <f t="shared" si="1007"/>
        <v>65.474871446158488</v>
      </c>
      <c r="T782">
        <f t="shared" si="1008"/>
        <v>6.5474871446158489E-2</v>
      </c>
    </row>
    <row r="783" spans="1:20" x14ac:dyDescent="0.25">
      <c r="A783" s="5">
        <v>43810</v>
      </c>
      <c r="B783">
        <v>0.31719999999999998</v>
      </c>
      <c r="C783">
        <v>0.3574</v>
      </c>
      <c r="D783">
        <v>0.31</v>
      </c>
      <c r="E783">
        <v>0.33400000000000002</v>
      </c>
      <c r="F783">
        <v>2667753.67</v>
      </c>
      <c r="G783">
        <v>0</v>
      </c>
      <c r="L783" t="s">
        <v>8</v>
      </c>
      <c r="M783" t="s">
        <v>8</v>
      </c>
      <c r="N783" t="s">
        <v>7</v>
      </c>
      <c r="P783">
        <f t="shared" si="1004"/>
        <v>1.2658227848102215E-2</v>
      </c>
      <c r="Q783">
        <f t="shared" si="1005"/>
        <v>33769.033797470882</v>
      </c>
      <c r="R783">
        <f t="shared" si="1006"/>
        <v>5024591.3147771377</v>
      </c>
      <c r="S783">
        <f t="shared" si="1007"/>
        <v>50.245913147771375</v>
      </c>
      <c r="T783">
        <f t="shared" si="1008"/>
        <v>5.0245913147771375E-2</v>
      </c>
    </row>
    <row r="784" spans="1:20" x14ac:dyDescent="0.25">
      <c r="A784" s="5">
        <v>43809</v>
      </c>
      <c r="B784">
        <v>0.34089999999999998</v>
      </c>
      <c r="C784">
        <v>0.37</v>
      </c>
      <c r="D784">
        <v>0.28799999999999998</v>
      </c>
      <c r="E784">
        <v>0.32029999999999997</v>
      </c>
      <c r="F784">
        <v>6123656.4100000001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-0.21219512195121978</v>
      </c>
      <c r="Q784">
        <f t="shared" si="1005"/>
        <v>-1299410.0187073187</v>
      </c>
      <c r="R784">
        <f t="shared" si="1006"/>
        <v>4990822.2809796669</v>
      </c>
      <c r="S784">
        <f t="shared" si="1007"/>
        <v>49.908222809796669</v>
      </c>
      <c r="T784">
        <f t="shared" si="1008"/>
        <v>4.9908222809796669E-2</v>
      </c>
    </row>
    <row r="785" spans="1:20" x14ac:dyDescent="0.25">
      <c r="A785" s="5">
        <v>43808</v>
      </c>
      <c r="B785">
        <v>0.31</v>
      </c>
      <c r="C785">
        <v>0.44950000000000001</v>
      </c>
      <c r="D785">
        <v>0.28599999999999998</v>
      </c>
      <c r="E785">
        <v>0.34089999999999998</v>
      </c>
      <c r="F785">
        <v>12246594.029999999</v>
      </c>
      <c r="G785">
        <v>0</v>
      </c>
      <c r="L785" t="s">
        <v>8</v>
      </c>
      <c r="M785" t="s">
        <v>8</v>
      </c>
      <c r="N785" t="s">
        <v>8</v>
      </c>
      <c r="P785">
        <f t="shared" si="1004"/>
        <v>-0.32844036697247714</v>
      </c>
      <c r="Q785">
        <f t="shared" si="1005"/>
        <v>-4022275.8373761475</v>
      </c>
      <c r="R785">
        <f t="shared" si="1006"/>
        <v>6290232.2996869851</v>
      </c>
      <c r="S785">
        <f t="shared" si="1007"/>
        <v>62.902322996869849</v>
      </c>
      <c r="T785">
        <f t="shared" si="1008"/>
        <v>6.2902322996869847E-2</v>
      </c>
    </row>
    <row r="786" spans="1:20" x14ac:dyDescent="0.25">
      <c r="A786" s="5">
        <v>43807</v>
      </c>
      <c r="B786">
        <v>0.27010000000000001</v>
      </c>
      <c r="C786">
        <v>0.41139999999999999</v>
      </c>
      <c r="D786">
        <v>0.2661</v>
      </c>
      <c r="E786">
        <v>0.30830000000000002</v>
      </c>
      <c r="F786">
        <v>3559268.94</v>
      </c>
      <c r="G786">
        <v>0</v>
      </c>
      <c r="L786" t="s">
        <v>8</v>
      </c>
      <c r="M786" t="s">
        <v>8</v>
      </c>
      <c r="N786" t="s">
        <v>8</v>
      </c>
      <c r="P786">
        <f t="shared" si="1004"/>
        <v>-0.41913282863041956</v>
      </c>
      <c r="Q786">
        <f t="shared" si="1005"/>
        <v>-1491806.458678595</v>
      </c>
      <c r="R786">
        <f t="shared" si="1006"/>
        <v>10312508.137063133</v>
      </c>
      <c r="S786">
        <f t="shared" si="1007"/>
        <v>103.12508137063132</v>
      </c>
      <c r="T786">
        <f t="shared" si="1008"/>
        <v>0.10312508137063132</v>
      </c>
    </row>
    <row r="787" spans="1:20" x14ac:dyDescent="0.25">
      <c r="A787" s="5">
        <v>43806</v>
      </c>
      <c r="B787">
        <v>0.27029999999999998</v>
      </c>
      <c r="C787">
        <v>0.27460000000000001</v>
      </c>
      <c r="D787">
        <v>0.26800000000000002</v>
      </c>
      <c r="E787">
        <v>0.26939999999999997</v>
      </c>
      <c r="F787">
        <v>107335.48</v>
      </c>
      <c r="G787">
        <v>0</v>
      </c>
      <c r="L787" t="s">
        <v>7</v>
      </c>
      <c r="M787" t="s">
        <v>8</v>
      </c>
      <c r="N787" t="s">
        <v>7</v>
      </c>
      <c r="P787">
        <f t="shared" si="1004"/>
        <v>-0.57575757575758846</v>
      </c>
      <c r="Q787">
        <f t="shared" si="1005"/>
        <v>-61799.21575757712</v>
      </c>
      <c r="R787">
        <f t="shared" si="1006"/>
        <v>11804314.595741728</v>
      </c>
      <c r="S787">
        <f t="shared" si="1007"/>
        <v>118.04314595741728</v>
      </c>
      <c r="T787">
        <f t="shared" si="1008"/>
        <v>0.11804314595741729</v>
      </c>
    </row>
    <row r="788" spans="1:20" x14ac:dyDescent="0.25">
      <c r="A788" s="5">
        <v>43805</v>
      </c>
      <c r="B788">
        <v>0.26650000000000001</v>
      </c>
      <c r="C788">
        <v>0.27250000000000002</v>
      </c>
      <c r="D788">
        <v>0.26229999999999998</v>
      </c>
      <c r="E788">
        <v>0.2702</v>
      </c>
      <c r="F788">
        <v>153287.72</v>
      </c>
      <c r="G788">
        <v>0</v>
      </c>
      <c r="L788" t="s">
        <v>7</v>
      </c>
      <c r="M788" t="s">
        <v>8</v>
      </c>
      <c r="N788" t="s">
        <v>7</v>
      </c>
      <c r="P788">
        <f t="shared" si="1004"/>
        <v>0.54901960784313442</v>
      </c>
      <c r="Q788">
        <f t="shared" si="1005"/>
        <v>84157.963921568196</v>
      </c>
      <c r="R788">
        <f t="shared" si="1006"/>
        <v>11866113.811499305</v>
      </c>
      <c r="S788">
        <f t="shared" si="1007"/>
        <v>118.66113811499305</v>
      </c>
      <c r="T788">
        <f t="shared" si="1008"/>
        <v>0.11866113811499306</v>
      </c>
    </row>
    <row r="789" spans="1:20" x14ac:dyDescent="0.25">
      <c r="A789" s="5">
        <v>43804</v>
      </c>
      <c r="B789">
        <v>0.26979999999999998</v>
      </c>
      <c r="C789">
        <v>0.27529999999999999</v>
      </c>
      <c r="D789">
        <v>0.25800000000000001</v>
      </c>
      <c r="E789">
        <v>0.2666</v>
      </c>
      <c r="F789">
        <v>227088.62</v>
      </c>
      <c r="G789">
        <v>0</v>
      </c>
      <c r="L789" t="s">
        <v>7</v>
      </c>
      <c r="M789" t="s">
        <v>8</v>
      </c>
      <c r="N789" t="s">
        <v>7</v>
      </c>
      <c r="P789">
        <f t="shared" si="1004"/>
        <v>-5.7803468208086177E-3</v>
      </c>
      <c r="Q789">
        <f t="shared" si="1005"/>
        <v>-1312.6509826588162</v>
      </c>
      <c r="R789">
        <f t="shared" si="1006"/>
        <v>11781955.847577738</v>
      </c>
      <c r="S789">
        <f t="shared" si="1007"/>
        <v>117.81955847577737</v>
      </c>
      <c r="T789">
        <f t="shared" si="1008"/>
        <v>0.11781955847577737</v>
      </c>
    </row>
    <row r="790" spans="1:20" x14ac:dyDescent="0.25">
      <c r="A790" s="5">
        <v>43803</v>
      </c>
      <c r="B790">
        <v>0.2636</v>
      </c>
      <c r="C790">
        <v>0.28799999999999998</v>
      </c>
      <c r="D790">
        <v>0.25740000000000002</v>
      </c>
      <c r="E790">
        <v>0.27029999999999998</v>
      </c>
      <c r="F790">
        <v>407860.03</v>
      </c>
      <c r="G790">
        <v>0</v>
      </c>
      <c r="L790" t="s">
        <v>8</v>
      </c>
      <c r="M790" t="s">
        <v>8</v>
      </c>
      <c r="N790" t="s">
        <v>7</v>
      </c>
      <c r="P790">
        <f t="shared" si="1004"/>
        <v>-0.1568627450980403</v>
      </c>
      <c r="Q790">
        <f t="shared" si="1005"/>
        <v>-63978.043921569071</v>
      </c>
      <c r="R790">
        <f t="shared" si="1006"/>
        <v>11783268.498560397</v>
      </c>
      <c r="S790">
        <f t="shared" si="1007"/>
        <v>117.83268498560398</v>
      </c>
      <c r="T790">
        <f t="shared" si="1008"/>
        <v>0.11783268498560398</v>
      </c>
    </row>
    <row r="791" spans="1:20" x14ac:dyDescent="0.25">
      <c r="A791" s="5">
        <v>43802</v>
      </c>
      <c r="B791">
        <v>0.2661</v>
      </c>
      <c r="C791">
        <v>0.2752</v>
      </c>
      <c r="D791">
        <v>0.26029999999999998</v>
      </c>
      <c r="E791">
        <v>0.2641</v>
      </c>
      <c r="F791">
        <v>229699.7</v>
      </c>
      <c r="G791">
        <v>0</v>
      </c>
      <c r="L791" t="s">
        <v>7</v>
      </c>
      <c r="M791" t="s">
        <v>8</v>
      </c>
      <c r="N791" t="s">
        <v>7</v>
      </c>
      <c r="P791">
        <f t="shared" si="1004"/>
        <v>-0.48993288590603767</v>
      </c>
      <c r="Q791">
        <f t="shared" si="1005"/>
        <v>-112537.43691275109</v>
      </c>
      <c r="R791">
        <f t="shared" si="1006"/>
        <v>11847246.542481966</v>
      </c>
      <c r="S791">
        <f t="shared" si="1007"/>
        <v>118.47246542481966</v>
      </c>
      <c r="T791">
        <f t="shared" si="1008"/>
        <v>0.11847246542481966</v>
      </c>
    </row>
    <row r="792" spans="1:20" x14ac:dyDescent="0.25">
      <c r="A792" s="5">
        <v>43801</v>
      </c>
      <c r="B792">
        <v>0.26290000000000002</v>
      </c>
      <c r="C792">
        <v>0.2666</v>
      </c>
      <c r="D792">
        <v>0.25569999999999998</v>
      </c>
      <c r="E792">
        <v>0.26569999999999999</v>
      </c>
      <c r="F792">
        <v>179542.03</v>
      </c>
      <c r="G792">
        <v>0</v>
      </c>
      <c r="L792" t="s">
        <v>7</v>
      </c>
      <c r="M792" t="s">
        <v>8</v>
      </c>
      <c r="N792" t="s">
        <v>7</v>
      </c>
      <c r="P792">
        <f t="shared" si="1004"/>
        <v>0.83486238532109902</v>
      </c>
      <c r="Q792">
        <f t="shared" si="1005"/>
        <v>149892.88743119233</v>
      </c>
      <c r="R792">
        <f t="shared" si="1006"/>
        <v>11959783.979394717</v>
      </c>
      <c r="S792">
        <f t="shared" si="1007"/>
        <v>119.59783979394717</v>
      </c>
      <c r="T792">
        <f t="shared" si="1008"/>
        <v>0.11959783979394717</v>
      </c>
    </row>
    <row r="793" spans="1:20" x14ac:dyDescent="0.25">
      <c r="A793" s="5">
        <v>43800</v>
      </c>
      <c r="B793">
        <v>0.27250000000000002</v>
      </c>
      <c r="C793">
        <v>0.28999999999999998</v>
      </c>
      <c r="D793">
        <v>0.25700000000000001</v>
      </c>
      <c r="E793">
        <v>0.26290000000000002</v>
      </c>
      <c r="F793">
        <v>487262.53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-0.64242424242424112</v>
      </c>
      <c r="Q793">
        <f t="shared" si="1005"/>
        <v>-313029.2616969691</v>
      </c>
      <c r="R793">
        <f t="shared" si="1006"/>
        <v>11809891.091963524</v>
      </c>
      <c r="S793">
        <f t="shared" si="1007"/>
        <v>118.09891091963524</v>
      </c>
      <c r="T793">
        <f t="shared" si="1008"/>
        <v>0.11809891091963524</v>
      </c>
    </row>
    <row r="794" spans="1:20" x14ac:dyDescent="0.25">
      <c r="A794" s="5">
        <v>43799</v>
      </c>
      <c r="B794">
        <v>0.29170000000000001</v>
      </c>
      <c r="C794">
        <v>0.29430000000000001</v>
      </c>
      <c r="D794">
        <v>0.26419999999999999</v>
      </c>
      <c r="E794">
        <v>0.27039999999999997</v>
      </c>
      <c r="F794">
        <v>364618.73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-0.58803986710963585</v>
      </c>
      <c r="Q794">
        <f t="shared" si="1005"/>
        <v>-214410.34953488418</v>
      </c>
      <c r="R794">
        <f t="shared" si="1006"/>
        <v>12122920.353660492</v>
      </c>
      <c r="S794">
        <f t="shared" si="1007"/>
        <v>121.22920353660493</v>
      </c>
      <c r="T794">
        <f t="shared" si="1008"/>
        <v>0.12122920353660492</v>
      </c>
    </row>
    <row r="795" spans="1:20" x14ac:dyDescent="0.25">
      <c r="A795" s="5">
        <v>43798</v>
      </c>
      <c r="B795">
        <v>0.26850000000000002</v>
      </c>
      <c r="C795">
        <v>0.29339999999999999</v>
      </c>
      <c r="D795">
        <v>0.2666</v>
      </c>
      <c r="E795">
        <v>0.29170000000000001</v>
      </c>
      <c r="F795">
        <v>393836.88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0.87313432835821048</v>
      </c>
      <c r="Q795">
        <f t="shared" si="1005"/>
        <v>343872.49970149313</v>
      </c>
      <c r="R795">
        <f t="shared" si="1006"/>
        <v>12337330.703195376</v>
      </c>
      <c r="S795">
        <f t="shared" si="1007"/>
        <v>123.37330703195376</v>
      </c>
      <c r="T795">
        <f t="shared" si="1008"/>
        <v>0.12337330703195376</v>
      </c>
    </row>
    <row r="796" spans="1:20" x14ac:dyDescent="0.25">
      <c r="A796" s="5">
        <v>43797</v>
      </c>
      <c r="B796">
        <v>0.27050000000000002</v>
      </c>
      <c r="C796">
        <v>0.28110000000000002</v>
      </c>
      <c r="D796">
        <v>0.26540000000000002</v>
      </c>
      <c r="E796">
        <v>0.26919999999999999</v>
      </c>
      <c r="F796">
        <v>221730.13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-0.51592356687898444</v>
      </c>
      <c r="Q796">
        <f t="shared" si="1005"/>
        <v>-114395.79955414092</v>
      </c>
      <c r="R796">
        <f t="shared" si="1006"/>
        <v>11993458.203493884</v>
      </c>
      <c r="S796">
        <f t="shared" si="1007"/>
        <v>119.93458203493884</v>
      </c>
      <c r="T796">
        <f t="shared" si="1008"/>
        <v>0.11993458203493884</v>
      </c>
    </row>
    <row r="797" spans="1:20" x14ac:dyDescent="0.25">
      <c r="A797" s="5">
        <v>43796</v>
      </c>
      <c r="B797">
        <v>0.2707</v>
      </c>
      <c r="C797">
        <v>0.27989999999999998</v>
      </c>
      <c r="D797">
        <v>0.24959999999999999</v>
      </c>
      <c r="E797">
        <v>0.26910000000000001</v>
      </c>
      <c r="F797">
        <v>307815.96999999997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0.28712871287128855</v>
      </c>
      <c r="Q797">
        <f t="shared" si="1005"/>
        <v>88382.803267327166</v>
      </c>
      <c r="R797">
        <f t="shared" si="1006"/>
        <v>12107854.003048025</v>
      </c>
      <c r="S797">
        <f t="shared" si="1007"/>
        <v>121.07854003048026</v>
      </c>
      <c r="T797">
        <f t="shared" si="1008"/>
        <v>0.12107854003048026</v>
      </c>
    </row>
    <row r="798" spans="1:20" x14ac:dyDescent="0.25">
      <c r="A798" s="5">
        <v>43795</v>
      </c>
      <c r="B798">
        <v>0.26129999999999998</v>
      </c>
      <c r="C798">
        <v>0.27089999999999997</v>
      </c>
      <c r="D798">
        <v>0.25430000000000003</v>
      </c>
      <c r="E798">
        <v>0.27079999999999999</v>
      </c>
      <c r="F798">
        <v>243578.08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0.98795180722891696</v>
      </c>
      <c r="Q798">
        <f t="shared" si="1005"/>
        <v>240643.4043373497</v>
      </c>
      <c r="R798">
        <f t="shared" si="1006"/>
        <v>12019471.199780697</v>
      </c>
      <c r="S798">
        <f t="shared" si="1007"/>
        <v>120.19471199780698</v>
      </c>
      <c r="T798">
        <f t="shared" si="1008"/>
        <v>0.12019471199780697</v>
      </c>
    </row>
    <row r="799" spans="1:20" x14ac:dyDescent="0.25">
      <c r="A799" s="5">
        <v>43794</v>
      </c>
      <c r="B799">
        <v>0.24179999999999999</v>
      </c>
      <c r="C799">
        <v>0.27900000000000003</v>
      </c>
      <c r="D799">
        <v>0.22689999999999999</v>
      </c>
      <c r="E799">
        <v>0.2596</v>
      </c>
      <c r="F799">
        <v>690119.36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0.25527831094049847</v>
      </c>
      <c r="Q799">
        <f t="shared" si="1005"/>
        <v>176172.50456813778</v>
      </c>
      <c r="R799">
        <f t="shared" si="1006"/>
        <v>11778827.795443347</v>
      </c>
      <c r="S799">
        <f t="shared" si="1007"/>
        <v>117.78827795443347</v>
      </c>
      <c r="T799">
        <f t="shared" si="1008"/>
        <v>0.11778827795443347</v>
      </c>
    </row>
    <row r="800" spans="1:20" x14ac:dyDescent="0.25">
      <c r="A800" s="5">
        <v>43793</v>
      </c>
      <c r="B800">
        <v>0.27350000000000002</v>
      </c>
      <c r="C800">
        <v>0.2787</v>
      </c>
      <c r="D800">
        <v>0.2402</v>
      </c>
      <c r="E800">
        <v>0.2417</v>
      </c>
      <c r="F800">
        <v>369568.4</v>
      </c>
      <c r="G800">
        <v>0</v>
      </c>
      <c r="L800" t="s">
        <v>7</v>
      </c>
      <c r="M800" t="s">
        <v>8</v>
      </c>
      <c r="N800" t="s">
        <v>7</v>
      </c>
      <c r="P800">
        <f t="shared" si="1004"/>
        <v>-0.92207792207792205</v>
      </c>
      <c r="Q800">
        <f t="shared" si="1005"/>
        <v>-340770.86233766237</v>
      </c>
      <c r="R800">
        <f t="shared" si="1006"/>
        <v>11602655.290875209</v>
      </c>
      <c r="S800">
        <f t="shared" si="1007"/>
        <v>116.02655290875209</v>
      </c>
      <c r="T800">
        <f t="shared" si="1008"/>
        <v>0.11602655290875209</v>
      </c>
    </row>
    <row r="801" spans="1:20" x14ac:dyDescent="0.25">
      <c r="A801" s="5">
        <v>43792</v>
      </c>
      <c r="B801">
        <v>0.26590000000000003</v>
      </c>
      <c r="C801">
        <v>0.2797</v>
      </c>
      <c r="D801">
        <v>0.25159999999999999</v>
      </c>
      <c r="E801">
        <v>0.27389999999999998</v>
      </c>
      <c r="F801">
        <v>249816.86</v>
      </c>
      <c r="G801">
        <v>0</v>
      </c>
      <c r="L801" t="s">
        <v>8</v>
      </c>
      <c r="M801" t="s">
        <v>8</v>
      </c>
      <c r="N801" t="s">
        <v>7</v>
      </c>
      <c r="P801">
        <f t="shared" si="1004"/>
        <v>0.58718861209964235</v>
      </c>
      <c r="Q801">
        <f t="shared" si="1005"/>
        <v>146689.61530249065</v>
      </c>
      <c r="R801">
        <f t="shared" si="1006"/>
        <v>11943426.153212871</v>
      </c>
      <c r="S801">
        <f t="shared" si="1007"/>
        <v>119.43426153212872</v>
      </c>
      <c r="T801">
        <f t="shared" si="1008"/>
        <v>0.11943426153212872</v>
      </c>
    </row>
    <row r="802" spans="1:20" x14ac:dyDescent="0.25">
      <c r="A802" s="5">
        <v>43791</v>
      </c>
      <c r="B802">
        <v>0.28499999999999998</v>
      </c>
      <c r="C802">
        <v>0.29339999999999999</v>
      </c>
      <c r="D802">
        <v>0.23119999999999999</v>
      </c>
      <c r="E802">
        <v>0.26590000000000003</v>
      </c>
      <c r="F802">
        <v>742477.53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0.11575562700964738</v>
      </c>
      <c r="Q802">
        <f t="shared" si="1005"/>
        <v>85945.952025724269</v>
      </c>
      <c r="R802">
        <f t="shared" si="1006"/>
        <v>11796736.537910381</v>
      </c>
      <c r="S802">
        <f t="shared" si="1007"/>
        <v>117.96736537910381</v>
      </c>
      <c r="T802">
        <f t="shared" si="1008"/>
        <v>0.11796736537910381</v>
      </c>
    </row>
    <row r="803" spans="1:20" x14ac:dyDescent="0.25">
      <c r="A803" s="5">
        <v>43790</v>
      </c>
      <c r="B803">
        <v>0.30859999999999999</v>
      </c>
      <c r="C803">
        <v>0.31090000000000001</v>
      </c>
      <c r="D803">
        <v>0.26640000000000003</v>
      </c>
      <c r="E803">
        <v>0.28499999999999998</v>
      </c>
      <c r="F803">
        <v>1064834.6100000001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-0.16404494382022666</v>
      </c>
      <c r="Q803">
        <f t="shared" si="1005"/>
        <v>-174680.73377528298</v>
      </c>
      <c r="R803">
        <f t="shared" si="1006"/>
        <v>11710790.585884657</v>
      </c>
      <c r="S803">
        <f t="shared" si="1007"/>
        <v>117.10790585884656</v>
      </c>
      <c r="T803">
        <f t="shared" si="1008"/>
        <v>0.11710790585884656</v>
      </c>
    </row>
    <row r="804" spans="1:20" x14ac:dyDescent="0.25">
      <c r="A804" s="5">
        <v>43789</v>
      </c>
      <c r="B804">
        <v>0.31290000000000001</v>
      </c>
      <c r="C804">
        <v>0.32729999999999998</v>
      </c>
      <c r="D804">
        <v>0.30209999999999998</v>
      </c>
      <c r="E804">
        <v>0.30880000000000002</v>
      </c>
      <c r="F804">
        <v>884825.67</v>
      </c>
      <c r="G804">
        <v>0</v>
      </c>
      <c r="L804" t="s">
        <v>8</v>
      </c>
      <c r="M804" t="s">
        <v>7</v>
      </c>
      <c r="N804" t="s">
        <v>7</v>
      </c>
      <c r="P804">
        <f t="shared" si="1004"/>
        <v>-0.46825396825396515</v>
      </c>
      <c r="Q804">
        <f t="shared" si="1005"/>
        <v>-414323.13119047345</v>
      </c>
      <c r="R804">
        <f t="shared" si="1006"/>
        <v>11885471.319659939</v>
      </c>
      <c r="S804">
        <f t="shared" si="1007"/>
        <v>118.85471319659939</v>
      </c>
      <c r="T804">
        <f t="shared" si="1008"/>
        <v>0.11885471319659939</v>
      </c>
    </row>
    <row r="805" spans="1:20" x14ac:dyDescent="0.25">
      <c r="A805" s="5">
        <v>43788</v>
      </c>
      <c r="B805">
        <v>0.31209999999999999</v>
      </c>
      <c r="C805">
        <v>0.3216</v>
      </c>
      <c r="D805">
        <v>0.30230000000000001</v>
      </c>
      <c r="E805">
        <v>0.31490000000000001</v>
      </c>
      <c r="F805">
        <v>691330.76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0.30569948186528606</v>
      </c>
      <c r="Q805">
        <f t="shared" si="1005"/>
        <v>211339.45512953444</v>
      </c>
      <c r="R805">
        <f t="shared" si="1006"/>
        <v>12299794.450850412</v>
      </c>
      <c r="S805">
        <f t="shared" si="1007"/>
        <v>122.99794450850412</v>
      </c>
      <c r="T805">
        <f t="shared" si="1008"/>
        <v>0.12299794450850413</v>
      </c>
    </row>
    <row r="806" spans="1:20" x14ac:dyDescent="0.25">
      <c r="A806" s="5">
        <v>43787</v>
      </c>
      <c r="B806">
        <v>0.34799999999999998</v>
      </c>
      <c r="C806">
        <v>0.35799999999999998</v>
      </c>
      <c r="D806">
        <v>0.30649999999999999</v>
      </c>
      <c r="E806">
        <v>0.3155</v>
      </c>
      <c r="F806">
        <v>991268.09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-0.65048543689320348</v>
      </c>
      <c r="Q806">
        <f t="shared" si="1005"/>
        <v>-644805.45660194138</v>
      </c>
      <c r="R806">
        <f t="shared" si="1006"/>
        <v>12088454.995720878</v>
      </c>
      <c r="S806">
        <f t="shared" si="1007"/>
        <v>120.88454995720878</v>
      </c>
      <c r="T806">
        <f t="shared" si="1008"/>
        <v>0.12088454995720878</v>
      </c>
    </row>
    <row r="807" spans="1:20" x14ac:dyDescent="0.25">
      <c r="A807" s="5">
        <v>43786</v>
      </c>
      <c r="B807">
        <v>0.35720000000000002</v>
      </c>
      <c r="C807">
        <v>0.35870000000000002</v>
      </c>
      <c r="D807">
        <v>0.34739999999999999</v>
      </c>
      <c r="E807">
        <v>0.34739999999999999</v>
      </c>
      <c r="F807">
        <v>230889.17</v>
      </c>
      <c r="G807">
        <v>0</v>
      </c>
      <c r="L807" t="s">
        <v>7</v>
      </c>
      <c r="M807" t="s">
        <v>7</v>
      </c>
      <c r="N807" t="s">
        <v>7</v>
      </c>
      <c r="P807">
        <f t="shared" si="1004"/>
        <v>-1</v>
      </c>
      <c r="Q807">
        <f t="shared" si="1005"/>
        <v>-230889.17</v>
      </c>
      <c r="R807">
        <f t="shared" si="1006"/>
        <v>12733260.45232282</v>
      </c>
      <c r="S807">
        <f t="shared" si="1007"/>
        <v>127.3326045232282</v>
      </c>
      <c r="T807">
        <f t="shared" si="1008"/>
        <v>0.1273326045232282</v>
      </c>
    </row>
    <row r="808" spans="1:20" x14ac:dyDescent="0.25">
      <c r="A808" s="5">
        <v>43785</v>
      </c>
      <c r="B808">
        <v>0.34520000000000001</v>
      </c>
      <c r="C808">
        <v>0.36059999999999998</v>
      </c>
      <c r="D808">
        <v>0.34300000000000003</v>
      </c>
      <c r="E808">
        <v>0.35499999999999998</v>
      </c>
      <c r="F808">
        <v>224422.68</v>
      </c>
      <c r="G808">
        <v>0</v>
      </c>
      <c r="L808" t="s">
        <v>7</v>
      </c>
      <c r="M808" t="s">
        <v>7</v>
      </c>
      <c r="N808" t="s">
        <v>7</v>
      </c>
      <c r="P808">
        <f t="shared" si="1004"/>
        <v>0.36363636363636248</v>
      </c>
      <c r="Q808">
        <f t="shared" si="1005"/>
        <v>81608.247272727007</v>
      </c>
      <c r="R808">
        <f t="shared" si="1006"/>
        <v>12964149.62232282</v>
      </c>
      <c r="S808">
        <f t="shared" si="1007"/>
        <v>129.64149622322819</v>
      </c>
      <c r="T808">
        <f t="shared" si="1008"/>
        <v>0.12964149622322818</v>
      </c>
    </row>
    <row r="809" spans="1:20" x14ac:dyDescent="0.25">
      <c r="A809" s="5">
        <v>43784</v>
      </c>
      <c r="B809">
        <v>0.36349999999999999</v>
      </c>
      <c r="C809">
        <v>0.3695</v>
      </c>
      <c r="D809">
        <v>0.34</v>
      </c>
      <c r="E809">
        <v>0.34620000000000001</v>
      </c>
      <c r="F809">
        <v>1062372.8899999999</v>
      </c>
      <c r="G809">
        <v>0</v>
      </c>
      <c r="L809" t="s">
        <v>7</v>
      </c>
      <c r="M809" t="s">
        <v>7</v>
      </c>
      <c r="N809" t="s">
        <v>7</v>
      </c>
      <c r="P809">
        <f t="shared" si="1004"/>
        <v>-0.57966101694915328</v>
      </c>
      <c r="Q809">
        <f t="shared" si="1005"/>
        <v>-615816.14979661093</v>
      </c>
      <c r="R809">
        <f t="shared" si="1006"/>
        <v>12882541.375050094</v>
      </c>
      <c r="S809">
        <f t="shared" si="1007"/>
        <v>128.82541375050093</v>
      </c>
      <c r="T809">
        <f t="shared" si="1008"/>
        <v>0.12882541375050094</v>
      </c>
    </row>
    <row r="810" spans="1:20" x14ac:dyDescent="0.25">
      <c r="A810" s="5">
        <v>43783</v>
      </c>
      <c r="B810">
        <v>0.3982</v>
      </c>
      <c r="C810">
        <v>0.39979999999999999</v>
      </c>
      <c r="D810">
        <v>0.35089999999999999</v>
      </c>
      <c r="E810">
        <v>0.36270000000000002</v>
      </c>
      <c r="F810">
        <v>899390.52</v>
      </c>
      <c r="G810">
        <v>0</v>
      </c>
      <c r="L810" t="s">
        <v>7</v>
      </c>
      <c r="M810" t="s">
        <v>8</v>
      </c>
      <c r="N810" t="s">
        <v>7</v>
      </c>
      <c r="P810">
        <f t="shared" si="1004"/>
        <v>-0.5173824130879332</v>
      </c>
      <c r="Q810">
        <f t="shared" si="1005"/>
        <v>-465328.83754601108</v>
      </c>
      <c r="R810">
        <f t="shared" si="1006"/>
        <v>13498357.524846705</v>
      </c>
      <c r="S810">
        <f t="shared" si="1007"/>
        <v>134.98357524846705</v>
      </c>
      <c r="T810">
        <f t="shared" si="1008"/>
        <v>0.13498357524846705</v>
      </c>
    </row>
    <row r="811" spans="1:20" x14ac:dyDescent="0.25">
      <c r="A811" s="5">
        <v>43782</v>
      </c>
      <c r="B811">
        <v>0.37540000000000001</v>
      </c>
      <c r="C811">
        <v>0.4</v>
      </c>
      <c r="D811">
        <v>0.374</v>
      </c>
      <c r="E811">
        <v>0.3982</v>
      </c>
      <c r="F811">
        <v>751049.46</v>
      </c>
      <c r="G811">
        <v>0</v>
      </c>
      <c r="L811" t="s">
        <v>8</v>
      </c>
      <c r="M811" t="s">
        <v>8</v>
      </c>
      <c r="N811" t="s">
        <v>7</v>
      </c>
      <c r="P811">
        <f t="shared" si="1004"/>
        <v>0.86153846153845981</v>
      </c>
      <c r="Q811">
        <f t="shared" si="1005"/>
        <v>647057.99630769098</v>
      </c>
      <c r="R811">
        <f t="shared" si="1006"/>
        <v>13963686.362392716</v>
      </c>
      <c r="S811">
        <f t="shared" si="1007"/>
        <v>139.63686362392716</v>
      </c>
      <c r="T811">
        <f t="shared" si="1008"/>
        <v>0.13963686362392716</v>
      </c>
    </row>
    <row r="812" spans="1:20" x14ac:dyDescent="0.25">
      <c r="A812" s="5">
        <v>43781</v>
      </c>
      <c r="B812">
        <v>0.38</v>
      </c>
      <c r="C812">
        <v>0.39100000000000001</v>
      </c>
      <c r="D812">
        <v>0.36499999999999999</v>
      </c>
      <c r="E812">
        <v>0.37540000000000001</v>
      </c>
      <c r="F812">
        <v>1703558.71</v>
      </c>
      <c r="G812">
        <v>0</v>
      </c>
      <c r="L812" t="s">
        <v>8</v>
      </c>
      <c r="M812" t="s">
        <v>7</v>
      </c>
      <c r="N812" t="s">
        <v>7</v>
      </c>
      <c r="P812">
        <f t="shared" si="1004"/>
        <v>-0.19999999999999915</v>
      </c>
      <c r="Q812">
        <f t="shared" si="1005"/>
        <v>-340711.74199999857</v>
      </c>
      <c r="R812">
        <f t="shared" si="1006"/>
        <v>13316628.366085025</v>
      </c>
      <c r="S812">
        <f t="shared" si="1007"/>
        <v>133.16628366085024</v>
      </c>
      <c r="T812">
        <f t="shared" si="1008"/>
        <v>0.13316628366085023</v>
      </c>
    </row>
    <row r="813" spans="1:20" x14ac:dyDescent="0.25">
      <c r="A813" s="5">
        <v>43780</v>
      </c>
      <c r="B813">
        <v>0.3589</v>
      </c>
      <c r="C813">
        <v>0.38</v>
      </c>
      <c r="D813">
        <v>0.3417</v>
      </c>
      <c r="E813">
        <v>0.38</v>
      </c>
      <c r="F813">
        <v>932056.81</v>
      </c>
      <c r="G813">
        <v>0</v>
      </c>
      <c r="L813" t="s">
        <v>7</v>
      </c>
      <c r="M813" t="s">
        <v>7</v>
      </c>
      <c r="N813" t="s">
        <v>7</v>
      </c>
      <c r="P813">
        <f t="shared" si="1004"/>
        <v>1</v>
      </c>
      <c r="Q813">
        <f t="shared" si="1005"/>
        <v>932056.81</v>
      </c>
      <c r="R813">
        <f t="shared" si="1006"/>
        <v>13657340.108085023</v>
      </c>
      <c r="S813">
        <f t="shared" si="1007"/>
        <v>136.57340108085023</v>
      </c>
      <c r="T813">
        <f t="shared" si="1008"/>
        <v>0.13657340108085023</v>
      </c>
    </row>
    <row r="814" spans="1:20" x14ac:dyDescent="0.25">
      <c r="A814" s="5">
        <v>43779</v>
      </c>
      <c r="B814">
        <v>0.37390000000000001</v>
      </c>
      <c r="C814">
        <v>0.37509999999999999</v>
      </c>
      <c r="D814">
        <v>0.35420000000000001</v>
      </c>
      <c r="E814">
        <v>0.3589</v>
      </c>
      <c r="F814">
        <v>751481.36</v>
      </c>
      <c r="G814">
        <v>0</v>
      </c>
      <c r="L814" t="s">
        <v>7</v>
      </c>
      <c r="M814" t="s">
        <v>7</v>
      </c>
      <c r="N814" t="s">
        <v>8</v>
      </c>
      <c r="P814">
        <f t="shared" si="1004"/>
        <v>-0.55023923444976197</v>
      </c>
      <c r="Q814">
        <f t="shared" si="1005"/>
        <v>-413494.52822966594</v>
      </c>
      <c r="R814">
        <f t="shared" si="1006"/>
        <v>12725283.298085023</v>
      </c>
      <c r="S814">
        <f t="shared" si="1007"/>
        <v>127.25283298085023</v>
      </c>
      <c r="T814">
        <f t="shared" si="1008"/>
        <v>0.12725283298085022</v>
      </c>
    </row>
    <row r="815" spans="1:20" x14ac:dyDescent="0.25">
      <c r="A815" s="5">
        <v>43778</v>
      </c>
      <c r="B815">
        <v>0.36799999999999999</v>
      </c>
      <c r="C815">
        <v>0.3785</v>
      </c>
      <c r="D815">
        <v>0.3629</v>
      </c>
      <c r="E815">
        <v>0.375</v>
      </c>
      <c r="F815">
        <v>379836.79</v>
      </c>
      <c r="G815">
        <v>0</v>
      </c>
      <c r="L815" t="s">
        <v>7</v>
      </c>
      <c r="M815" t="s">
        <v>7</v>
      </c>
      <c r="N815" t="s">
        <v>8</v>
      </c>
      <c r="P815">
        <f t="shared" si="1004"/>
        <v>0.55128205128205099</v>
      </c>
      <c r="Q815">
        <f t="shared" si="1005"/>
        <v>209397.20474358962</v>
      </c>
      <c r="R815">
        <f t="shared" si="1006"/>
        <v>13138777.826314688</v>
      </c>
      <c r="S815">
        <f t="shared" si="1007"/>
        <v>131.38777826314688</v>
      </c>
      <c r="T815">
        <f t="shared" si="1008"/>
        <v>0.13138777826314688</v>
      </c>
    </row>
    <row r="816" spans="1:20" x14ac:dyDescent="0.25">
      <c r="A816" s="5">
        <v>43777</v>
      </c>
      <c r="B816">
        <v>0.37740000000000001</v>
      </c>
      <c r="C816">
        <v>0.38</v>
      </c>
      <c r="D816">
        <v>0.35220000000000001</v>
      </c>
      <c r="E816">
        <v>0.36830000000000002</v>
      </c>
      <c r="F816">
        <v>887619.17</v>
      </c>
      <c r="G816">
        <v>0</v>
      </c>
      <c r="L816" t="s">
        <v>7</v>
      </c>
      <c r="M816" t="s">
        <v>7</v>
      </c>
      <c r="N816" t="s">
        <v>8</v>
      </c>
      <c r="P816">
        <f t="shared" si="1004"/>
        <v>0.15827338129496463</v>
      </c>
      <c r="Q816">
        <f t="shared" si="1005"/>
        <v>140486.48733813004</v>
      </c>
      <c r="R816">
        <f t="shared" si="1006"/>
        <v>12929380.621571098</v>
      </c>
      <c r="S816">
        <f t="shared" si="1007"/>
        <v>129.29380621571099</v>
      </c>
      <c r="T816">
        <f t="shared" si="1008"/>
        <v>0.12929380621571099</v>
      </c>
    </row>
    <row r="817" spans="1:20" x14ac:dyDescent="0.25">
      <c r="A817" s="5">
        <v>43776</v>
      </c>
      <c r="B817">
        <v>0.39560000000000001</v>
      </c>
      <c r="C817">
        <v>0.3992</v>
      </c>
      <c r="D817">
        <v>0.36049999999999999</v>
      </c>
      <c r="E817">
        <v>0.3775</v>
      </c>
      <c r="F817">
        <v>1239710.2</v>
      </c>
      <c r="G817">
        <v>0</v>
      </c>
      <c r="L817" t="s">
        <v>7</v>
      </c>
      <c r="M817" t="s">
        <v>7</v>
      </c>
      <c r="N817" t="s">
        <v>8</v>
      </c>
      <c r="P817">
        <f t="shared" si="1004"/>
        <v>-0.1214470284237721</v>
      </c>
      <c r="Q817">
        <f t="shared" si="1005"/>
        <v>-150559.11989664019</v>
      </c>
      <c r="R817">
        <f t="shared" si="1006"/>
        <v>12788894.134232968</v>
      </c>
      <c r="S817">
        <f t="shared" si="1007"/>
        <v>127.88894134232969</v>
      </c>
      <c r="T817">
        <f t="shared" si="1008"/>
        <v>0.1278889413423297</v>
      </c>
    </row>
    <row r="818" spans="1:20" x14ac:dyDescent="0.25">
      <c r="A818" s="5">
        <v>43775</v>
      </c>
      <c r="B818">
        <v>0.42509999999999998</v>
      </c>
      <c r="C818">
        <v>0.42720000000000002</v>
      </c>
      <c r="D818">
        <v>0.39</v>
      </c>
      <c r="E818">
        <v>0.39560000000000001</v>
      </c>
      <c r="F818">
        <v>2098928.7799999998</v>
      </c>
      <c r="G818">
        <v>0</v>
      </c>
      <c r="L818" t="s">
        <v>7</v>
      </c>
      <c r="M818" t="s">
        <v>7</v>
      </c>
      <c r="N818" t="s">
        <v>8</v>
      </c>
      <c r="P818">
        <f t="shared" si="1004"/>
        <v>-0.69892473118279608</v>
      </c>
      <c r="Q818">
        <f t="shared" si="1005"/>
        <v>-1466993.2333333341</v>
      </c>
      <c r="R818">
        <f t="shared" si="1006"/>
        <v>12939453.254129609</v>
      </c>
      <c r="S818">
        <f t="shared" si="1007"/>
        <v>129.39453254129609</v>
      </c>
      <c r="T818">
        <f t="shared" si="1008"/>
        <v>0.1293945325412961</v>
      </c>
    </row>
    <row r="819" spans="1:20" x14ac:dyDescent="0.25">
      <c r="A819" s="5">
        <v>43774</v>
      </c>
      <c r="B819">
        <v>0.46550000000000002</v>
      </c>
      <c r="C819">
        <v>0.46779999999999999</v>
      </c>
      <c r="D819">
        <v>0.41789999999999999</v>
      </c>
      <c r="E819">
        <v>0.42549999999999999</v>
      </c>
      <c r="F819">
        <v>2913164.1</v>
      </c>
      <c r="G819">
        <v>0</v>
      </c>
      <c r="L819" t="s">
        <v>7</v>
      </c>
      <c r="M819" t="s">
        <v>8</v>
      </c>
      <c r="N819" t="s">
        <v>8</v>
      </c>
      <c r="P819">
        <f t="shared" si="1004"/>
        <v>-0.69539078156312639</v>
      </c>
      <c r="Q819">
        <f t="shared" si="1005"/>
        <v>-2025787.4603206418</v>
      </c>
      <c r="R819">
        <f t="shared" si="1006"/>
        <v>14406446.487462943</v>
      </c>
      <c r="S819">
        <f t="shared" si="1007"/>
        <v>144.06446487462944</v>
      </c>
      <c r="T819">
        <f t="shared" si="1008"/>
        <v>0.14406446487462943</v>
      </c>
    </row>
    <row r="820" spans="1:20" x14ac:dyDescent="0.25">
      <c r="A820" s="5">
        <v>43773</v>
      </c>
      <c r="B820">
        <v>0.46800000000000003</v>
      </c>
      <c r="C820">
        <v>0.4879</v>
      </c>
      <c r="D820">
        <v>0.45400000000000001</v>
      </c>
      <c r="E820">
        <v>0.46579999999999999</v>
      </c>
      <c r="F820">
        <v>65904986.509999998</v>
      </c>
      <c r="G820">
        <v>0</v>
      </c>
      <c r="L820" t="s">
        <v>7</v>
      </c>
      <c r="M820" t="s">
        <v>8</v>
      </c>
      <c r="N820" t="s">
        <v>8</v>
      </c>
      <c r="P820">
        <f t="shared" si="1004"/>
        <v>-0.30383480825958809</v>
      </c>
      <c r="Q820">
        <f t="shared" si="1005"/>
        <v>-20024228.939616587</v>
      </c>
      <c r="R820">
        <f t="shared" si="1006"/>
        <v>16432233.947783586</v>
      </c>
      <c r="S820">
        <f t="shared" si="1007"/>
        <v>164.32233947783587</v>
      </c>
      <c r="T820">
        <f t="shared" si="1008"/>
        <v>0.16432233947783587</v>
      </c>
    </row>
    <row r="821" spans="1:20" x14ac:dyDescent="0.25">
      <c r="A821" s="5">
        <v>43772</v>
      </c>
      <c r="B821">
        <v>0.41760000000000003</v>
      </c>
      <c r="C821">
        <v>0.49180000000000001</v>
      </c>
      <c r="D821">
        <v>0.41649999999999998</v>
      </c>
      <c r="E821">
        <v>0.46779999999999999</v>
      </c>
      <c r="F821">
        <v>38211939.25</v>
      </c>
      <c r="G821">
        <v>0</v>
      </c>
      <c r="L821" t="s">
        <v>8</v>
      </c>
      <c r="M821" t="s">
        <v>8</v>
      </c>
      <c r="N821" t="s">
        <v>8</v>
      </c>
      <c r="P821">
        <f t="shared" si="1004"/>
        <v>0.36254980079681248</v>
      </c>
      <c r="Q821">
        <f t="shared" si="1005"/>
        <v>13853730.9631474</v>
      </c>
      <c r="R821">
        <f t="shared" si="1006"/>
        <v>36456462.887400173</v>
      </c>
      <c r="S821">
        <f t="shared" si="1007"/>
        <v>364.5646288740017</v>
      </c>
      <c r="T821">
        <f t="shared" si="1008"/>
        <v>0.36456462887400171</v>
      </c>
    </row>
    <row r="822" spans="1:20" x14ac:dyDescent="0.25">
      <c r="A822" s="5">
        <v>43771</v>
      </c>
      <c r="B822">
        <v>0.43869999999999998</v>
      </c>
      <c r="C822">
        <v>0.44569999999999999</v>
      </c>
      <c r="D822">
        <v>0.4093</v>
      </c>
      <c r="E822">
        <v>0.41760000000000003</v>
      </c>
      <c r="F822">
        <v>13125063.92</v>
      </c>
      <c r="G822">
        <v>0</v>
      </c>
      <c r="L822" t="s">
        <v>7</v>
      </c>
      <c r="M822" t="s">
        <v>8</v>
      </c>
      <c r="N822" t="s">
        <v>8</v>
      </c>
      <c r="P822">
        <f t="shared" si="1004"/>
        <v>-0.54395604395604213</v>
      </c>
      <c r="Q822">
        <f t="shared" si="1005"/>
        <v>-7139457.8465933828</v>
      </c>
      <c r="R822">
        <f t="shared" si="1006"/>
        <v>22602731.924252775</v>
      </c>
      <c r="S822">
        <f t="shared" si="1007"/>
        <v>226.02731924252774</v>
      </c>
      <c r="T822">
        <f t="shared" si="1008"/>
        <v>0.22602731924252775</v>
      </c>
    </row>
    <row r="823" spans="1:20" x14ac:dyDescent="0.25">
      <c r="A823" s="5">
        <v>43770</v>
      </c>
      <c r="B823">
        <v>0.3785</v>
      </c>
      <c r="C823">
        <v>0.45319999999999999</v>
      </c>
      <c r="D823">
        <v>0.37580000000000002</v>
      </c>
      <c r="E823">
        <v>0.43890000000000001</v>
      </c>
      <c r="F823">
        <v>26667154.850000001</v>
      </c>
      <c r="G823">
        <v>0</v>
      </c>
      <c r="L823" t="s">
        <v>8</v>
      </c>
      <c r="M823" t="s">
        <v>8</v>
      </c>
      <c r="N823" t="s">
        <v>8</v>
      </c>
      <c r="P823">
        <f t="shared" si="1004"/>
        <v>0.63049095607235184</v>
      </c>
      <c r="Q823">
        <f t="shared" si="1005"/>
        <v>16813399.957105957</v>
      </c>
      <c r="R823">
        <f t="shared" si="1006"/>
        <v>29742189.770846158</v>
      </c>
      <c r="S823">
        <f t="shared" si="1007"/>
        <v>297.42189770846159</v>
      </c>
      <c r="T823">
        <f t="shared" si="1008"/>
        <v>0.29742189770846161</v>
      </c>
    </row>
    <row r="824" spans="1:20" x14ac:dyDescent="0.25">
      <c r="A824" s="5">
        <v>43769</v>
      </c>
      <c r="B824">
        <v>0.36149999999999999</v>
      </c>
      <c r="C824">
        <v>0.38159999999999999</v>
      </c>
      <c r="D824">
        <v>0.35730000000000001</v>
      </c>
      <c r="E824">
        <v>0.3785</v>
      </c>
      <c r="F824">
        <v>32179660.68</v>
      </c>
      <c r="G824">
        <v>0</v>
      </c>
      <c r="L824" t="s">
        <v>8</v>
      </c>
      <c r="M824" t="s">
        <v>8</v>
      </c>
      <c r="N824" t="s">
        <v>8</v>
      </c>
      <c r="P824">
        <f t="shared" si="1004"/>
        <v>0.74485596707818991</v>
      </c>
      <c r="Q824">
        <f t="shared" si="1005"/>
        <v>23969212.276049402</v>
      </c>
      <c r="R824">
        <f t="shared" si="1006"/>
        <v>12928789.813740203</v>
      </c>
      <c r="S824">
        <f t="shared" si="1007"/>
        <v>129.28789813740204</v>
      </c>
      <c r="T824">
        <f t="shared" si="1008"/>
        <v>0.12928789813740205</v>
      </c>
    </row>
    <row r="825" spans="1:20" x14ac:dyDescent="0.25">
      <c r="A825" s="5">
        <v>43768</v>
      </c>
      <c r="B825">
        <v>0.38119999999999998</v>
      </c>
      <c r="C825">
        <v>0.38279999999999997</v>
      </c>
      <c r="D825">
        <v>0.3543</v>
      </c>
      <c r="E825">
        <v>0.36120000000000002</v>
      </c>
      <c r="F825">
        <v>9888143.1799999997</v>
      </c>
      <c r="G825">
        <v>0</v>
      </c>
      <c r="L825" t="s">
        <v>7</v>
      </c>
      <c r="M825" t="s">
        <v>8</v>
      </c>
      <c r="N825" t="s">
        <v>8</v>
      </c>
      <c r="P825">
        <f t="shared" si="1004"/>
        <v>-0.5157894736842088</v>
      </c>
      <c r="Q825">
        <f t="shared" si="1005"/>
        <v>-5100200.166526299</v>
      </c>
      <c r="R825">
        <f t="shared" si="1006"/>
        <v>-11040422.462309198</v>
      </c>
      <c r="S825">
        <f t="shared" si="1007"/>
        <v>-110.40422462309199</v>
      </c>
      <c r="T825">
        <f t="shared" si="1008"/>
        <v>-0.11040422462309199</v>
      </c>
    </row>
    <row r="826" spans="1:20" x14ac:dyDescent="0.25">
      <c r="A826" s="5">
        <v>43767</v>
      </c>
      <c r="B826">
        <v>0.39779999999999999</v>
      </c>
      <c r="C826">
        <v>0.41</v>
      </c>
      <c r="D826">
        <v>0.36080000000000001</v>
      </c>
      <c r="E826">
        <v>0.38080000000000003</v>
      </c>
      <c r="F826">
        <v>8270815.8899999997</v>
      </c>
      <c r="G826">
        <v>0</v>
      </c>
      <c r="L826" t="s">
        <v>7</v>
      </c>
      <c r="M826" t="s">
        <v>8</v>
      </c>
      <c r="N826" t="s">
        <v>8</v>
      </c>
      <c r="P826">
        <f t="shared" si="1004"/>
        <v>-0.1869918699186979</v>
      </c>
      <c r="Q826">
        <f t="shared" si="1005"/>
        <v>-1546575.3290243796</v>
      </c>
      <c r="R826">
        <f t="shared" si="1006"/>
        <v>-5940222.2957828995</v>
      </c>
      <c r="S826">
        <f t="shared" si="1007"/>
        <v>-59.402222957828997</v>
      </c>
      <c r="T826">
        <f t="shared" si="1008"/>
        <v>-5.9402222957828994E-2</v>
      </c>
    </row>
    <row r="827" spans="1:20" x14ac:dyDescent="0.25">
      <c r="A827" s="5">
        <v>43766</v>
      </c>
      <c r="B827">
        <v>0.30480000000000002</v>
      </c>
      <c r="C827">
        <v>0.41499999999999998</v>
      </c>
      <c r="D827">
        <v>0.29499999999999998</v>
      </c>
      <c r="E827">
        <v>0.39960000000000001</v>
      </c>
      <c r="F827">
        <v>2091575.86</v>
      </c>
      <c r="G827">
        <v>0</v>
      </c>
      <c r="L827" t="s">
        <v>8</v>
      </c>
      <c r="M827" t="s">
        <v>8</v>
      </c>
      <c r="N827" t="s">
        <v>8</v>
      </c>
      <c r="P827">
        <f t="shared" si="1004"/>
        <v>0.74333333333333385</v>
      </c>
      <c r="Q827">
        <f t="shared" si="1005"/>
        <v>1554738.0559333344</v>
      </c>
      <c r="R827">
        <f t="shared" si="1006"/>
        <v>-4393646.9667585194</v>
      </c>
      <c r="S827">
        <f t="shared" si="1007"/>
        <v>-43.936469667585193</v>
      </c>
      <c r="T827">
        <f t="shared" si="1008"/>
        <v>-4.3936469667585194E-2</v>
      </c>
    </row>
    <row r="828" spans="1:20" x14ac:dyDescent="0.25">
      <c r="A828" s="5">
        <v>43765</v>
      </c>
      <c r="B828">
        <v>0.2903</v>
      </c>
      <c r="C828">
        <v>0.32669999999999999</v>
      </c>
      <c r="D828">
        <v>0.28339999999999999</v>
      </c>
      <c r="E828">
        <v>0.3039</v>
      </c>
      <c r="F828">
        <v>324202.03000000003</v>
      </c>
      <c r="G828">
        <v>0</v>
      </c>
      <c r="L828" t="s">
        <v>8</v>
      </c>
      <c r="M828" t="s">
        <v>8</v>
      </c>
      <c r="N828" t="s">
        <v>8</v>
      </c>
      <c r="P828">
        <f t="shared" si="1004"/>
        <v>-5.3117782909929988E-2</v>
      </c>
      <c r="Q828">
        <f t="shared" si="1005"/>
        <v>-17220.893048498612</v>
      </c>
      <c r="R828">
        <f t="shared" si="1006"/>
        <v>-5948385.0226918533</v>
      </c>
      <c r="S828">
        <f t="shared" si="1007"/>
        <v>-59.483850226918534</v>
      </c>
      <c r="T828">
        <f t="shared" si="1008"/>
        <v>-5.9483850226918537E-2</v>
      </c>
    </row>
    <row r="829" spans="1:20" x14ac:dyDescent="0.25">
      <c r="A829" s="5">
        <v>43764</v>
      </c>
      <c r="B829">
        <v>0.29730000000000001</v>
      </c>
      <c r="C829">
        <v>0.317</v>
      </c>
      <c r="D829">
        <v>0.28000000000000003</v>
      </c>
      <c r="E829">
        <v>0.28960000000000002</v>
      </c>
      <c r="F829">
        <v>305802.78000000003</v>
      </c>
      <c r="G829">
        <v>0</v>
      </c>
      <c r="L829" t="s">
        <v>7</v>
      </c>
      <c r="M829" t="s">
        <v>8</v>
      </c>
      <c r="N829" t="s">
        <v>8</v>
      </c>
      <c r="P829">
        <f t="shared" si="1004"/>
        <v>-0.48108108108108089</v>
      </c>
      <c r="Q829">
        <f t="shared" si="1005"/>
        <v>-147115.93199999994</v>
      </c>
      <c r="R829">
        <f t="shared" si="1006"/>
        <v>-5931164.1296433546</v>
      </c>
      <c r="S829">
        <f t="shared" si="1007"/>
        <v>-59.311641296433542</v>
      </c>
      <c r="T829">
        <f t="shared" si="1008"/>
        <v>-5.9311641296433543E-2</v>
      </c>
    </row>
    <row r="830" spans="1:20" x14ac:dyDescent="0.25">
      <c r="A830" s="5">
        <v>43763</v>
      </c>
      <c r="B830">
        <v>0.28499999999999998</v>
      </c>
      <c r="C830">
        <v>0.311</v>
      </c>
      <c r="D830">
        <v>0.27760000000000001</v>
      </c>
      <c r="E830">
        <v>0.30209999999999998</v>
      </c>
      <c r="F830">
        <v>227736.98</v>
      </c>
      <c r="G830">
        <v>0</v>
      </c>
      <c r="L830" t="s">
        <v>8</v>
      </c>
      <c r="M830" t="s">
        <v>8</v>
      </c>
      <c r="N830" t="s">
        <v>8</v>
      </c>
      <c r="P830">
        <f t="shared" si="1004"/>
        <v>0.46706586826347168</v>
      </c>
      <c r="Q830">
        <f t="shared" si="1005"/>
        <v>106368.1702994009</v>
      </c>
      <c r="R830">
        <f t="shared" si="1006"/>
        <v>-5784048.1976433545</v>
      </c>
      <c r="S830">
        <f t="shared" si="1007"/>
        <v>-57.840481976433544</v>
      </c>
      <c r="T830">
        <f t="shared" si="1008"/>
        <v>-5.7840481976433544E-2</v>
      </c>
    </row>
    <row r="831" spans="1:20" x14ac:dyDescent="0.25">
      <c r="A831" s="5">
        <v>43762</v>
      </c>
      <c r="B831">
        <v>0.28370000000000001</v>
      </c>
      <c r="C831">
        <v>0.28560000000000002</v>
      </c>
      <c r="D831">
        <v>0.26690000000000003</v>
      </c>
      <c r="E831">
        <v>0.28520000000000001</v>
      </c>
      <c r="F831">
        <v>93271.73</v>
      </c>
      <c r="G831">
        <v>0</v>
      </c>
      <c r="L831" t="s">
        <v>7</v>
      </c>
      <c r="M831" t="s">
        <v>7</v>
      </c>
      <c r="N831" t="s">
        <v>8</v>
      </c>
      <c r="P831">
        <f t="shared" ref="P831:P892" si="1009">IF(C831=D831,0,((E831-D831)-(C831-E831))/(C831-D831))</f>
        <v>0.95721925133689711</v>
      </c>
      <c r="Q831">
        <f t="shared" ref="Q831:Q892" si="1010">F831*P831</f>
        <v>89281.495561497199</v>
      </c>
      <c r="R831">
        <f t="shared" ref="R831:R892" si="1011">R832+Q831</f>
        <v>-5890416.3679427551</v>
      </c>
      <c r="S831">
        <f t="shared" ref="S831:S892" si="1012">R831/100000</f>
        <v>-58.904163679427548</v>
      </c>
      <c r="T831">
        <f t="shared" ref="T831:T892" si="1013">S831/1000</f>
        <v>-5.8904163679427544E-2</v>
      </c>
    </row>
    <row r="832" spans="1:20" x14ac:dyDescent="0.25">
      <c r="A832" s="5">
        <v>43761</v>
      </c>
      <c r="B832">
        <v>0.313</v>
      </c>
      <c r="C832">
        <v>0.315</v>
      </c>
      <c r="D832">
        <v>0.27310000000000001</v>
      </c>
      <c r="E832">
        <v>0.28339999999999999</v>
      </c>
      <c r="F832">
        <v>196810.91</v>
      </c>
      <c r="G832">
        <v>0</v>
      </c>
      <c r="L832" t="s">
        <v>7</v>
      </c>
      <c r="M832" t="s">
        <v>7</v>
      </c>
      <c r="N832" t="s">
        <v>8</v>
      </c>
      <c r="P832">
        <f t="shared" si="1009"/>
        <v>-0.50835322195704169</v>
      </c>
      <c r="Q832">
        <f t="shared" si="1010"/>
        <v>-100049.46021479736</v>
      </c>
      <c r="R832">
        <f t="shared" si="1011"/>
        <v>-5979697.8635042524</v>
      </c>
      <c r="S832">
        <f t="shared" si="1012"/>
        <v>-59.796978635042521</v>
      </c>
      <c r="T832">
        <f t="shared" si="1013"/>
        <v>-5.9796978635042519E-2</v>
      </c>
    </row>
    <row r="833" spans="1:20" x14ac:dyDescent="0.25">
      <c r="A833" s="5">
        <v>43760</v>
      </c>
      <c r="B833">
        <v>0.312</v>
      </c>
      <c r="C833">
        <v>0.33</v>
      </c>
      <c r="D833">
        <v>0.30630000000000002</v>
      </c>
      <c r="E833">
        <v>0.31669999999999998</v>
      </c>
      <c r="F833">
        <v>203035.92</v>
      </c>
      <c r="G833">
        <v>0</v>
      </c>
      <c r="L833" t="s">
        <v>8</v>
      </c>
      <c r="M833" t="s">
        <v>7</v>
      </c>
      <c r="N833" t="s">
        <v>8</v>
      </c>
      <c r="P833">
        <f t="shared" si="1009"/>
        <v>-0.12236286919831516</v>
      </c>
      <c r="Q833">
        <f t="shared" si="1010"/>
        <v>-24844.057721519581</v>
      </c>
      <c r="R833">
        <f t="shared" si="1011"/>
        <v>-5879648.403289455</v>
      </c>
      <c r="S833">
        <f t="shared" si="1012"/>
        <v>-58.796484032894547</v>
      </c>
      <c r="T833">
        <f t="shared" si="1013"/>
        <v>-5.8796484032894544E-2</v>
      </c>
    </row>
    <row r="834" spans="1:20" x14ac:dyDescent="0.25">
      <c r="A834" s="5">
        <v>43759</v>
      </c>
      <c r="B834">
        <v>0.31440000000000001</v>
      </c>
      <c r="C834">
        <v>0.31530000000000002</v>
      </c>
      <c r="D834">
        <v>0.3044</v>
      </c>
      <c r="E834">
        <v>0.312</v>
      </c>
      <c r="F834">
        <v>153674.38</v>
      </c>
      <c r="G834">
        <v>0</v>
      </c>
      <c r="L834" t="s">
        <v>7</v>
      </c>
      <c r="M834" t="s">
        <v>7</v>
      </c>
      <c r="N834" t="s">
        <v>8</v>
      </c>
      <c r="P834">
        <f t="shared" si="1009"/>
        <v>0.39449541284403322</v>
      </c>
      <c r="Q834">
        <f t="shared" si="1010"/>
        <v>60623.837981650846</v>
      </c>
      <c r="R834">
        <f t="shared" si="1011"/>
        <v>-5854804.3455679351</v>
      </c>
      <c r="S834">
        <f t="shared" si="1012"/>
        <v>-58.548043455679348</v>
      </c>
      <c r="T834">
        <f t="shared" si="1013"/>
        <v>-5.8548043455679349E-2</v>
      </c>
    </row>
    <row r="835" spans="1:20" x14ac:dyDescent="0.25">
      <c r="A835" s="5">
        <v>43758</v>
      </c>
      <c r="B835">
        <v>0.31</v>
      </c>
      <c r="C835">
        <v>0.31759999999999999</v>
      </c>
      <c r="D835">
        <v>0.30409999999999998</v>
      </c>
      <c r="E835">
        <v>0.31269999999999998</v>
      </c>
      <c r="F835">
        <v>149816.46</v>
      </c>
      <c r="G835">
        <v>0</v>
      </c>
      <c r="L835" t="s">
        <v>7</v>
      </c>
      <c r="M835" t="s">
        <v>7</v>
      </c>
      <c r="N835" t="s">
        <v>8</v>
      </c>
      <c r="P835">
        <f t="shared" si="1009"/>
        <v>0.27407407407407242</v>
      </c>
      <c r="Q835">
        <f t="shared" si="1010"/>
        <v>41060.807555555308</v>
      </c>
      <c r="R835">
        <f t="shared" si="1011"/>
        <v>-5915428.1835495858</v>
      </c>
      <c r="S835">
        <f t="shared" si="1012"/>
        <v>-59.154281835495858</v>
      </c>
      <c r="T835">
        <f t="shared" si="1013"/>
        <v>-5.9154281835495856E-2</v>
      </c>
    </row>
    <row r="836" spans="1:20" x14ac:dyDescent="0.25">
      <c r="A836" s="5">
        <v>43757</v>
      </c>
      <c r="B836">
        <v>0.32579999999999998</v>
      </c>
      <c r="C836">
        <v>0.34</v>
      </c>
      <c r="D836">
        <v>0.31009999999999999</v>
      </c>
      <c r="E836">
        <v>0.31290000000000001</v>
      </c>
      <c r="F836">
        <v>235371.44</v>
      </c>
      <c r="G836">
        <v>0</v>
      </c>
      <c r="L836" t="s">
        <v>8</v>
      </c>
      <c r="M836" t="s">
        <v>7</v>
      </c>
      <c r="N836" t="s">
        <v>8</v>
      </c>
      <c r="P836">
        <f t="shared" si="1009"/>
        <v>-0.81270903010033302</v>
      </c>
      <c r="Q836">
        <f t="shared" si="1010"/>
        <v>-191288.49471571873</v>
      </c>
      <c r="R836">
        <f t="shared" si="1011"/>
        <v>-5956488.9911051411</v>
      </c>
      <c r="S836">
        <f t="shared" si="1012"/>
        <v>-59.564889911051409</v>
      </c>
      <c r="T836">
        <f t="shared" si="1013"/>
        <v>-5.9564889911051411E-2</v>
      </c>
    </row>
    <row r="837" spans="1:20" x14ac:dyDescent="0.25">
      <c r="A837" s="5">
        <v>43756</v>
      </c>
      <c r="B837">
        <v>0.31809999999999999</v>
      </c>
      <c r="C837">
        <v>0.35</v>
      </c>
      <c r="D837">
        <v>0.30399999999999999</v>
      </c>
      <c r="E837">
        <v>0.32579999999999998</v>
      </c>
      <c r="F837">
        <v>249071.92</v>
      </c>
      <c r="G837">
        <v>0</v>
      </c>
      <c r="L837" t="s">
        <v>7</v>
      </c>
      <c r="M837" t="s">
        <v>7</v>
      </c>
      <c r="N837" t="s">
        <v>8</v>
      </c>
      <c r="P837">
        <f t="shared" si="1009"/>
        <v>-5.2173913043478563E-2</v>
      </c>
      <c r="Q837">
        <f t="shared" si="1010"/>
        <v>-12995.056695652251</v>
      </c>
      <c r="R837">
        <f t="shared" si="1011"/>
        <v>-5765200.4963894226</v>
      </c>
      <c r="S837">
        <f t="shared" si="1012"/>
        <v>-57.652004963894228</v>
      </c>
      <c r="T837">
        <f t="shared" si="1013"/>
        <v>-5.7652004963894228E-2</v>
      </c>
    </row>
    <row r="838" spans="1:20" x14ac:dyDescent="0.25">
      <c r="A838" s="5">
        <v>43755</v>
      </c>
      <c r="B838">
        <v>0.32579999999999998</v>
      </c>
      <c r="C838">
        <v>0.32800000000000001</v>
      </c>
      <c r="D838">
        <v>0.30819999999999997</v>
      </c>
      <c r="E838">
        <v>0.3196</v>
      </c>
      <c r="F838">
        <v>152910.42000000001</v>
      </c>
      <c r="G838">
        <v>0</v>
      </c>
      <c r="L838" t="s">
        <v>7</v>
      </c>
      <c r="M838" t="s">
        <v>7</v>
      </c>
      <c r="N838" t="s">
        <v>8</v>
      </c>
      <c r="P838">
        <f t="shared" si="1009"/>
        <v>0.15151515151515135</v>
      </c>
      <c r="Q838">
        <f t="shared" si="1010"/>
        <v>23168.245454545431</v>
      </c>
      <c r="R838">
        <f t="shared" si="1011"/>
        <v>-5752205.4396937704</v>
      </c>
      <c r="S838">
        <f t="shared" si="1012"/>
        <v>-57.522054396937705</v>
      </c>
      <c r="T838">
        <f t="shared" si="1013"/>
        <v>-5.7522054396937708E-2</v>
      </c>
    </row>
    <row r="839" spans="1:20" x14ac:dyDescent="0.25">
      <c r="A839" s="5">
        <v>43754</v>
      </c>
      <c r="B839">
        <v>0.33589999999999998</v>
      </c>
      <c r="C839">
        <v>0.34720000000000001</v>
      </c>
      <c r="D839">
        <v>0.31059999999999999</v>
      </c>
      <c r="E839">
        <v>0.32819999999999999</v>
      </c>
      <c r="F839">
        <v>205909.21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-3.8251366120218892E-2</v>
      </c>
      <c r="Q839">
        <f t="shared" si="1010"/>
        <v>-7876.3085792350366</v>
      </c>
      <c r="R839">
        <f t="shared" si="1011"/>
        <v>-5775373.6851483155</v>
      </c>
      <c r="S839">
        <f t="shared" si="1012"/>
        <v>-57.753736851483154</v>
      </c>
      <c r="T839">
        <f t="shared" si="1013"/>
        <v>-5.7753736851483155E-2</v>
      </c>
    </row>
    <row r="840" spans="1:20" x14ac:dyDescent="0.25">
      <c r="A840" s="5">
        <v>43753</v>
      </c>
      <c r="B840">
        <v>0.34499999999999997</v>
      </c>
      <c r="C840">
        <v>0.36620000000000003</v>
      </c>
      <c r="D840">
        <v>0.33460000000000001</v>
      </c>
      <c r="E840">
        <v>0.33900000000000002</v>
      </c>
      <c r="F840">
        <v>190162.56</v>
      </c>
      <c r="G840">
        <v>0</v>
      </c>
      <c r="L840" t="s">
        <v>8</v>
      </c>
      <c r="M840" t="s">
        <v>8</v>
      </c>
      <c r="N840" t="s">
        <v>8</v>
      </c>
      <c r="P840">
        <f t="shared" si="1009"/>
        <v>-0.72151898734177133</v>
      </c>
      <c r="Q840">
        <f t="shared" si="1010"/>
        <v>-137205.89772151882</v>
      </c>
      <c r="R840">
        <f t="shared" si="1011"/>
        <v>-5767497.3765690802</v>
      </c>
      <c r="S840">
        <f t="shared" si="1012"/>
        <v>-57.674973765690801</v>
      </c>
      <c r="T840">
        <f t="shared" si="1013"/>
        <v>-5.76749737656908E-2</v>
      </c>
    </row>
    <row r="841" spans="1:20" x14ac:dyDescent="0.25">
      <c r="A841" s="5">
        <v>43752</v>
      </c>
      <c r="B841">
        <v>0.3332</v>
      </c>
      <c r="C841">
        <v>0.34499999999999997</v>
      </c>
      <c r="D841">
        <v>0.3301</v>
      </c>
      <c r="E841">
        <v>0.34460000000000002</v>
      </c>
      <c r="F841">
        <v>77967.69</v>
      </c>
      <c r="G841">
        <v>0</v>
      </c>
      <c r="L841" t="s">
        <v>7</v>
      </c>
      <c r="M841" t="s">
        <v>8</v>
      </c>
      <c r="N841" t="s">
        <v>8</v>
      </c>
      <c r="P841">
        <f t="shared" si="1009"/>
        <v>0.94630872483222062</v>
      </c>
      <c r="Q841">
        <f t="shared" si="1010"/>
        <v>73781.505302013888</v>
      </c>
      <c r="R841">
        <f t="shared" si="1011"/>
        <v>-5630291.4788475614</v>
      </c>
      <c r="S841">
        <f t="shared" si="1012"/>
        <v>-56.302914788475611</v>
      </c>
      <c r="T841">
        <f t="shared" si="1013"/>
        <v>-5.6302914788475614E-2</v>
      </c>
    </row>
    <row r="842" spans="1:20" x14ac:dyDescent="0.25">
      <c r="A842" s="5">
        <v>43751</v>
      </c>
      <c r="B842">
        <v>0.34329999999999999</v>
      </c>
      <c r="C842">
        <v>0.34549999999999997</v>
      </c>
      <c r="D842">
        <v>0.3276</v>
      </c>
      <c r="E842">
        <v>0.3347</v>
      </c>
      <c r="F842">
        <v>93001.63</v>
      </c>
      <c r="G842">
        <v>0</v>
      </c>
      <c r="L842" t="s">
        <v>7</v>
      </c>
      <c r="M842" t="s">
        <v>8</v>
      </c>
      <c r="N842" t="s">
        <v>8</v>
      </c>
      <c r="P842">
        <f t="shared" si="1009"/>
        <v>-0.20670391061452442</v>
      </c>
      <c r="Q842">
        <f t="shared" si="1010"/>
        <v>-19223.800614525073</v>
      </c>
      <c r="R842">
        <f t="shared" si="1011"/>
        <v>-5704072.9841495752</v>
      </c>
      <c r="S842">
        <f t="shared" si="1012"/>
        <v>-57.040729841495754</v>
      </c>
      <c r="T842">
        <f t="shared" si="1013"/>
        <v>-5.7040729841495753E-2</v>
      </c>
    </row>
    <row r="843" spans="1:20" x14ac:dyDescent="0.25">
      <c r="A843" s="5">
        <v>43750</v>
      </c>
      <c r="B843">
        <v>0.34970000000000001</v>
      </c>
      <c r="C843">
        <v>0.35439999999999999</v>
      </c>
      <c r="D843">
        <v>0.3332</v>
      </c>
      <c r="E843">
        <v>0.34499999999999997</v>
      </c>
      <c r="F843">
        <v>110463.57</v>
      </c>
      <c r="G843">
        <v>0</v>
      </c>
      <c r="L843" t="s">
        <v>7</v>
      </c>
      <c r="M843" t="s">
        <v>8</v>
      </c>
      <c r="N843" t="s">
        <v>8</v>
      </c>
      <c r="P843">
        <f t="shared" si="1009"/>
        <v>0.11320754716980934</v>
      </c>
      <c r="Q843">
        <f t="shared" si="1010"/>
        <v>12505.309811320536</v>
      </c>
      <c r="R843">
        <f t="shared" si="1011"/>
        <v>-5684849.1835350506</v>
      </c>
      <c r="S843">
        <f t="shared" si="1012"/>
        <v>-56.848491835350508</v>
      </c>
      <c r="T843">
        <f t="shared" si="1013"/>
        <v>-5.6848491835350505E-2</v>
      </c>
    </row>
    <row r="844" spans="1:20" x14ac:dyDescent="0.25">
      <c r="A844" s="5">
        <v>43749</v>
      </c>
      <c r="B844">
        <v>0.35199999999999998</v>
      </c>
      <c r="C844">
        <v>0.37969999999999998</v>
      </c>
      <c r="D844">
        <v>0.34499999999999997</v>
      </c>
      <c r="E844">
        <v>0.3498</v>
      </c>
      <c r="F844">
        <v>270038.40000000002</v>
      </c>
      <c r="G844">
        <v>0</v>
      </c>
      <c r="L844" t="s">
        <v>8</v>
      </c>
      <c r="M844" t="s">
        <v>8</v>
      </c>
      <c r="N844" t="s">
        <v>8</v>
      </c>
      <c r="P844">
        <f t="shared" si="1009"/>
        <v>-0.7233429394812666</v>
      </c>
      <c r="Q844">
        <f t="shared" si="1010"/>
        <v>-195330.37002881808</v>
      </c>
      <c r="R844">
        <f t="shared" si="1011"/>
        <v>-5697354.4933463708</v>
      </c>
      <c r="S844">
        <f t="shared" si="1012"/>
        <v>-56.973544933463707</v>
      </c>
      <c r="T844">
        <f t="shared" si="1013"/>
        <v>-5.697354493346371E-2</v>
      </c>
    </row>
    <row r="845" spans="1:20" x14ac:dyDescent="0.25">
      <c r="A845" s="5">
        <v>43748</v>
      </c>
      <c r="B845">
        <v>0.3599</v>
      </c>
      <c r="C845">
        <v>0.372</v>
      </c>
      <c r="D845">
        <v>0.35099999999999998</v>
      </c>
      <c r="E845">
        <v>0.3523</v>
      </c>
      <c r="F845">
        <v>169415.58</v>
      </c>
      <c r="G845">
        <v>0</v>
      </c>
      <c r="L845" t="s">
        <v>8</v>
      </c>
      <c r="M845" t="s">
        <v>8</v>
      </c>
      <c r="N845" t="s">
        <v>8</v>
      </c>
      <c r="P845">
        <f t="shared" si="1009"/>
        <v>-0.87619047619047408</v>
      </c>
      <c r="Q845">
        <f t="shared" si="1010"/>
        <v>-148440.31771428534</v>
      </c>
      <c r="R845">
        <f t="shared" si="1011"/>
        <v>-5502024.1233175527</v>
      </c>
      <c r="S845">
        <f t="shared" si="1012"/>
        <v>-55.020241233175526</v>
      </c>
      <c r="T845">
        <f t="shared" si="1013"/>
        <v>-5.5020241233175525E-2</v>
      </c>
    </row>
    <row r="846" spans="1:20" x14ac:dyDescent="0.25">
      <c r="A846" s="5">
        <v>43747</v>
      </c>
      <c r="B846">
        <v>0.35360000000000003</v>
      </c>
      <c r="C846">
        <v>0.36570000000000003</v>
      </c>
      <c r="D846">
        <v>0.33979999999999999</v>
      </c>
      <c r="E846">
        <v>0.3599</v>
      </c>
      <c r="F846">
        <v>313127.31</v>
      </c>
      <c r="G846">
        <v>0</v>
      </c>
      <c r="L846" t="s">
        <v>7</v>
      </c>
      <c r="M846" t="s">
        <v>8</v>
      </c>
      <c r="N846" t="s">
        <v>8</v>
      </c>
      <c r="P846">
        <f t="shared" si="1009"/>
        <v>0.55212355212355058</v>
      </c>
      <c r="Q846">
        <f t="shared" si="1010"/>
        <v>172884.96266409219</v>
      </c>
      <c r="R846">
        <f t="shared" si="1011"/>
        <v>-5353583.8056032676</v>
      </c>
      <c r="S846">
        <f t="shared" si="1012"/>
        <v>-53.535838056032674</v>
      </c>
      <c r="T846">
        <f t="shared" si="1013"/>
        <v>-5.3535838056032674E-2</v>
      </c>
    </row>
    <row r="847" spans="1:20" x14ac:dyDescent="0.25">
      <c r="A847" s="5">
        <v>43746</v>
      </c>
      <c r="B847">
        <v>0.33910000000000001</v>
      </c>
      <c r="C847">
        <v>0.37459999999999999</v>
      </c>
      <c r="D847">
        <v>0.33260000000000001</v>
      </c>
      <c r="E847">
        <v>0.35360000000000003</v>
      </c>
      <c r="F847">
        <v>304454.40999999997</v>
      </c>
      <c r="G847">
        <v>0</v>
      </c>
      <c r="L847" t="s">
        <v>8</v>
      </c>
      <c r="M847" t="s">
        <v>8</v>
      </c>
      <c r="N847" t="s">
        <v>8</v>
      </c>
      <c r="P847">
        <f t="shared" si="1009"/>
        <v>1.3216940769347108E-15</v>
      </c>
      <c r="Q847">
        <f t="shared" si="1010"/>
        <v>4.0239559039365197E-10</v>
      </c>
      <c r="R847">
        <f t="shared" si="1011"/>
        <v>-5526468.7682673596</v>
      </c>
      <c r="S847">
        <f t="shared" si="1012"/>
        <v>-55.264687682673596</v>
      </c>
      <c r="T847">
        <f t="shared" si="1013"/>
        <v>-5.5264687682673598E-2</v>
      </c>
    </row>
    <row r="848" spans="1:20" x14ac:dyDescent="0.25">
      <c r="A848" s="5">
        <v>43745</v>
      </c>
      <c r="B848">
        <v>0.31619999999999998</v>
      </c>
      <c r="C848">
        <v>0.34</v>
      </c>
      <c r="D848">
        <v>0.31</v>
      </c>
      <c r="E848">
        <v>0.33700000000000002</v>
      </c>
      <c r="F848">
        <v>115695.96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0.8</v>
      </c>
      <c r="Q848">
        <f t="shared" si="1010"/>
        <v>92556.768000000011</v>
      </c>
      <c r="R848">
        <f t="shared" si="1011"/>
        <v>-5526468.7682673596</v>
      </c>
      <c r="S848">
        <f t="shared" si="1012"/>
        <v>-55.264687682673596</v>
      </c>
      <c r="T848">
        <f t="shared" si="1013"/>
        <v>-5.5264687682673598E-2</v>
      </c>
    </row>
    <row r="849" spans="1:20" x14ac:dyDescent="0.25">
      <c r="A849" s="5">
        <v>43744</v>
      </c>
      <c r="B849">
        <v>0.32300000000000001</v>
      </c>
      <c r="C849">
        <v>0.32300000000000001</v>
      </c>
      <c r="D849">
        <v>0.30740000000000001</v>
      </c>
      <c r="E849">
        <v>0.31709999999999999</v>
      </c>
      <c r="F849">
        <v>92150.15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0.24358974358974164</v>
      </c>
      <c r="Q849">
        <f t="shared" si="1010"/>
        <v>22446.831410256229</v>
      </c>
      <c r="R849">
        <f t="shared" si="1011"/>
        <v>-5619025.5362673597</v>
      </c>
      <c r="S849">
        <f t="shared" si="1012"/>
        <v>-56.190255362673597</v>
      </c>
      <c r="T849">
        <f t="shared" si="1013"/>
        <v>-5.6190255362673594E-2</v>
      </c>
    </row>
    <row r="850" spans="1:20" x14ac:dyDescent="0.25">
      <c r="A850" s="5">
        <v>43743</v>
      </c>
      <c r="B850">
        <v>0.32169999999999999</v>
      </c>
      <c r="C850">
        <v>0.3261</v>
      </c>
      <c r="D850">
        <v>0.3125</v>
      </c>
      <c r="E850">
        <v>0.32219999999999999</v>
      </c>
      <c r="F850">
        <v>84677.95</v>
      </c>
      <c r="G850">
        <v>0</v>
      </c>
      <c r="L850" t="s">
        <v>7</v>
      </c>
      <c r="M850" t="s">
        <v>8</v>
      </c>
      <c r="N850" t="s">
        <v>7</v>
      </c>
      <c r="P850">
        <f t="shared" si="1009"/>
        <v>0.42647058823529199</v>
      </c>
      <c r="Q850">
        <f t="shared" si="1010"/>
        <v>36112.655147058642</v>
      </c>
      <c r="R850">
        <f t="shared" si="1011"/>
        <v>-5641472.367677616</v>
      </c>
      <c r="S850">
        <f t="shared" si="1012"/>
        <v>-56.414723676776163</v>
      </c>
      <c r="T850">
        <f t="shared" si="1013"/>
        <v>-5.6414723676776163E-2</v>
      </c>
    </row>
    <row r="851" spans="1:20" x14ac:dyDescent="0.25">
      <c r="A851" s="5">
        <v>43742</v>
      </c>
      <c r="B851">
        <v>0.32</v>
      </c>
      <c r="C851">
        <v>0.32900000000000001</v>
      </c>
      <c r="D851">
        <v>0.30909999999999999</v>
      </c>
      <c r="E851">
        <v>0.32169999999999999</v>
      </c>
      <c r="F851">
        <v>58835.85</v>
      </c>
      <c r="G851">
        <v>0</v>
      </c>
      <c r="L851" t="s">
        <v>7</v>
      </c>
      <c r="M851" t="s">
        <v>8</v>
      </c>
      <c r="N851" t="s">
        <v>7</v>
      </c>
      <c r="P851">
        <f t="shared" si="1009"/>
        <v>0.26633165829145544</v>
      </c>
      <c r="Q851">
        <f t="shared" si="1010"/>
        <v>15669.849497487328</v>
      </c>
      <c r="R851">
        <f t="shared" si="1011"/>
        <v>-5677585.0228246748</v>
      </c>
      <c r="S851">
        <f t="shared" si="1012"/>
        <v>-56.775850228246746</v>
      </c>
      <c r="T851">
        <f t="shared" si="1013"/>
        <v>-5.6775850228246744E-2</v>
      </c>
    </row>
    <row r="852" spans="1:20" x14ac:dyDescent="0.25">
      <c r="A852" s="5">
        <v>43741</v>
      </c>
      <c r="B852">
        <v>0.32100000000000001</v>
      </c>
      <c r="C852">
        <v>0.33250000000000002</v>
      </c>
      <c r="D852">
        <v>0.30909999999999999</v>
      </c>
      <c r="E852">
        <v>0.3201</v>
      </c>
      <c r="F852">
        <v>159082.44</v>
      </c>
      <c r="G852">
        <v>0</v>
      </c>
      <c r="L852" t="s">
        <v>8</v>
      </c>
      <c r="M852" t="s">
        <v>8</v>
      </c>
      <c r="N852" t="s">
        <v>7</v>
      </c>
      <c r="P852">
        <f t="shared" si="1009"/>
        <v>-5.9829059829060276E-2</v>
      </c>
      <c r="Q852">
        <f t="shared" si="1010"/>
        <v>-9517.752820512891</v>
      </c>
      <c r="R852">
        <f t="shared" si="1011"/>
        <v>-5693254.8723221626</v>
      </c>
      <c r="S852">
        <f t="shared" si="1012"/>
        <v>-56.932548723221629</v>
      </c>
      <c r="T852">
        <f t="shared" si="1013"/>
        <v>-5.6932548723221628E-2</v>
      </c>
    </row>
    <row r="853" spans="1:20" x14ac:dyDescent="0.25">
      <c r="A853" s="5">
        <v>43740</v>
      </c>
      <c r="B853">
        <v>0.30199999999999999</v>
      </c>
      <c r="C853">
        <v>0.32350000000000001</v>
      </c>
      <c r="D853">
        <v>0.29980000000000001</v>
      </c>
      <c r="E853">
        <v>0.32129999999999997</v>
      </c>
      <c r="F853">
        <v>138029.34</v>
      </c>
      <c r="G853">
        <v>0</v>
      </c>
      <c r="L853" t="s">
        <v>8</v>
      </c>
      <c r="M853" t="s">
        <v>8</v>
      </c>
      <c r="N853" t="s">
        <v>7</v>
      </c>
      <c r="P853">
        <f t="shared" si="1009"/>
        <v>0.81434599156117848</v>
      </c>
      <c r="Q853">
        <f t="shared" si="1010"/>
        <v>112403.63974683503</v>
      </c>
      <c r="R853">
        <f t="shared" si="1011"/>
        <v>-5683737.1195016494</v>
      </c>
      <c r="S853">
        <f t="shared" si="1012"/>
        <v>-56.837371195016495</v>
      </c>
      <c r="T853">
        <f t="shared" si="1013"/>
        <v>-5.6837371195016494E-2</v>
      </c>
    </row>
    <row r="854" spans="1:20" x14ac:dyDescent="0.25">
      <c r="A854" s="5">
        <v>43739</v>
      </c>
      <c r="B854">
        <v>0.31109999999999999</v>
      </c>
      <c r="C854">
        <v>0.32090000000000002</v>
      </c>
      <c r="D854">
        <v>0.2989</v>
      </c>
      <c r="E854">
        <v>0.30199999999999999</v>
      </c>
      <c r="F854">
        <v>115209.97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-0.71818181818181914</v>
      </c>
      <c r="Q854">
        <f t="shared" si="1010"/>
        <v>-82741.705727272842</v>
      </c>
      <c r="R854">
        <f t="shared" si="1011"/>
        <v>-5796140.7592484849</v>
      </c>
      <c r="S854">
        <f t="shared" si="1012"/>
        <v>-57.961407592484846</v>
      </c>
      <c r="T854">
        <f t="shared" si="1013"/>
        <v>-5.7961407592484845E-2</v>
      </c>
    </row>
    <row r="855" spans="1:20" x14ac:dyDescent="0.25">
      <c r="A855" s="5">
        <v>43738</v>
      </c>
      <c r="B855">
        <v>0.29770000000000002</v>
      </c>
      <c r="C855">
        <v>0.3221</v>
      </c>
      <c r="D855">
        <v>0.29530000000000001</v>
      </c>
      <c r="E855">
        <v>0.3105</v>
      </c>
      <c r="F855">
        <v>105406.51</v>
      </c>
      <c r="G855">
        <v>0</v>
      </c>
      <c r="L855" t="s">
        <v>8</v>
      </c>
      <c r="M855" t="s">
        <v>8</v>
      </c>
      <c r="N855" t="s">
        <v>7</v>
      </c>
      <c r="P855">
        <f t="shared" si="1009"/>
        <v>0.13432835820895497</v>
      </c>
      <c r="Q855">
        <f t="shared" si="1010"/>
        <v>14159.083432835794</v>
      </c>
      <c r="R855">
        <f t="shared" si="1011"/>
        <v>-5713399.0535212122</v>
      </c>
      <c r="S855">
        <f t="shared" si="1012"/>
        <v>-57.133990535212121</v>
      </c>
      <c r="T855">
        <f t="shared" si="1013"/>
        <v>-5.713399053521212E-2</v>
      </c>
    </row>
    <row r="856" spans="1:20" x14ac:dyDescent="0.25">
      <c r="A856" s="5">
        <v>43737</v>
      </c>
      <c r="B856">
        <v>0.31540000000000001</v>
      </c>
      <c r="C856">
        <v>0.31540000000000001</v>
      </c>
      <c r="D856">
        <v>0.28999999999999998</v>
      </c>
      <c r="E856">
        <v>0.29770000000000002</v>
      </c>
      <c r="F856">
        <v>72816.259999999995</v>
      </c>
      <c r="G856">
        <v>0</v>
      </c>
      <c r="L856" t="s">
        <v>7</v>
      </c>
      <c r="M856" t="s">
        <v>8</v>
      </c>
      <c r="N856" t="s">
        <v>7</v>
      </c>
      <c r="P856">
        <f t="shared" si="1009"/>
        <v>-0.39370078740157244</v>
      </c>
      <c r="Q856">
        <f t="shared" si="1010"/>
        <v>-28667.818897637622</v>
      </c>
      <c r="R856">
        <f t="shared" si="1011"/>
        <v>-5727558.1369540477</v>
      </c>
      <c r="S856">
        <f t="shared" si="1012"/>
        <v>-57.275581369540475</v>
      </c>
      <c r="T856">
        <f t="shared" si="1013"/>
        <v>-5.7275581369540474E-2</v>
      </c>
    </row>
    <row r="857" spans="1:20" x14ac:dyDescent="0.25">
      <c r="A857" s="5">
        <v>43736</v>
      </c>
      <c r="B857">
        <v>0.31369999999999998</v>
      </c>
      <c r="C857">
        <v>0.32019999999999998</v>
      </c>
      <c r="D857">
        <v>0.3039</v>
      </c>
      <c r="E857">
        <v>0.31530000000000002</v>
      </c>
      <c r="F857">
        <v>83806.559999999998</v>
      </c>
      <c r="G857">
        <v>0</v>
      </c>
      <c r="L857" t="s">
        <v>8</v>
      </c>
      <c r="M857" t="s">
        <v>8</v>
      </c>
      <c r="N857" t="s">
        <v>7</v>
      </c>
      <c r="P857">
        <f t="shared" si="1009"/>
        <v>0.39877300613497357</v>
      </c>
      <c r="Q857">
        <f t="shared" si="1010"/>
        <v>33419.793865031032</v>
      </c>
      <c r="R857">
        <f t="shared" si="1011"/>
        <v>-5698890.3180564102</v>
      </c>
      <c r="S857">
        <f t="shared" si="1012"/>
        <v>-56.988903180564101</v>
      </c>
      <c r="T857">
        <f t="shared" si="1013"/>
        <v>-5.6988903180564099E-2</v>
      </c>
    </row>
    <row r="858" spans="1:20" x14ac:dyDescent="0.25">
      <c r="A858" s="5">
        <v>43735</v>
      </c>
      <c r="B858">
        <v>0.28910000000000002</v>
      </c>
      <c r="C858">
        <v>0.31369999999999998</v>
      </c>
      <c r="D858">
        <v>0.28289999999999998</v>
      </c>
      <c r="E858">
        <v>0.30959999999999999</v>
      </c>
      <c r="F858">
        <v>128795.98</v>
      </c>
      <c r="G858">
        <v>0</v>
      </c>
      <c r="L858" t="s">
        <v>7</v>
      </c>
      <c r="M858" t="s">
        <v>8</v>
      </c>
      <c r="N858" t="s">
        <v>7</v>
      </c>
      <c r="P858">
        <f t="shared" si="1009"/>
        <v>0.73376623376623418</v>
      </c>
      <c r="Q858">
        <f t="shared" si="1010"/>
        <v>94506.141168831222</v>
      </c>
      <c r="R858">
        <f t="shared" si="1011"/>
        <v>-5732310.1119214408</v>
      </c>
      <c r="S858">
        <f t="shared" si="1012"/>
        <v>-57.323101119214407</v>
      </c>
      <c r="T858">
        <f t="shared" si="1013"/>
        <v>-5.7323101119214404E-2</v>
      </c>
    </row>
    <row r="859" spans="1:20" x14ac:dyDescent="0.25">
      <c r="A859" s="5">
        <v>43734</v>
      </c>
      <c r="B859">
        <v>0.2949</v>
      </c>
      <c r="C859">
        <v>0.32940000000000003</v>
      </c>
      <c r="D859">
        <v>0.27329999999999999</v>
      </c>
      <c r="E859">
        <v>0.2858</v>
      </c>
      <c r="F859">
        <v>141270.74</v>
      </c>
      <c r="G859">
        <v>0</v>
      </c>
      <c r="L859" t="s">
        <v>8</v>
      </c>
      <c r="M859" t="s">
        <v>8</v>
      </c>
      <c r="N859" t="s">
        <v>7</v>
      </c>
      <c r="P859">
        <f t="shared" si="1009"/>
        <v>-0.55436720142602491</v>
      </c>
      <c r="Q859">
        <f t="shared" si="1010"/>
        <v>-78315.864777183597</v>
      </c>
      <c r="R859">
        <f t="shared" si="1011"/>
        <v>-5826816.2530902717</v>
      </c>
      <c r="S859">
        <f t="shared" si="1012"/>
        <v>-58.268162530902714</v>
      </c>
      <c r="T859">
        <f t="shared" si="1013"/>
        <v>-5.8268162530902716E-2</v>
      </c>
    </row>
    <row r="860" spans="1:20" x14ac:dyDescent="0.25">
      <c r="A860" s="5">
        <v>43733</v>
      </c>
      <c r="B860">
        <v>0.29770000000000002</v>
      </c>
      <c r="C860">
        <v>0.31790000000000002</v>
      </c>
      <c r="D860">
        <v>0.26979999999999998</v>
      </c>
      <c r="E860">
        <v>0.29809999999999998</v>
      </c>
      <c r="F860">
        <v>118993.09</v>
      </c>
      <c r="G860">
        <v>0</v>
      </c>
      <c r="L860" t="s">
        <v>8</v>
      </c>
      <c r="M860" t="s">
        <v>8</v>
      </c>
      <c r="N860" t="s">
        <v>7</v>
      </c>
      <c r="P860">
        <f t="shared" si="1009"/>
        <v>0.17671517671517561</v>
      </c>
      <c r="Q860">
        <f t="shared" si="1010"/>
        <v>21027.884927234794</v>
      </c>
      <c r="R860">
        <f t="shared" si="1011"/>
        <v>-5748500.3883130886</v>
      </c>
      <c r="S860">
        <f t="shared" si="1012"/>
        <v>-57.485003883130886</v>
      </c>
      <c r="T860">
        <f t="shared" si="1013"/>
        <v>-5.7485003883130888E-2</v>
      </c>
    </row>
    <row r="861" spans="1:20" x14ac:dyDescent="0.25">
      <c r="A861" s="5">
        <v>43732</v>
      </c>
      <c r="B861">
        <v>0.35</v>
      </c>
      <c r="C861">
        <v>0.36659999999999998</v>
      </c>
      <c r="D861">
        <v>0.26250000000000001</v>
      </c>
      <c r="E861">
        <v>0.29770000000000002</v>
      </c>
      <c r="F861">
        <v>286853.39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-0.32372718539865475</v>
      </c>
      <c r="Q861">
        <f t="shared" si="1010"/>
        <v>-92862.240566762615</v>
      </c>
      <c r="R861">
        <f t="shared" si="1011"/>
        <v>-5769528.2732403232</v>
      </c>
      <c r="S861">
        <f t="shared" si="1012"/>
        <v>-57.695282732403228</v>
      </c>
      <c r="T861">
        <f t="shared" si="1013"/>
        <v>-5.7695282732403229E-2</v>
      </c>
    </row>
    <row r="862" spans="1:20" x14ac:dyDescent="0.25">
      <c r="A862" s="5">
        <v>43731</v>
      </c>
      <c r="B862">
        <v>0.3644</v>
      </c>
      <c r="C862">
        <v>0.36909999999999998</v>
      </c>
      <c r="D862">
        <v>0.3468</v>
      </c>
      <c r="E862">
        <v>0.35</v>
      </c>
      <c r="F862">
        <v>192074.88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-0.71300448430493435</v>
      </c>
      <c r="Q862">
        <f t="shared" si="1010"/>
        <v>-136950.25076233214</v>
      </c>
      <c r="R862">
        <f t="shared" si="1011"/>
        <v>-5676666.032673561</v>
      </c>
      <c r="S862">
        <f t="shared" si="1012"/>
        <v>-56.766660326735611</v>
      </c>
      <c r="T862">
        <f t="shared" si="1013"/>
        <v>-5.6766660326735614E-2</v>
      </c>
    </row>
    <row r="863" spans="1:20" x14ac:dyDescent="0.25">
      <c r="A863" s="5">
        <v>43730</v>
      </c>
      <c r="B863">
        <v>0.39290000000000003</v>
      </c>
      <c r="C863">
        <v>0.39879999999999999</v>
      </c>
      <c r="D863">
        <v>0.3624</v>
      </c>
      <c r="E863">
        <v>0.3659</v>
      </c>
      <c r="F863">
        <v>194614.15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-0.80769230769230749</v>
      </c>
      <c r="Q863">
        <f t="shared" si="1010"/>
        <v>-157188.35192307687</v>
      </c>
      <c r="R863">
        <f t="shared" si="1011"/>
        <v>-5539715.7819112288</v>
      </c>
      <c r="S863">
        <f t="shared" si="1012"/>
        <v>-55.397157819112287</v>
      </c>
      <c r="T863">
        <f t="shared" si="1013"/>
        <v>-5.5397157819112287E-2</v>
      </c>
    </row>
    <row r="864" spans="1:20" x14ac:dyDescent="0.25">
      <c r="A864" s="5">
        <v>43729</v>
      </c>
      <c r="B864">
        <v>0.41639999999999999</v>
      </c>
      <c r="C864">
        <v>0.4229</v>
      </c>
      <c r="D864">
        <v>0.39269999999999999</v>
      </c>
      <c r="E864">
        <v>0.39629999999999999</v>
      </c>
      <c r="F864">
        <v>113932.78</v>
      </c>
      <c r="G864">
        <v>0</v>
      </c>
      <c r="L864" t="s">
        <v>7</v>
      </c>
      <c r="M864" t="s">
        <v>8</v>
      </c>
      <c r="N864" t="s">
        <v>7</v>
      </c>
      <c r="P864">
        <f t="shared" si="1009"/>
        <v>-0.76158940397351049</v>
      </c>
      <c r="Q864">
        <f t="shared" si="1010"/>
        <v>-86769.998013245102</v>
      </c>
      <c r="R864">
        <f t="shared" si="1011"/>
        <v>-5382527.4299881523</v>
      </c>
      <c r="S864">
        <f t="shared" si="1012"/>
        <v>-53.825274299881521</v>
      </c>
      <c r="T864">
        <f t="shared" si="1013"/>
        <v>-5.3825274299881522E-2</v>
      </c>
    </row>
    <row r="865" spans="1:20" x14ac:dyDescent="0.25">
      <c r="A865" s="5">
        <v>43728</v>
      </c>
      <c r="B865">
        <v>0.39829999999999999</v>
      </c>
      <c r="C865">
        <v>0.43440000000000001</v>
      </c>
      <c r="D865">
        <v>0.38890000000000002</v>
      </c>
      <c r="E865">
        <v>0.41639999999999999</v>
      </c>
      <c r="F865">
        <v>161821.29</v>
      </c>
      <c r="G865">
        <v>0</v>
      </c>
      <c r="L865" t="s">
        <v>8</v>
      </c>
      <c r="M865" t="s">
        <v>8</v>
      </c>
      <c r="N865" t="s">
        <v>7</v>
      </c>
      <c r="P865">
        <f t="shared" si="1009"/>
        <v>0.20879120879120783</v>
      </c>
      <c r="Q865">
        <f t="shared" si="1010"/>
        <v>33786.862747252591</v>
      </c>
      <c r="R865">
        <f t="shared" si="1011"/>
        <v>-5295757.4319749074</v>
      </c>
      <c r="S865">
        <f t="shared" si="1012"/>
        <v>-52.957574319749071</v>
      </c>
      <c r="T865">
        <f t="shared" si="1013"/>
        <v>-5.2957574319749068E-2</v>
      </c>
    </row>
    <row r="866" spans="1:20" x14ac:dyDescent="0.25">
      <c r="A866" s="5">
        <v>43727</v>
      </c>
      <c r="B866">
        <v>0.4133</v>
      </c>
      <c r="C866">
        <v>0.41760000000000003</v>
      </c>
      <c r="D866">
        <v>0.378</v>
      </c>
      <c r="E866">
        <v>0.3957</v>
      </c>
      <c r="F866">
        <v>187664.74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-0.10606060606060694</v>
      </c>
      <c r="Q866">
        <f t="shared" si="1010"/>
        <v>-19903.836060606223</v>
      </c>
      <c r="R866">
        <f t="shared" si="1011"/>
        <v>-5329544.2947221603</v>
      </c>
      <c r="S866">
        <f t="shared" si="1012"/>
        <v>-53.295442947221602</v>
      </c>
      <c r="T866">
        <f t="shared" si="1013"/>
        <v>-5.3295442947221605E-2</v>
      </c>
    </row>
    <row r="867" spans="1:20" x14ac:dyDescent="0.25">
      <c r="A867" s="5">
        <v>43726</v>
      </c>
      <c r="B867">
        <v>0.37569999999999998</v>
      </c>
      <c r="C867">
        <v>0.44700000000000001</v>
      </c>
      <c r="D867">
        <v>0.37</v>
      </c>
      <c r="E867">
        <v>0.41320000000000001</v>
      </c>
      <c r="F867">
        <v>315890.65999999997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0.12207792207792231</v>
      </c>
      <c r="Q867">
        <f t="shared" si="1010"/>
        <v>38563.275376623445</v>
      </c>
      <c r="R867">
        <f t="shared" si="1011"/>
        <v>-5309640.4586615544</v>
      </c>
      <c r="S867">
        <f t="shared" si="1012"/>
        <v>-53.096404586615542</v>
      </c>
      <c r="T867">
        <f t="shared" si="1013"/>
        <v>-5.3096404586615541E-2</v>
      </c>
    </row>
    <row r="868" spans="1:20" x14ac:dyDescent="0.25">
      <c r="A868" s="5">
        <v>43725</v>
      </c>
      <c r="B868">
        <v>0.36699999999999999</v>
      </c>
      <c r="C868">
        <v>0.3805</v>
      </c>
      <c r="D868">
        <v>0.35799999999999998</v>
      </c>
      <c r="E868">
        <v>0.379</v>
      </c>
      <c r="F868">
        <v>144062.51999999999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0.8666666666666667</v>
      </c>
      <c r="Q868">
        <f t="shared" si="1010"/>
        <v>124854.18399999999</v>
      </c>
      <c r="R868">
        <f t="shared" si="1011"/>
        <v>-5348203.7340381779</v>
      </c>
      <c r="S868">
        <f t="shared" si="1012"/>
        <v>-53.48203734038178</v>
      </c>
      <c r="T868">
        <f t="shared" si="1013"/>
        <v>-5.3482037340381781E-2</v>
      </c>
    </row>
    <row r="869" spans="1:20" x14ac:dyDescent="0.25">
      <c r="A869" s="5">
        <v>43724</v>
      </c>
      <c r="B869">
        <v>0.38059999999999999</v>
      </c>
      <c r="C869">
        <v>0.38100000000000001</v>
      </c>
      <c r="D869">
        <v>0.35070000000000001</v>
      </c>
      <c r="E869">
        <v>0.36699999999999999</v>
      </c>
      <c r="F869">
        <v>232347.84</v>
      </c>
      <c r="G869">
        <v>0</v>
      </c>
      <c r="L869" t="s">
        <v>7</v>
      </c>
      <c r="M869" t="s">
        <v>7</v>
      </c>
      <c r="N869" t="s">
        <v>7</v>
      </c>
      <c r="P869">
        <f t="shared" si="1009"/>
        <v>7.5907590759074897E-2</v>
      </c>
      <c r="Q869">
        <f t="shared" si="1010"/>
        <v>17636.964752475011</v>
      </c>
      <c r="R869">
        <f t="shared" si="1011"/>
        <v>-5473057.9180381782</v>
      </c>
      <c r="S869">
        <f t="shared" si="1012"/>
        <v>-54.730579180381781</v>
      </c>
      <c r="T869">
        <f t="shared" si="1013"/>
        <v>-5.473057918038178E-2</v>
      </c>
    </row>
    <row r="870" spans="1:20" x14ac:dyDescent="0.25">
      <c r="A870" s="5">
        <v>43723</v>
      </c>
      <c r="B870">
        <v>0.36780000000000002</v>
      </c>
      <c r="C870">
        <v>0.39400000000000002</v>
      </c>
      <c r="D870">
        <v>0.35909999999999997</v>
      </c>
      <c r="E870">
        <v>0.38200000000000001</v>
      </c>
      <c r="F870">
        <v>141924.87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0.31232091690544433</v>
      </c>
      <c r="Q870">
        <f t="shared" si="1010"/>
        <v>44326.105530085988</v>
      </c>
      <c r="R870">
        <f t="shared" si="1011"/>
        <v>-5490694.882790653</v>
      </c>
      <c r="S870">
        <f t="shared" si="1012"/>
        <v>-54.906948827906533</v>
      </c>
      <c r="T870">
        <f t="shared" si="1013"/>
        <v>-5.4906948827906532E-2</v>
      </c>
    </row>
    <row r="871" spans="1:20" x14ac:dyDescent="0.25">
      <c r="A871" s="5">
        <v>43722</v>
      </c>
      <c r="B871">
        <v>0.35730000000000001</v>
      </c>
      <c r="C871">
        <v>0.36859999999999998</v>
      </c>
      <c r="D871">
        <v>0.35</v>
      </c>
      <c r="E871">
        <v>0.36459999999999998</v>
      </c>
      <c r="F871">
        <v>52799.839999999997</v>
      </c>
      <c r="G871">
        <v>0</v>
      </c>
      <c r="L871" t="s">
        <v>7</v>
      </c>
      <c r="M871" t="s">
        <v>7</v>
      </c>
      <c r="N871" t="s">
        <v>7</v>
      </c>
      <c r="P871">
        <f t="shared" si="1009"/>
        <v>0.56989247311827929</v>
      </c>
      <c r="Q871">
        <f t="shared" si="1010"/>
        <v>30090.231397849446</v>
      </c>
      <c r="R871">
        <f t="shared" si="1011"/>
        <v>-5535020.988320739</v>
      </c>
      <c r="S871">
        <f t="shared" si="1012"/>
        <v>-55.350209883207391</v>
      </c>
      <c r="T871">
        <f t="shared" si="1013"/>
        <v>-5.5350209883207394E-2</v>
      </c>
    </row>
    <row r="872" spans="1:20" x14ac:dyDescent="0.25">
      <c r="A872" s="5">
        <v>43721</v>
      </c>
      <c r="B872">
        <v>0.36159999999999998</v>
      </c>
      <c r="C872">
        <v>0.37490000000000001</v>
      </c>
      <c r="D872">
        <v>0.35460000000000003</v>
      </c>
      <c r="E872">
        <v>0.35809999999999997</v>
      </c>
      <c r="F872">
        <v>153844.6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-0.65517241379310831</v>
      </c>
      <c r="Q872">
        <f t="shared" si="1010"/>
        <v>-100794.73793103524</v>
      </c>
      <c r="R872">
        <f t="shared" si="1011"/>
        <v>-5565111.2197185885</v>
      </c>
      <c r="S872">
        <f t="shared" si="1012"/>
        <v>-55.651112197185888</v>
      </c>
      <c r="T872">
        <f t="shared" si="1013"/>
        <v>-5.5651112197185888E-2</v>
      </c>
    </row>
    <row r="873" spans="1:20" x14ac:dyDescent="0.25">
      <c r="A873" s="5">
        <v>43720</v>
      </c>
      <c r="B873">
        <v>0.39179999999999998</v>
      </c>
      <c r="C873">
        <v>0.40160000000000001</v>
      </c>
      <c r="D873">
        <v>0.36049999999999999</v>
      </c>
      <c r="E873">
        <v>0.36109999999999998</v>
      </c>
      <c r="F873">
        <v>152717.34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-0.97080291970802968</v>
      </c>
      <c r="Q873">
        <f t="shared" si="1010"/>
        <v>-148258.43956204387</v>
      </c>
      <c r="R873">
        <f t="shared" si="1011"/>
        <v>-5464316.4817875531</v>
      </c>
      <c r="S873">
        <f t="shared" si="1012"/>
        <v>-54.64316481787553</v>
      </c>
      <c r="T873">
        <f t="shared" si="1013"/>
        <v>-5.4643164817875532E-2</v>
      </c>
    </row>
    <row r="874" spans="1:20" x14ac:dyDescent="0.25">
      <c r="A874" s="5">
        <v>43719</v>
      </c>
      <c r="B874">
        <v>0.40720000000000001</v>
      </c>
      <c r="C874">
        <v>0.41160000000000002</v>
      </c>
      <c r="D874">
        <v>0.38219999999999998</v>
      </c>
      <c r="E874">
        <v>0.38869999999999999</v>
      </c>
      <c r="F874">
        <v>109277.34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-0.55782312925170086</v>
      </c>
      <c r="Q874">
        <f t="shared" si="1010"/>
        <v>-60957.427755102057</v>
      </c>
      <c r="R874">
        <f t="shared" si="1011"/>
        <v>-5316058.042225509</v>
      </c>
      <c r="S874">
        <f t="shared" si="1012"/>
        <v>-53.160580422255087</v>
      </c>
      <c r="T874">
        <f t="shared" si="1013"/>
        <v>-5.3160580422255084E-2</v>
      </c>
    </row>
    <row r="875" spans="1:20" x14ac:dyDescent="0.25">
      <c r="A875" s="5">
        <v>43718</v>
      </c>
      <c r="B875">
        <v>0.41120000000000001</v>
      </c>
      <c r="C875">
        <v>0.42109999999999997</v>
      </c>
      <c r="D875">
        <v>0.39800000000000002</v>
      </c>
      <c r="E875">
        <v>0.40479999999999999</v>
      </c>
      <c r="F875">
        <v>305004.73</v>
      </c>
      <c r="G875">
        <v>0</v>
      </c>
      <c r="L875" t="s">
        <v>7</v>
      </c>
      <c r="M875" t="s">
        <v>7</v>
      </c>
      <c r="N875" t="s">
        <v>7</v>
      </c>
      <c r="P875">
        <f t="shared" si="1009"/>
        <v>-0.41125541125541243</v>
      </c>
      <c r="Q875">
        <f t="shared" si="1010"/>
        <v>-125434.84567099602</v>
      </c>
      <c r="R875">
        <f t="shared" si="1011"/>
        <v>-5255100.6144704064</v>
      </c>
      <c r="S875">
        <f t="shared" si="1012"/>
        <v>-52.551006144704061</v>
      </c>
      <c r="T875">
        <f t="shared" si="1013"/>
        <v>-5.2551006144704059E-2</v>
      </c>
    </row>
    <row r="876" spans="1:20" x14ac:dyDescent="0.25">
      <c r="A876" s="5">
        <v>43717</v>
      </c>
      <c r="B876">
        <v>0.43219999999999997</v>
      </c>
      <c r="C876">
        <v>0.44590000000000002</v>
      </c>
      <c r="D876">
        <v>0.4047</v>
      </c>
      <c r="E876">
        <v>0.4078</v>
      </c>
      <c r="F876">
        <v>292476.65999999997</v>
      </c>
      <c r="G876">
        <v>0</v>
      </c>
      <c r="L876" t="s">
        <v>7</v>
      </c>
      <c r="M876" t="s">
        <v>7</v>
      </c>
      <c r="N876" t="s">
        <v>7</v>
      </c>
      <c r="P876">
        <f t="shared" si="1009"/>
        <v>-0.84951456310679663</v>
      </c>
      <c r="Q876">
        <f t="shared" si="1010"/>
        <v>-248463.18203883508</v>
      </c>
      <c r="R876">
        <f t="shared" si="1011"/>
        <v>-5129665.7687994102</v>
      </c>
      <c r="S876">
        <f t="shared" si="1012"/>
        <v>-51.296657687994099</v>
      </c>
      <c r="T876">
        <f t="shared" si="1013"/>
        <v>-5.1296657687994102E-2</v>
      </c>
    </row>
    <row r="877" spans="1:20" x14ac:dyDescent="0.25">
      <c r="A877" s="5">
        <v>43716</v>
      </c>
      <c r="B877">
        <v>0.41210000000000002</v>
      </c>
      <c r="C877">
        <v>0.45619999999999999</v>
      </c>
      <c r="D877">
        <v>0.41</v>
      </c>
      <c r="E877">
        <v>0.43240000000000001</v>
      </c>
      <c r="F877">
        <v>201806.16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-3.0303030303029357E-2</v>
      </c>
      <c r="Q877">
        <f t="shared" si="1010"/>
        <v>-6115.3381818179905</v>
      </c>
      <c r="R877">
        <f t="shared" si="1011"/>
        <v>-4881202.586760575</v>
      </c>
      <c r="S877">
        <f t="shared" si="1012"/>
        <v>-48.812025867605747</v>
      </c>
      <c r="T877">
        <f t="shared" si="1013"/>
        <v>-4.8812025867605746E-2</v>
      </c>
    </row>
    <row r="878" spans="1:20" x14ac:dyDescent="0.25">
      <c r="A878" s="5">
        <v>43715</v>
      </c>
      <c r="B878">
        <v>0.40150000000000002</v>
      </c>
      <c r="C878">
        <v>0.43930000000000002</v>
      </c>
      <c r="D878">
        <v>0.39219999999999999</v>
      </c>
      <c r="E878">
        <v>0.41070000000000001</v>
      </c>
      <c r="F878">
        <v>231830.08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-0.21443736730360916</v>
      </c>
      <c r="Q878">
        <f t="shared" si="1010"/>
        <v>-49713.032016985089</v>
      </c>
      <c r="R878">
        <f t="shared" si="1011"/>
        <v>-4875087.248578757</v>
      </c>
      <c r="S878">
        <f t="shared" si="1012"/>
        <v>-48.750872485787568</v>
      </c>
      <c r="T878">
        <f t="shared" si="1013"/>
        <v>-4.8750872485787571E-2</v>
      </c>
    </row>
    <row r="879" spans="1:20" x14ac:dyDescent="0.25">
      <c r="A879" s="5">
        <v>43714</v>
      </c>
      <c r="B879">
        <v>0.434</v>
      </c>
      <c r="C879">
        <v>0.44080000000000003</v>
      </c>
      <c r="D879">
        <v>0.39579999999999999</v>
      </c>
      <c r="E879">
        <v>0.40150000000000002</v>
      </c>
      <c r="F879">
        <v>208219.59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-0.74666666666666515</v>
      </c>
      <c r="Q879">
        <f t="shared" si="1010"/>
        <v>-155470.62719999967</v>
      </c>
      <c r="R879">
        <f t="shared" si="1011"/>
        <v>-4825374.2165617719</v>
      </c>
      <c r="S879">
        <f t="shared" si="1012"/>
        <v>-48.253742165617716</v>
      </c>
      <c r="T879">
        <f t="shared" si="1013"/>
        <v>-4.8253742165617716E-2</v>
      </c>
    </row>
    <row r="880" spans="1:20" x14ac:dyDescent="0.25">
      <c r="A880" s="5">
        <v>43713</v>
      </c>
      <c r="B880">
        <v>0.43730000000000002</v>
      </c>
      <c r="C880">
        <v>0.47749999999999998</v>
      </c>
      <c r="D880">
        <v>0.42849999999999999</v>
      </c>
      <c r="E880">
        <v>0.43969999999999998</v>
      </c>
      <c r="F880">
        <v>280982.90000000002</v>
      </c>
      <c r="G880">
        <v>0</v>
      </c>
      <c r="L880" t="s">
        <v>8</v>
      </c>
      <c r="M880" t="s">
        <v>7</v>
      </c>
      <c r="N880" t="s">
        <v>7</v>
      </c>
      <c r="P880">
        <f t="shared" si="1009"/>
        <v>-0.54285714285714326</v>
      </c>
      <c r="Q880">
        <f t="shared" si="1010"/>
        <v>-152533.57428571442</v>
      </c>
      <c r="R880">
        <f t="shared" si="1011"/>
        <v>-4669903.5893617719</v>
      </c>
      <c r="S880">
        <f t="shared" si="1012"/>
        <v>-46.699035893617719</v>
      </c>
      <c r="T880">
        <f t="shared" si="1013"/>
        <v>-4.6699035893617721E-2</v>
      </c>
    </row>
    <row r="881" spans="1:20" x14ac:dyDescent="0.25">
      <c r="A881" s="5">
        <v>43712</v>
      </c>
      <c r="B881">
        <v>0.4577</v>
      </c>
      <c r="C881">
        <v>0.48980000000000001</v>
      </c>
      <c r="D881">
        <v>0.43209999999999998</v>
      </c>
      <c r="E881">
        <v>0.44009999999999999</v>
      </c>
      <c r="F881">
        <v>320410.71000000002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-0.72270363951473127</v>
      </c>
      <c r="Q881">
        <f t="shared" si="1010"/>
        <v>-231561.98625649911</v>
      </c>
      <c r="R881">
        <f t="shared" si="1011"/>
        <v>-4517370.015076058</v>
      </c>
      <c r="S881">
        <f t="shared" si="1012"/>
        <v>-45.173700150760581</v>
      </c>
      <c r="T881">
        <f t="shared" si="1013"/>
        <v>-4.5173700150760582E-2</v>
      </c>
    </row>
    <row r="882" spans="1:20" x14ac:dyDescent="0.25">
      <c r="A882" s="5">
        <v>43711</v>
      </c>
      <c r="B882">
        <v>0.46429999999999999</v>
      </c>
      <c r="C882">
        <v>0.46650000000000003</v>
      </c>
      <c r="D882">
        <v>0.437</v>
      </c>
      <c r="E882">
        <v>0.45800000000000002</v>
      </c>
      <c r="F882">
        <v>336137.89</v>
      </c>
      <c r="G882">
        <v>0</v>
      </c>
      <c r="L882" t="s">
        <v>7</v>
      </c>
      <c r="M882" t="s">
        <v>7</v>
      </c>
      <c r="N882" t="s">
        <v>7</v>
      </c>
      <c r="P882">
        <f t="shared" si="1009"/>
        <v>0.42372881355932202</v>
      </c>
      <c r="Q882">
        <f t="shared" si="1010"/>
        <v>142431.30932203389</v>
      </c>
      <c r="R882">
        <f t="shared" si="1011"/>
        <v>-4285808.0288195591</v>
      </c>
      <c r="S882">
        <f t="shared" si="1012"/>
        <v>-42.858080288195595</v>
      </c>
      <c r="T882">
        <f t="shared" si="1013"/>
        <v>-4.2858080288195592E-2</v>
      </c>
    </row>
    <row r="883" spans="1:20" x14ac:dyDescent="0.25">
      <c r="A883" s="5">
        <v>43710</v>
      </c>
      <c r="B883">
        <v>0.4788</v>
      </c>
      <c r="C883">
        <v>0.4824</v>
      </c>
      <c r="D883">
        <v>0.45019999999999999</v>
      </c>
      <c r="E883">
        <v>0.46300000000000002</v>
      </c>
      <c r="F883">
        <v>295295.49</v>
      </c>
      <c r="G883">
        <v>0</v>
      </c>
      <c r="L883" t="s">
        <v>7</v>
      </c>
      <c r="M883" t="s">
        <v>7</v>
      </c>
      <c r="N883" t="s">
        <v>7</v>
      </c>
      <c r="P883">
        <f t="shared" si="1009"/>
        <v>-0.20496894409937697</v>
      </c>
      <c r="Q883">
        <f t="shared" si="1010"/>
        <v>-60526.40478260813</v>
      </c>
      <c r="R883">
        <f t="shared" si="1011"/>
        <v>-4428239.3381415932</v>
      </c>
      <c r="S883">
        <f t="shared" si="1012"/>
        <v>-44.282393381415929</v>
      </c>
      <c r="T883">
        <f t="shared" si="1013"/>
        <v>-4.428239338141593E-2</v>
      </c>
    </row>
    <row r="884" spans="1:20" x14ac:dyDescent="0.25">
      <c r="A884" s="5">
        <v>43709</v>
      </c>
      <c r="B884">
        <v>0.47610000000000002</v>
      </c>
      <c r="C884">
        <v>0.50990000000000002</v>
      </c>
      <c r="D884">
        <v>0.46600000000000003</v>
      </c>
      <c r="E884">
        <v>0.47499999999999998</v>
      </c>
      <c r="F884">
        <v>269560.7</v>
      </c>
      <c r="G884">
        <v>0</v>
      </c>
      <c r="L884" t="s">
        <v>8</v>
      </c>
      <c r="M884" t="s">
        <v>8</v>
      </c>
      <c r="N884" t="s">
        <v>7</v>
      </c>
      <c r="P884">
        <f t="shared" si="1009"/>
        <v>-0.58997722095672189</v>
      </c>
      <c r="Q884">
        <f t="shared" si="1010"/>
        <v>-159034.67266514862</v>
      </c>
      <c r="R884">
        <f t="shared" si="1011"/>
        <v>-4367712.933358985</v>
      </c>
      <c r="S884">
        <f t="shared" si="1012"/>
        <v>-43.677129333589853</v>
      </c>
      <c r="T884">
        <f t="shared" si="1013"/>
        <v>-4.3677129333589852E-2</v>
      </c>
    </row>
    <row r="885" spans="1:20" x14ac:dyDescent="0.25">
      <c r="A885" s="5">
        <v>43708</v>
      </c>
      <c r="B885">
        <v>0.48</v>
      </c>
      <c r="C885">
        <v>0.49349999999999999</v>
      </c>
      <c r="D885">
        <v>0.46550000000000002</v>
      </c>
      <c r="E885">
        <v>0.47149999999999997</v>
      </c>
      <c r="F885">
        <v>176851.27</v>
      </c>
      <c r="G885">
        <v>0</v>
      </c>
      <c r="L885" t="s">
        <v>7</v>
      </c>
      <c r="M885" t="s">
        <v>8</v>
      </c>
      <c r="N885" t="s">
        <v>7</v>
      </c>
      <c r="P885">
        <f t="shared" si="1009"/>
        <v>-0.57142857142857451</v>
      </c>
      <c r="Q885">
        <f t="shared" si="1010"/>
        <v>-101057.86857142911</v>
      </c>
      <c r="R885">
        <f t="shared" si="1011"/>
        <v>-4208678.260693836</v>
      </c>
      <c r="S885">
        <f t="shared" si="1012"/>
        <v>-42.086782606938357</v>
      </c>
      <c r="T885">
        <f t="shared" si="1013"/>
        <v>-4.2086782606938357E-2</v>
      </c>
    </row>
    <row r="886" spans="1:20" x14ac:dyDescent="0.25">
      <c r="A886" s="5">
        <v>43707</v>
      </c>
      <c r="B886">
        <v>0.47620000000000001</v>
      </c>
      <c r="C886">
        <v>0.55000000000000004</v>
      </c>
      <c r="D886">
        <v>0.46279999999999999</v>
      </c>
      <c r="E886">
        <v>0.48</v>
      </c>
      <c r="F886">
        <v>682338.1</v>
      </c>
      <c r="G886">
        <v>0</v>
      </c>
      <c r="L886" t="s">
        <v>8</v>
      </c>
      <c r="M886" t="s">
        <v>8</v>
      </c>
      <c r="N886" t="s">
        <v>7</v>
      </c>
      <c r="P886">
        <f t="shared" si="1009"/>
        <v>-0.60550458715596367</v>
      </c>
      <c r="Q886">
        <f t="shared" si="1010"/>
        <v>-413158.84954128467</v>
      </c>
      <c r="R886">
        <f t="shared" si="1011"/>
        <v>-4107620.3921224065</v>
      </c>
      <c r="S886">
        <f t="shared" si="1012"/>
        <v>-41.076203921224064</v>
      </c>
      <c r="T886">
        <f t="shared" si="1013"/>
        <v>-4.1076203921224061E-2</v>
      </c>
    </row>
    <row r="887" spans="1:20" x14ac:dyDescent="0.25">
      <c r="A887" s="5">
        <v>43706</v>
      </c>
      <c r="B887">
        <v>0.48980000000000001</v>
      </c>
      <c r="C887">
        <v>0.51800000000000002</v>
      </c>
      <c r="D887">
        <v>0.45500000000000002</v>
      </c>
      <c r="E887">
        <v>0.47620000000000001</v>
      </c>
      <c r="F887">
        <v>537037.35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-0.3269841269841271</v>
      </c>
      <c r="Q887">
        <f t="shared" si="1010"/>
        <v>-175602.68904761909</v>
      </c>
      <c r="R887">
        <f t="shared" si="1011"/>
        <v>-3694461.5425811219</v>
      </c>
      <c r="S887">
        <f t="shared" si="1012"/>
        <v>-36.944615425811222</v>
      </c>
      <c r="T887">
        <f t="shared" si="1013"/>
        <v>-3.694461542581122E-2</v>
      </c>
    </row>
    <row r="888" spans="1:20" x14ac:dyDescent="0.25">
      <c r="A888" s="5">
        <v>43705</v>
      </c>
      <c r="B888">
        <v>0.56899999999999995</v>
      </c>
      <c r="C888">
        <v>0.58930000000000005</v>
      </c>
      <c r="D888">
        <v>0.4829</v>
      </c>
      <c r="E888">
        <v>0.4899</v>
      </c>
      <c r="F888">
        <v>770194.91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-0.86842105263157887</v>
      </c>
      <c r="Q888">
        <f t="shared" si="1010"/>
        <v>-668853.47447368421</v>
      </c>
      <c r="R888">
        <f t="shared" si="1011"/>
        <v>-3518858.8535335027</v>
      </c>
      <c r="S888">
        <f t="shared" si="1012"/>
        <v>-35.188588535335029</v>
      </c>
      <c r="T888">
        <f t="shared" si="1013"/>
        <v>-3.5188588535335026E-2</v>
      </c>
    </row>
    <row r="889" spans="1:20" x14ac:dyDescent="0.25">
      <c r="A889" s="5">
        <v>43704</v>
      </c>
      <c r="B889">
        <v>0.61299999999999999</v>
      </c>
      <c r="C889">
        <v>0.64690000000000003</v>
      </c>
      <c r="D889">
        <v>0.55549999999999999</v>
      </c>
      <c r="E889">
        <v>0.57050000000000001</v>
      </c>
      <c r="F889">
        <v>1113530.1599999999</v>
      </c>
      <c r="G889">
        <v>0</v>
      </c>
      <c r="L889" t="s">
        <v>7</v>
      </c>
      <c r="M889" t="s">
        <v>7</v>
      </c>
      <c r="N889" t="s">
        <v>7</v>
      </c>
      <c r="P889">
        <f t="shared" si="1009"/>
        <v>-0.67177242888402611</v>
      </c>
      <c r="Q889">
        <f t="shared" si="1010"/>
        <v>-748038.86021881818</v>
      </c>
      <c r="R889">
        <f t="shared" si="1011"/>
        <v>-2850005.3790598186</v>
      </c>
      <c r="S889">
        <f t="shared" si="1012"/>
        <v>-28.500053790598187</v>
      </c>
      <c r="T889">
        <f t="shared" si="1013"/>
        <v>-2.8500053790598188E-2</v>
      </c>
    </row>
    <row r="890" spans="1:20" x14ac:dyDescent="0.25">
      <c r="A890" s="5">
        <v>43703</v>
      </c>
      <c r="B890">
        <v>0.70699999999999996</v>
      </c>
      <c r="C890">
        <v>0.76</v>
      </c>
      <c r="D890">
        <v>0.60960000000000003</v>
      </c>
      <c r="E890">
        <v>0.62050000000000005</v>
      </c>
      <c r="F890">
        <v>3697824.32</v>
      </c>
      <c r="G890">
        <v>0</v>
      </c>
      <c r="L890" t="s">
        <v>8</v>
      </c>
      <c r="M890" t="s">
        <v>8</v>
      </c>
      <c r="N890" t="s">
        <v>8</v>
      </c>
      <c r="P890">
        <f t="shared" si="1009"/>
        <v>-0.85505319148936143</v>
      </c>
      <c r="Q890">
        <f t="shared" si="1010"/>
        <v>-3161836.4863829776</v>
      </c>
      <c r="R890">
        <f t="shared" si="1011"/>
        <v>-2101966.5188410003</v>
      </c>
      <c r="S890">
        <f t="shared" si="1012"/>
        <v>-21.019665188410002</v>
      </c>
      <c r="T890">
        <f t="shared" si="1013"/>
        <v>-2.1019665188410003E-2</v>
      </c>
    </row>
    <row r="891" spans="1:20" x14ac:dyDescent="0.25">
      <c r="A891" s="5">
        <v>43702</v>
      </c>
      <c r="B891">
        <v>0.53900000000000003</v>
      </c>
      <c r="C891">
        <v>0.74099999999999999</v>
      </c>
      <c r="D891">
        <v>0.50170000000000003</v>
      </c>
      <c r="E891">
        <v>0.70489999999999997</v>
      </c>
      <c r="F891">
        <v>5369668.6500000004</v>
      </c>
      <c r="G891">
        <v>0</v>
      </c>
      <c r="L891" t="s">
        <v>7</v>
      </c>
      <c r="M891" t="s">
        <v>7</v>
      </c>
      <c r="N891" t="s">
        <v>7</v>
      </c>
      <c r="P891">
        <f t="shared" si="1009"/>
        <v>0.69828666945256979</v>
      </c>
      <c r="Q891">
        <f t="shared" si="1010"/>
        <v>3749568.0376723767</v>
      </c>
      <c r="R891">
        <f t="shared" si="1011"/>
        <v>1059869.9675419773</v>
      </c>
      <c r="S891">
        <f t="shared" si="1012"/>
        <v>10.598699675419773</v>
      </c>
      <c r="T891">
        <f t="shared" si="1013"/>
        <v>1.0598699675419774E-2</v>
      </c>
    </row>
    <row r="892" spans="1:20" x14ac:dyDescent="0.25">
      <c r="A892" s="5">
        <v>43701</v>
      </c>
      <c r="B892">
        <v>0.57999999999999996</v>
      </c>
      <c r="C892">
        <v>0.88880000000000003</v>
      </c>
      <c r="D892">
        <v>0.52070000000000005</v>
      </c>
      <c r="E892">
        <v>0.53900000000000003</v>
      </c>
      <c r="F892">
        <v>2986660.21</v>
      </c>
      <c r="G892">
        <v>0</v>
      </c>
      <c r="P892">
        <f t="shared" si="1009"/>
        <v>-0.90057049714751436</v>
      </c>
      <c r="Q892">
        <f t="shared" si="1010"/>
        <v>-2689698.0701303994</v>
      </c>
      <c r="R892">
        <f t="shared" si="1011"/>
        <v>-2689698.0701303994</v>
      </c>
      <c r="S892">
        <f t="shared" si="1012"/>
        <v>-26.896980701303995</v>
      </c>
      <c r="T892">
        <f t="shared" si="1013"/>
        <v>-2.6896980701303995E-2</v>
      </c>
    </row>
    <row r="893" spans="1:20" x14ac:dyDescent="0.25">
      <c r="A893" s="5"/>
      <c r="C893" s="4"/>
      <c r="D893" s="4"/>
    </row>
    <row r="894" spans="1:20" x14ac:dyDescent="0.25">
      <c r="A894" s="5"/>
      <c r="C894" s="4"/>
      <c r="D894" s="4"/>
    </row>
    <row r="895" spans="1:20" x14ac:dyDescent="0.25">
      <c r="A895" s="5"/>
      <c r="C895" s="4"/>
      <c r="D895" s="4"/>
    </row>
    <row r="896" spans="1:20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QR582" sqref="QR58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$A$581</v>
      </c>
      <c r="D111" s="1" t="str">
        <f>ADDRESS(C121-1,D121,1,1)</f>
        <v>$QR$581</v>
      </c>
      <c r="E111"/>
    </row>
    <row r="112" spans="1:5" x14ac:dyDescent="0.25">
      <c r="A112" s="7">
        <v>12164.144957890772</v>
      </c>
      <c r="C112" s="1" t="str">
        <f>ADDRESS(C121,1,1,1)</f>
        <v>$A$582</v>
      </c>
      <c r="D112" s="1" t="str">
        <f>ADDRESS(C121,D121-1,1,1)</f>
        <v>$QQ$582</v>
      </c>
      <c r="E112"/>
    </row>
    <row r="113" spans="1:5" x14ac:dyDescent="0.25">
      <c r="A113" s="7">
        <v>11925.63231165762</v>
      </c>
      <c r="C113" s="1" t="str">
        <f>ADDRESS(C121+1,1,1,1)</f>
        <v>$A$583</v>
      </c>
      <c r="D113" s="1" t="str">
        <f>ADDRESS(C121-1,D121+1,1,1)</f>
        <v>$QS$581</v>
      </c>
    </row>
    <row r="114" spans="1:5" x14ac:dyDescent="0.25">
      <c r="A114" s="7">
        <v>11691.796383978059</v>
      </c>
      <c r="C114" s="1" t="str">
        <f>ADDRESS(C121,D121,1,1)</f>
        <v>$QR$582</v>
      </c>
      <c r="D114" s="1" t="str">
        <f>ADDRESS(C121+1,D121+1,1,1)</f>
        <v>$QS$583</v>
      </c>
    </row>
    <row r="115" spans="1:5" x14ac:dyDescent="0.25">
      <c r="A115" s="7">
        <v>11462.545474488292</v>
      </c>
      <c r="C115" s="1" t="str">
        <f>ADDRESS(C121+1,D121,1,1)</f>
        <v>$QR$583</v>
      </c>
    </row>
    <row r="116" spans="1:5" x14ac:dyDescent="0.25">
      <c r="A116" s="7">
        <v>11237.789680870874</v>
      </c>
      <c r="C116" s="1">
        <f>C117-1</f>
        <v>581</v>
      </c>
    </row>
    <row r="117" spans="1:5" x14ac:dyDescent="0.25">
      <c r="A117" s="7">
        <v>11017.440863598895</v>
      </c>
      <c r="C117" s="1">
        <f>C121</f>
        <v>582</v>
      </c>
      <c r="D117" s="1">
        <f>D121</f>
        <v>460</v>
      </c>
    </row>
    <row r="118" spans="1:5" x14ac:dyDescent="0.25">
      <c r="A118" s="7">
        <v>10801.412611371465</v>
      </c>
      <c r="C118" s="1">
        <f>C117+1</f>
        <v>583</v>
      </c>
      <c r="D118" s="1">
        <f>D117+1</f>
        <v>461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582</v>
      </c>
      <c r="D121" s="19">
        <v>460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R582</v>
      </c>
      <c r="D123" s="1" t="str">
        <f>"C"&amp;D121</f>
        <v>C460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1.1040808032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436" x14ac:dyDescent="0.25">
      <c r="A513" s="7">
        <v>4.3292504462035977</v>
      </c>
      <c r="B513"/>
      <c r="C513"/>
      <c r="D513"/>
      <c r="E513"/>
    </row>
    <row r="514" spans="1:436" x14ac:dyDescent="0.25">
      <c r="A514" s="7">
        <v>4.2443631825525463</v>
      </c>
      <c r="B514"/>
      <c r="C514"/>
      <c r="D514"/>
      <c r="E514"/>
    </row>
    <row r="515" spans="1:436" x14ac:dyDescent="0.25">
      <c r="A515" s="7">
        <v>4.1611403750515157</v>
      </c>
      <c r="B515"/>
      <c r="C515"/>
      <c r="D515"/>
      <c r="E515"/>
    </row>
    <row r="516" spans="1:436" x14ac:dyDescent="0.25">
      <c r="A516" s="7">
        <v>4.0795493873054074</v>
      </c>
      <c r="B516"/>
      <c r="C516"/>
      <c r="D516"/>
      <c r="E516"/>
    </row>
    <row r="517" spans="1:436" x14ac:dyDescent="0.25">
      <c r="A517" s="7">
        <v>3.9995582228484383</v>
      </c>
      <c r="B517"/>
      <c r="C517"/>
      <c r="D517"/>
      <c r="E517"/>
    </row>
    <row r="518" spans="1:436" x14ac:dyDescent="0.25">
      <c r="A518" s="7">
        <v>3.9211355125965079</v>
      </c>
      <c r="B518"/>
      <c r="C518"/>
      <c r="D518"/>
      <c r="E518"/>
    </row>
    <row r="519" spans="1:436" x14ac:dyDescent="0.25">
      <c r="A519" s="7">
        <v>3.844250502545596</v>
      </c>
      <c r="B519"/>
      <c r="C519"/>
      <c r="D519"/>
      <c r="E519"/>
      <c r="NS519" s="27" t="s">
        <v>8</v>
      </c>
      <c r="OA519" s="27" t="s">
        <v>8</v>
      </c>
      <c r="PK519" s="27" t="s">
        <v>8</v>
      </c>
    </row>
    <row r="520" spans="1:436" x14ac:dyDescent="0.25">
      <c r="A520" s="7">
        <v>3.7688730417113687</v>
      </c>
      <c r="B520"/>
      <c r="C520"/>
      <c r="D520"/>
      <c r="E520"/>
      <c r="NS520" s="27" t="s">
        <v>8</v>
      </c>
      <c r="NT520" s="27" t="s">
        <v>7</v>
      </c>
      <c r="NY520" s="27" t="s">
        <v>8</v>
      </c>
      <c r="OA520" s="27" t="s">
        <v>8</v>
      </c>
      <c r="OB520" s="27" t="s">
        <v>7</v>
      </c>
      <c r="PK520" s="27" t="s">
        <v>8</v>
      </c>
      <c r="PL520" s="27" t="s">
        <v>7</v>
      </c>
    </row>
    <row r="521" spans="1:436" x14ac:dyDescent="0.25">
      <c r="A521" s="7">
        <v>3.6949735703052635</v>
      </c>
      <c r="B521"/>
      <c r="C521"/>
      <c r="D521"/>
      <c r="E521"/>
      <c r="NS521" s="27" t="s">
        <v>8</v>
      </c>
      <c r="NT521" s="27" t="s">
        <v>7</v>
      </c>
      <c r="NY521" s="27" t="s">
        <v>8</v>
      </c>
      <c r="NZ521" s="27" t="s">
        <v>7</v>
      </c>
      <c r="OA521" s="27" t="s">
        <v>8</v>
      </c>
      <c r="OB521" s="27" t="s">
        <v>7</v>
      </c>
      <c r="PI521" s="27" t="s">
        <v>8</v>
      </c>
      <c r="PK521" s="27" t="s">
        <v>8</v>
      </c>
      <c r="PL521" s="27" t="s">
        <v>7</v>
      </c>
    </row>
    <row r="522" spans="1:436" x14ac:dyDescent="0.25">
      <c r="A522" s="7">
        <v>3.6225231081424152</v>
      </c>
      <c r="B522"/>
      <c r="C522"/>
      <c r="D522"/>
      <c r="E522"/>
      <c r="KU522" s="27" t="s">
        <v>8</v>
      </c>
      <c r="NS522" s="27" t="s">
        <v>8</v>
      </c>
      <c r="NT522" s="27" t="s">
        <v>7</v>
      </c>
      <c r="NY522" s="27" t="s">
        <v>8</v>
      </c>
      <c r="NZ522" s="27" t="s">
        <v>7</v>
      </c>
      <c r="OA522" s="27" t="s">
        <v>8</v>
      </c>
      <c r="OB522" s="27" t="s">
        <v>7</v>
      </c>
      <c r="PI522" s="27" t="s">
        <v>8</v>
      </c>
      <c r="PJ522" s="27" t="s">
        <v>7</v>
      </c>
      <c r="PK522" s="27" t="s">
        <v>8</v>
      </c>
      <c r="PL522" s="27" t="s">
        <v>7</v>
      </c>
    </row>
    <row r="523" spans="1:436" x14ac:dyDescent="0.25">
      <c r="A523" s="7">
        <v>3.5514932432768775</v>
      </c>
      <c r="B523"/>
      <c r="C523"/>
      <c r="D523"/>
      <c r="E523"/>
      <c r="KU523" s="27" t="s">
        <v>8</v>
      </c>
      <c r="KV523" s="27" t="s">
        <v>7</v>
      </c>
      <c r="NS523" s="27" t="s">
        <v>8</v>
      </c>
      <c r="NT523" s="27" t="s">
        <v>7</v>
      </c>
      <c r="NW523" s="27" t="s">
        <v>8</v>
      </c>
      <c r="NY523" s="27" t="s">
        <v>8</v>
      </c>
      <c r="NZ523" s="27" t="s">
        <v>7</v>
      </c>
      <c r="OB523" s="27" t="s">
        <v>7</v>
      </c>
      <c r="PI523" s="27" t="s">
        <v>8</v>
      </c>
      <c r="PJ523" s="27" t="s">
        <v>7</v>
      </c>
      <c r="PK523" s="27" t="s">
        <v>8</v>
      </c>
      <c r="PL523" s="27" t="s">
        <v>7</v>
      </c>
    </row>
    <row r="524" spans="1:436" x14ac:dyDescent="0.25">
      <c r="A524" s="7">
        <v>3.4818561208596837</v>
      </c>
      <c r="B524"/>
      <c r="C524"/>
      <c r="D524"/>
      <c r="E524"/>
      <c r="KU524" s="27" t="s">
        <v>8</v>
      </c>
      <c r="KV524" s="27" t="s">
        <v>7</v>
      </c>
      <c r="NS524" s="27" t="s">
        <v>8</v>
      </c>
      <c r="NT524" s="27" t="s">
        <v>7</v>
      </c>
      <c r="NU524" s="27" t="s">
        <v>8</v>
      </c>
      <c r="NW524" s="27" t="s">
        <v>8</v>
      </c>
      <c r="NX524" s="27" t="s">
        <v>7</v>
      </c>
      <c r="NY524" s="27" t="s">
        <v>8</v>
      </c>
      <c r="OB524" s="27" t="s">
        <v>7</v>
      </c>
      <c r="PI524" s="27" t="s">
        <v>8</v>
      </c>
      <c r="PJ524" s="27" t="s">
        <v>7</v>
      </c>
      <c r="PK524" s="27" t="s">
        <v>8</v>
      </c>
      <c r="PL524" s="27" t="s">
        <v>7</v>
      </c>
    </row>
    <row r="525" spans="1:436" x14ac:dyDescent="0.25">
      <c r="A525" s="7">
        <v>3.4135844322153761</v>
      </c>
      <c r="B525"/>
      <c r="C525"/>
      <c r="D525"/>
      <c r="E525"/>
      <c r="KU525" s="27" t="s">
        <v>8</v>
      </c>
      <c r="KV525" s="27" t="s">
        <v>7</v>
      </c>
      <c r="NS525" s="27" t="s">
        <v>8</v>
      </c>
      <c r="NT525" s="27" t="s">
        <v>7</v>
      </c>
      <c r="NU525" s="27" t="s">
        <v>8</v>
      </c>
      <c r="NV525" s="27" t="s">
        <v>7</v>
      </c>
      <c r="NW525" s="27" t="s">
        <v>8</v>
      </c>
      <c r="NX525" s="27" t="s">
        <v>7</v>
      </c>
      <c r="NY525" s="27" t="s">
        <v>8</v>
      </c>
      <c r="OB525" s="27" t="s">
        <v>7</v>
      </c>
      <c r="PI525" s="27" t="s">
        <v>8</v>
      </c>
      <c r="PJ525" s="27" t="s">
        <v>7</v>
      </c>
      <c r="PK525" s="27" t="s">
        <v>8</v>
      </c>
      <c r="PL525" s="27" t="s">
        <v>7</v>
      </c>
    </row>
    <row r="526" spans="1:436" x14ac:dyDescent="0.25">
      <c r="A526" s="7">
        <v>3.3466514041327216</v>
      </c>
      <c r="B526"/>
      <c r="C526"/>
      <c r="D526"/>
      <c r="E526"/>
      <c r="KS526" s="27" t="s">
        <v>8</v>
      </c>
      <c r="KU526" s="27" t="s">
        <v>8</v>
      </c>
      <c r="KV526" s="27" t="s">
        <v>7</v>
      </c>
      <c r="KY526" s="27" t="s">
        <v>8</v>
      </c>
      <c r="NS526" s="27" t="s">
        <v>8</v>
      </c>
      <c r="NT526" s="27" t="s">
        <v>7</v>
      </c>
      <c r="NU526" s="27" t="s">
        <v>8</v>
      </c>
      <c r="NV526" s="27" t="s">
        <v>7</v>
      </c>
      <c r="NW526" s="27" t="s">
        <v>8</v>
      </c>
      <c r="NX526" s="27" t="s">
        <v>7</v>
      </c>
      <c r="OB526" s="27" t="s">
        <v>7</v>
      </c>
      <c r="PI526" s="27" t="s">
        <v>8</v>
      </c>
      <c r="PJ526" s="27" t="s">
        <v>7</v>
      </c>
      <c r="PK526" s="27" t="s">
        <v>8</v>
      </c>
      <c r="PL526" s="27" t="s">
        <v>7</v>
      </c>
    </row>
    <row r="527" spans="1:436" x14ac:dyDescent="0.25">
      <c r="A527" s="7">
        <v>3.2810307883654133</v>
      </c>
      <c r="B527"/>
      <c r="C527"/>
      <c r="D527"/>
      <c r="E527"/>
      <c r="KS527" s="27" t="s">
        <v>8</v>
      </c>
      <c r="KT527" s="27" t="s">
        <v>7</v>
      </c>
      <c r="KU527" s="27" t="s">
        <v>8</v>
      </c>
      <c r="KV527" s="27" t="s">
        <v>7</v>
      </c>
      <c r="KW527" s="27" t="s">
        <v>8</v>
      </c>
      <c r="KY527" s="27" t="s">
        <v>8</v>
      </c>
      <c r="KZ527" s="27" t="s">
        <v>7</v>
      </c>
      <c r="NS527" s="27" t="s">
        <v>8</v>
      </c>
      <c r="NT527" s="27" t="s">
        <v>7</v>
      </c>
      <c r="NU527" s="27" t="s">
        <v>8</v>
      </c>
      <c r="NV527" s="27" t="s">
        <v>7</v>
      </c>
      <c r="NW527" s="27" t="s">
        <v>8</v>
      </c>
      <c r="OB527" s="27" t="s">
        <v>7</v>
      </c>
      <c r="PI527" s="27" t="s">
        <v>8</v>
      </c>
      <c r="PJ527" s="27" t="s">
        <v>7</v>
      </c>
      <c r="PK527" s="27" t="s">
        <v>8</v>
      </c>
      <c r="PL527" s="27" t="s">
        <v>7</v>
      </c>
      <c r="PM527" s="27" t="s">
        <v>8</v>
      </c>
      <c r="PS527" s="27" t="s">
        <v>8</v>
      </c>
    </row>
    <row r="528" spans="1:436" x14ac:dyDescent="0.25">
      <c r="A528" s="7">
        <v>3.2166968513386403</v>
      </c>
      <c r="B528"/>
      <c r="C528"/>
      <c r="D528"/>
      <c r="E528"/>
      <c r="KS528" s="27" t="s">
        <v>8</v>
      </c>
      <c r="KT528" s="27" t="s">
        <v>7</v>
      </c>
      <c r="KU528" s="27" t="s">
        <v>8</v>
      </c>
      <c r="KV528" s="27" t="s">
        <v>7</v>
      </c>
      <c r="KW528" s="27" t="s">
        <v>8</v>
      </c>
      <c r="KX528" s="27" t="s">
        <v>7</v>
      </c>
      <c r="KY528" s="27" t="s">
        <v>8</v>
      </c>
      <c r="KZ528" s="27" t="s">
        <v>7</v>
      </c>
      <c r="NS528" s="27" t="s">
        <v>8</v>
      </c>
      <c r="NT528" s="27" t="s">
        <v>7</v>
      </c>
      <c r="NU528" s="27" t="s">
        <v>8</v>
      </c>
      <c r="NV528" s="27" t="s">
        <v>7</v>
      </c>
      <c r="NW528" s="27" t="s">
        <v>8</v>
      </c>
      <c r="OB528" s="27" t="s">
        <v>7</v>
      </c>
      <c r="PI528" s="27" t="s">
        <v>8</v>
      </c>
      <c r="PJ528" s="27" t="s">
        <v>7</v>
      </c>
      <c r="PK528" s="27" t="s">
        <v>8</v>
      </c>
      <c r="PL528" s="27" t="s">
        <v>7</v>
      </c>
      <c r="PM528" s="27" t="s">
        <v>8</v>
      </c>
      <c r="PN528" s="27" t="s">
        <v>7</v>
      </c>
      <c r="PS528" s="27" t="s">
        <v>8</v>
      </c>
      <c r="PT528" s="27" t="s">
        <v>7</v>
      </c>
    </row>
    <row r="529" spans="1:440" x14ac:dyDescent="0.25">
      <c r="A529" s="7">
        <v>3.1536243640574906</v>
      </c>
      <c r="B529"/>
      <c r="C529"/>
      <c r="D529"/>
      <c r="E529"/>
      <c r="KS529" s="27" t="s">
        <v>8</v>
      </c>
      <c r="KT529" s="27" t="s">
        <v>7</v>
      </c>
      <c r="KU529" s="27" t="s">
        <v>8</v>
      </c>
      <c r="KV529" s="27" t="s">
        <v>7</v>
      </c>
      <c r="KW529" s="27" t="s">
        <v>8</v>
      </c>
      <c r="KX529" s="27" t="s">
        <v>7</v>
      </c>
      <c r="KY529" s="27" t="s">
        <v>8</v>
      </c>
      <c r="KZ529" s="27" t="s">
        <v>7</v>
      </c>
      <c r="NK529" s="27" t="s">
        <v>8</v>
      </c>
      <c r="NS529" s="27" t="s">
        <v>8</v>
      </c>
      <c r="NT529" s="27" t="s">
        <v>7</v>
      </c>
      <c r="NU529" s="27" t="s">
        <v>8</v>
      </c>
      <c r="NV529" s="27" t="s">
        <v>7</v>
      </c>
      <c r="NW529" s="27" t="s">
        <v>8</v>
      </c>
      <c r="OB529" s="27" t="s">
        <v>7</v>
      </c>
      <c r="PI529" s="27" t="s">
        <v>8</v>
      </c>
      <c r="PJ529" s="27" t="s">
        <v>7</v>
      </c>
      <c r="PK529" s="27" t="s">
        <v>8</v>
      </c>
      <c r="PL529" s="27" t="s">
        <v>7</v>
      </c>
      <c r="PM529" s="27" t="s">
        <v>8</v>
      </c>
      <c r="PN529" s="27" t="s">
        <v>7</v>
      </c>
      <c r="PQ529" s="27" t="s">
        <v>8</v>
      </c>
      <c r="PS529" s="27" t="s">
        <v>8</v>
      </c>
      <c r="PT529" s="27" t="s">
        <v>7</v>
      </c>
    </row>
    <row r="530" spans="1:440" x14ac:dyDescent="0.25">
      <c r="A530" s="7">
        <v>3.0917885922132262</v>
      </c>
      <c r="B530"/>
      <c r="C530"/>
      <c r="D530"/>
      <c r="E530"/>
      <c r="KQ530" s="27" t="s">
        <v>8</v>
      </c>
      <c r="KS530" s="27" t="s">
        <v>8</v>
      </c>
      <c r="KT530" s="27" t="s">
        <v>7</v>
      </c>
      <c r="KU530" s="27" t="s">
        <v>8</v>
      </c>
      <c r="KV530" s="27" t="s">
        <v>7</v>
      </c>
      <c r="KW530" s="27" t="s">
        <v>8</v>
      </c>
      <c r="KX530" s="27" t="s">
        <v>7</v>
      </c>
      <c r="KY530" s="27" t="s">
        <v>8</v>
      </c>
      <c r="KZ530" s="27" t="s">
        <v>7</v>
      </c>
      <c r="NK530" s="27" t="s">
        <v>8</v>
      </c>
      <c r="NL530" s="27" t="s">
        <v>7</v>
      </c>
      <c r="NO530" s="27" t="s">
        <v>8</v>
      </c>
      <c r="NQ530" s="27" t="s">
        <v>8</v>
      </c>
      <c r="NS530" s="27" t="s">
        <v>8</v>
      </c>
      <c r="NT530" s="27" t="s">
        <v>7</v>
      </c>
      <c r="NU530" s="27" t="s">
        <v>8</v>
      </c>
      <c r="NV530" s="27" t="s">
        <v>7</v>
      </c>
      <c r="OB530" s="27" t="s">
        <v>7</v>
      </c>
      <c r="PI530" s="27" t="s">
        <v>8</v>
      </c>
      <c r="PJ530" s="27" t="s">
        <v>7</v>
      </c>
      <c r="PK530" s="27" t="s">
        <v>8</v>
      </c>
      <c r="PL530" s="27" t="s">
        <v>7</v>
      </c>
      <c r="PM530" s="27" t="s">
        <v>8</v>
      </c>
      <c r="PN530" s="27" t="s">
        <v>7</v>
      </c>
      <c r="PQ530" s="27" t="s">
        <v>8</v>
      </c>
      <c r="PR530" s="27" t="s">
        <v>7</v>
      </c>
      <c r="PS530" s="27" t="s">
        <v>8</v>
      </c>
      <c r="PT530" s="27" t="s">
        <v>7</v>
      </c>
    </row>
    <row r="531" spans="1:440" x14ac:dyDescent="0.25">
      <c r="A531" s="7">
        <v>3.0311652864835552</v>
      </c>
      <c r="B531"/>
      <c r="C531"/>
      <c r="D531"/>
      <c r="E531"/>
      <c r="KM531" s="27" t="s">
        <v>8</v>
      </c>
      <c r="KQ531" s="27" t="s">
        <v>8</v>
      </c>
      <c r="KR531" s="27" t="s">
        <v>7</v>
      </c>
      <c r="KS531" s="27" t="s">
        <v>8</v>
      </c>
      <c r="KT531" s="27" t="s">
        <v>7</v>
      </c>
      <c r="KU531" s="27" t="s">
        <v>8</v>
      </c>
      <c r="KV531" s="27" t="s">
        <v>7</v>
      </c>
      <c r="KW531" s="27" t="s">
        <v>8</v>
      </c>
      <c r="KX531" s="27" t="s">
        <v>7</v>
      </c>
      <c r="KZ531" s="27" t="s">
        <v>7</v>
      </c>
      <c r="LM531" s="27" t="s">
        <v>8</v>
      </c>
      <c r="LO531" s="27" t="s">
        <v>8</v>
      </c>
      <c r="NK531" s="27" t="s">
        <v>8</v>
      </c>
      <c r="NL531" s="27" t="s">
        <v>7</v>
      </c>
      <c r="NM531" s="27" t="s">
        <v>8</v>
      </c>
      <c r="NO531" s="27" t="s">
        <v>8</v>
      </c>
      <c r="NP531" s="27" t="s">
        <v>7</v>
      </c>
      <c r="NQ531" s="27" t="s">
        <v>8</v>
      </c>
      <c r="NR531" s="27" t="s">
        <v>7</v>
      </c>
      <c r="NS531" s="27" t="s">
        <v>8</v>
      </c>
      <c r="NT531" s="27" t="s">
        <v>7</v>
      </c>
      <c r="NU531" s="27" t="s">
        <v>8</v>
      </c>
      <c r="OB531" s="27" t="s">
        <v>7</v>
      </c>
      <c r="PI531" s="27" t="s">
        <v>8</v>
      </c>
      <c r="PJ531" s="27" t="s">
        <v>7</v>
      </c>
      <c r="PL531" s="27" t="s">
        <v>7</v>
      </c>
      <c r="PM531" s="27" t="s">
        <v>8</v>
      </c>
      <c r="PN531" s="27" t="s">
        <v>7</v>
      </c>
      <c r="PO531" s="27" t="s">
        <v>8</v>
      </c>
      <c r="PQ531" s="27" t="s">
        <v>8</v>
      </c>
      <c r="PR531" s="27" t="s">
        <v>7</v>
      </c>
      <c r="PS531" s="27" t="s">
        <v>8</v>
      </c>
      <c r="PT531" s="27" t="s">
        <v>7</v>
      </c>
    </row>
    <row r="532" spans="1:440" x14ac:dyDescent="0.25">
      <c r="A532" s="7">
        <v>2.9717306730230932</v>
      </c>
      <c r="B532"/>
      <c r="C532"/>
      <c r="D532"/>
      <c r="E532"/>
      <c r="KE532" s="27" t="s">
        <v>8</v>
      </c>
      <c r="KM532" s="27" t="s">
        <v>8</v>
      </c>
      <c r="KN532" s="27" t="s">
        <v>7</v>
      </c>
      <c r="KQ532" s="27" t="s">
        <v>8</v>
      </c>
      <c r="KR532" s="27" t="s">
        <v>7</v>
      </c>
      <c r="KS532" s="27" t="s">
        <v>8</v>
      </c>
      <c r="KT532" s="27" t="s">
        <v>7</v>
      </c>
      <c r="KU532" s="27" t="s">
        <v>8</v>
      </c>
      <c r="KV532" s="27" t="s">
        <v>7</v>
      </c>
      <c r="KZ532" s="27" t="s">
        <v>7</v>
      </c>
      <c r="LM532" s="27" t="s">
        <v>8</v>
      </c>
      <c r="LN532" s="27" t="s">
        <v>7</v>
      </c>
      <c r="LO532" s="27" t="s">
        <v>8</v>
      </c>
      <c r="LP532" s="27" t="s">
        <v>7</v>
      </c>
      <c r="NC532" s="27" t="s">
        <v>8</v>
      </c>
      <c r="NK532" s="27" t="s">
        <v>8</v>
      </c>
      <c r="NL532" s="27" t="s">
        <v>7</v>
      </c>
      <c r="NM532" s="27" t="s">
        <v>8</v>
      </c>
      <c r="NN532" s="27" t="s">
        <v>7</v>
      </c>
      <c r="NO532" s="27" t="s">
        <v>8</v>
      </c>
      <c r="NP532" s="27" t="s">
        <v>7</v>
      </c>
      <c r="NQ532" s="27" t="s">
        <v>8</v>
      </c>
      <c r="NR532" s="27" t="s">
        <v>7</v>
      </c>
      <c r="NS532" s="27" t="s">
        <v>8</v>
      </c>
      <c r="NT532" s="27" t="s">
        <v>7</v>
      </c>
      <c r="NU532" s="27" t="s">
        <v>8</v>
      </c>
      <c r="OB532" s="27" t="s">
        <v>7</v>
      </c>
      <c r="PI532" s="27" t="s">
        <v>8</v>
      </c>
      <c r="PL532" s="27" t="s">
        <v>7</v>
      </c>
      <c r="PN532" s="27" t="s">
        <v>7</v>
      </c>
      <c r="PO532" s="27" t="s">
        <v>8</v>
      </c>
      <c r="PP532" s="27" t="s">
        <v>7</v>
      </c>
      <c r="PQ532" s="27" t="s">
        <v>8</v>
      </c>
      <c r="PR532" s="27" t="s">
        <v>7</v>
      </c>
      <c r="PS532" s="27" t="s">
        <v>8</v>
      </c>
      <c r="PT532" s="27" t="s">
        <v>7</v>
      </c>
    </row>
    <row r="533" spans="1:440" x14ac:dyDescent="0.25">
      <c r="A533" s="7">
        <v>2.9134614441402875</v>
      </c>
      <c r="B533"/>
      <c r="C533"/>
      <c r="D533"/>
      <c r="E533"/>
      <c r="KE533" s="27" t="s">
        <v>8</v>
      </c>
      <c r="KF533" s="27" t="s">
        <v>7</v>
      </c>
      <c r="KM533" s="27" t="s">
        <v>8</v>
      </c>
      <c r="KN533" s="27" t="s">
        <v>7</v>
      </c>
      <c r="KQ533" s="27" t="s">
        <v>8</v>
      </c>
      <c r="KR533" s="27" t="s">
        <v>7</v>
      </c>
      <c r="KS533" s="27" t="s">
        <v>8</v>
      </c>
      <c r="KT533" s="27" t="s">
        <v>7</v>
      </c>
      <c r="KU533" s="27" t="s">
        <v>8</v>
      </c>
      <c r="KZ533" s="27" t="s">
        <v>7</v>
      </c>
      <c r="LK533" s="27" t="s">
        <v>8</v>
      </c>
      <c r="LM533" s="27" t="s">
        <v>8</v>
      </c>
      <c r="LN533" s="27" t="s">
        <v>7</v>
      </c>
      <c r="LO533" s="27" t="s">
        <v>8</v>
      </c>
      <c r="LP533" s="27" t="s">
        <v>7</v>
      </c>
      <c r="NC533" s="27" t="s">
        <v>8</v>
      </c>
      <c r="ND533" s="27" t="s">
        <v>7</v>
      </c>
      <c r="NK533" s="27" t="s">
        <v>8</v>
      </c>
      <c r="NL533" s="27" t="s">
        <v>7</v>
      </c>
      <c r="NM533" s="27" t="s">
        <v>8</v>
      </c>
      <c r="NN533" s="27" t="s">
        <v>7</v>
      </c>
      <c r="NO533" s="27" t="s">
        <v>8</v>
      </c>
      <c r="NP533" s="27" t="s">
        <v>7</v>
      </c>
      <c r="NR533" s="27" t="s">
        <v>7</v>
      </c>
      <c r="NS533" s="27" t="s">
        <v>8</v>
      </c>
      <c r="NT533" s="27" t="s">
        <v>7</v>
      </c>
      <c r="OB533" s="27" t="s">
        <v>7</v>
      </c>
      <c r="PI533" s="27" t="s">
        <v>8</v>
      </c>
      <c r="PN533" s="27" t="s">
        <v>7</v>
      </c>
      <c r="PO533" s="27" t="s">
        <v>8</v>
      </c>
      <c r="PP533" s="27" t="s">
        <v>7</v>
      </c>
      <c r="PQ533" s="27" t="s">
        <v>8</v>
      </c>
      <c r="PR533" s="27" t="s">
        <v>7</v>
      </c>
      <c r="PS533" s="27" t="s">
        <v>8</v>
      </c>
      <c r="PT533" s="27" t="s">
        <v>7</v>
      </c>
    </row>
    <row r="534" spans="1:440" x14ac:dyDescent="0.25">
      <c r="A534" s="7">
        <v>2.8563347491571447</v>
      </c>
      <c r="B534"/>
      <c r="C534"/>
      <c r="D534"/>
      <c r="E534"/>
      <c r="KE534" s="27" t="s">
        <v>8</v>
      </c>
      <c r="KF534" s="27" t="s">
        <v>7</v>
      </c>
      <c r="KG534" s="27" t="s">
        <v>8</v>
      </c>
      <c r="KM534" s="27" t="s">
        <v>8</v>
      </c>
      <c r="KN534" s="27" t="s">
        <v>7</v>
      </c>
      <c r="KQ534" s="27" t="s">
        <v>8</v>
      </c>
      <c r="KR534" s="27" t="s">
        <v>7</v>
      </c>
      <c r="KS534" s="27" t="s">
        <v>8</v>
      </c>
      <c r="KT534" s="27" t="s">
        <v>7</v>
      </c>
      <c r="KU534" s="27" t="s">
        <v>8</v>
      </c>
      <c r="KZ534" s="27" t="s">
        <v>7</v>
      </c>
      <c r="LK534" s="27" t="s">
        <v>8</v>
      </c>
      <c r="LL534" s="27" t="s">
        <v>7</v>
      </c>
      <c r="LM534" s="27" t="s">
        <v>8</v>
      </c>
      <c r="LN534" s="27" t="s">
        <v>7</v>
      </c>
      <c r="LO534" s="27" t="s">
        <v>8</v>
      </c>
      <c r="LP534" s="27" t="s">
        <v>7</v>
      </c>
      <c r="NC534" s="27" t="s">
        <v>8</v>
      </c>
      <c r="ND534" s="27" t="s">
        <v>7</v>
      </c>
      <c r="NE534" s="27" t="s">
        <v>8</v>
      </c>
      <c r="NI534" s="27" t="s">
        <v>8</v>
      </c>
      <c r="NK534" s="27" t="s">
        <v>8</v>
      </c>
      <c r="NL534" s="27" t="s">
        <v>7</v>
      </c>
      <c r="NM534" s="27" t="s">
        <v>8</v>
      </c>
      <c r="NN534" s="27" t="s">
        <v>7</v>
      </c>
      <c r="NO534" s="27" t="s">
        <v>8</v>
      </c>
      <c r="NR534" s="27" t="s">
        <v>7</v>
      </c>
      <c r="NS534" s="27" t="s">
        <v>8</v>
      </c>
      <c r="OB534" s="27" t="s">
        <v>7</v>
      </c>
      <c r="PA534" s="27" t="s">
        <v>8</v>
      </c>
      <c r="PC534" s="27" t="s">
        <v>8</v>
      </c>
      <c r="PI534" s="27" t="s">
        <v>8</v>
      </c>
      <c r="PN534" s="27" t="s">
        <v>7</v>
      </c>
      <c r="PO534" s="27" t="s">
        <v>8</v>
      </c>
      <c r="PP534" s="27" t="s">
        <v>7</v>
      </c>
      <c r="PQ534" s="27" t="s">
        <v>8</v>
      </c>
      <c r="PR534" s="27" t="s">
        <v>7</v>
      </c>
      <c r="PS534" s="27" t="s">
        <v>8</v>
      </c>
      <c r="PT534" s="27" t="s">
        <v>7</v>
      </c>
    </row>
    <row r="535" spans="1:440" x14ac:dyDescent="0.25">
      <c r="A535" s="7">
        <v>2.8003281854481812</v>
      </c>
      <c r="B535"/>
      <c r="C535"/>
      <c r="D535"/>
      <c r="E535"/>
      <c r="KE535" s="27" t="s">
        <v>8</v>
      </c>
      <c r="KF535" s="27" t="s">
        <v>7</v>
      </c>
      <c r="KG535" s="27" t="s">
        <v>8</v>
      </c>
      <c r="KH535" s="27" t="s">
        <v>7</v>
      </c>
      <c r="KM535" s="27" t="s">
        <v>8</v>
      </c>
      <c r="KN535" s="27" t="s">
        <v>7</v>
      </c>
      <c r="KQ535" s="27" t="s">
        <v>8</v>
      </c>
      <c r="KR535" s="27" t="s">
        <v>7</v>
      </c>
      <c r="KS535" s="27" t="s">
        <v>8</v>
      </c>
      <c r="KT535" s="27" t="s">
        <v>7</v>
      </c>
      <c r="KU535" s="27" t="s">
        <v>8</v>
      </c>
      <c r="KZ535" s="27" t="s">
        <v>7</v>
      </c>
      <c r="LK535" s="27" t="s">
        <v>8</v>
      </c>
      <c r="LL535" s="27" t="s">
        <v>7</v>
      </c>
      <c r="LM535" s="27" t="s">
        <v>8</v>
      </c>
      <c r="LN535" s="27" t="s">
        <v>7</v>
      </c>
      <c r="LO535" s="27" t="s">
        <v>8</v>
      </c>
      <c r="LP535" s="27" t="s">
        <v>7</v>
      </c>
      <c r="NC535" s="27" t="s">
        <v>8</v>
      </c>
      <c r="ND535" s="27" t="s">
        <v>7</v>
      </c>
      <c r="NE535" s="27" t="s">
        <v>8</v>
      </c>
      <c r="NF535" s="27" t="s">
        <v>7</v>
      </c>
      <c r="NI535" s="27" t="s">
        <v>8</v>
      </c>
      <c r="NJ535" s="27" t="s">
        <v>7</v>
      </c>
      <c r="NK535" s="27" t="s">
        <v>8</v>
      </c>
      <c r="NL535" s="27" t="s">
        <v>7</v>
      </c>
      <c r="NM535" s="27" t="s">
        <v>8</v>
      </c>
      <c r="NN535" s="27" t="s">
        <v>7</v>
      </c>
      <c r="NO535" s="27" t="s">
        <v>8</v>
      </c>
      <c r="NR535" s="27" t="s">
        <v>7</v>
      </c>
      <c r="NS535" s="27" t="s">
        <v>8</v>
      </c>
      <c r="OB535" s="27" t="s">
        <v>7</v>
      </c>
      <c r="PA535" s="27" t="s">
        <v>8</v>
      </c>
      <c r="PB535" s="27" t="s">
        <v>7</v>
      </c>
      <c r="PC535" s="27" t="s">
        <v>8</v>
      </c>
      <c r="PD535" s="27" t="s">
        <v>7</v>
      </c>
      <c r="PE535" s="27" t="s">
        <v>8</v>
      </c>
      <c r="PG535" s="27" t="s">
        <v>8</v>
      </c>
      <c r="PI535" s="27" t="s">
        <v>8</v>
      </c>
      <c r="PN535" s="27" t="s">
        <v>7</v>
      </c>
      <c r="PP535" s="27" t="s">
        <v>7</v>
      </c>
      <c r="PR535" s="27" t="s">
        <v>7</v>
      </c>
      <c r="PT535" s="27" t="s">
        <v>7</v>
      </c>
    </row>
    <row r="536" spans="1:440" x14ac:dyDescent="0.25">
      <c r="A536" s="7">
        <v>2.7454197896550796</v>
      </c>
      <c r="B536"/>
      <c r="C536"/>
      <c r="D536"/>
      <c r="E536"/>
      <c r="KE536" s="27" t="s">
        <v>8</v>
      </c>
      <c r="KF536" s="27" t="s">
        <v>7</v>
      </c>
      <c r="KG536" s="27" t="s">
        <v>8</v>
      </c>
      <c r="KH536" s="27" t="s">
        <v>7</v>
      </c>
      <c r="KI536" s="27" t="s">
        <v>8</v>
      </c>
      <c r="KM536" s="27" t="s">
        <v>8</v>
      </c>
      <c r="KN536" s="27" t="s">
        <v>7</v>
      </c>
      <c r="KQ536" s="27" t="s">
        <v>8</v>
      </c>
      <c r="KR536" s="27" t="s">
        <v>7</v>
      </c>
      <c r="KS536" s="27" t="s">
        <v>8</v>
      </c>
      <c r="KT536" s="27" t="s">
        <v>7</v>
      </c>
      <c r="KZ536" s="27" t="s">
        <v>7</v>
      </c>
      <c r="LA536" s="27" t="s">
        <v>8</v>
      </c>
      <c r="LK536" s="27" t="s">
        <v>8</v>
      </c>
      <c r="LL536" s="27" t="s">
        <v>7</v>
      </c>
      <c r="LM536" s="27" t="s">
        <v>8</v>
      </c>
      <c r="LN536" s="27" t="s">
        <v>7</v>
      </c>
      <c r="LP536" s="27" t="s">
        <v>7</v>
      </c>
      <c r="MY536" s="27" t="s">
        <v>8</v>
      </c>
      <c r="NA536" s="27" t="s">
        <v>8</v>
      </c>
      <c r="NC536" s="27" t="s">
        <v>8</v>
      </c>
      <c r="ND536" s="27" t="s">
        <v>7</v>
      </c>
      <c r="NE536" s="27" t="s">
        <v>8</v>
      </c>
      <c r="NF536" s="27" t="s">
        <v>7</v>
      </c>
      <c r="NG536" s="27" t="s">
        <v>8</v>
      </c>
      <c r="NI536" s="27" t="s">
        <v>8</v>
      </c>
      <c r="NJ536" s="27" t="s">
        <v>7</v>
      </c>
      <c r="NK536" s="27" t="s">
        <v>8</v>
      </c>
      <c r="NL536" s="27" t="s">
        <v>7</v>
      </c>
      <c r="NM536" s="27" t="s">
        <v>8</v>
      </c>
      <c r="NN536" s="27" t="s">
        <v>7</v>
      </c>
      <c r="NR536" s="27" t="s">
        <v>7</v>
      </c>
      <c r="NS536" s="27" t="s">
        <v>8</v>
      </c>
      <c r="OB536" s="27" t="s">
        <v>7</v>
      </c>
      <c r="OU536" s="27" t="s">
        <v>8</v>
      </c>
      <c r="PA536" s="27" t="s">
        <v>8</v>
      </c>
      <c r="PB536" s="27" t="s">
        <v>7</v>
      </c>
      <c r="PC536" s="27" t="s">
        <v>8</v>
      </c>
      <c r="PD536" s="27" t="s">
        <v>7</v>
      </c>
      <c r="PE536" s="27" t="s">
        <v>8</v>
      </c>
      <c r="PF536" s="27" t="s">
        <v>7</v>
      </c>
      <c r="PG536" s="27" t="s">
        <v>8</v>
      </c>
      <c r="PH536" s="27" t="s">
        <v>7</v>
      </c>
      <c r="PI536" s="27" t="s">
        <v>8</v>
      </c>
      <c r="PT536" s="27" t="s">
        <v>7</v>
      </c>
    </row>
    <row r="537" spans="1:440" x14ac:dyDescent="0.25">
      <c r="A537" s="7">
        <v>2.6915880290736074</v>
      </c>
      <c r="B537"/>
      <c r="C537"/>
      <c r="D537"/>
      <c r="E537"/>
      <c r="JY537" s="27" t="s">
        <v>8</v>
      </c>
      <c r="KE537" s="27" t="s">
        <v>8</v>
      </c>
      <c r="KF537" s="27" t="s">
        <v>7</v>
      </c>
      <c r="KG537" s="27" t="s">
        <v>8</v>
      </c>
      <c r="KH537" s="27" t="s">
        <v>7</v>
      </c>
      <c r="KI537" s="27" t="s">
        <v>8</v>
      </c>
      <c r="KJ537" s="27" t="s">
        <v>7</v>
      </c>
      <c r="KM537" s="27" t="s">
        <v>8</v>
      </c>
      <c r="KN537" s="27" t="s">
        <v>7</v>
      </c>
      <c r="KQ537" s="27" t="s">
        <v>8</v>
      </c>
      <c r="KR537" s="27" t="s">
        <v>7</v>
      </c>
      <c r="KS537" s="27" t="s">
        <v>8</v>
      </c>
      <c r="KZ537" s="27" t="s">
        <v>7</v>
      </c>
      <c r="LA537" s="27" t="s">
        <v>8</v>
      </c>
      <c r="LB537" s="27" t="s">
        <v>7</v>
      </c>
      <c r="LK537" s="27" t="s">
        <v>8</v>
      </c>
      <c r="LL537" s="27" t="s">
        <v>7</v>
      </c>
      <c r="LM537" s="27" t="s">
        <v>8</v>
      </c>
      <c r="LP537" s="27" t="s">
        <v>7</v>
      </c>
      <c r="MY537" s="27" t="s">
        <v>8</v>
      </c>
      <c r="MZ537" s="27" t="s">
        <v>7</v>
      </c>
      <c r="NA537" s="27" t="s">
        <v>8</v>
      </c>
      <c r="NB537" s="27" t="s">
        <v>7</v>
      </c>
      <c r="NC537" s="27" t="s">
        <v>8</v>
      </c>
      <c r="ND537" s="27" t="s">
        <v>7</v>
      </c>
      <c r="NE537" s="27" t="s">
        <v>8</v>
      </c>
      <c r="NF537" s="27" t="s">
        <v>7</v>
      </c>
      <c r="NG537" s="27" t="s">
        <v>8</v>
      </c>
      <c r="NH537" s="27" t="s">
        <v>7</v>
      </c>
      <c r="NI537" s="27" t="s">
        <v>8</v>
      </c>
      <c r="NJ537" s="27" t="s">
        <v>7</v>
      </c>
      <c r="NK537" s="27" t="s">
        <v>8</v>
      </c>
      <c r="NL537" s="27" t="s">
        <v>7</v>
      </c>
      <c r="NR537" s="27" t="s">
        <v>7</v>
      </c>
      <c r="NS537" s="27" t="s">
        <v>8</v>
      </c>
      <c r="OB537" s="27" t="s">
        <v>7</v>
      </c>
      <c r="OU537" s="27" t="s">
        <v>8</v>
      </c>
      <c r="OV537" s="27" t="s">
        <v>7</v>
      </c>
      <c r="OY537" s="27" t="s">
        <v>8</v>
      </c>
      <c r="PA537" s="27" t="s">
        <v>8</v>
      </c>
      <c r="PB537" s="27" t="s">
        <v>7</v>
      </c>
      <c r="PC537" s="27" t="s">
        <v>8</v>
      </c>
      <c r="PD537" s="27" t="s">
        <v>7</v>
      </c>
      <c r="PE537" s="27" t="s">
        <v>8</v>
      </c>
      <c r="PF537" s="27" t="s">
        <v>7</v>
      </c>
      <c r="PG537" s="27" t="s">
        <v>8</v>
      </c>
      <c r="PH537" s="27" t="s">
        <v>7</v>
      </c>
      <c r="PI537" s="27" t="s">
        <v>8</v>
      </c>
      <c r="PT537" s="27" t="s">
        <v>7</v>
      </c>
    </row>
    <row r="538" spans="1:440" x14ac:dyDescent="0.25">
      <c r="A538" s="7">
        <v>2.6388117932094191</v>
      </c>
      <c r="B538"/>
      <c r="C538"/>
      <c r="D538"/>
      <c r="E538"/>
      <c r="JY538" s="27" t="s">
        <v>8</v>
      </c>
      <c r="JZ538" s="27" t="s">
        <v>7</v>
      </c>
      <c r="KE538" s="27" t="s">
        <v>8</v>
      </c>
      <c r="KF538" s="27" t="s">
        <v>7</v>
      </c>
      <c r="KG538" s="27" t="s">
        <v>8</v>
      </c>
      <c r="KH538" s="27" t="s">
        <v>7</v>
      </c>
      <c r="KI538" s="27" t="s">
        <v>8</v>
      </c>
      <c r="KJ538" s="27" t="s">
        <v>7</v>
      </c>
      <c r="KM538" s="27" t="s">
        <v>8</v>
      </c>
      <c r="KN538" s="27" t="s">
        <v>7</v>
      </c>
      <c r="KO538" s="27" t="s">
        <v>8</v>
      </c>
      <c r="KQ538" s="27" t="s">
        <v>8</v>
      </c>
      <c r="KR538" s="27" t="s">
        <v>7</v>
      </c>
      <c r="KS538" s="27" t="s">
        <v>8</v>
      </c>
      <c r="KZ538" s="27" t="s">
        <v>7</v>
      </c>
      <c r="LA538" s="27" t="s">
        <v>8</v>
      </c>
      <c r="LB538" s="27" t="s">
        <v>7</v>
      </c>
      <c r="LI538" s="27" t="s">
        <v>8</v>
      </c>
      <c r="LK538" s="27" t="s">
        <v>8</v>
      </c>
      <c r="LL538" s="27" t="s">
        <v>7</v>
      </c>
      <c r="LM538" s="27" t="s">
        <v>8</v>
      </c>
      <c r="LP538" s="27" t="s">
        <v>7</v>
      </c>
      <c r="MY538" s="27" t="s">
        <v>8</v>
      </c>
      <c r="MZ538" s="27" t="s">
        <v>7</v>
      </c>
      <c r="NA538" s="27" t="s">
        <v>8</v>
      </c>
      <c r="NB538" s="27" t="s">
        <v>7</v>
      </c>
      <c r="NC538" s="27" t="s">
        <v>8</v>
      </c>
      <c r="ND538" s="27" t="s">
        <v>7</v>
      </c>
      <c r="NE538" s="27" t="s">
        <v>8</v>
      </c>
      <c r="NF538" s="27" t="s">
        <v>7</v>
      </c>
      <c r="NG538" s="27" t="s">
        <v>8</v>
      </c>
      <c r="NH538" s="27" t="s">
        <v>7</v>
      </c>
      <c r="NI538" s="27" t="s">
        <v>8</v>
      </c>
      <c r="NJ538" s="27" t="s">
        <v>7</v>
      </c>
      <c r="NK538" s="27" t="s">
        <v>8</v>
      </c>
      <c r="NR538" s="27" t="s">
        <v>7</v>
      </c>
      <c r="NS538" s="27" t="s">
        <v>8</v>
      </c>
      <c r="OB538" s="27" t="s">
        <v>7</v>
      </c>
      <c r="OM538" s="27" t="s">
        <v>8</v>
      </c>
      <c r="OU538" s="27" t="s">
        <v>8</v>
      </c>
      <c r="OV538" s="27" t="s">
        <v>7</v>
      </c>
      <c r="OW538" s="27" t="s">
        <v>8</v>
      </c>
      <c r="OY538" s="27" t="s">
        <v>8</v>
      </c>
      <c r="OZ538" s="27" t="s">
        <v>7</v>
      </c>
      <c r="PA538" s="27" t="s">
        <v>8</v>
      </c>
      <c r="PB538" s="27" t="s">
        <v>7</v>
      </c>
      <c r="PD538" s="27" t="s">
        <v>7</v>
      </c>
      <c r="PE538" s="27" t="s">
        <v>8</v>
      </c>
      <c r="PF538" s="27" t="s">
        <v>7</v>
      </c>
      <c r="PG538" s="27" t="s">
        <v>8</v>
      </c>
      <c r="PH538" s="27" t="s">
        <v>7</v>
      </c>
      <c r="PI538" s="27" t="s">
        <v>8</v>
      </c>
      <c r="PT538" s="27" t="s">
        <v>7</v>
      </c>
    </row>
    <row r="539" spans="1:440" x14ac:dyDescent="0.25">
      <c r="A539" s="7">
        <v>2.5870703854994304</v>
      </c>
      <c r="B539"/>
      <c r="C539"/>
      <c r="D539"/>
      <c r="E539"/>
      <c r="JY539" s="27" t="s">
        <v>8</v>
      </c>
      <c r="JZ539" s="27" t="s">
        <v>7</v>
      </c>
      <c r="KE539" s="27" t="s">
        <v>8</v>
      </c>
      <c r="KF539" s="27" t="s">
        <v>7</v>
      </c>
      <c r="KG539" s="27" t="s">
        <v>8</v>
      </c>
      <c r="KH539" s="27" t="s">
        <v>7</v>
      </c>
      <c r="KI539" s="27" t="s">
        <v>8</v>
      </c>
      <c r="KJ539" s="27" t="s">
        <v>7</v>
      </c>
      <c r="KK539" s="27" t="s">
        <v>8</v>
      </c>
      <c r="KM539" s="27" t="s">
        <v>8</v>
      </c>
      <c r="KN539" s="27" t="s">
        <v>7</v>
      </c>
      <c r="KO539" s="27" t="s">
        <v>8</v>
      </c>
      <c r="KP539" s="27" t="s">
        <v>7</v>
      </c>
      <c r="KQ539" s="27" t="s">
        <v>8</v>
      </c>
      <c r="KR539" s="27" t="s">
        <v>7</v>
      </c>
      <c r="KS539" s="27" t="s">
        <v>8</v>
      </c>
      <c r="KZ539" s="27" t="s">
        <v>7</v>
      </c>
      <c r="LA539" s="27" t="s">
        <v>8</v>
      </c>
      <c r="LB539" s="27" t="s">
        <v>7</v>
      </c>
      <c r="LI539" s="27" t="s">
        <v>8</v>
      </c>
      <c r="LJ539" s="27" t="s">
        <v>7</v>
      </c>
      <c r="LK539" s="27" t="s">
        <v>8</v>
      </c>
      <c r="LL539" s="27" t="s">
        <v>7</v>
      </c>
      <c r="LP539" s="27" t="s">
        <v>7</v>
      </c>
      <c r="LQ539" s="27" t="s">
        <v>8</v>
      </c>
      <c r="MY539" s="27" t="s">
        <v>8</v>
      </c>
      <c r="MZ539" s="27" t="s">
        <v>7</v>
      </c>
      <c r="NA539" s="27" t="s">
        <v>8</v>
      </c>
      <c r="NB539" s="27" t="s">
        <v>7</v>
      </c>
      <c r="NC539" s="27" t="s">
        <v>8</v>
      </c>
      <c r="ND539" s="27" t="s">
        <v>7</v>
      </c>
      <c r="NF539" s="27" t="s">
        <v>7</v>
      </c>
      <c r="NG539" s="27" t="s">
        <v>8</v>
      </c>
      <c r="NH539" s="27" t="s">
        <v>7</v>
      </c>
      <c r="NI539" s="27" t="s">
        <v>8</v>
      </c>
      <c r="NJ539" s="27" t="s">
        <v>7</v>
      </c>
      <c r="NR539" s="27" t="s">
        <v>7</v>
      </c>
      <c r="OB539" s="27" t="s">
        <v>7</v>
      </c>
      <c r="OM539" s="27" t="s">
        <v>8</v>
      </c>
      <c r="ON539" s="27" t="s">
        <v>7</v>
      </c>
      <c r="OU539" s="27" t="s">
        <v>8</v>
      </c>
      <c r="OV539" s="27" t="s">
        <v>7</v>
      </c>
      <c r="OW539" s="27" t="s">
        <v>8</v>
      </c>
      <c r="OX539" s="27" t="s">
        <v>7</v>
      </c>
      <c r="OY539" s="27" t="s">
        <v>8</v>
      </c>
      <c r="OZ539" s="27" t="s">
        <v>7</v>
      </c>
      <c r="PA539" s="27" t="s">
        <v>8</v>
      </c>
      <c r="PD539" s="27" t="s">
        <v>7</v>
      </c>
      <c r="PF539" s="27" t="s">
        <v>7</v>
      </c>
      <c r="PH539" s="27" t="s">
        <v>7</v>
      </c>
      <c r="PI539" s="27" t="s">
        <v>8</v>
      </c>
      <c r="PT539" s="27" t="s">
        <v>7</v>
      </c>
    </row>
    <row r="540" spans="1:440" x14ac:dyDescent="0.25">
      <c r="A540" s="7">
        <v>2.53634351519552</v>
      </c>
      <c r="B540"/>
      <c r="C540"/>
      <c r="D540"/>
      <c r="E540"/>
      <c r="JY540" s="27" t="s">
        <v>8</v>
      </c>
      <c r="JZ540" s="27" t="s">
        <v>7</v>
      </c>
      <c r="KE540" s="27" t="s">
        <v>8</v>
      </c>
      <c r="KF540" s="27" t="s">
        <v>7</v>
      </c>
      <c r="KG540" s="27" t="s">
        <v>8</v>
      </c>
      <c r="KH540" s="27" t="s">
        <v>7</v>
      </c>
      <c r="KI540" s="27" t="s">
        <v>8</v>
      </c>
      <c r="KJ540" s="27" t="s">
        <v>7</v>
      </c>
      <c r="KK540" s="27" t="s">
        <v>8</v>
      </c>
      <c r="KL540" s="27" t="s">
        <v>7</v>
      </c>
      <c r="KM540" s="27" t="s">
        <v>8</v>
      </c>
      <c r="KN540" s="27" t="s">
        <v>7</v>
      </c>
      <c r="KO540" s="27" t="s">
        <v>8</v>
      </c>
      <c r="KP540" s="27" t="s">
        <v>7</v>
      </c>
      <c r="KQ540" s="27" t="s">
        <v>8</v>
      </c>
      <c r="KR540" s="27" t="s">
        <v>7</v>
      </c>
      <c r="KZ540" s="27" t="s">
        <v>7</v>
      </c>
      <c r="LA540" s="27" t="s">
        <v>8</v>
      </c>
      <c r="LB540" s="27" t="s">
        <v>7</v>
      </c>
      <c r="LC540" s="27" t="s">
        <v>8</v>
      </c>
      <c r="LI540" s="27" t="s">
        <v>8</v>
      </c>
      <c r="LJ540" s="27" t="s">
        <v>7</v>
      </c>
      <c r="LK540" s="27" t="s">
        <v>8</v>
      </c>
      <c r="LP540" s="27" t="s">
        <v>7</v>
      </c>
      <c r="LQ540" s="27" t="s">
        <v>8</v>
      </c>
      <c r="LR540" s="27" t="s">
        <v>7</v>
      </c>
      <c r="MY540" s="27" t="s">
        <v>8</v>
      </c>
      <c r="MZ540" s="27" t="s">
        <v>7</v>
      </c>
      <c r="NA540" s="27" t="s">
        <v>8</v>
      </c>
      <c r="NB540" s="27" t="s">
        <v>7</v>
      </c>
      <c r="NC540" s="27" t="s">
        <v>8</v>
      </c>
      <c r="NF540" s="27" t="s">
        <v>7</v>
      </c>
      <c r="NH540" s="27" t="s">
        <v>7</v>
      </c>
      <c r="OB540" s="27" t="s">
        <v>7</v>
      </c>
      <c r="OG540" s="27" t="s">
        <v>8</v>
      </c>
      <c r="OM540" s="27" t="s">
        <v>8</v>
      </c>
      <c r="ON540" s="27" t="s">
        <v>7</v>
      </c>
      <c r="OU540" s="27" t="s">
        <v>8</v>
      </c>
      <c r="OV540" s="27" t="s">
        <v>7</v>
      </c>
      <c r="OW540" s="27" t="s">
        <v>8</v>
      </c>
      <c r="OX540" s="27" t="s">
        <v>7</v>
      </c>
      <c r="OY540" s="27" t="s">
        <v>8</v>
      </c>
      <c r="OZ540" s="27" t="s">
        <v>7</v>
      </c>
      <c r="PA540" s="27" t="s">
        <v>8</v>
      </c>
      <c r="PH540" s="27" t="s">
        <v>7</v>
      </c>
      <c r="PI540" s="27" t="s">
        <v>8</v>
      </c>
      <c r="PT540" s="27" t="s">
        <v>7</v>
      </c>
    </row>
    <row r="541" spans="1:440" x14ac:dyDescent="0.25">
      <c r="A541" s="7">
        <v>2.4866112894073726</v>
      </c>
      <c r="B541"/>
      <c r="C541"/>
      <c r="D541"/>
      <c r="E541"/>
      <c r="JY541" s="27" t="s">
        <v>8</v>
      </c>
      <c r="JZ541" s="27" t="s">
        <v>7</v>
      </c>
      <c r="KE541" s="27" t="s">
        <v>8</v>
      </c>
      <c r="KF541" s="27" t="s">
        <v>7</v>
      </c>
      <c r="KG541" s="27" t="s">
        <v>8</v>
      </c>
      <c r="KH541" s="27" t="s">
        <v>7</v>
      </c>
      <c r="KI541" s="27" t="s">
        <v>8</v>
      </c>
      <c r="KJ541" s="27" t="s">
        <v>7</v>
      </c>
      <c r="KK541" s="27" t="s">
        <v>8</v>
      </c>
      <c r="KL541" s="27" t="s">
        <v>7</v>
      </c>
      <c r="KM541" s="27" t="s">
        <v>8</v>
      </c>
      <c r="KN541" s="27" t="s">
        <v>7</v>
      </c>
      <c r="KO541" s="27" t="s">
        <v>8</v>
      </c>
      <c r="KP541" s="27" t="s">
        <v>7</v>
      </c>
      <c r="KZ541" s="27" t="s">
        <v>7</v>
      </c>
      <c r="LA541" s="27" t="s">
        <v>8</v>
      </c>
      <c r="LB541" s="27" t="s">
        <v>7</v>
      </c>
      <c r="LC541" s="27" t="s">
        <v>8</v>
      </c>
      <c r="LD541" s="27" t="s">
        <v>7</v>
      </c>
      <c r="LI541" s="27" t="s">
        <v>8</v>
      </c>
      <c r="LJ541" s="27" t="s">
        <v>7</v>
      </c>
      <c r="LK541" s="27" t="s">
        <v>8</v>
      </c>
      <c r="LP541" s="27" t="s">
        <v>7</v>
      </c>
      <c r="LQ541" s="27" t="s">
        <v>8</v>
      </c>
      <c r="LR541" s="27" t="s">
        <v>7</v>
      </c>
      <c r="MW541" s="27" t="s">
        <v>8</v>
      </c>
      <c r="MY541" s="27" t="s">
        <v>8</v>
      </c>
      <c r="MZ541" s="27" t="s">
        <v>7</v>
      </c>
      <c r="NA541" s="27" t="s">
        <v>8</v>
      </c>
      <c r="NB541" s="27" t="s">
        <v>7</v>
      </c>
      <c r="NC541" s="27" t="s">
        <v>8</v>
      </c>
      <c r="OB541" s="27" t="s">
        <v>7</v>
      </c>
      <c r="OC541" s="27" t="s">
        <v>8</v>
      </c>
      <c r="OG541" s="27" t="s">
        <v>8</v>
      </c>
      <c r="OH541" s="27" t="s">
        <v>7</v>
      </c>
      <c r="OM541" s="27" t="s">
        <v>8</v>
      </c>
      <c r="ON541" s="27" t="s">
        <v>7</v>
      </c>
      <c r="OO541" s="27" t="s">
        <v>8</v>
      </c>
      <c r="OU541" s="27" t="s">
        <v>8</v>
      </c>
      <c r="OV541" s="27" t="s">
        <v>7</v>
      </c>
      <c r="OX541" s="27" t="s">
        <v>7</v>
      </c>
      <c r="OY541" s="27" t="s">
        <v>8</v>
      </c>
      <c r="OZ541" s="27" t="s">
        <v>7</v>
      </c>
      <c r="PA541" s="27" t="s">
        <v>8</v>
      </c>
      <c r="PH541" s="27" t="s">
        <v>7</v>
      </c>
      <c r="PI541" s="27" t="s">
        <v>8</v>
      </c>
      <c r="PT541" s="27" t="s">
        <v>7</v>
      </c>
    </row>
    <row r="542" spans="1:440" x14ac:dyDescent="0.25">
      <c r="A542" s="7">
        <v>2.4378542053013459</v>
      </c>
      <c r="B542"/>
      <c r="C542"/>
      <c r="D542"/>
      <c r="E542"/>
      <c r="JS542" s="27" t="s">
        <v>8</v>
      </c>
      <c r="JY542" s="27" t="s">
        <v>8</v>
      </c>
      <c r="JZ542" s="27" t="s">
        <v>7</v>
      </c>
      <c r="KE542" s="27" t="s">
        <v>8</v>
      </c>
      <c r="KF542" s="27" t="s">
        <v>7</v>
      </c>
      <c r="KG542" s="27" t="s">
        <v>8</v>
      </c>
      <c r="KH542" s="27" t="s">
        <v>7</v>
      </c>
      <c r="KI542" s="27" t="s">
        <v>8</v>
      </c>
      <c r="KJ542" s="27" t="s">
        <v>7</v>
      </c>
      <c r="KK542" s="27" t="s">
        <v>8</v>
      </c>
      <c r="KL542" s="27" t="s">
        <v>7</v>
      </c>
      <c r="KM542" s="27" t="s">
        <v>8</v>
      </c>
      <c r="KN542" s="27" t="s">
        <v>7</v>
      </c>
      <c r="KO542" s="27" t="s">
        <v>8</v>
      </c>
      <c r="KZ542" s="27" t="s">
        <v>7</v>
      </c>
      <c r="LA542" s="27" t="s">
        <v>8</v>
      </c>
      <c r="LB542" s="27" t="s">
        <v>7</v>
      </c>
      <c r="LC542" s="27" t="s">
        <v>8</v>
      </c>
      <c r="LD542" s="27" t="s">
        <v>7</v>
      </c>
      <c r="LG542" s="27" t="s">
        <v>8</v>
      </c>
      <c r="LI542" s="27" t="s">
        <v>8</v>
      </c>
      <c r="LJ542" s="27" t="s">
        <v>7</v>
      </c>
      <c r="LK542" s="27" t="s">
        <v>8</v>
      </c>
      <c r="LP542" s="27" t="s">
        <v>7</v>
      </c>
      <c r="LQ542" s="27" t="s">
        <v>8</v>
      </c>
      <c r="LR542" s="27" t="s">
        <v>7</v>
      </c>
      <c r="MW542" s="27" t="s">
        <v>8</v>
      </c>
      <c r="MX542" s="27" t="s">
        <v>7</v>
      </c>
      <c r="MY542" s="27" t="s">
        <v>8</v>
      </c>
      <c r="MZ542" s="27" t="s">
        <v>7</v>
      </c>
      <c r="NA542" s="27" t="s">
        <v>8</v>
      </c>
      <c r="NB542" s="27" t="s">
        <v>7</v>
      </c>
      <c r="NC542" s="27" t="s">
        <v>8</v>
      </c>
      <c r="OB542" s="27" t="s">
        <v>7</v>
      </c>
      <c r="OC542" s="27" t="s">
        <v>8</v>
      </c>
      <c r="OD542" s="27" t="s">
        <v>7</v>
      </c>
      <c r="OG542" s="27" t="s">
        <v>8</v>
      </c>
      <c r="OH542" s="27" t="s">
        <v>7</v>
      </c>
      <c r="OK542" s="27" t="s">
        <v>8</v>
      </c>
      <c r="OM542" s="27" t="s">
        <v>8</v>
      </c>
      <c r="ON542" s="27" t="s">
        <v>7</v>
      </c>
      <c r="OO542" s="27" t="s">
        <v>8</v>
      </c>
      <c r="OP542" s="27" t="s">
        <v>7</v>
      </c>
      <c r="OS542" s="27" t="s">
        <v>8</v>
      </c>
      <c r="OU542" s="27" t="s">
        <v>8</v>
      </c>
      <c r="OX542" s="27" t="s">
        <v>7</v>
      </c>
      <c r="OY542" s="27" t="s">
        <v>8</v>
      </c>
      <c r="OZ542" s="27" t="s">
        <v>7</v>
      </c>
      <c r="PH542" s="27" t="s">
        <v>7</v>
      </c>
      <c r="PI542" s="27" t="s">
        <v>8</v>
      </c>
      <c r="PT542" s="27" t="s">
        <v>7</v>
      </c>
      <c r="PU542" s="27" t="s">
        <v>8</v>
      </c>
      <c r="PW542" s="27" t="s">
        <v>8</v>
      </c>
    </row>
    <row r="543" spans="1:440" x14ac:dyDescent="0.25">
      <c r="A543" s="7">
        <v>2.3900531424522997</v>
      </c>
      <c r="B543"/>
      <c r="C543"/>
      <c r="D543"/>
      <c r="E543"/>
      <c r="JS543" s="27" t="s">
        <v>8</v>
      </c>
      <c r="JT543" s="27" t="s">
        <v>7</v>
      </c>
      <c r="JY543" s="27" t="s">
        <v>8</v>
      </c>
      <c r="JZ543" s="27" t="s">
        <v>7</v>
      </c>
      <c r="KE543" s="27" t="s">
        <v>8</v>
      </c>
      <c r="KF543" s="27" t="s">
        <v>7</v>
      </c>
      <c r="KH543" s="27" t="s">
        <v>7</v>
      </c>
      <c r="KI543" s="27" t="s">
        <v>8</v>
      </c>
      <c r="KJ543" s="27" t="s">
        <v>7</v>
      </c>
      <c r="KK543" s="27" t="s">
        <v>8</v>
      </c>
      <c r="KL543" s="27" t="s">
        <v>7</v>
      </c>
      <c r="KN543" s="27" t="s">
        <v>7</v>
      </c>
      <c r="KO543" s="27" t="s">
        <v>8</v>
      </c>
      <c r="KZ543" s="27" t="s">
        <v>7</v>
      </c>
      <c r="LA543" s="27" t="s">
        <v>8</v>
      </c>
      <c r="LB543" s="27" t="s">
        <v>7</v>
      </c>
      <c r="LC543" s="27" t="s">
        <v>8</v>
      </c>
      <c r="LD543" s="27" t="s">
        <v>7</v>
      </c>
      <c r="LG543" s="27" t="s">
        <v>8</v>
      </c>
      <c r="LH543" s="27" t="s">
        <v>7</v>
      </c>
      <c r="LI543" s="27" t="s">
        <v>8</v>
      </c>
      <c r="LJ543" s="27" t="s">
        <v>7</v>
      </c>
      <c r="LP543" s="27" t="s">
        <v>7</v>
      </c>
      <c r="LQ543" s="27" t="s">
        <v>8</v>
      </c>
      <c r="LR543" s="27" t="s">
        <v>7</v>
      </c>
      <c r="MW543" s="27" t="s">
        <v>8</v>
      </c>
      <c r="MX543" s="27" t="s">
        <v>7</v>
      </c>
      <c r="MY543" s="27" t="s">
        <v>8</v>
      </c>
      <c r="MZ543" s="27" t="s">
        <v>7</v>
      </c>
      <c r="NA543" s="27" t="s">
        <v>8</v>
      </c>
      <c r="NB543" s="27" t="s">
        <v>7</v>
      </c>
      <c r="NC543" s="27" t="s">
        <v>8</v>
      </c>
      <c r="OB543" s="27" t="s">
        <v>7</v>
      </c>
      <c r="OC543" s="27" t="s">
        <v>8</v>
      </c>
      <c r="OD543" s="27" t="s">
        <v>7</v>
      </c>
      <c r="OE543" s="27" t="s">
        <v>8</v>
      </c>
      <c r="OG543" s="27" t="s">
        <v>8</v>
      </c>
      <c r="OH543" s="27" t="s">
        <v>7</v>
      </c>
      <c r="OK543" s="27" t="s">
        <v>8</v>
      </c>
      <c r="OL543" s="27" t="s">
        <v>7</v>
      </c>
      <c r="OM543" s="27" t="s">
        <v>8</v>
      </c>
      <c r="ON543" s="27" t="s">
        <v>7</v>
      </c>
      <c r="OO543" s="27" t="s">
        <v>8</v>
      </c>
      <c r="OP543" s="27" t="s">
        <v>7</v>
      </c>
      <c r="OQ543" s="27" t="s">
        <v>8</v>
      </c>
      <c r="OS543" s="27" t="s">
        <v>8</v>
      </c>
      <c r="OT543" s="27" t="s">
        <v>7</v>
      </c>
      <c r="OU543" s="27" t="s">
        <v>8</v>
      </c>
      <c r="OX543" s="27" t="s">
        <v>7</v>
      </c>
      <c r="OY543" s="27" t="s">
        <v>8</v>
      </c>
      <c r="PH543" s="27" t="s">
        <v>7</v>
      </c>
      <c r="PT543" s="27" t="s">
        <v>7</v>
      </c>
      <c r="PU543" s="27" t="s">
        <v>8</v>
      </c>
      <c r="PV543" s="27" t="s">
        <v>7</v>
      </c>
      <c r="PW543" s="27" t="s">
        <v>8</v>
      </c>
      <c r="PX543" s="27" t="s">
        <v>7</v>
      </c>
    </row>
    <row r="544" spans="1:440" x14ac:dyDescent="0.25">
      <c r="A544" s="7">
        <v>2.343189355345392</v>
      </c>
      <c r="B544"/>
      <c r="C544"/>
      <c r="D544"/>
      <c r="E544"/>
      <c r="JS544" s="27" t="s">
        <v>8</v>
      </c>
      <c r="JT544" s="27" t="s">
        <v>7</v>
      </c>
      <c r="JY544" s="27" t="s">
        <v>8</v>
      </c>
      <c r="JZ544" s="27" t="s">
        <v>7</v>
      </c>
      <c r="KE544" s="27" t="s">
        <v>8</v>
      </c>
      <c r="KH544" s="27" t="s">
        <v>7</v>
      </c>
      <c r="KI544" s="27" t="s">
        <v>8</v>
      </c>
      <c r="KJ544" s="27" t="s">
        <v>7</v>
      </c>
      <c r="KK544" s="27" t="s">
        <v>8</v>
      </c>
      <c r="KN544" s="27" t="s">
        <v>7</v>
      </c>
      <c r="KO544" s="27" t="s">
        <v>8</v>
      </c>
      <c r="KZ544" s="27" t="s">
        <v>7</v>
      </c>
      <c r="LA544" s="27" t="s">
        <v>8</v>
      </c>
      <c r="LB544" s="27" t="s">
        <v>7</v>
      </c>
      <c r="LC544" s="27" t="s">
        <v>8</v>
      </c>
      <c r="LD544" s="27" t="s">
        <v>7</v>
      </c>
      <c r="LG544" s="27" t="s">
        <v>8</v>
      </c>
      <c r="LH544" s="27" t="s">
        <v>7</v>
      </c>
      <c r="LI544" s="27" t="s">
        <v>8</v>
      </c>
      <c r="LP544" s="27" t="s">
        <v>7</v>
      </c>
      <c r="LQ544" s="27" t="s">
        <v>8</v>
      </c>
      <c r="LR544" s="27" t="s">
        <v>7</v>
      </c>
      <c r="MW544" s="27" t="s">
        <v>8</v>
      </c>
      <c r="MX544" s="27" t="s">
        <v>7</v>
      </c>
      <c r="MY544" s="27" t="s">
        <v>8</v>
      </c>
      <c r="MZ544" s="27" t="s">
        <v>7</v>
      </c>
      <c r="NB544" s="27" t="s">
        <v>7</v>
      </c>
      <c r="NC544" s="27" t="s">
        <v>8</v>
      </c>
      <c r="OB544" s="27" t="s">
        <v>7</v>
      </c>
      <c r="OC544" s="27" t="s">
        <v>8</v>
      </c>
      <c r="OD544" s="27" t="s">
        <v>7</v>
      </c>
      <c r="OE544" s="27" t="s">
        <v>8</v>
      </c>
      <c r="OF544" s="27" t="s">
        <v>7</v>
      </c>
      <c r="OG544" s="27" t="s">
        <v>8</v>
      </c>
      <c r="OH544" s="27" t="s">
        <v>7</v>
      </c>
      <c r="OI544" s="27" t="s">
        <v>8</v>
      </c>
      <c r="OK544" s="27" t="s">
        <v>8</v>
      </c>
      <c r="OL544" s="27" t="s">
        <v>7</v>
      </c>
      <c r="OM544" s="27" t="s">
        <v>8</v>
      </c>
      <c r="ON544" s="27" t="s">
        <v>7</v>
      </c>
      <c r="OO544" s="27" t="s">
        <v>8</v>
      </c>
      <c r="OP544" s="27" t="s">
        <v>7</v>
      </c>
      <c r="OQ544" s="27" t="s">
        <v>8</v>
      </c>
      <c r="OR544" s="27" t="s">
        <v>7</v>
      </c>
      <c r="OS544" s="27" t="s">
        <v>8</v>
      </c>
      <c r="OT544" s="27" t="s">
        <v>7</v>
      </c>
      <c r="OU544" s="27" t="s">
        <v>8</v>
      </c>
      <c r="OX544" s="27" t="s">
        <v>7</v>
      </c>
      <c r="OY544" s="27" t="s">
        <v>8</v>
      </c>
      <c r="PT544" s="27" t="s">
        <v>7</v>
      </c>
      <c r="PU544" s="27" t="s">
        <v>8</v>
      </c>
      <c r="PV544" s="27" t="s">
        <v>7</v>
      </c>
      <c r="PW544" s="27" t="s">
        <v>8</v>
      </c>
      <c r="PX544" s="27" t="s">
        <v>7</v>
      </c>
    </row>
    <row r="545" spans="1:450" x14ac:dyDescent="0.25">
      <c r="A545" s="7">
        <v>2.2972444660248938</v>
      </c>
      <c r="B545"/>
      <c r="C545"/>
      <c r="D545"/>
      <c r="E545"/>
      <c r="JS545" s="27" t="s">
        <v>8</v>
      </c>
      <c r="JT545" s="27" t="s">
        <v>7</v>
      </c>
      <c r="JY545" s="27" t="s">
        <v>8</v>
      </c>
      <c r="JZ545" s="27" t="s">
        <v>7</v>
      </c>
      <c r="KE545" s="27" t="s">
        <v>8</v>
      </c>
      <c r="KH545" s="27" t="s">
        <v>7</v>
      </c>
      <c r="KI545" s="27" t="s">
        <v>8</v>
      </c>
      <c r="KJ545" s="27" t="s">
        <v>7</v>
      </c>
      <c r="KK545" s="27" t="s">
        <v>8</v>
      </c>
      <c r="KN545" s="27" t="s">
        <v>7</v>
      </c>
      <c r="KO545" s="27" t="s">
        <v>8</v>
      </c>
      <c r="KZ545" s="27" t="s">
        <v>7</v>
      </c>
      <c r="LA545" s="27" t="s">
        <v>8</v>
      </c>
      <c r="LB545" s="27" t="s">
        <v>7</v>
      </c>
      <c r="LC545" s="27" t="s">
        <v>8</v>
      </c>
      <c r="LD545" s="27" t="s">
        <v>7</v>
      </c>
      <c r="LG545" s="27" t="s">
        <v>8</v>
      </c>
      <c r="LH545" s="27" t="s">
        <v>7</v>
      </c>
      <c r="LI545" s="27" t="s">
        <v>8</v>
      </c>
      <c r="LP545" s="27" t="s">
        <v>7</v>
      </c>
      <c r="LR545" s="27" t="s">
        <v>7</v>
      </c>
      <c r="MW545" s="27" t="s">
        <v>8</v>
      </c>
      <c r="MX545" s="27" t="s">
        <v>7</v>
      </c>
      <c r="MY545" s="27" t="s">
        <v>8</v>
      </c>
      <c r="NB545" s="27" t="s">
        <v>7</v>
      </c>
      <c r="NC545" s="27" t="s">
        <v>8</v>
      </c>
      <c r="OB545" s="27" t="s">
        <v>7</v>
      </c>
      <c r="OC545" s="27" t="s">
        <v>8</v>
      </c>
      <c r="OD545" s="27" t="s">
        <v>7</v>
      </c>
      <c r="OE545" s="27" t="s">
        <v>8</v>
      </c>
      <c r="OF545" s="27" t="s">
        <v>7</v>
      </c>
      <c r="OG545" s="27" t="s">
        <v>8</v>
      </c>
      <c r="OH545" s="27" t="s">
        <v>7</v>
      </c>
      <c r="OI545" s="27" t="s">
        <v>8</v>
      </c>
      <c r="OJ545" s="27" t="s">
        <v>7</v>
      </c>
      <c r="OK545" s="27" t="s">
        <v>8</v>
      </c>
      <c r="OL545" s="27" t="s">
        <v>7</v>
      </c>
      <c r="OM545" s="27" t="s">
        <v>8</v>
      </c>
      <c r="ON545" s="27" t="s">
        <v>7</v>
      </c>
      <c r="OP545" s="27" t="s">
        <v>7</v>
      </c>
      <c r="OQ545" s="27" t="s">
        <v>8</v>
      </c>
      <c r="OR545" s="27" t="s">
        <v>7</v>
      </c>
      <c r="OS545" s="27" t="s">
        <v>8</v>
      </c>
      <c r="OT545" s="27" t="s">
        <v>7</v>
      </c>
      <c r="OU545" s="27" t="s">
        <v>8</v>
      </c>
      <c r="OX545" s="27" t="s">
        <v>7</v>
      </c>
      <c r="OY545" s="27" t="s">
        <v>8</v>
      </c>
      <c r="PT545" s="27" t="s">
        <v>7</v>
      </c>
      <c r="PU545" s="27" t="s">
        <v>8</v>
      </c>
      <c r="PV545" s="27" t="s">
        <v>7</v>
      </c>
      <c r="PW545" s="27" t="s">
        <v>8</v>
      </c>
      <c r="PX545" s="27" t="s">
        <v>7</v>
      </c>
    </row>
    <row r="546" spans="1:450" x14ac:dyDescent="0.25">
      <c r="A546" s="7">
        <v>2.252200456887151</v>
      </c>
      <c r="B546"/>
      <c r="C546"/>
      <c r="D546"/>
      <c r="E546"/>
      <c r="JS546" s="27" t="s">
        <v>8</v>
      </c>
      <c r="JT546" s="27" t="s">
        <v>7</v>
      </c>
      <c r="JY546" s="27" t="s">
        <v>8</v>
      </c>
      <c r="JZ546" s="27" t="s">
        <v>7</v>
      </c>
      <c r="KC546" s="27" t="s">
        <v>8</v>
      </c>
      <c r="KE546" s="27" t="s">
        <v>8</v>
      </c>
      <c r="KH546" s="27" t="s">
        <v>7</v>
      </c>
      <c r="KI546" s="27" t="s">
        <v>8</v>
      </c>
      <c r="KJ546" s="27" t="s">
        <v>7</v>
      </c>
      <c r="KK546" s="27" t="s">
        <v>8</v>
      </c>
      <c r="KN546" s="27" t="s">
        <v>7</v>
      </c>
      <c r="KO546" s="27" t="s">
        <v>8</v>
      </c>
      <c r="KZ546" s="27" t="s">
        <v>7</v>
      </c>
      <c r="LA546" s="27" t="s">
        <v>8</v>
      </c>
      <c r="LB546" s="27" t="s">
        <v>7</v>
      </c>
      <c r="LC546" s="27" t="s">
        <v>8</v>
      </c>
      <c r="LD546" s="27" t="s">
        <v>7</v>
      </c>
      <c r="LG546" s="27" t="s">
        <v>8</v>
      </c>
      <c r="LH546" s="27" t="s">
        <v>7</v>
      </c>
      <c r="LI546" s="27" t="s">
        <v>8</v>
      </c>
      <c r="LR546" s="27" t="s">
        <v>7</v>
      </c>
      <c r="MW546" s="27" t="s">
        <v>8</v>
      </c>
      <c r="MX546" s="27" t="s">
        <v>7</v>
      </c>
      <c r="MY546" s="27" t="s">
        <v>8</v>
      </c>
      <c r="NB546" s="27" t="s">
        <v>7</v>
      </c>
      <c r="NC546" s="27" t="s">
        <v>8</v>
      </c>
      <c r="OB546" s="27" t="s">
        <v>7</v>
      </c>
      <c r="OC546" s="27" t="s">
        <v>8</v>
      </c>
      <c r="OD546" s="27" t="s">
        <v>7</v>
      </c>
      <c r="OE546" s="27" t="s">
        <v>8</v>
      </c>
      <c r="OF546" s="27" t="s">
        <v>7</v>
      </c>
      <c r="OG546" s="27" t="s">
        <v>8</v>
      </c>
      <c r="OH546" s="27" t="s">
        <v>7</v>
      </c>
      <c r="OI546" s="27" t="s">
        <v>8</v>
      </c>
      <c r="OJ546" s="27" t="s">
        <v>7</v>
      </c>
      <c r="OK546" s="27" t="s">
        <v>8</v>
      </c>
      <c r="OL546" s="27" t="s">
        <v>7</v>
      </c>
      <c r="OM546" s="27" t="s">
        <v>8</v>
      </c>
      <c r="OP546" s="27" t="s">
        <v>7</v>
      </c>
      <c r="OQ546" s="27" t="s">
        <v>8</v>
      </c>
      <c r="OR546" s="27" t="s">
        <v>7</v>
      </c>
      <c r="OS546" s="27" t="s">
        <v>8</v>
      </c>
      <c r="OT546" s="27" t="s">
        <v>7</v>
      </c>
      <c r="OX546" s="27" t="s">
        <v>7</v>
      </c>
      <c r="OY546" s="27" t="s">
        <v>8</v>
      </c>
      <c r="PT546" s="27" t="s">
        <v>7</v>
      </c>
      <c r="PU546" s="27" t="s">
        <v>8</v>
      </c>
      <c r="PV546" s="27" t="s">
        <v>7</v>
      </c>
      <c r="PW546" s="27" t="s">
        <v>8</v>
      </c>
      <c r="PX546" s="27" t="s">
        <v>7</v>
      </c>
      <c r="QE546" s="27" t="s">
        <v>8</v>
      </c>
    </row>
    <row r="547" spans="1:450" x14ac:dyDescent="0.25">
      <c r="A547" s="7">
        <v>2.208039663614854</v>
      </c>
      <c r="B547"/>
      <c r="C547"/>
      <c r="D547"/>
      <c r="E547"/>
      <c r="JS547" s="27" t="s">
        <v>8</v>
      </c>
      <c r="JT547" s="27" t="s">
        <v>7</v>
      </c>
      <c r="JW547" s="27" t="s">
        <v>8</v>
      </c>
      <c r="JY547" s="27" t="s">
        <v>8</v>
      </c>
      <c r="JZ547" s="27" t="s">
        <v>7</v>
      </c>
      <c r="KC547" s="27" t="s">
        <v>8</v>
      </c>
      <c r="KD547" s="27" t="s">
        <v>7</v>
      </c>
      <c r="KE547" s="27" t="s">
        <v>8</v>
      </c>
      <c r="KH547" s="27" t="s">
        <v>7</v>
      </c>
      <c r="KI547" s="27" t="s">
        <v>8</v>
      </c>
      <c r="KJ547" s="27" t="s">
        <v>7</v>
      </c>
      <c r="KK547" s="27" t="s">
        <v>8</v>
      </c>
      <c r="KN547" s="27" t="s">
        <v>7</v>
      </c>
      <c r="KO547" s="27" t="s">
        <v>8</v>
      </c>
      <c r="KZ547" s="27" t="s">
        <v>7</v>
      </c>
      <c r="LA547" s="27" t="s">
        <v>8</v>
      </c>
      <c r="LB547" s="27" t="s">
        <v>7</v>
      </c>
      <c r="LC547" s="27" t="s">
        <v>8</v>
      </c>
      <c r="LD547" s="27" t="s">
        <v>7</v>
      </c>
      <c r="LG547" s="27" t="s">
        <v>8</v>
      </c>
      <c r="LH547" s="27" t="s">
        <v>7</v>
      </c>
      <c r="LI547" s="27" t="s">
        <v>8</v>
      </c>
      <c r="LR547" s="27" t="s">
        <v>7</v>
      </c>
      <c r="LS547" s="27" t="s">
        <v>8</v>
      </c>
      <c r="MU547" s="27" t="s">
        <v>8</v>
      </c>
      <c r="MW547" s="27" t="s">
        <v>8</v>
      </c>
      <c r="MX547" s="27" t="s">
        <v>7</v>
      </c>
      <c r="MY547" s="27" t="s">
        <v>8</v>
      </c>
      <c r="NB547" s="18" t="s">
        <v>7</v>
      </c>
      <c r="NC547" s="27" t="s">
        <v>8</v>
      </c>
      <c r="OB547" s="27" t="s">
        <v>7</v>
      </c>
      <c r="OD547" s="27" t="s">
        <v>7</v>
      </c>
      <c r="OE547" s="27" t="s">
        <v>8</v>
      </c>
      <c r="OF547" s="27" t="s">
        <v>7</v>
      </c>
      <c r="OG547" s="27" t="s">
        <v>8</v>
      </c>
      <c r="OH547" s="27" t="s">
        <v>7</v>
      </c>
      <c r="OJ547" s="27" t="s">
        <v>7</v>
      </c>
      <c r="OK547" s="27" t="s">
        <v>8</v>
      </c>
      <c r="OL547" s="27" t="s">
        <v>7</v>
      </c>
      <c r="OM547" s="27" t="s">
        <v>8</v>
      </c>
      <c r="OP547" s="27" t="s">
        <v>7</v>
      </c>
      <c r="OQ547" s="27" t="s">
        <v>8</v>
      </c>
      <c r="OR547" s="27" t="s">
        <v>7</v>
      </c>
      <c r="OX547" s="27" t="s">
        <v>7</v>
      </c>
      <c r="PT547" s="27" t="s">
        <v>7</v>
      </c>
      <c r="PU547" s="27" t="s">
        <v>8</v>
      </c>
      <c r="PV547" s="27" t="s">
        <v>7</v>
      </c>
      <c r="PW547" s="27" t="s">
        <v>8</v>
      </c>
      <c r="PX547" s="27" t="s">
        <v>7</v>
      </c>
      <c r="QE547" s="27" t="s">
        <v>8</v>
      </c>
      <c r="QF547" s="27" t="s">
        <v>7</v>
      </c>
    </row>
    <row r="548" spans="1:450" x14ac:dyDescent="0.25">
      <c r="A548" s="7">
        <v>2.1647447682498568</v>
      </c>
      <c r="B548"/>
      <c r="C548"/>
      <c r="D548"/>
      <c r="E548"/>
      <c r="JS548" s="27" t="s">
        <v>8</v>
      </c>
      <c r="JT548" s="27" t="s">
        <v>7</v>
      </c>
      <c r="JW548" s="27" t="s">
        <v>8</v>
      </c>
      <c r="JX548" s="27" t="s">
        <v>7</v>
      </c>
      <c r="JY548" s="27" t="s">
        <v>8</v>
      </c>
      <c r="JZ548" s="27" t="s">
        <v>7</v>
      </c>
      <c r="KA548" s="27" t="s">
        <v>8</v>
      </c>
      <c r="KC548" s="27" t="s">
        <v>8</v>
      </c>
      <c r="KD548" s="27" t="s">
        <v>7</v>
      </c>
      <c r="KE548" s="27" t="s">
        <v>8</v>
      </c>
      <c r="KH548" s="27" t="s">
        <v>7</v>
      </c>
      <c r="KJ548" s="27" t="s">
        <v>7</v>
      </c>
      <c r="KK548" s="27" t="s">
        <v>8</v>
      </c>
      <c r="KN548" s="27" t="s">
        <v>7</v>
      </c>
      <c r="KZ548" s="27" t="s">
        <v>7</v>
      </c>
      <c r="LA548" s="27" t="s">
        <v>8</v>
      </c>
      <c r="LB548" s="27" t="s">
        <v>7</v>
      </c>
      <c r="LC548" s="27" t="s">
        <v>8</v>
      </c>
      <c r="LD548" s="27" t="s">
        <v>7</v>
      </c>
      <c r="LG548" s="27" t="s">
        <v>8</v>
      </c>
      <c r="LH548" s="27" t="s">
        <v>7</v>
      </c>
      <c r="LR548" s="27" t="s">
        <v>7</v>
      </c>
      <c r="LS548" s="27" t="s">
        <v>8</v>
      </c>
      <c r="LT548" s="27" t="s">
        <v>7</v>
      </c>
      <c r="MU548" s="27" t="s">
        <v>8</v>
      </c>
      <c r="MV548" s="27" t="s">
        <v>7</v>
      </c>
      <c r="MW548" s="27" t="s">
        <v>8</v>
      </c>
      <c r="MX548" s="27" t="s">
        <v>7</v>
      </c>
      <c r="MY548" s="27" t="s">
        <v>8</v>
      </c>
      <c r="NB548" s="27" t="s">
        <v>7</v>
      </c>
      <c r="NC548" s="27" t="s">
        <v>8</v>
      </c>
      <c r="OD548" s="27" t="s">
        <v>7</v>
      </c>
      <c r="OE548" s="27" t="s">
        <v>8</v>
      </c>
      <c r="OF548" s="27" t="s">
        <v>7</v>
      </c>
      <c r="OG548" s="27" t="s">
        <v>8</v>
      </c>
      <c r="OJ548" s="27" t="s">
        <v>7</v>
      </c>
      <c r="OK548" s="27" t="s">
        <v>8</v>
      </c>
      <c r="OL548" s="27" t="s">
        <v>7</v>
      </c>
      <c r="OM548" s="27" t="s">
        <v>8</v>
      </c>
      <c r="OP548" s="27" t="s">
        <v>7</v>
      </c>
      <c r="OQ548" s="27" t="s">
        <v>8</v>
      </c>
      <c r="PT548" s="27" t="s">
        <v>7</v>
      </c>
      <c r="PU548" s="27" t="s">
        <v>8</v>
      </c>
      <c r="PV548" s="27" t="s">
        <v>7</v>
      </c>
      <c r="PW548" s="27" t="s">
        <v>8</v>
      </c>
      <c r="PX548" s="27" t="s">
        <v>7</v>
      </c>
      <c r="QE548" s="27" t="s">
        <v>8</v>
      </c>
      <c r="QF548" s="27" t="s">
        <v>7</v>
      </c>
    </row>
    <row r="549" spans="1:450" x14ac:dyDescent="0.25">
      <c r="A549" s="7">
        <v>2.1222987924018204</v>
      </c>
      <c r="B549"/>
      <c r="C549"/>
      <c r="D549"/>
      <c r="E549"/>
      <c r="JS549" s="27" t="s">
        <v>8</v>
      </c>
      <c r="JT549" s="27" t="s">
        <v>7</v>
      </c>
      <c r="JW549" s="27" t="s">
        <v>8</v>
      </c>
      <c r="JX549" s="27" t="s">
        <v>7</v>
      </c>
      <c r="JY549" s="27" t="s">
        <v>8</v>
      </c>
      <c r="JZ549" s="27" t="s">
        <v>7</v>
      </c>
      <c r="KA549" s="27" t="s">
        <v>8</v>
      </c>
      <c r="KB549" s="27" t="s">
        <v>7</v>
      </c>
      <c r="KC549" s="27" t="s">
        <v>8</v>
      </c>
      <c r="KD549" s="27" t="s">
        <v>7</v>
      </c>
      <c r="KE549" s="27" t="s">
        <v>8</v>
      </c>
      <c r="KJ549" s="27" t="s">
        <v>7</v>
      </c>
      <c r="KZ549" s="27" t="s">
        <v>7</v>
      </c>
      <c r="LA549" s="27" t="s">
        <v>8</v>
      </c>
      <c r="LB549" s="27" t="s">
        <v>7</v>
      </c>
      <c r="LC549" s="27" t="s">
        <v>8</v>
      </c>
      <c r="LD549" s="27" t="s">
        <v>7</v>
      </c>
      <c r="LG549" s="27" t="s">
        <v>8</v>
      </c>
      <c r="LR549" s="27" t="s">
        <v>7</v>
      </c>
      <c r="LS549" s="27" t="s">
        <v>8</v>
      </c>
      <c r="LT549" s="27" t="s">
        <v>7</v>
      </c>
      <c r="MU549" s="27" t="s">
        <v>8</v>
      </c>
      <c r="MV549" s="27" t="s">
        <v>7</v>
      </c>
      <c r="MW549" s="27" t="s">
        <v>8</v>
      </c>
      <c r="MX549" s="27" t="s">
        <v>7</v>
      </c>
      <c r="NB549" s="27" t="s">
        <v>7</v>
      </c>
      <c r="OD549" s="27" t="s">
        <v>7</v>
      </c>
      <c r="OE549" s="27" t="s">
        <v>8</v>
      </c>
      <c r="OF549" s="27" t="s">
        <v>7</v>
      </c>
      <c r="OG549" s="27" t="s">
        <v>8</v>
      </c>
      <c r="OJ549" s="27" t="s">
        <v>7</v>
      </c>
      <c r="OK549" s="27" t="s">
        <v>8</v>
      </c>
      <c r="OL549" s="27" t="s">
        <v>7</v>
      </c>
      <c r="OM549" s="27" t="s">
        <v>8</v>
      </c>
      <c r="OP549" s="27" t="s">
        <v>7</v>
      </c>
      <c r="OQ549" s="27" t="s">
        <v>8</v>
      </c>
      <c r="PT549" s="27" t="s">
        <v>7</v>
      </c>
      <c r="PU549" s="27" t="s">
        <v>8</v>
      </c>
      <c r="PV549" s="27" t="s">
        <v>7</v>
      </c>
      <c r="PW549" s="27" t="s">
        <v>8</v>
      </c>
      <c r="PX549" s="27" t="s">
        <v>7</v>
      </c>
      <c r="PY549" s="27" t="s">
        <v>8</v>
      </c>
      <c r="QE549" s="27" t="s">
        <v>8</v>
      </c>
      <c r="QF549" s="27" t="s">
        <v>7</v>
      </c>
    </row>
    <row r="550" spans="1:450" x14ac:dyDescent="0.25">
      <c r="A550" s="7">
        <v>2.0806850905900198</v>
      </c>
      <c r="B550"/>
      <c r="C550"/>
      <c r="D550"/>
      <c r="E550"/>
      <c r="JS550" s="27" t="s">
        <v>8</v>
      </c>
      <c r="JT550" s="27" t="s">
        <v>7</v>
      </c>
      <c r="JU550" s="27" t="s">
        <v>8</v>
      </c>
      <c r="JW550" s="27" t="s">
        <v>8</v>
      </c>
      <c r="JX550" s="27" t="s">
        <v>7</v>
      </c>
      <c r="JY550" s="27" t="s">
        <v>8</v>
      </c>
      <c r="JZ550" s="27" t="s">
        <v>7</v>
      </c>
      <c r="KA550" s="27" t="s">
        <v>8</v>
      </c>
      <c r="KB550" s="27" t="s">
        <v>7</v>
      </c>
      <c r="KC550" s="27" t="s">
        <v>8</v>
      </c>
      <c r="KD550" s="27" t="s">
        <v>7</v>
      </c>
      <c r="KE550" s="27" t="s">
        <v>8</v>
      </c>
      <c r="KZ550" s="27" t="s">
        <v>7</v>
      </c>
      <c r="LA550" s="27" t="s">
        <v>8</v>
      </c>
      <c r="LB550" s="27" t="s">
        <v>7</v>
      </c>
      <c r="LD550" s="27" t="s">
        <v>7</v>
      </c>
      <c r="LG550" s="27" t="s">
        <v>8</v>
      </c>
      <c r="LR550" s="27" t="s">
        <v>7</v>
      </c>
      <c r="LS550" s="27" t="s">
        <v>8</v>
      </c>
      <c r="LT550" s="27" t="s">
        <v>7</v>
      </c>
      <c r="MU550" s="27" t="s">
        <v>8</v>
      </c>
      <c r="MV550" s="27" t="s">
        <v>7</v>
      </c>
      <c r="MW550" s="27" t="s">
        <v>8</v>
      </c>
      <c r="OD550" s="27" t="s">
        <v>7</v>
      </c>
      <c r="OF550" s="27" t="s">
        <v>7</v>
      </c>
      <c r="OJ550" s="27" t="s">
        <v>7</v>
      </c>
      <c r="OK550" s="27" t="s">
        <v>8</v>
      </c>
      <c r="OL550" s="27" t="s">
        <v>7</v>
      </c>
      <c r="OM550" s="27" t="s">
        <v>8</v>
      </c>
      <c r="OP550" s="27" t="s">
        <v>7</v>
      </c>
      <c r="OQ550" s="27" t="s">
        <v>8</v>
      </c>
      <c r="PT550" s="27" t="s">
        <v>7</v>
      </c>
      <c r="PU550" s="27" t="s">
        <v>8</v>
      </c>
      <c r="PV550" s="27" t="s">
        <v>7</v>
      </c>
      <c r="PW550" s="27" t="s">
        <v>8</v>
      </c>
      <c r="PX550" s="27" t="s">
        <v>7</v>
      </c>
      <c r="PY550" s="27" t="s">
        <v>8</v>
      </c>
      <c r="PZ550" s="27" t="s">
        <v>7</v>
      </c>
      <c r="QE550" s="27" t="s">
        <v>8</v>
      </c>
      <c r="QF550" s="27" t="s">
        <v>7</v>
      </c>
    </row>
    <row r="551" spans="1:450" x14ac:dyDescent="0.25">
      <c r="A551" s="7">
        <v>2.0398873437157055</v>
      </c>
      <c r="B551"/>
      <c r="C551"/>
      <c r="D551"/>
      <c r="E551"/>
      <c r="JQ551" s="27" t="s">
        <v>8</v>
      </c>
      <c r="JS551" s="27" t="s">
        <v>8</v>
      </c>
      <c r="JT551" s="27" t="s">
        <v>7</v>
      </c>
      <c r="JU551" s="27" t="s">
        <v>8</v>
      </c>
      <c r="JV551" s="27" t="s">
        <v>7</v>
      </c>
      <c r="JW551" s="27" t="s">
        <v>8</v>
      </c>
      <c r="JX551" s="27" t="s">
        <v>7</v>
      </c>
      <c r="JY551" s="27" t="s">
        <v>8</v>
      </c>
      <c r="JZ551" s="27" t="s">
        <v>7</v>
      </c>
      <c r="KA551" s="27" t="s">
        <v>8</v>
      </c>
      <c r="KB551" s="27" t="s">
        <v>7</v>
      </c>
      <c r="KC551" s="27" t="s">
        <v>8</v>
      </c>
      <c r="KD551" s="27" t="s">
        <v>7</v>
      </c>
      <c r="KE551" s="27" t="s">
        <v>8</v>
      </c>
      <c r="KZ551" s="27" t="s">
        <v>7</v>
      </c>
      <c r="LA551" s="27" t="s">
        <v>8</v>
      </c>
      <c r="LD551" s="27" t="s">
        <v>7</v>
      </c>
      <c r="LE551" s="27" t="s">
        <v>8</v>
      </c>
      <c r="LG551" s="27" t="s">
        <v>8</v>
      </c>
      <c r="LR551" s="27" t="s">
        <v>7</v>
      </c>
      <c r="LT551" s="27" t="s">
        <v>7</v>
      </c>
      <c r="MU551" s="27" t="s">
        <v>8</v>
      </c>
      <c r="MV551" s="27" t="s">
        <v>7</v>
      </c>
      <c r="MW551" s="27" t="s">
        <v>8</v>
      </c>
      <c r="OJ551" s="27" t="s">
        <v>7</v>
      </c>
      <c r="OK551" s="27" t="s">
        <v>8</v>
      </c>
      <c r="OL551" s="27" t="s">
        <v>7</v>
      </c>
      <c r="OM551" s="27" t="s">
        <v>8</v>
      </c>
      <c r="OP551" s="27" t="s">
        <v>7</v>
      </c>
      <c r="PT551" s="27" t="s">
        <v>7</v>
      </c>
      <c r="PU551" s="27" t="s">
        <v>8</v>
      </c>
      <c r="PV551" s="27" t="s">
        <v>7</v>
      </c>
      <c r="PW551" s="27" t="s">
        <v>8</v>
      </c>
      <c r="PX551" s="27" t="s">
        <v>7</v>
      </c>
      <c r="PY551" s="27" t="s">
        <v>8</v>
      </c>
      <c r="PZ551" s="27" t="s">
        <v>7</v>
      </c>
      <c r="QA551" s="27" t="s">
        <v>8</v>
      </c>
      <c r="QC551" s="27" t="s">
        <v>8</v>
      </c>
      <c r="QE551" s="27" t="s">
        <v>8</v>
      </c>
      <c r="QF551" s="27" t="s">
        <v>7</v>
      </c>
    </row>
    <row r="552" spans="1:450" x14ac:dyDescent="0.25">
      <c r="A552" s="7">
        <v>1.9998895526624565</v>
      </c>
      <c r="B552"/>
      <c r="C552"/>
      <c r="D552"/>
      <c r="E552"/>
      <c r="JQ552" s="27" t="s">
        <v>8</v>
      </c>
      <c r="JR552" s="27" t="s">
        <v>7</v>
      </c>
      <c r="JS552" s="27" t="s">
        <v>8</v>
      </c>
      <c r="JT552" s="27" t="s">
        <v>7</v>
      </c>
      <c r="JU552" s="27" t="s">
        <v>8</v>
      </c>
      <c r="JV552" s="27" t="s">
        <v>7</v>
      </c>
      <c r="JW552" s="27" t="s">
        <v>8</v>
      </c>
      <c r="JX552" s="27" t="s">
        <v>7</v>
      </c>
      <c r="JY552" s="27" t="s">
        <v>8</v>
      </c>
      <c r="JZ552" s="27" t="s">
        <v>7</v>
      </c>
      <c r="KA552" s="27" t="s">
        <v>8</v>
      </c>
      <c r="KB552" s="27" t="s">
        <v>7</v>
      </c>
      <c r="KC552" s="27" t="s">
        <v>8</v>
      </c>
      <c r="KD552" s="27" t="s">
        <v>7</v>
      </c>
      <c r="KE552" s="27" t="s">
        <v>8</v>
      </c>
      <c r="KZ552" s="27" t="s">
        <v>7</v>
      </c>
      <c r="LA552" s="27" t="s">
        <v>8</v>
      </c>
      <c r="LD552" s="27" t="s">
        <v>7</v>
      </c>
      <c r="LE552" s="27" t="s">
        <v>8</v>
      </c>
      <c r="LF552" s="27" t="s">
        <v>7</v>
      </c>
      <c r="LG552" s="27" t="s">
        <v>8</v>
      </c>
      <c r="LT552" s="27" t="s">
        <v>7</v>
      </c>
      <c r="MU552" s="27" t="s">
        <v>8</v>
      </c>
      <c r="MV552" s="27" t="s">
        <v>7</v>
      </c>
      <c r="MW552" s="27" t="s">
        <v>8</v>
      </c>
      <c r="OJ552" s="27" t="s">
        <v>7</v>
      </c>
      <c r="OK552" s="27" t="s">
        <v>8</v>
      </c>
      <c r="OL552" s="27" t="s">
        <v>7</v>
      </c>
      <c r="OM552" s="27" t="s">
        <v>8</v>
      </c>
      <c r="PT552" s="27" t="s">
        <v>7</v>
      </c>
      <c r="PV552" s="27" t="s">
        <v>7</v>
      </c>
      <c r="PW552" s="27" t="s">
        <v>8</v>
      </c>
      <c r="PX552" s="27" t="s">
        <v>7</v>
      </c>
      <c r="PY552" s="27" t="s">
        <v>8</v>
      </c>
      <c r="PZ552" s="27" t="s">
        <v>7</v>
      </c>
      <c r="QA552" s="27" t="s">
        <v>8</v>
      </c>
      <c r="QB552" s="27" t="s">
        <v>7</v>
      </c>
      <c r="QC552" s="27" t="s">
        <v>8</v>
      </c>
      <c r="QD552" s="27" t="s">
        <v>7</v>
      </c>
      <c r="QE552" s="27" t="s">
        <v>8</v>
      </c>
      <c r="QF552" s="27" t="s">
        <v>7</v>
      </c>
      <c r="QG552" s="27" t="s">
        <v>8</v>
      </c>
    </row>
    <row r="553" spans="1:450" x14ac:dyDescent="0.25">
      <c r="A553" s="7">
        <v>1.9606760320220162</v>
      </c>
      <c r="B553"/>
      <c r="C553"/>
      <c r="D553"/>
      <c r="E553"/>
      <c r="JQ553" s="27" t="s">
        <v>8</v>
      </c>
      <c r="JR553" s="27" t="s">
        <v>7</v>
      </c>
      <c r="JS553" s="27" t="s">
        <v>8</v>
      </c>
      <c r="JT553" s="27" t="s">
        <v>7</v>
      </c>
      <c r="JU553" s="27" t="s">
        <v>8</v>
      </c>
      <c r="JV553" s="27" t="s">
        <v>7</v>
      </c>
      <c r="JW553" s="27" t="s">
        <v>8</v>
      </c>
      <c r="JX553" s="27" t="s">
        <v>7</v>
      </c>
      <c r="JY553" s="27" t="s">
        <v>8</v>
      </c>
      <c r="JZ553" s="27" t="s">
        <v>7</v>
      </c>
      <c r="KA553" s="27" t="s">
        <v>8</v>
      </c>
      <c r="KB553" s="27" t="s">
        <v>7</v>
      </c>
      <c r="KC553" s="27" t="s">
        <v>8</v>
      </c>
      <c r="KD553" s="27" t="s">
        <v>7</v>
      </c>
      <c r="KE553" s="27" t="s">
        <v>8</v>
      </c>
      <c r="KZ553" s="27" t="s">
        <v>7</v>
      </c>
      <c r="LA553" s="27" t="s">
        <v>8</v>
      </c>
      <c r="LD553" s="27" t="s">
        <v>7</v>
      </c>
      <c r="LE553" s="27" t="s">
        <v>8</v>
      </c>
      <c r="LF553" s="27" t="s">
        <v>7</v>
      </c>
      <c r="LG553" s="27" t="s">
        <v>8</v>
      </c>
      <c r="LT553" s="27" t="s">
        <v>7</v>
      </c>
      <c r="MM553" s="27" t="s">
        <v>8</v>
      </c>
      <c r="MU553" s="27" t="s">
        <v>8</v>
      </c>
      <c r="MV553" s="27" t="s">
        <v>7</v>
      </c>
      <c r="MW553" s="27" t="s">
        <v>8</v>
      </c>
      <c r="OJ553" s="27" t="s">
        <v>7</v>
      </c>
      <c r="OK553" s="27" t="s">
        <v>8</v>
      </c>
      <c r="OL553" s="27" t="s">
        <v>7</v>
      </c>
      <c r="PV553" s="27" t="s">
        <v>7</v>
      </c>
      <c r="PX553" s="27" t="s">
        <v>7</v>
      </c>
      <c r="PZ553" s="27" t="s">
        <v>7</v>
      </c>
      <c r="QA553" s="27" t="s">
        <v>8</v>
      </c>
      <c r="QB553" s="27" t="s">
        <v>7</v>
      </c>
      <c r="QC553" s="27" t="s">
        <v>8</v>
      </c>
      <c r="QD553" s="27" t="s">
        <v>7</v>
      </c>
      <c r="QE553" s="27" t="s">
        <v>8</v>
      </c>
      <c r="QF553" s="27" t="s">
        <v>7</v>
      </c>
      <c r="QG553" s="27" t="s">
        <v>8</v>
      </c>
      <c r="QH553" s="27" t="s">
        <v>7</v>
      </c>
    </row>
    <row r="554" spans="1:450" x14ac:dyDescent="0.25">
      <c r="A554" s="7">
        <v>1.9222314039431532</v>
      </c>
      <c r="B554"/>
      <c r="C554"/>
      <c r="D554"/>
      <c r="E554"/>
      <c r="JQ554" s="27" t="s">
        <v>8</v>
      </c>
      <c r="JR554" s="27" t="s">
        <v>7</v>
      </c>
      <c r="JS554" s="27" t="s">
        <v>8</v>
      </c>
      <c r="JT554" s="27" t="s">
        <v>7</v>
      </c>
      <c r="JU554" s="27" t="s">
        <v>8</v>
      </c>
      <c r="JV554" s="27" t="s">
        <v>7</v>
      </c>
      <c r="JW554" s="27" t="s">
        <v>8</v>
      </c>
      <c r="JX554" s="27" t="s">
        <v>7</v>
      </c>
      <c r="JY554" s="27" t="s">
        <v>8</v>
      </c>
      <c r="JZ554" s="27" t="s">
        <v>7</v>
      </c>
      <c r="KA554" s="27" t="s">
        <v>8</v>
      </c>
      <c r="KB554" s="27" t="s">
        <v>7</v>
      </c>
      <c r="KC554" s="27" t="s">
        <v>8</v>
      </c>
      <c r="KD554" s="27" t="s">
        <v>7</v>
      </c>
      <c r="KE554" s="27" t="s">
        <v>8</v>
      </c>
      <c r="KZ554" s="27" t="s">
        <v>7</v>
      </c>
      <c r="LD554" s="27" t="s">
        <v>7</v>
      </c>
      <c r="LE554" s="27" t="s">
        <v>8</v>
      </c>
      <c r="LF554" s="27" t="s">
        <v>7</v>
      </c>
      <c r="LG554" s="27" t="s">
        <v>8</v>
      </c>
      <c r="LT554" s="27" t="s">
        <v>7</v>
      </c>
      <c r="LU554" s="27" t="s">
        <v>8</v>
      </c>
      <c r="MM554" s="27" t="s">
        <v>8</v>
      </c>
      <c r="MN554" s="27" t="s">
        <v>7</v>
      </c>
      <c r="MU554" s="27" t="s">
        <v>8</v>
      </c>
      <c r="MV554" s="27" t="s">
        <v>7</v>
      </c>
      <c r="OJ554" s="27" t="s">
        <v>7</v>
      </c>
      <c r="OK554" s="27" t="s">
        <v>8</v>
      </c>
      <c r="PZ554" s="27" t="s">
        <v>7</v>
      </c>
      <c r="QA554" s="27" t="s">
        <v>8</v>
      </c>
      <c r="QB554" s="27" t="s">
        <v>7</v>
      </c>
      <c r="QC554" s="27" t="s">
        <v>8</v>
      </c>
      <c r="QD554" s="27" t="s">
        <v>7</v>
      </c>
      <c r="QE554" s="27" t="s">
        <v>8</v>
      </c>
      <c r="QF554" s="27" t="s">
        <v>7</v>
      </c>
      <c r="QG554" s="27" t="s">
        <v>8</v>
      </c>
      <c r="QH554" s="27" t="s">
        <v>7</v>
      </c>
    </row>
    <row r="555" spans="1:450" x14ac:dyDescent="0.25">
      <c r="A555" s="7">
        <v>1.8845405921011305</v>
      </c>
      <c r="B555"/>
      <c r="C555"/>
      <c r="D555"/>
      <c r="E555"/>
      <c r="JO555" s="27" t="s">
        <v>8</v>
      </c>
      <c r="JQ555" s="27" t="s">
        <v>8</v>
      </c>
      <c r="JR555" s="27" t="s">
        <v>7</v>
      </c>
      <c r="JS555" s="27" t="s">
        <v>8</v>
      </c>
      <c r="JT555" s="27" t="s">
        <v>7</v>
      </c>
      <c r="JU555" s="27" t="s">
        <v>8</v>
      </c>
      <c r="JV555" s="27" t="s">
        <v>7</v>
      </c>
      <c r="JW555" s="27" t="s">
        <v>8</v>
      </c>
      <c r="JX555" s="27" t="s">
        <v>7</v>
      </c>
      <c r="JY555" s="27" t="s">
        <v>8</v>
      </c>
      <c r="JZ555" s="27" t="s">
        <v>7</v>
      </c>
      <c r="KA555" s="27" t="s">
        <v>8</v>
      </c>
      <c r="KB555" s="27" t="s">
        <v>7</v>
      </c>
      <c r="KC555" s="27" t="s">
        <v>8</v>
      </c>
      <c r="KD555" s="27" t="s">
        <v>7</v>
      </c>
      <c r="KE555" s="27" t="s">
        <v>8</v>
      </c>
      <c r="LD555" s="27" t="s">
        <v>7</v>
      </c>
      <c r="LE555" s="27" t="s">
        <v>8</v>
      </c>
      <c r="LF555" s="27" t="s">
        <v>7</v>
      </c>
      <c r="LG555" s="27" t="s">
        <v>8</v>
      </c>
      <c r="LT555" s="27" t="s">
        <v>7</v>
      </c>
      <c r="LU555" s="27" t="s">
        <v>8</v>
      </c>
      <c r="LV555" s="27" t="s">
        <v>7</v>
      </c>
      <c r="MM555" s="27" t="s">
        <v>8</v>
      </c>
      <c r="MN555" s="27" t="s">
        <v>7</v>
      </c>
      <c r="MO555" s="27" t="s">
        <v>8</v>
      </c>
      <c r="MU555" s="27" t="s">
        <v>8</v>
      </c>
      <c r="OJ555" s="27" t="s">
        <v>7</v>
      </c>
      <c r="PZ555" s="27" t="s">
        <v>7</v>
      </c>
      <c r="QA555" s="27" t="s">
        <v>8</v>
      </c>
      <c r="QB555" s="27" t="s">
        <v>7</v>
      </c>
      <c r="QC555" s="27" t="s">
        <v>8</v>
      </c>
      <c r="QD555" s="27" t="s">
        <v>7</v>
      </c>
      <c r="QE555" s="27" t="s">
        <v>8</v>
      </c>
      <c r="QF555" s="27" t="s">
        <v>7</v>
      </c>
      <c r="QG555" s="27" t="s">
        <v>8</v>
      </c>
      <c r="QH555" s="27" t="s">
        <v>7</v>
      </c>
    </row>
    <row r="556" spans="1:450" x14ac:dyDescent="0.25">
      <c r="A556" s="7">
        <v>1.8475888157854219</v>
      </c>
      <c r="B556"/>
      <c r="C556"/>
      <c r="D556"/>
      <c r="E556"/>
      <c r="JO556" s="27" t="s">
        <v>8</v>
      </c>
      <c r="JP556" s="27" t="s">
        <v>7</v>
      </c>
      <c r="JQ556" s="27" t="s">
        <v>8</v>
      </c>
      <c r="JR556" s="27" t="s">
        <v>7</v>
      </c>
      <c r="JS556" s="27" t="s">
        <v>8</v>
      </c>
      <c r="JT556" s="27" t="s">
        <v>7</v>
      </c>
      <c r="JU556" s="27" t="s">
        <v>8</v>
      </c>
      <c r="JV556" s="27" t="s">
        <v>7</v>
      </c>
      <c r="JW556" s="27" t="s">
        <v>8</v>
      </c>
      <c r="JX556" s="27" t="s">
        <v>7</v>
      </c>
      <c r="JY556" s="27" t="s">
        <v>8</v>
      </c>
      <c r="JZ556" s="27" t="s">
        <v>7</v>
      </c>
      <c r="KA556" s="27" t="s">
        <v>8</v>
      </c>
      <c r="KB556" s="27" t="s">
        <v>7</v>
      </c>
      <c r="KC556" s="27" t="s">
        <v>8</v>
      </c>
      <c r="KD556" s="27" t="s">
        <v>7</v>
      </c>
      <c r="KE556" s="27" t="s">
        <v>8</v>
      </c>
      <c r="LD556" s="27" t="s">
        <v>7</v>
      </c>
      <c r="LE556" s="27" t="s">
        <v>8</v>
      </c>
      <c r="LF556" s="27" t="s">
        <v>7</v>
      </c>
      <c r="LG556" s="27" t="s">
        <v>8</v>
      </c>
      <c r="LT556" s="27" t="s">
        <v>7</v>
      </c>
      <c r="LU556" s="27" t="s">
        <v>8</v>
      </c>
      <c r="LV556" s="27" t="s">
        <v>7</v>
      </c>
      <c r="MM556" s="27" t="s">
        <v>8</v>
      </c>
      <c r="MN556" s="27" t="s">
        <v>7</v>
      </c>
      <c r="MO556" s="27" t="s">
        <v>8</v>
      </c>
      <c r="MP556" s="27" t="s">
        <v>7</v>
      </c>
      <c r="MU556" s="27" t="s">
        <v>8</v>
      </c>
      <c r="PZ556" s="27" t="s">
        <v>7</v>
      </c>
      <c r="QA556" s="27" t="s">
        <v>8</v>
      </c>
      <c r="QB556" s="27" t="s">
        <v>7</v>
      </c>
      <c r="QD556" s="27" t="s">
        <v>7</v>
      </c>
      <c r="QE556" s="27" t="s">
        <v>8</v>
      </c>
      <c r="QF556" s="27" t="s">
        <v>7</v>
      </c>
      <c r="QG556" s="27" t="s">
        <v>8</v>
      </c>
      <c r="QH556" s="27" t="s">
        <v>7</v>
      </c>
    </row>
    <row r="557" spans="1:450" x14ac:dyDescent="0.25">
      <c r="A557" s="7">
        <v>1.8113615841033548</v>
      </c>
      <c r="B557"/>
      <c r="C557"/>
      <c r="D557"/>
      <c r="E557"/>
      <c r="JO557" s="27" t="s">
        <v>8</v>
      </c>
      <c r="JP557" s="27" t="s">
        <v>7</v>
      </c>
      <c r="JQ557" s="27" t="s">
        <v>8</v>
      </c>
      <c r="JR557" s="27" t="s">
        <v>7</v>
      </c>
      <c r="JS557" s="27" t="s">
        <v>8</v>
      </c>
      <c r="JT557" s="27" t="s">
        <v>7</v>
      </c>
      <c r="JU557" s="27" t="s">
        <v>8</v>
      </c>
      <c r="JV557" s="27" t="s">
        <v>7</v>
      </c>
      <c r="JW557" s="27" t="s">
        <v>8</v>
      </c>
      <c r="JX557" s="27" t="s">
        <v>7</v>
      </c>
      <c r="JZ557" s="27" t="s">
        <v>7</v>
      </c>
      <c r="KA557" s="27" t="s">
        <v>8</v>
      </c>
      <c r="KB557" s="27" t="s">
        <v>7</v>
      </c>
      <c r="KC557" s="27" t="s">
        <v>8</v>
      </c>
      <c r="KD557" s="27" t="s">
        <v>7</v>
      </c>
      <c r="KE557" s="27" t="s">
        <v>8</v>
      </c>
      <c r="LD557" s="27" t="s">
        <v>7</v>
      </c>
      <c r="LE557" s="27" t="s">
        <v>8</v>
      </c>
      <c r="LF557" s="27" t="s">
        <v>7</v>
      </c>
      <c r="LG557" s="27" t="s">
        <v>8</v>
      </c>
      <c r="LT557" s="27" t="s">
        <v>7</v>
      </c>
      <c r="LU557" s="27" t="s">
        <v>8</v>
      </c>
      <c r="LV557" s="27" t="s">
        <v>7</v>
      </c>
      <c r="MG557" s="27" t="s">
        <v>8</v>
      </c>
      <c r="MM557" s="27" t="s">
        <v>8</v>
      </c>
      <c r="MN557" s="27" t="s">
        <v>7</v>
      </c>
      <c r="MO557" s="27" t="s">
        <v>8</v>
      </c>
      <c r="MP557" s="27" t="s">
        <v>7</v>
      </c>
      <c r="MU557" s="27" t="s">
        <v>8</v>
      </c>
      <c r="PZ557" s="27" t="s">
        <v>7</v>
      </c>
      <c r="QD557" s="27" t="s">
        <v>7</v>
      </c>
      <c r="QE557" s="27" t="s">
        <v>8</v>
      </c>
      <c r="QF557" s="27" t="s">
        <v>7</v>
      </c>
      <c r="QH557" s="27" t="s">
        <v>7</v>
      </c>
    </row>
    <row r="558" spans="1:450" x14ac:dyDescent="0.25">
      <c r="A558" s="7">
        <v>1.7758446902974065</v>
      </c>
      <c r="B558"/>
      <c r="C558"/>
      <c r="D558"/>
      <c r="E558"/>
      <c r="JO558" s="27" t="s">
        <v>8</v>
      </c>
      <c r="JP558" s="27" t="s">
        <v>7</v>
      </c>
      <c r="JQ558" s="27" t="s">
        <v>8</v>
      </c>
      <c r="JR558" s="27" t="s">
        <v>7</v>
      </c>
      <c r="JS558" s="27" t="s">
        <v>8</v>
      </c>
      <c r="JT558" s="27" t="s">
        <v>7</v>
      </c>
      <c r="JU558" s="27" t="s">
        <v>8</v>
      </c>
      <c r="JV558" s="27" t="s">
        <v>7</v>
      </c>
      <c r="JW558" s="27" t="s">
        <v>8</v>
      </c>
      <c r="JZ558" s="27" t="s">
        <v>7</v>
      </c>
      <c r="KA558" s="27" t="s">
        <v>8</v>
      </c>
      <c r="KB558" s="27" t="s">
        <v>7</v>
      </c>
      <c r="KC558" s="27" t="s">
        <v>8</v>
      </c>
      <c r="KD558" s="27" t="s">
        <v>7</v>
      </c>
      <c r="LD558" s="27" t="s">
        <v>7</v>
      </c>
      <c r="LE558" s="27" t="s">
        <v>8</v>
      </c>
      <c r="LF558" s="27" t="s">
        <v>7</v>
      </c>
      <c r="LT558" s="27" t="s">
        <v>7</v>
      </c>
      <c r="LU558" s="27" t="s">
        <v>8</v>
      </c>
      <c r="LV558" s="27" t="s">
        <v>7</v>
      </c>
      <c r="MG558" s="27" t="s">
        <v>8</v>
      </c>
      <c r="MH558" s="27" t="s">
        <v>7</v>
      </c>
      <c r="MI558" s="27" t="s">
        <v>8</v>
      </c>
      <c r="MM558" s="27" t="s">
        <v>8</v>
      </c>
      <c r="MN558" s="27" t="s">
        <v>7</v>
      </c>
      <c r="MO558" s="27" t="s">
        <v>8</v>
      </c>
      <c r="MP558" s="27" t="s">
        <v>7</v>
      </c>
      <c r="MS558" s="27" t="s">
        <v>8</v>
      </c>
      <c r="MU558" s="27" t="s">
        <v>8</v>
      </c>
      <c r="QD558" s="27" t="s">
        <v>7</v>
      </c>
      <c r="QH558" s="27" t="s">
        <v>7</v>
      </c>
    </row>
    <row r="559" spans="1:450" x14ac:dyDescent="0.25">
      <c r="A559" s="7">
        <v>1.7410242061739281</v>
      </c>
      <c r="B559"/>
      <c r="C559"/>
      <c r="D559"/>
      <c r="E559"/>
      <c r="JO559" s="27" t="s">
        <v>8</v>
      </c>
      <c r="JP559" s="27" t="s">
        <v>7</v>
      </c>
      <c r="JQ559" s="27" t="s">
        <v>8</v>
      </c>
      <c r="JR559" s="27" t="s">
        <v>7</v>
      </c>
      <c r="JS559" s="27" t="s">
        <v>8</v>
      </c>
      <c r="JT559" s="27" t="s">
        <v>7</v>
      </c>
      <c r="JU559" s="27" t="s">
        <v>8</v>
      </c>
      <c r="JV559" s="27" t="s">
        <v>7</v>
      </c>
      <c r="JZ559" s="27" t="s">
        <v>7</v>
      </c>
      <c r="KB559" s="27" t="s">
        <v>7</v>
      </c>
      <c r="KC559" s="27" t="s">
        <v>8</v>
      </c>
      <c r="LD559" s="27" t="s">
        <v>7</v>
      </c>
      <c r="LE559" s="27" t="s">
        <v>8</v>
      </c>
      <c r="LT559" s="27" t="s">
        <v>7</v>
      </c>
      <c r="LV559" s="27" t="s">
        <v>7</v>
      </c>
      <c r="ME559" s="27" t="s">
        <v>8</v>
      </c>
      <c r="MG559" s="27" t="s">
        <v>8</v>
      </c>
      <c r="MH559" s="27" t="s">
        <v>7</v>
      </c>
      <c r="MI559" s="27" t="s">
        <v>8</v>
      </c>
      <c r="MJ559" s="27" t="s">
        <v>7</v>
      </c>
      <c r="MM559" s="27" t="s">
        <v>8</v>
      </c>
      <c r="MN559" s="27" t="s">
        <v>7</v>
      </c>
      <c r="MP559" s="27" t="s">
        <v>7</v>
      </c>
      <c r="MS559" s="27" t="s">
        <v>8</v>
      </c>
      <c r="MT559" s="27" t="s">
        <v>7</v>
      </c>
      <c r="MU559" s="27" t="s">
        <v>8</v>
      </c>
      <c r="QH559" s="27" t="s">
        <v>7</v>
      </c>
    </row>
    <row r="560" spans="1:450" x14ac:dyDescent="0.25">
      <c r="A560" s="7">
        <v>1.7068864766411058</v>
      </c>
      <c r="B560"/>
      <c r="C560"/>
      <c r="D560"/>
      <c r="E560"/>
      <c r="JO560" s="27" t="s">
        <v>8</v>
      </c>
      <c r="JP560" s="27" t="s">
        <v>7</v>
      </c>
      <c r="JQ560" s="27" t="s">
        <v>8</v>
      </c>
      <c r="JR560" s="27" t="s">
        <v>7</v>
      </c>
      <c r="JS560" s="27" t="s">
        <v>8</v>
      </c>
      <c r="JT560" s="27" t="s">
        <v>7</v>
      </c>
      <c r="KB560" s="27" t="s">
        <v>7</v>
      </c>
      <c r="KC560" s="27" t="s">
        <v>8</v>
      </c>
      <c r="LD560" s="27" t="s">
        <v>7</v>
      </c>
      <c r="LV560" s="27" t="s">
        <v>7</v>
      </c>
      <c r="ME560" s="27" t="s">
        <v>8</v>
      </c>
      <c r="MF560" s="27" t="s">
        <v>7</v>
      </c>
      <c r="MG560" s="27" t="s">
        <v>8</v>
      </c>
      <c r="MH560" s="27" t="s">
        <v>7</v>
      </c>
      <c r="MI560" s="27" t="s">
        <v>8</v>
      </c>
      <c r="MJ560" s="27" t="s">
        <v>7</v>
      </c>
      <c r="MM560" s="27" t="s">
        <v>8</v>
      </c>
      <c r="MP560" s="27" t="s">
        <v>7</v>
      </c>
      <c r="MS560" s="27" t="s">
        <v>8</v>
      </c>
      <c r="MT560" s="27" t="s">
        <v>7</v>
      </c>
      <c r="MU560" s="27" t="s">
        <v>8</v>
      </c>
      <c r="QH560" s="27" t="s">
        <v>7</v>
      </c>
    </row>
    <row r="561" spans="1:456" x14ac:dyDescent="0.25">
      <c r="A561" s="7">
        <v>1.6734181143540252</v>
      </c>
      <c r="B561"/>
      <c r="C561"/>
      <c r="D561"/>
      <c r="E561"/>
      <c r="JO561" s="27" t="s">
        <v>8</v>
      </c>
      <c r="JP561" s="27" t="s">
        <v>7</v>
      </c>
      <c r="JQ561" s="27" t="s">
        <v>8</v>
      </c>
      <c r="JR561" s="27" t="s">
        <v>7</v>
      </c>
      <c r="JS561" s="27" t="s">
        <v>8</v>
      </c>
      <c r="KB561" s="27" t="s">
        <v>7</v>
      </c>
      <c r="KC561" s="27" t="s">
        <v>8</v>
      </c>
      <c r="LV561" s="27" t="s">
        <v>7</v>
      </c>
      <c r="ME561" s="27" t="s">
        <v>8</v>
      </c>
      <c r="MF561" s="27" t="s">
        <v>7</v>
      </c>
      <c r="MG561" s="27" t="s">
        <v>8</v>
      </c>
      <c r="MH561" s="27" t="s">
        <v>7</v>
      </c>
      <c r="MI561" s="27" t="s">
        <v>8</v>
      </c>
      <c r="MJ561" s="27" t="s">
        <v>7</v>
      </c>
      <c r="MM561" s="27" t="s">
        <v>8</v>
      </c>
      <c r="MP561" s="27" t="s">
        <v>7</v>
      </c>
      <c r="MS561" s="27" t="s">
        <v>8</v>
      </c>
      <c r="MT561" s="27" t="s">
        <v>7</v>
      </c>
      <c r="MU561" s="27" t="s">
        <v>8</v>
      </c>
      <c r="QH561" s="27" t="s">
        <v>7</v>
      </c>
    </row>
    <row r="562" spans="1:456" x14ac:dyDescent="0.25">
      <c r="A562" s="7">
        <v>1.6406059944647307</v>
      </c>
      <c r="B562"/>
      <c r="C562"/>
      <c r="D562"/>
      <c r="E562"/>
      <c r="JO562" s="27" t="s">
        <v>8</v>
      </c>
      <c r="JP562" s="27" t="s">
        <v>7</v>
      </c>
      <c r="JQ562" s="27" t="s">
        <v>8</v>
      </c>
      <c r="JR562" s="27" t="s">
        <v>7</v>
      </c>
      <c r="JS562" s="27" t="s">
        <v>8</v>
      </c>
      <c r="KB562" s="27" t="s">
        <v>7</v>
      </c>
      <c r="KC562" s="27" t="s">
        <v>8</v>
      </c>
      <c r="LV562" s="27" t="s">
        <v>7</v>
      </c>
      <c r="MA562" s="27" t="s">
        <v>8</v>
      </c>
      <c r="ME562" s="27" t="s">
        <v>8</v>
      </c>
      <c r="MF562" s="27" t="s">
        <v>7</v>
      </c>
      <c r="MH562" s="27" t="s">
        <v>7</v>
      </c>
      <c r="MI562" s="27" t="s">
        <v>8</v>
      </c>
      <c r="MJ562" s="27" t="s">
        <v>7</v>
      </c>
      <c r="MM562" s="27" t="s">
        <v>8</v>
      </c>
      <c r="MP562" s="27" t="s">
        <v>7</v>
      </c>
      <c r="MS562" s="27" t="s">
        <v>8</v>
      </c>
      <c r="MT562" s="27" t="s">
        <v>7</v>
      </c>
      <c r="MU562" s="27" t="s">
        <v>8</v>
      </c>
      <c r="QH562" s="27" t="s">
        <v>7</v>
      </c>
    </row>
    <row r="563" spans="1:456" x14ac:dyDescent="0.25">
      <c r="A563" s="7">
        <v>1.6084372494752261</v>
      </c>
      <c r="B563"/>
      <c r="C563"/>
      <c r="D563"/>
      <c r="E563"/>
      <c r="JO563" s="27" t="s">
        <v>8</v>
      </c>
      <c r="JP563" s="27" t="s">
        <v>7</v>
      </c>
      <c r="JQ563" s="27" t="s">
        <v>8</v>
      </c>
      <c r="JR563" s="27" t="s">
        <v>7</v>
      </c>
      <c r="KB563" s="27" t="s">
        <v>7</v>
      </c>
      <c r="KC563" s="27" t="s">
        <v>8</v>
      </c>
      <c r="LV563" s="27" t="s">
        <v>7</v>
      </c>
      <c r="LW563" s="27" t="s">
        <v>8</v>
      </c>
      <c r="MA563" s="27" t="s">
        <v>8</v>
      </c>
      <c r="MB563" s="27" t="s">
        <v>7</v>
      </c>
      <c r="MC563" s="27" t="s">
        <v>8</v>
      </c>
      <c r="ME563" s="27" t="s">
        <v>8</v>
      </c>
      <c r="MH563" s="27" t="s">
        <v>7</v>
      </c>
      <c r="MI563" s="27" t="s">
        <v>8</v>
      </c>
      <c r="MJ563" s="27" t="s">
        <v>7</v>
      </c>
      <c r="MM563" s="27" t="s">
        <v>8</v>
      </c>
      <c r="MP563" s="27" t="s">
        <v>7</v>
      </c>
      <c r="MQ563" s="27" t="s">
        <v>8</v>
      </c>
      <c r="MS563" s="27" t="s">
        <v>8</v>
      </c>
      <c r="MT563" s="27" t="s">
        <v>7</v>
      </c>
      <c r="MU563" s="27" t="s">
        <v>8</v>
      </c>
      <c r="QH563" s="27" t="s">
        <v>7</v>
      </c>
      <c r="QI563" s="27" t="s">
        <v>8</v>
      </c>
      <c r="QK563" s="27" t="s">
        <v>8</v>
      </c>
    </row>
    <row r="564" spans="1:456" x14ac:dyDescent="0.25">
      <c r="A564" s="7">
        <v>1.5768992641913981</v>
      </c>
      <c r="B564"/>
      <c r="C564"/>
      <c r="D564"/>
      <c r="E564"/>
      <c r="JO564" s="27" t="s">
        <v>8</v>
      </c>
      <c r="JP564" s="27" t="s">
        <v>7</v>
      </c>
      <c r="JQ564" s="27" t="s">
        <v>8</v>
      </c>
      <c r="KB564" s="27" t="s">
        <v>7</v>
      </c>
      <c r="KC564" s="27" t="s">
        <v>8</v>
      </c>
      <c r="LV564" s="27" t="s">
        <v>7</v>
      </c>
      <c r="LW564" s="27" t="s">
        <v>8</v>
      </c>
      <c r="LX564" s="27" t="s">
        <v>7</v>
      </c>
      <c r="MA564" s="27" t="s">
        <v>8</v>
      </c>
      <c r="MB564" s="27" t="s">
        <v>7</v>
      </c>
      <c r="MC564" s="27" t="s">
        <v>8</v>
      </c>
      <c r="MD564" s="27" t="s">
        <v>7</v>
      </c>
      <c r="ME564" s="27" t="s">
        <v>8</v>
      </c>
      <c r="MH564" s="27" t="s">
        <v>7</v>
      </c>
      <c r="MI564" s="27" t="s">
        <v>8</v>
      </c>
      <c r="MJ564" s="27" t="s">
        <v>7</v>
      </c>
      <c r="MK564" s="27" t="s">
        <v>8</v>
      </c>
      <c r="MM564" s="27" t="s">
        <v>8</v>
      </c>
      <c r="MP564" s="27" t="s">
        <v>7</v>
      </c>
      <c r="MQ564" s="27" t="s">
        <v>8</v>
      </c>
      <c r="MR564" s="27" t="s">
        <v>7</v>
      </c>
      <c r="MS564" s="27" t="s">
        <v>8</v>
      </c>
      <c r="MT564" s="27" t="s">
        <v>7</v>
      </c>
      <c r="QH564" s="27" t="s">
        <v>7</v>
      </c>
      <c r="QI564" s="27" t="s">
        <v>8</v>
      </c>
      <c r="QJ564" s="27" t="s">
        <v>7</v>
      </c>
      <c r="QK564" s="27" t="s">
        <v>8</v>
      </c>
      <c r="QL564" s="27" t="s">
        <v>7</v>
      </c>
      <c r="QM564" s="27" t="s">
        <v>8</v>
      </c>
    </row>
    <row r="565" spans="1:456" x14ac:dyDescent="0.25">
      <c r="A565" s="7">
        <v>1.5459796707758806</v>
      </c>
      <c r="B565"/>
      <c r="C565"/>
      <c r="D565"/>
      <c r="E565"/>
      <c r="GC565" s="27" t="s">
        <v>8</v>
      </c>
      <c r="JO565" s="27" t="s">
        <v>8</v>
      </c>
      <c r="JP565" s="27" t="s">
        <v>7</v>
      </c>
      <c r="JQ565" s="27" t="s">
        <v>8</v>
      </c>
      <c r="KB565" s="27" t="s">
        <v>7</v>
      </c>
      <c r="LV565" s="27" t="s">
        <v>7</v>
      </c>
      <c r="LW565" s="27" t="s">
        <v>8</v>
      </c>
      <c r="LX565" s="27" t="s">
        <v>7</v>
      </c>
      <c r="LY565" s="27" t="s">
        <v>8</v>
      </c>
      <c r="MA565" s="27" t="s">
        <v>8</v>
      </c>
      <c r="MB565" s="27" t="s">
        <v>7</v>
      </c>
      <c r="MC565" s="27" t="s">
        <v>8</v>
      </c>
      <c r="MD565" s="27" t="s">
        <v>7</v>
      </c>
      <c r="ME565" s="27" t="s">
        <v>8</v>
      </c>
      <c r="MH565" s="27" t="s">
        <v>7</v>
      </c>
      <c r="MJ565" s="27" t="s">
        <v>7</v>
      </c>
      <c r="MK565" s="27" t="s">
        <v>8</v>
      </c>
      <c r="ML565" s="27" t="s">
        <v>7</v>
      </c>
      <c r="MM565" s="27" t="s">
        <v>8</v>
      </c>
      <c r="MP565" s="27" t="s">
        <v>7</v>
      </c>
      <c r="MQ565" s="27" t="s">
        <v>8</v>
      </c>
      <c r="MR565" s="27" t="s">
        <v>7</v>
      </c>
      <c r="MS565" s="27" t="s">
        <v>8</v>
      </c>
      <c r="QH565" s="27" t="s">
        <v>7</v>
      </c>
      <c r="QI565" s="27" t="s">
        <v>8</v>
      </c>
      <c r="QJ565" s="27" t="s">
        <v>7</v>
      </c>
      <c r="QK565" s="27" t="s">
        <v>8</v>
      </c>
      <c r="QL565" s="27" t="s">
        <v>7</v>
      </c>
      <c r="QM565" s="27" t="s">
        <v>8</v>
      </c>
      <c r="QN565" s="27" t="s">
        <v>7</v>
      </c>
    </row>
    <row r="566" spans="1:456" x14ac:dyDescent="0.25">
      <c r="A566" s="7">
        <v>1.5156663438979221</v>
      </c>
      <c r="B566"/>
      <c r="C566"/>
      <c r="D566"/>
      <c r="E566"/>
      <c r="GC566" s="27" t="s">
        <v>8</v>
      </c>
      <c r="GD566" s="27" t="s">
        <v>7</v>
      </c>
      <c r="JO566" s="27" t="s">
        <v>8</v>
      </c>
      <c r="JP566" s="27" t="s">
        <v>7</v>
      </c>
      <c r="LV566" s="27" t="s">
        <v>7</v>
      </c>
      <c r="LW566" s="27" t="s">
        <v>8</v>
      </c>
      <c r="LX566" s="27" t="s">
        <v>7</v>
      </c>
      <c r="LY566" s="27" t="s">
        <v>8</v>
      </c>
      <c r="LZ566" s="27" t="s">
        <v>7</v>
      </c>
      <c r="MA566" s="27" t="s">
        <v>8</v>
      </c>
      <c r="MB566" s="27" t="s">
        <v>7</v>
      </c>
      <c r="MC566" s="27" t="s">
        <v>8</v>
      </c>
      <c r="MD566" s="27" t="s">
        <v>7</v>
      </c>
      <c r="ME566" s="27" t="s">
        <v>8</v>
      </c>
      <c r="MJ566" s="27" t="s">
        <v>7</v>
      </c>
      <c r="MK566" s="27" t="s">
        <v>8</v>
      </c>
      <c r="ML566" s="27" t="s">
        <v>7</v>
      </c>
      <c r="MM566" s="27" t="s">
        <v>8</v>
      </c>
      <c r="MP566" s="27" t="s">
        <v>7</v>
      </c>
      <c r="MQ566" s="27" t="s">
        <v>8</v>
      </c>
      <c r="MR566" s="27" t="s">
        <v>7</v>
      </c>
      <c r="MS566" s="27" t="s">
        <v>8</v>
      </c>
      <c r="QH566" s="27" t="s">
        <v>7</v>
      </c>
      <c r="QJ566" s="27" t="s">
        <v>7</v>
      </c>
      <c r="QK566" s="27" t="s">
        <v>8</v>
      </c>
      <c r="QL566" s="27" t="s">
        <v>7</v>
      </c>
      <c r="QM566" s="27" t="s">
        <v>8</v>
      </c>
      <c r="QN566" s="27" t="s">
        <v>7</v>
      </c>
    </row>
    <row r="567" spans="1:456" x14ac:dyDescent="0.25">
      <c r="A567" s="7">
        <v>1.4859473959783549</v>
      </c>
      <c r="B567"/>
      <c r="C567"/>
      <c r="D567"/>
      <c r="E567"/>
      <c r="GC567" s="27" t="s">
        <v>8</v>
      </c>
      <c r="GD567" s="27" t="s">
        <v>7</v>
      </c>
      <c r="JO567" s="27" t="s">
        <v>8</v>
      </c>
      <c r="LV567" s="27" t="s">
        <v>7</v>
      </c>
      <c r="LW567" s="27" t="s">
        <v>8</v>
      </c>
      <c r="LX567" s="27" t="s">
        <v>7</v>
      </c>
      <c r="LY567" s="27" t="s">
        <v>8</v>
      </c>
      <c r="LZ567" s="27" t="s">
        <v>7</v>
      </c>
      <c r="MA567" s="27" t="s">
        <v>8</v>
      </c>
      <c r="MB567" s="27" t="s">
        <v>7</v>
      </c>
      <c r="MC567" s="27" t="s">
        <v>8</v>
      </c>
      <c r="MD567" s="27" t="s">
        <v>7</v>
      </c>
      <c r="ME567" s="27" t="s">
        <v>8</v>
      </c>
      <c r="MJ567" s="27" t="s">
        <v>7</v>
      </c>
      <c r="MK567" s="27" t="s">
        <v>8</v>
      </c>
      <c r="ML567" s="27" t="s">
        <v>7</v>
      </c>
      <c r="MM567" s="27" t="s">
        <v>8</v>
      </c>
      <c r="MP567" s="27" t="s">
        <v>7</v>
      </c>
      <c r="MQ567" s="27" t="s">
        <v>8</v>
      </c>
      <c r="MR567" s="27" t="s">
        <v>7</v>
      </c>
      <c r="MS567" s="27" t="s">
        <v>8</v>
      </c>
      <c r="QJ567" s="27" t="s">
        <v>7</v>
      </c>
      <c r="QK567" s="27" t="s">
        <v>8</v>
      </c>
      <c r="QL567" s="27" t="s">
        <v>7</v>
      </c>
      <c r="QN567" s="27" t="s">
        <v>7</v>
      </c>
    </row>
    <row r="568" spans="1:456" x14ac:dyDescent="0.25">
      <c r="A568" s="7">
        <v>1.4568111725277988</v>
      </c>
      <c r="B568"/>
      <c r="C568"/>
      <c r="D568"/>
      <c r="E568"/>
      <c r="GC568" s="27" t="s">
        <v>8</v>
      </c>
      <c r="GD568" s="27" t="s">
        <v>7</v>
      </c>
      <c r="GE568" s="27" t="s">
        <v>8</v>
      </c>
      <c r="JO568" s="27" t="s">
        <v>8</v>
      </c>
      <c r="LV568" s="27" t="s">
        <v>7</v>
      </c>
      <c r="LW568" s="27" t="s">
        <v>8</v>
      </c>
      <c r="LX568" s="27" t="s">
        <v>7</v>
      </c>
      <c r="LY568" s="27" t="s">
        <v>8</v>
      </c>
      <c r="LZ568" s="27" t="s">
        <v>7</v>
      </c>
      <c r="MA568" s="27" t="s">
        <v>8</v>
      </c>
      <c r="MB568" s="27" t="s">
        <v>7</v>
      </c>
      <c r="MC568" s="27" t="s">
        <v>8</v>
      </c>
      <c r="MD568" s="27" t="s">
        <v>7</v>
      </c>
      <c r="ME568" s="27" t="s">
        <v>8</v>
      </c>
      <c r="MJ568" s="27" t="s">
        <v>7</v>
      </c>
      <c r="MK568" s="27" t="s">
        <v>8</v>
      </c>
      <c r="ML568" s="27" t="s">
        <v>7</v>
      </c>
      <c r="MM568" s="27" t="s">
        <v>8</v>
      </c>
      <c r="MP568" s="27" t="s">
        <v>7</v>
      </c>
      <c r="MQ568" s="27" t="s">
        <v>8</v>
      </c>
      <c r="MR568" s="27" t="s">
        <v>7</v>
      </c>
      <c r="MS568" s="27" t="s">
        <v>8</v>
      </c>
      <c r="QJ568" s="27" t="s">
        <v>7</v>
      </c>
      <c r="QN568" s="27" t="s">
        <v>7</v>
      </c>
    </row>
    <row r="569" spans="1:456" x14ac:dyDescent="0.25">
      <c r="A569" s="7">
        <v>1.4282462475762734</v>
      </c>
      <c r="B569"/>
      <c r="C569"/>
      <c r="D569"/>
      <c r="E569"/>
      <c r="GC569" s="27" t="s">
        <v>8</v>
      </c>
      <c r="GD569" s="27" t="s">
        <v>7</v>
      </c>
      <c r="GE569" s="27" t="s">
        <v>8</v>
      </c>
      <c r="GF569" s="27" t="s">
        <v>7</v>
      </c>
      <c r="JE569" s="27" t="s">
        <v>8</v>
      </c>
      <c r="JO569" s="27" t="s">
        <v>8</v>
      </c>
      <c r="LV569" s="27" t="s">
        <v>7</v>
      </c>
      <c r="LW569" s="27" t="s">
        <v>8</v>
      </c>
      <c r="LX569" s="27" t="s">
        <v>7</v>
      </c>
      <c r="LY569" s="27" t="s">
        <v>8</v>
      </c>
      <c r="LZ569" s="27" t="s">
        <v>7</v>
      </c>
      <c r="MA569" s="27" t="s">
        <v>8</v>
      </c>
      <c r="MB569" s="27" t="s">
        <v>7</v>
      </c>
      <c r="MC569" s="27" t="s">
        <v>8</v>
      </c>
      <c r="MD569" s="27" t="s">
        <v>7</v>
      </c>
      <c r="ME569" s="27" t="s">
        <v>8</v>
      </c>
      <c r="MJ569" s="27" t="s">
        <v>7</v>
      </c>
      <c r="MK569" s="27" t="s">
        <v>8</v>
      </c>
      <c r="ML569" s="27" t="s">
        <v>7</v>
      </c>
      <c r="MM569" s="27" t="s">
        <v>8</v>
      </c>
      <c r="MP569" s="27" t="s">
        <v>7</v>
      </c>
      <c r="MQ569" s="27" t="s">
        <v>8</v>
      </c>
      <c r="MR569" s="27" t="s">
        <v>7</v>
      </c>
      <c r="MS569" s="27" t="s">
        <v>8</v>
      </c>
      <c r="QN569" s="27" t="s">
        <v>7</v>
      </c>
    </row>
    <row r="570" spans="1:456" x14ac:dyDescent="0.25">
      <c r="A570" s="7">
        <v>1.4002414191924248</v>
      </c>
      <c r="B570"/>
      <c r="C570"/>
      <c r="D570"/>
      <c r="E570"/>
      <c r="GC570" s="27" t="s">
        <v>8</v>
      </c>
      <c r="GD570" s="27" t="s">
        <v>7</v>
      </c>
      <c r="GE570" s="27" t="s">
        <v>8</v>
      </c>
      <c r="GF570" s="27" t="s">
        <v>7</v>
      </c>
      <c r="JE570" s="27" t="s">
        <v>8</v>
      </c>
      <c r="JF570" s="27" t="s">
        <v>7</v>
      </c>
      <c r="JG570" s="27" t="s">
        <v>8</v>
      </c>
      <c r="JO570" s="27" t="s">
        <v>8</v>
      </c>
      <c r="LV570" s="27" t="s">
        <v>7</v>
      </c>
      <c r="LW570" s="27" t="s">
        <v>8</v>
      </c>
      <c r="LX570" s="27" t="s">
        <v>7</v>
      </c>
      <c r="LY570" s="27" t="s">
        <v>8</v>
      </c>
      <c r="LZ570" s="27" t="s">
        <v>7</v>
      </c>
      <c r="MA570" s="27" t="s">
        <v>8</v>
      </c>
      <c r="MB570" s="27" t="s">
        <v>7</v>
      </c>
      <c r="MD570" s="27" t="s">
        <v>7</v>
      </c>
      <c r="ME570" s="27" t="s">
        <v>8</v>
      </c>
      <c r="MJ570" s="27" t="s">
        <v>7</v>
      </c>
      <c r="MK570" s="27" t="s">
        <v>8</v>
      </c>
      <c r="ML570" s="27" t="s">
        <v>7</v>
      </c>
      <c r="MM570" s="27" t="s">
        <v>8</v>
      </c>
      <c r="MP570" s="27" t="s">
        <v>7</v>
      </c>
      <c r="MQ570" s="27" t="s">
        <v>8</v>
      </c>
      <c r="MR570" s="27" t="s">
        <v>7</v>
      </c>
      <c r="MS570" s="27" t="s">
        <v>8</v>
      </c>
      <c r="QN570" s="27" t="s">
        <v>7</v>
      </c>
    </row>
    <row r="571" spans="1:456" x14ac:dyDescent="0.25">
      <c r="A571" s="7">
        <v>1.3727857050906125</v>
      </c>
      <c r="B571"/>
      <c r="C571"/>
      <c r="D571"/>
      <c r="E571"/>
      <c r="GC571" s="27" t="s">
        <v>8</v>
      </c>
      <c r="GD571" s="27" t="s">
        <v>7</v>
      </c>
      <c r="GE571" s="27" t="s">
        <v>8</v>
      </c>
      <c r="GF571" s="27" t="s">
        <v>7</v>
      </c>
      <c r="JC571" s="27" t="s">
        <v>8</v>
      </c>
      <c r="JE571" s="27" t="s">
        <v>8</v>
      </c>
      <c r="JF571" s="27" t="s">
        <v>7</v>
      </c>
      <c r="JG571" s="27" t="s">
        <v>8</v>
      </c>
      <c r="JH571" s="27" t="s">
        <v>7</v>
      </c>
      <c r="JI571" s="27" t="s">
        <v>8</v>
      </c>
      <c r="JM571" s="27" t="s">
        <v>8</v>
      </c>
      <c r="JO571" s="27" t="s">
        <v>8</v>
      </c>
      <c r="LV571" s="27" t="s">
        <v>7</v>
      </c>
      <c r="LW571" s="27" t="s">
        <v>8</v>
      </c>
      <c r="LX571" s="27" t="s">
        <v>7</v>
      </c>
      <c r="LY571" s="27" t="s">
        <v>8</v>
      </c>
      <c r="LZ571" s="27" t="s">
        <v>7</v>
      </c>
      <c r="MA571" s="27" t="s">
        <v>8</v>
      </c>
      <c r="MD571" s="27" t="s">
        <v>7</v>
      </c>
      <c r="ME571" s="27" t="s">
        <v>8</v>
      </c>
      <c r="MJ571" s="27" t="s">
        <v>7</v>
      </c>
      <c r="MK571" s="27" t="s">
        <v>8</v>
      </c>
      <c r="ML571" s="27" t="s">
        <v>7</v>
      </c>
      <c r="MM571" s="27" t="s">
        <v>8</v>
      </c>
      <c r="MP571" s="27" t="s">
        <v>7</v>
      </c>
      <c r="MQ571" s="27" t="s">
        <v>8</v>
      </c>
      <c r="MR571" s="27" t="s">
        <v>7</v>
      </c>
      <c r="MS571" s="27" t="s">
        <v>8</v>
      </c>
      <c r="QN571" s="27" t="s">
        <v>7</v>
      </c>
    </row>
    <row r="572" spans="1:456" x14ac:dyDescent="0.25">
      <c r="A572" s="7">
        <v>1.3458683383241299</v>
      </c>
      <c r="B572"/>
      <c r="C572"/>
      <c r="D572"/>
      <c r="E572"/>
      <c r="GA572" s="27" t="s">
        <v>8</v>
      </c>
      <c r="GC572" s="27" t="s">
        <v>8</v>
      </c>
      <c r="GD572" s="27" t="s">
        <v>7</v>
      </c>
      <c r="GE572" s="27" t="s">
        <v>8</v>
      </c>
      <c r="GF572" s="27" t="s">
        <v>7</v>
      </c>
      <c r="JC572" s="27" t="s">
        <v>8</v>
      </c>
      <c r="JD572" s="27" t="s">
        <v>7</v>
      </c>
      <c r="JE572" s="27" t="s">
        <v>8</v>
      </c>
      <c r="JF572" s="27" t="s">
        <v>7</v>
      </c>
      <c r="JG572" s="27" t="s">
        <v>8</v>
      </c>
      <c r="JH572" s="27" t="s">
        <v>7</v>
      </c>
      <c r="JI572" s="27" t="s">
        <v>8</v>
      </c>
      <c r="JJ572" s="27" t="s">
        <v>7</v>
      </c>
      <c r="JM572" s="27" t="s">
        <v>8</v>
      </c>
      <c r="JN572" s="27" t="s">
        <v>7</v>
      </c>
      <c r="JO572" s="27" t="s">
        <v>8</v>
      </c>
      <c r="LV572" s="27" t="s">
        <v>7</v>
      </c>
      <c r="LW572" s="27" t="s">
        <v>8</v>
      </c>
      <c r="LX572" s="27" t="s">
        <v>7</v>
      </c>
      <c r="LY572" s="27" t="s">
        <v>8</v>
      </c>
      <c r="LZ572" s="27" t="s">
        <v>7</v>
      </c>
      <c r="MA572" s="27" t="s">
        <v>8</v>
      </c>
      <c r="MD572" s="27" t="s">
        <v>7</v>
      </c>
      <c r="ME572" s="27" t="s">
        <v>8</v>
      </c>
      <c r="MJ572" s="27" t="s">
        <v>7</v>
      </c>
      <c r="ML572" s="27" t="s">
        <v>7</v>
      </c>
      <c r="MP572" s="27" t="s">
        <v>7</v>
      </c>
      <c r="MQ572" s="27" t="s">
        <v>8</v>
      </c>
      <c r="MR572" s="27" t="s">
        <v>7</v>
      </c>
      <c r="MS572" s="27" t="s">
        <v>8</v>
      </c>
      <c r="QN572" s="27" t="s">
        <v>7</v>
      </c>
    </row>
    <row r="573" spans="1:456" x14ac:dyDescent="0.25">
      <c r="A573" s="7">
        <v>1.3194787630628724</v>
      </c>
      <c r="B573"/>
      <c r="C573"/>
      <c r="D573"/>
      <c r="E573"/>
      <c r="GA573" s="27" t="s">
        <v>8</v>
      </c>
      <c r="GB573" s="27" t="s">
        <v>7</v>
      </c>
      <c r="GC573" s="27" t="s">
        <v>8</v>
      </c>
      <c r="GD573" s="27" t="s">
        <v>7</v>
      </c>
      <c r="GF573" s="27" t="s">
        <v>7</v>
      </c>
      <c r="JA573" s="27" t="s">
        <v>8</v>
      </c>
      <c r="JC573" s="27" t="s">
        <v>8</v>
      </c>
      <c r="JD573" s="27" t="s">
        <v>7</v>
      </c>
      <c r="JE573" s="27" t="s">
        <v>8</v>
      </c>
      <c r="JF573" s="27" t="s">
        <v>7</v>
      </c>
      <c r="JG573" s="27" t="s">
        <v>8</v>
      </c>
      <c r="JH573" s="27" t="s">
        <v>7</v>
      </c>
      <c r="JI573" s="27" t="s">
        <v>8</v>
      </c>
      <c r="JJ573" s="27" t="s">
        <v>7</v>
      </c>
      <c r="JK573" s="27" t="s">
        <v>8</v>
      </c>
      <c r="JM573" s="27" t="s">
        <v>8</v>
      </c>
      <c r="JN573" s="27" t="s">
        <v>7</v>
      </c>
      <c r="JO573" s="27" t="s">
        <v>8</v>
      </c>
      <c r="LV573" s="27" t="s">
        <v>7</v>
      </c>
      <c r="LW573" s="27" t="s">
        <v>8</v>
      </c>
      <c r="LX573" s="27" t="s">
        <v>7</v>
      </c>
      <c r="LY573" s="27" t="s">
        <v>8</v>
      </c>
      <c r="LZ573" s="27" t="s">
        <v>7</v>
      </c>
      <c r="MA573" s="27" t="s">
        <v>8</v>
      </c>
      <c r="MD573" s="27" t="s">
        <v>7</v>
      </c>
      <c r="ME573" s="27" t="s">
        <v>8</v>
      </c>
      <c r="MP573" s="27" t="s">
        <v>7</v>
      </c>
      <c r="MQ573" s="27" t="s">
        <v>8</v>
      </c>
      <c r="MR573" s="27" t="s">
        <v>7</v>
      </c>
      <c r="MS573" s="27" t="s">
        <v>8</v>
      </c>
      <c r="QN573" s="27" t="s">
        <v>7</v>
      </c>
    </row>
    <row r="574" spans="1:456" x14ac:dyDescent="0.25">
      <c r="A574" s="7">
        <v>1.2936066304537963</v>
      </c>
      <c r="B574"/>
      <c r="C574"/>
      <c r="D574"/>
      <c r="E574"/>
      <c r="GA574" s="27" t="s">
        <v>8</v>
      </c>
      <c r="GB574" s="27" t="s">
        <v>7</v>
      </c>
      <c r="GC574" s="27" t="s">
        <v>8</v>
      </c>
      <c r="GF574" s="27" t="s">
        <v>7</v>
      </c>
      <c r="GG574" s="27" t="s">
        <v>8</v>
      </c>
      <c r="IY574" s="27" t="s">
        <v>8</v>
      </c>
      <c r="JA574" s="27" t="s">
        <v>8</v>
      </c>
      <c r="JB574" s="27" t="s">
        <v>7</v>
      </c>
      <c r="JC574" s="27" t="s">
        <v>8</v>
      </c>
      <c r="JD574" s="27" t="s">
        <v>7</v>
      </c>
      <c r="JE574" s="27" t="s">
        <v>8</v>
      </c>
      <c r="JF574" s="27" t="s">
        <v>7</v>
      </c>
      <c r="JH574" s="27" t="s">
        <v>7</v>
      </c>
      <c r="JI574" s="27" t="s">
        <v>8</v>
      </c>
      <c r="JJ574" s="27" t="s">
        <v>7</v>
      </c>
      <c r="JK574" s="27" t="s">
        <v>8</v>
      </c>
      <c r="JL574" s="27" t="s">
        <v>7</v>
      </c>
      <c r="JM574" s="27" t="s">
        <v>8</v>
      </c>
      <c r="JN574" s="27" t="s">
        <v>7</v>
      </c>
      <c r="JO574" s="27" t="s">
        <v>8</v>
      </c>
      <c r="LV574" s="27" t="s">
        <v>7</v>
      </c>
      <c r="LW574" s="27" t="s">
        <v>8</v>
      </c>
      <c r="LX574" s="27" t="s">
        <v>7</v>
      </c>
      <c r="LY574" s="27" t="s">
        <v>8</v>
      </c>
      <c r="LZ574" s="27" t="s">
        <v>7</v>
      </c>
      <c r="MA574" s="27" t="s">
        <v>8</v>
      </c>
      <c r="MD574" s="27" t="s">
        <v>7</v>
      </c>
      <c r="ME574" s="27" t="s">
        <v>8</v>
      </c>
      <c r="MP574" s="27" t="s">
        <v>7</v>
      </c>
      <c r="MQ574" s="27" t="s">
        <v>8</v>
      </c>
      <c r="MR574" s="27" t="s">
        <v>7</v>
      </c>
      <c r="MS574" s="27" t="s">
        <v>8</v>
      </c>
      <c r="QN574" s="27" t="s">
        <v>7</v>
      </c>
    </row>
    <row r="575" spans="1:456" x14ac:dyDescent="0.25">
      <c r="A575" s="7">
        <v>1.2682417945625455</v>
      </c>
      <c r="B575"/>
      <c r="C575"/>
      <c r="D575"/>
      <c r="E575"/>
      <c r="GA575" s="27" t="s">
        <v>8</v>
      </c>
      <c r="GB575" s="27" t="s">
        <v>7</v>
      </c>
      <c r="GC575" s="27" t="s">
        <v>8</v>
      </c>
      <c r="GF575" s="27" t="s">
        <v>7</v>
      </c>
      <c r="GG575" s="27" t="s">
        <v>8</v>
      </c>
      <c r="GH575" s="27" t="s">
        <v>7</v>
      </c>
      <c r="IY575" s="27" t="s">
        <v>8</v>
      </c>
      <c r="IZ575" s="27" t="s">
        <v>7</v>
      </c>
      <c r="JA575" s="27" t="s">
        <v>8</v>
      </c>
      <c r="JB575" s="27" t="s">
        <v>7</v>
      </c>
      <c r="JC575" s="27" t="s">
        <v>8</v>
      </c>
      <c r="JD575" s="27" t="s">
        <v>7</v>
      </c>
      <c r="JE575" s="27" t="s">
        <v>8</v>
      </c>
      <c r="JH575" s="27" t="s">
        <v>7</v>
      </c>
      <c r="JI575" s="27" t="s">
        <v>8</v>
      </c>
      <c r="JJ575" s="27" t="s">
        <v>7</v>
      </c>
      <c r="JK575" s="27" t="s">
        <v>8</v>
      </c>
      <c r="JL575" s="27" t="s">
        <v>7</v>
      </c>
      <c r="JM575" s="27" t="s">
        <v>8</v>
      </c>
      <c r="JN575" s="27" t="s">
        <v>7</v>
      </c>
      <c r="JO575" s="27" t="s">
        <v>8</v>
      </c>
      <c r="LV575" s="27" t="s">
        <v>7</v>
      </c>
      <c r="LW575" s="27" t="s">
        <v>8</v>
      </c>
      <c r="LX575" s="27" t="s">
        <v>7</v>
      </c>
      <c r="LY575" s="27" t="s">
        <v>8</v>
      </c>
      <c r="LZ575" s="27" t="s">
        <v>7</v>
      </c>
      <c r="MA575" s="27" t="s">
        <v>8</v>
      </c>
      <c r="MD575" s="27" t="s">
        <v>7</v>
      </c>
      <c r="ME575" s="27" t="s">
        <v>8</v>
      </c>
      <c r="MP575" s="27" t="s">
        <v>7</v>
      </c>
      <c r="MQ575" s="27" t="s">
        <v>8</v>
      </c>
      <c r="MR575" s="27" t="s">
        <v>7</v>
      </c>
      <c r="QN575" s="27" t="s">
        <v>7</v>
      </c>
    </row>
    <row r="576" spans="1:456" x14ac:dyDescent="0.25">
      <c r="A576" s="7">
        <v>1.2433743083946525</v>
      </c>
      <c r="B576"/>
      <c r="C576"/>
      <c r="D576"/>
      <c r="E576"/>
      <c r="GA576" s="27" t="s">
        <v>8</v>
      </c>
      <c r="GB576" s="27" t="s">
        <v>7</v>
      </c>
      <c r="GC576" s="27" t="s">
        <v>8</v>
      </c>
      <c r="GF576" s="27" t="s">
        <v>7</v>
      </c>
      <c r="GG576" s="27" t="s">
        <v>8</v>
      </c>
      <c r="GH576" s="27" t="s">
        <v>7</v>
      </c>
      <c r="IY576" s="27" t="s">
        <v>8</v>
      </c>
      <c r="IZ576" s="27" t="s">
        <v>7</v>
      </c>
      <c r="JA576" s="27" t="s">
        <v>8</v>
      </c>
      <c r="JB576" s="27" t="s">
        <v>7</v>
      </c>
      <c r="JC576" s="27" t="s">
        <v>8</v>
      </c>
      <c r="JD576" s="27" t="s">
        <v>7</v>
      </c>
      <c r="JE576" s="27" t="s">
        <v>8</v>
      </c>
      <c r="JH576" s="27" t="s">
        <v>7</v>
      </c>
      <c r="JI576" s="27" t="s">
        <v>8</v>
      </c>
      <c r="JJ576" s="27" t="s">
        <v>7</v>
      </c>
      <c r="JK576" s="27" t="s">
        <v>8</v>
      </c>
      <c r="JL576" s="27" t="s">
        <v>7</v>
      </c>
      <c r="JM576" s="27" t="s">
        <v>8</v>
      </c>
      <c r="JN576" s="27" t="s">
        <v>7</v>
      </c>
      <c r="JO576" s="27" t="s">
        <v>8</v>
      </c>
      <c r="LV576" s="27" t="s">
        <v>7</v>
      </c>
      <c r="LW576" s="27" t="s">
        <v>8</v>
      </c>
      <c r="LX576" s="27" t="s">
        <v>7</v>
      </c>
      <c r="LY576" s="27" t="s">
        <v>8</v>
      </c>
      <c r="LZ576" s="27" t="s">
        <v>7</v>
      </c>
      <c r="MA576" s="27" t="s">
        <v>8</v>
      </c>
      <c r="MD576" s="27" t="s">
        <v>7</v>
      </c>
      <c r="MP576" s="27" t="s">
        <v>7</v>
      </c>
      <c r="QN576" s="27" t="s">
        <v>7</v>
      </c>
    </row>
    <row r="577" spans="1:460" x14ac:dyDescent="0.25">
      <c r="A577" s="7">
        <v>1.2189944199947573</v>
      </c>
      <c r="B577"/>
      <c r="C577"/>
      <c r="D577"/>
      <c r="E577"/>
      <c r="GA577" s="27" t="s">
        <v>8</v>
      </c>
      <c r="GB577" s="27" t="s">
        <v>7</v>
      </c>
      <c r="GC577" s="27" t="s">
        <v>8</v>
      </c>
      <c r="GF577" s="27" t="s">
        <v>7</v>
      </c>
      <c r="GG577" s="27" t="s">
        <v>8</v>
      </c>
      <c r="GH577" s="27" t="s">
        <v>7</v>
      </c>
      <c r="IY577" s="27" t="s">
        <v>8</v>
      </c>
      <c r="IZ577" s="27" t="s">
        <v>7</v>
      </c>
      <c r="JA577" s="27" t="s">
        <v>8</v>
      </c>
      <c r="JB577" s="27" t="s">
        <v>7</v>
      </c>
      <c r="JC577" s="27" t="s">
        <v>8</v>
      </c>
      <c r="JD577" s="27" t="s">
        <v>7</v>
      </c>
      <c r="JH577" s="27" t="s">
        <v>7</v>
      </c>
      <c r="JI577" s="27" t="s">
        <v>8</v>
      </c>
      <c r="JJ577" s="27" t="s">
        <v>7</v>
      </c>
      <c r="JK577" s="27" t="s">
        <v>8</v>
      </c>
      <c r="JL577" s="27" t="s">
        <v>7</v>
      </c>
      <c r="JM577" s="27" t="s">
        <v>8</v>
      </c>
      <c r="JN577" s="27" t="s">
        <v>7</v>
      </c>
      <c r="LV577" s="27" t="s">
        <v>7</v>
      </c>
      <c r="LW577" s="27" t="s">
        <v>8</v>
      </c>
      <c r="LX577" s="27" t="s">
        <v>7</v>
      </c>
      <c r="LZ577" s="27" t="s">
        <v>7</v>
      </c>
      <c r="MA577" s="27" t="s">
        <v>8</v>
      </c>
      <c r="QN577" s="27" t="s">
        <v>7</v>
      </c>
    </row>
    <row r="578" spans="1:460" x14ac:dyDescent="0.25">
      <c r="A578" s="7">
        <v>1.1950925686223111</v>
      </c>
      <c r="B578"/>
      <c r="C578"/>
      <c r="D578"/>
      <c r="E578"/>
      <c r="GA578" s="27" t="s">
        <v>8</v>
      </c>
      <c r="GB578" s="27" t="s">
        <v>7</v>
      </c>
      <c r="GC578" s="27" t="s">
        <v>8</v>
      </c>
      <c r="GF578" s="27" t="s">
        <v>7</v>
      </c>
      <c r="GG578" s="27" t="s">
        <v>8</v>
      </c>
      <c r="GH578" s="27" t="s">
        <v>7</v>
      </c>
      <c r="HA578" s="27" t="s">
        <v>8</v>
      </c>
      <c r="IY578" s="27" t="s">
        <v>8</v>
      </c>
      <c r="IZ578" s="27" t="s">
        <v>7</v>
      </c>
      <c r="JA578" s="27" t="s">
        <v>8</v>
      </c>
      <c r="JB578" s="27" t="s">
        <v>7</v>
      </c>
      <c r="JC578" s="27" t="s">
        <v>8</v>
      </c>
      <c r="JH578" s="27" t="s">
        <v>7</v>
      </c>
      <c r="JI578" s="27" t="s">
        <v>8</v>
      </c>
      <c r="JJ578" s="27" t="s">
        <v>7</v>
      </c>
      <c r="JK578" s="27" t="s">
        <v>8</v>
      </c>
      <c r="JL578" s="27" t="s">
        <v>7</v>
      </c>
      <c r="JM578" s="27" t="s">
        <v>8</v>
      </c>
      <c r="LV578" s="27" t="s">
        <v>7</v>
      </c>
      <c r="LW578" s="27" t="s">
        <v>8</v>
      </c>
      <c r="LZ578" s="27" t="s">
        <v>7</v>
      </c>
      <c r="MA578" s="27" t="s">
        <v>8</v>
      </c>
      <c r="QN578" s="27" t="s">
        <v>7</v>
      </c>
      <c r="QQ578" s="27" t="s">
        <v>8</v>
      </c>
    </row>
    <row r="579" spans="1:460" x14ac:dyDescent="0.25">
      <c r="A579" s="7">
        <v>1.1716593810022657</v>
      </c>
      <c r="B579"/>
      <c r="C579"/>
      <c r="D579"/>
      <c r="E579"/>
      <c r="GA579" s="27" t="s">
        <v>8</v>
      </c>
      <c r="GB579" s="27" t="s">
        <v>7</v>
      </c>
      <c r="GC579" s="27" t="s">
        <v>8</v>
      </c>
      <c r="GF579" s="27" t="s">
        <v>7</v>
      </c>
      <c r="GG579" s="27" t="s">
        <v>8</v>
      </c>
      <c r="GH579" s="27" t="s">
        <v>7</v>
      </c>
      <c r="HA579" s="27" t="s">
        <v>8</v>
      </c>
      <c r="HB579" s="27" t="s">
        <v>7</v>
      </c>
      <c r="IY579" s="27" t="s">
        <v>8</v>
      </c>
      <c r="IZ579" s="27" t="s">
        <v>7</v>
      </c>
      <c r="JA579" s="27" t="s">
        <v>8</v>
      </c>
      <c r="JB579" s="27" t="s">
        <v>7</v>
      </c>
      <c r="JC579" s="27" t="s">
        <v>8</v>
      </c>
      <c r="JH579" s="27" t="s">
        <v>7</v>
      </c>
      <c r="JI579" s="27" t="s">
        <v>8</v>
      </c>
      <c r="JJ579" s="27" t="s">
        <v>7</v>
      </c>
      <c r="JK579" s="27" t="s">
        <v>8</v>
      </c>
      <c r="JL579" s="27" t="s">
        <v>7</v>
      </c>
      <c r="JM579" s="27" t="s">
        <v>8</v>
      </c>
      <c r="LV579" s="27" t="s">
        <v>7</v>
      </c>
      <c r="LW579" s="27" t="s">
        <v>8</v>
      </c>
      <c r="LZ579" s="27" t="s">
        <v>7</v>
      </c>
      <c r="MA579" s="27" t="s">
        <v>8</v>
      </c>
      <c r="QN579" s="27" t="s">
        <v>7</v>
      </c>
      <c r="QO579" s="27" t="s">
        <v>8</v>
      </c>
      <c r="QQ579" s="27" t="s">
        <v>8</v>
      </c>
      <c r="QR579" s="27" t="s">
        <v>7</v>
      </c>
    </row>
    <row r="580" spans="1:460" x14ac:dyDescent="0.25">
      <c r="A580" s="7">
        <v>1.14868566764928</v>
      </c>
      <c r="B580"/>
      <c r="C580"/>
      <c r="D580"/>
      <c r="E580"/>
      <c r="FU580" s="27" t="s">
        <v>8</v>
      </c>
      <c r="GA580" s="27" t="s">
        <v>8</v>
      </c>
      <c r="GB580" s="27" t="s">
        <v>7</v>
      </c>
      <c r="GC580" s="27" t="s">
        <v>8</v>
      </c>
      <c r="GF580" s="27" t="s">
        <v>7</v>
      </c>
      <c r="GG580" s="27" t="s">
        <v>8</v>
      </c>
      <c r="GH580" s="27" t="s">
        <v>7</v>
      </c>
      <c r="GI580" s="27" t="s">
        <v>8</v>
      </c>
      <c r="GM580" s="27" t="s">
        <v>8</v>
      </c>
      <c r="HA580" s="27" t="s">
        <v>8</v>
      </c>
      <c r="HB580" s="27" t="s">
        <v>7</v>
      </c>
      <c r="IY580" s="27" t="s">
        <v>8</v>
      </c>
      <c r="IZ580" s="27" t="s">
        <v>7</v>
      </c>
      <c r="JA580" s="27" t="s">
        <v>8</v>
      </c>
      <c r="JB580" s="27" t="s">
        <v>7</v>
      </c>
      <c r="JC580" s="27" t="s">
        <v>8</v>
      </c>
      <c r="JH580" s="27" t="s">
        <v>7</v>
      </c>
      <c r="JI580" s="27" t="s">
        <v>8</v>
      </c>
      <c r="JJ580" s="27" t="s">
        <v>7</v>
      </c>
      <c r="JL580" s="27" t="s">
        <v>7</v>
      </c>
      <c r="LV580" s="27" t="s">
        <v>7</v>
      </c>
      <c r="LW580" s="27" t="s">
        <v>8</v>
      </c>
      <c r="LZ580" s="27" t="s">
        <v>7</v>
      </c>
      <c r="MA580" s="27" t="s">
        <v>8</v>
      </c>
      <c r="QN580" s="27" t="s">
        <v>7</v>
      </c>
      <c r="QO580" s="27" t="s">
        <v>8</v>
      </c>
      <c r="QP580" s="27" t="s">
        <v>7</v>
      </c>
      <c r="QQ580" s="27" t="s">
        <v>8</v>
      </c>
      <c r="QR580" s="27" t="s">
        <v>7</v>
      </c>
    </row>
    <row r="581" spans="1:460" x14ac:dyDescent="0.25">
      <c r="A581" s="7">
        <v>1.1261624192640001</v>
      </c>
      <c r="B581"/>
      <c r="C581"/>
      <c r="D581"/>
      <c r="E581"/>
      <c r="FU581" s="27" t="s">
        <v>8</v>
      </c>
      <c r="FV581" s="27" t="s">
        <v>7</v>
      </c>
      <c r="GA581" s="27" t="s">
        <v>8</v>
      </c>
      <c r="GB581" s="27" t="s">
        <v>7</v>
      </c>
      <c r="GC581" s="27" t="s">
        <v>8</v>
      </c>
      <c r="GF581" s="27" t="s">
        <v>7</v>
      </c>
      <c r="GG581" s="27" t="s">
        <v>8</v>
      </c>
      <c r="GH581" s="27" t="s">
        <v>7</v>
      </c>
      <c r="GI581" s="27" t="s">
        <v>8</v>
      </c>
      <c r="GJ581" s="27" t="s">
        <v>7</v>
      </c>
      <c r="GM581" s="27" t="s">
        <v>8</v>
      </c>
      <c r="GN581" s="27" t="s">
        <v>7</v>
      </c>
      <c r="HA581" s="27" t="s">
        <v>8</v>
      </c>
      <c r="HB581" s="27" t="s">
        <v>7</v>
      </c>
      <c r="IY581" s="27" t="s">
        <v>8</v>
      </c>
      <c r="IZ581" s="27" t="s">
        <v>7</v>
      </c>
      <c r="JA581" s="27" t="s">
        <v>8</v>
      </c>
      <c r="JB581" s="27" t="s">
        <v>7</v>
      </c>
      <c r="JC581" s="27" t="s">
        <v>8</v>
      </c>
      <c r="JH581" s="27" t="s">
        <v>7</v>
      </c>
      <c r="JI581" s="27" t="s">
        <v>8</v>
      </c>
      <c r="LV581" s="27" t="s">
        <v>7</v>
      </c>
      <c r="LW581" s="27" t="s">
        <v>8</v>
      </c>
      <c r="LZ581" s="27" t="s">
        <v>7</v>
      </c>
      <c r="MA581" s="27" t="s">
        <v>8</v>
      </c>
      <c r="QN581" s="27" t="s">
        <v>7</v>
      </c>
      <c r="QO581" s="27" t="s">
        <v>8</v>
      </c>
      <c r="QP581" s="27" t="s">
        <v>7</v>
      </c>
      <c r="QQ581" s="27" t="s">
        <v>8</v>
      </c>
      <c r="QR581" s="27" t="s">
        <v>7</v>
      </c>
    </row>
    <row r="582" spans="1:460" x14ac:dyDescent="0.25">
      <c r="A582" s="7">
        <v>1.1040808032</v>
      </c>
      <c r="B582"/>
      <c r="C582"/>
      <c r="D582"/>
      <c r="E582"/>
      <c r="FU582" s="27" t="s">
        <v>8</v>
      </c>
      <c r="FV582" s="27" t="s">
        <v>7</v>
      </c>
      <c r="GA582" s="27" t="s">
        <v>8</v>
      </c>
      <c r="GB582" s="27" t="s">
        <v>7</v>
      </c>
      <c r="GC582" s="27" t="s">
        <v>8</v>
      </c>
      <c r="GF582" s="27" t="s">
        <v>7</v>
      </c>
      <c r="GG582" s="27" t="s">
        <v>8</v>
      </c>
      <c r="GH582" s="27" t="s">
        <v>7</v>
      </c>
      <c r="GI582" s="27" t="s">
        <v>8</v>
      </c>
      <c r="GJ582" s="27" t="s">
        <v>7</v>
      </c>
      <c r="GM582" s="27" t="s">
        <v>8</v>
      </c>
      <c r="GN582" s="27" t="s">
        <v>7</v>
      </c>
      <c r="HA582" s="27" t="s">
        <v>8</v>
      </c>
      <c r="HB582" s="27" t="s">
        <v>7</v>
      </c>
      <c r="IY582" s="27" t="s">
        <v>8</v>
      </c>
      <c r="IZ582" s="27" t="s">
        <v>7</v>
      </c>
      <c r="JA582" s="27" t="s">
        <v>8</v>
      </c>
      <c r="JB582" s="27" t="s">
        <v>7</v>
      </c>
      <c r="JC582" s="27" t="s">
        <v>8</v>
      </c>
      <c r="JH582" s="27" t="s">
        <v>7</v>
      </c>
      <c r="JI582" s="27" t="s">
        <v>8</v>
      </c>
      <c r="LV582" s="27" t="s">
        <v>7</v>
      </c>
      <c r="LW582" s="27" t="s">
        <v>8</v>
      </c>
      <c r="LZ582" s="27" t="s">
        <v>7</v>
      </c>
      <c r="MA582" s="27" t="s">
        <v>8</v>
      </c>
      <c r="QN582" s="27" t="s">
        <v>7</v>
      </c>
      <c r="QO582" s="27" t="s">
        <v>8</v>
      </c>
      <c r="QP582" s="27" t="s">
        <v>7</v>
      </c>
      <c r="QQ582" s="27" t="s">
        <v>8</v>
      </c>
      <c r="QR582" s="27" t="s">
        <v>7</v>
      </c>
    </row>
    <row r="583" spans="1:460" x14ac:dyDescent="0.25">
      <c r="A583" s="7">
        <v>1.08243216</v>
      </c>
      <c r="B583"/>
      <c r="C583"/>
      <c r="D583"/>
      <c r="E583"/>
      <c r="FU583" s="27" t="s">
        <v>8</v>
      </c>
      <c r="FV583" s="27" t="s">
        <v>7</v>
      </c>
      <c r="GA583" s="27" t="s">
        <v>8</v>
      </c>
      <c r="GB583" s="27" t="s">
        <v>7</v>
      </c>
      <c r="GC583" s="27" t="s">
        <v>8</v>
      </c>
      <c r="GF583" s="27" t="s">
        <v>7</v>
      </c>
      <c r="GG583" s="27" t="s">
        <v>8</v>
      </c>
      <c r="GH583" s="27" t="s">
        <v>7</v>
      </c>
      <c r="GI583" s="27" t="s">
        <v>8</v>
      </c>
      <c r="GJ583" s="27" t="s">
        <v>7</v>
      </c>
      <c r="GM583" s="27" t="s">
        <v>8</v>
      </c>
      <c r="GN583" s="27" t="s">
        <v>7</v>
      </c>
      <c r="HA583" s="27" t="s">
        <v>8</v>
      </c>
      <c r="HB583" s="27" t="s">
        <v>7</v>
      </c>
      <c r="IY583" s="27" t="s">
        <v>8</v>
      </c>
      <c r="IZ583" s="27" t="s">
        <v>7</v>
      </c>
      <c r="JA583" s="27" t="s">
        <v>8</v>
      </c>
      <c r="JB583" s="27" t="s">
        <v>7</v>
      </c>
      <c r="JH583" s="27" t="s">
        <v>7</v>
      </c>
      <c r="JI583" s="27" t="s">
        <v>8</v>
      </c>
      <c r="LV583" s="27" t="s">
        <v>7</v>
      </c>
      <c r="LW583" s="27" t="s">
        <v>8</v>
      </c>
      <c r="LZ583" s="27" t="s">
        <v>7</v>
      </c>
      <c r="MA583" s="27" t="s">
        <v>8</v>
      </c>
      <c r="QN583" s="27" t="s">
        <v>7</v>
      </c>
      <c r="QO583" s="27" t="s">
        <v>8</v>
      </c>
      <c r="QP583" s="27" t="s">
        <v>7</v>
      </c>
      <c r="QQ583" s="27" t="s">
        <v>8</v>
      </c>
    </row>
    <row r="584" spans="1:460" x14ac:dyDescent="0.25">
      <c r="A584" s="7">
        <v>1.0612079999999999</v>
      </c>
      <c r="B584"/>
      <c r="C584"/>
      <c r="D584"/>
      <c r="E584"/>
      <c r="FU584" s="27" t="s">
        <v>8</v>
      </c>
      <c r="FV584" s="27" t="s">
        <v>7</v>
      </c>
      <c r="GA584" s="27" t="s">
        <v>8</v>
      </c>
      <c r="GB584" s="27" t="s">
        <v>7</v>
      </c>
      <c r="GF584" s="27" t="s">
        <v>7</v>
      </c>
      <c r="GH584" s="27" t="s">
        <v>7</v>
      </c>
      <c r="GI584" s="27" t="s">
        <v>8</v>
      </c>
      <c r="GJ584" s="27" t="s">
        <v>7</v>
      </c>
      <c r="GK584" s="27" t="s">
        <v>8</v>
      </c>
      <c r="GM584" s="27" t="s">
        <v>8</v>
      </c>
      <c r="GN584" s="27" t="s">
        <v>7</v>
      </c>
      <c r="HA584" s="27" t="s">
        <v>8</v>
      </c>
      <c r="HB584" s="27" t="s">
        <v>7</v>
      </c>
      <c r="IY584" s="27" t="s">
        <v>8</v>
      </c>
      <c r="IZ584" s="27" t="s">
        <v>7</v>
      </c>
      <c r="JA584" s="27" t="s">
        <v>8</v>
      </c>
      <c r="JH584" s="27" t="s">
        <v>7</v>
      </c>
      <c r="JI584" s="27" t="s">
        <v>8</v>
      </c>
      <c r="LV584" s="27" t="s">
        <v>7</v>
      </c>
      <c r="LW584" s="27" t="s">
        <v>8</v>
      </c>
      <c r="LZ584" s="27" t="s">
        <v>7</v>
      </c>
      <c r="MA584" s="27" t="s">
        <v>8</v>
      </c>
      <c r="QN584" s="27" t="s">
        <v>7</v>
      </c>
      <c r="QO584" s="27" t="s">
        <v>8</v>
      </c>
      <c r="QP584" s="27" t="s">
        <v>7</v>
      </c>
      <c r="QQ584" s="27" t="s">
        <v>8</v>
      </c>
    </row>
    <row r="585" spans="1:460" x14ac:dyDescent="0.25">
      <c r="A585" s="7">
        <v>1.0404</v>
      </c>
      <c r="B585"/>
      <c r="C585"/>
      <c r="D585"/>
      <c r="E585"/>
      <c r="FQ585" s="27" t="s">
        <v>8</v>
      </c>
      <c r="FU585" s="27" t="s">
        <v>8</v>
      </c>
      <c r="FV585" s="27" t="s">
        <v>7</v>
      </c>
      <c r="GA585" s="27" t="s">
        <v>8</v>
      </c>
      <c r="GH585" s="27" t="s">
        <v>7</v>
      </c>
      <c r="GI585" s="27" t="s">
        <v>8</v>
      </c>
      <c r="GJ585" s="27" t="s">
        <v>7</v>
      </c>
      <c r="GK585" s="27" t="s">
        <v>8</v>
      </c>
      <c r="GL585" s="27" t="s">
        <v>7</v>
      </c>
      <c r="GM585" s="27" t="s">
        <v>8</v>
      </c>
      <c r="GN585" s="27" t="s">
        <v>7</v>
      </c>
      <c r="HA585" s="27" t="s">
        <v>8</v>
      </c>
      <c r="HB585" s="27" t="s">
        <v>7</v>
      </c>
      <c r="IW585" s="27" t="s">
        <v>8</v>
      </c>
      <c r="IY585" s="27" t="s">
        <v>8</v>
      </c>
      <c r="IZ585" s="27" t="s">
        <v>7</v>
      </c>
      <c r="JA585" s="27" t="s">
        <v>8</v>
      </c>
      <c r="JH585" s="27" t="s">
        <v>7</v>
      </c>
      <c r="LV585" s="27" t="s">
        <v>7</v>
      </c>
      <c r="LW585" s="27" t="s">
        <v>8</v>
      </c>
      <c r="LZ585" s="27" t="s">
        <v>7</v>
      </c>
      <c r="MA585" s="27" t="s">
        <v>8</v>
      </c>
      <c r="QN585" s="27" t="s">
        <v>7</v>
      </c>
      <c r="QO585" s="27" t="s">
        <v>8</v>
      </c>
      <c r="QP585" s="27" t="s">
        <v>7</v>
      </c>
      <c r="QQ585" s="27" t="s">
        <v>8</v>
      </c>
    </row>
    <row r="586" spans="1:460" x14ac:dyDescent="0.25">
      <c r="A586" s="7">
        <v>1.02</v>
      </c>
      <c r="B586"/>
      <c r="C586"/>
      <c r="D586"/>
      <c r="E586"/>
      <c r="FQ586" s="27" t="s">
        <v>8</v>
      </c>
      <c r="FR586" s="27" t="s">
        <v>7</v>
      </c>
      <c r="FU586" s="27" t="s">
        <v>8</v>
      </c>
      <c r="FV586" s="27" t="s">
        <v>7</v>
      </c>
      <c r="GA586" s="27" t="s">
        <v>8</v>
      </c>
      <c r="GH586" s="27" t="s">
        <v>7</v>
      </c>
      <c r="GI586" s="27" t="s">
        <v>8</v>
      </c>
      <c r="GJ586" s="27" t="s">
        <v>7</v>
      </c>
      <c r="GK586" s="27" t="s">
        <v>8</v>
      </c>
      <c r="GL586" s="27" t="s">
        <v>7</v>
      </c>
      <c r="GM586" s="27" t="s">
        <v>8</v>
      </c>
      <c r="GN586" s="27" t="s">
        <v>7</v>
      </c>
      <c r="HA586" s="27" t="s">
        <v>8</v>
      </c>
      <c r="HB586" s="27" t="s">
        <v>7</v>
      </c>
      <c r="IW586" s="27" t="s">
        <v>8</v>
      </c>
      <c r="IX586" s="27" t="s">
        <v>7</v>
      </c>
      <c r="IY586" s="27" t="s">
        <v>8</v>
      </c>
      <c r="IZ586" s="27" t="s">
        <v>7</v>
      </c>
      <c r="JA586" s="27" t="s">
        <v>8</v>
      </c>
      <c r="LV586" s="27" t="s">
        <v>7</v>
      </c>
      <c r="LW586" s="27" t="s">
        <v>8</v>
      </c>
      <c r="LZ586" s="27" t="s">
        <v>7</v>
      </c>
      <c r="QN586" s="27" t="s">
        <v>7</v>
      </c>
      <c r="QP586" s="27" t="s">
        <v>7</v>
      </c>
      <c r="QQ586" s="27" t="s">
        <v>8</v>
      </c>
    </row>
    <row r="587" spans="1:460" x14ac:dyDescent="0.25">
      <c r="A587" s="7">
        <v>1</v>
      </c>
      <c r="B587"/>
      <c r="C587"/>
      <c r="D587"/>
      <c r="E587" s="29" t="s">
        <v>8</v>
      </c>
      <c r="FQ587" s="27" t="s">
        <v>8</v>
      </c>
      <c r="FR587" s="27" t="s">
        <v>7</v>
      </c>
      <c r="FU587" s="27" t="s">
        <v>8</v>
      </c>
      <c r="FV587" s="27" t="s">
        <v>7</v>
      </c>
      <c r="GA587" s="27" t="s">
        <v>8</v>
      </c>
      <c r="GH587" s="27" t="s">
        <v>7</v>
      </c>
      <c r="GI587" s="27" t="s">
        <v>8</v>
      </c>
      <c r="GJ587" s="27" t="s">
        <v>7</v>
      </c>
      <c r="GK587" s="27" t="s">
        <v>8</v>
      </c>
      <c r="GL587" s="27" t="s">
        <v>7</v>
      </c>
      <c r="GM587" s="27" t="s">
        <v>8</v>
      </c>
      <c r="GN587" s="27" t="s">
        <v>7</v>
      </c>
      <c r="HA587" s="27" t="s">
        <v>8</v>
      </c>
      <c r="HB587" s="27" t="s">
        <v>7</v>
      </c>
      <c r="IW587" s="27" t="s">
        <v>8</v>
      </c>
      <c r="IX587" s="27" t="s">
        <v>7</v>
      </c>
      <c r="IY587" s="27" t="s">
        <v>8</v>
      </c>
      <c r="IZ587" s="27" t="s">
        <v>7</v>
      </c>
      <c r="JA587" s="27" t="s">
        <v>8</v>
      </c>
      <c r="LV587" s="27" t="s">
        <v>7</v>
      </c>
      <c r="LW587" s="27" t="s">
        <v>8</v>
      </c>
      <c r="QP587" s="27" t="s">
        <v>7</v>
      </c>
      <c r="QQ587" s="27" t="s">
        <v>8</v>
      </c>
    </row>
    <row r="588" spans="1:460" x14ac:dyDescent="0.25">
      <c r="A588" s="7">
        <v>0.98039215686274506</v>
      </c>
      <c r="B588"/>
      <c r="C588"/>
      <c r="D588"/>
      <c r="E588"/>
      <c r="F588" s="27" t="s">
        <v>7</v>
      </c>
      <c r="FQ588" s="27" t="s">
        <v>8</v>
      </c>
      <c r="FR588" s="27" t="s">
        <v>7</v>
      </c>
      <c r="FS588" s="27" t="s">
        <v>8</v>
      </c>
      <c r="FU588" s="27" t="s">
        <v>8</v>
      </c>
      <c r="FV588" s="27" t="s">
        <v>7</v>
      </c>
      <c r="GA588" s="27" t="s">
        <v>8</v>
      </c>
      <c r="GH588" s="27" t="s">
        <v>7</v>
      </c>
      <c r="GI588" s="27" t="s">
        <v>8</v>
      </c>
      <c r="GJ588" s="27" t="s">
        <v>7</v>
      </c>
      <c r="GK588" s="27" t="s">
        <v>8</v>
      </c>
      <c r="GL588" s="27" t="s">
        <v>7</v>
      </c>
      <c r="GM588" s="27" t="s">
        <v>8</v>
      </c>
      <c r="GN588" s="27" t="s">
        <v>7</v>
      </c>
      <c r="HA588" s="27" t="s">
        <v>8</v>
      </c>
      <c r="HB588" s="27" t="s">
        <v>7</v>
      </c>
      <c r="IW588" s="27" t="s">
        <v>8</v>
      </c>
      <c r="IX588" s="27" t="s">
        <v>7</v>
      </c>
      <c r="IY588" s="27" t="s">
        <v>8</v>
      </c>
      <c r="IZ588" s="27" t="s">
        <v>7</v>
      </c>
      <c r="LV588" s="27" t="s">
        <v>7</v>
      </c>
      <c r="LW588" s="27" t="s">
        <v>8</v>
      </c>
      <c r="QP588" s="27" t="s">
        <v>7</v>
      </c>
      <c r="QQ588" s="27" t="s">
        <v>8</v>
      </c>
    </row>
    <row r="589" spans="1:460" x14ac:dyDescent="0.25">
      <c r="A589" s="7">
        <v>0.96116878123798544</v>
      </c>
      <c r="B589"/>
      <c r="C589"/>
      <c r="D589"/>
      <c r="E589"/>
      <c r="F589" s="27" t="s">
        <v>7</v>
      </c>
      <c r="FQ589" s="27" t="s">
        <v>8</v>
      </c>
      <c r="FR589" s="27" t="s">
        <v>7</v>
      </c>
      <c r="FS589" s="27" t="s">
        <v>8</v>
      </c>
      <c r="FT589" s="27" t="s">
        <v>7</v>
      </c>
      <c r="FU589" s="27" t="s">
        <v>8</v>
      </c>
      <c r="FV589" s="27" t="s">
        <v>7</v>
      </c>
      <c r="FW589" s="27" t="s">
        <v>8</v>
      </c>
      <c r="FY589" s="27" t="s">
        <v>8</v>
      </c>
      <c r="GA589" s="27" t="s">
        <v>8</v>
      </c>
      <c r="GH589" s="27" t="s">
        <v>7</v>
      </c>
      <c r="GJ589" s="27" t="s">
        <v>7</v>
      </c>
      <c r="GL589" s="27" t="s">
        <v>7</v>
      </c>
      <c r="GN589" s="27" t="s">
        <v>7</v>
      </c>
      <c r="GY589" s="27" t="s">
        <v>8</v>
      </c>
      <c r="HA589" s="27" t="s">
        <v>8</v>
      </c>
      <c r="HB589" s="27" t="s">
        <v>7</v>
      </c>
      <c r="HC589" s="27" t="s">
        <v>8</v>
      </c>
      <c r="IW589" s="27" t="s">
        <v>8</v>
      </c>
      <c r="IX589" s="27" t="s">
        <v>7</v>
      </c>
      <c r="IY589" s="27" t="s">
        <v>8</v>
      </c>
      <c r="LV589" s="27" t="s">
        <v>7</v>
      </c>
      <c r="QP589" s="27" t="s">
        <v>7</v>
      </c>
    </row>
    <row r="590" spans="1:460" x14ac:dyDescent="0.25">
      <c r="A590" s="7">
        <v>0.94232233454704462</v>
      </c>
      <c r="B590"/>
      <c r="C590"/>
      <c r="D590"/>
      <c r="E590"/>
      <c r="F590" s="27" t="s">
        <v>7</v>
      </c>
      <c r="FQ590" s="27" t="s">
        <v>8</v>
      </c>
      <c r="FR590" s="27" t="s">
        <v>7</v>
      </c>
      <c r="FS590" s="27" t="s">
        <v>8</v>
      </c>
      <c r="FT590" s="27" t="s">
        <v>7</v>
      </c>
      <c r="FU590" s="27" t="s">
        <v>8</v>
      </c>
      <c r="FV590" s="27" t="s">
        <v>7</v>
      </c>
      <c r="FW590" s="27" t="s">
        <v>8</v>
      </c>
      <c r="FX590" s="27" t="s">
        <v>7</v>
      </c>
      <c r="FY590" s="27" t="s">
        <v>8</v>
      </c>
      <c r="FZ590" s="27" t="s">
        <v>7</v>
      </c>
      <c r="GA590" s="27" t="s">
        <v>8</v>
      </c>
      <c r="GN590" s="27" t="s">
        <v>7</v>
      </c>
      <c r="GY590" s="27" t="s">
        <v>8</v>
      </c>
      <c r="GZ590" s="27" t="s">
        <v>7</v>
      </c>
      <c r="HA590" s="27" t="s">
        <v>8</v>
      </c>
      <c r="HB590" s="27" t="s">
        <v>7</v>
      </c>
      <c r="HC590" s="27" t="s">
        <v>8</v>
      </c>
      <c r="HD590" s="27" t="s">
        <v>7</v>
      </c>
      <c r="IW590" s="27" t="s">
        <v>8</v>
      </c>
      <c r="IX590" s="27" t="s">
        <v>7</v>
      </c>
      <c r="IY590" s="27" t="s">
        <v>8</v>
      </c>
    </row>
    <row r="591" spans="1:460" x14ac:dyDescent="0.25">
      <c r="A591" s="7">
        <v>0.92384542602651432</v>
      </c>
      <c r="B591"/>
      <c r="C591"/>
      <c r="D591"/>
      <c r="E591"/>
      <c r="F591" s="27" t="s">
        <v>7</v>
      </c>
      <c r="FQ591" s="27" t="s">
        <v>8</v>
      </c>
      <c r="FR591" s="27" t="s">
        <v>7</v>
      </c>
      <c r="FS591" s="27" t="s">
        <v>8</v>
      </c>
      <c r="FT591" s="27" t="s">
        <v>7</v>
      </c>
      <c r="FU591" s="27" t="s">
        <v>8</v>
      </c>
      <c r="FV591" s="27" t="s">
        <v>7</v>
      </c>
      <c r="FW591" s="27" t="s">
        <v>8</v>
      </c>
      <c r="FX591" s="27" t="s">
        <v>7</v>
      </c>
      <c r="FY591" s="27" t="s">
        <v>8</v>
      </c>
      <c r="FZ591" s="27" t="s">
        <v>7</v>
      </c>
      <c r="GA591" s="27" t="s">
        <v>8</v>
      </c>
      <c r="GN591" s="27" t="s">
        <v>7</v>
      </c>
      <c r="GY591" s="27" t="s">
        <v>8</v>
      </c>
      <c r="GZ591" s="27" t="s">
        <v>7</v>
      </c>
      <c r="HA591" s="27" t="s">
        <v>8</v>
      </c>
      <c r="HB591" s="27" t="s">
        <v>7</v>
      </c>
      <c r="HC591" s="27" t="s">
        <v>8</v>
      </c>
      <c r="HD591" s="27" t="s">
        <v>7</v>
      </c>
      <c r="IW591" s="27" t="s">
        <v>8</v>
      </c>
      <c r="IX591" s="27" t="s">
        <v>7</v>
      </c>
      <c r="IY591" s="27" t="s">
        <v>8</v>
      </c>
    </row>
    <row r="592" spans="1:460" x14ac:dyDescent="0.25">
      <c r="A592" s="7">
        <v>0.90573080982991594</v>
      </c>
      <c r="B592"/>
      <c r="C592"/>
      <c r="D592"/>
      <c r="E592"/>
      <c r="F592" s="27" t="s">
        <v>7</v>
      </c>
      <c r="FQ592" s="27" t="s">
        <v>8</v>
      </c>
      <c r="FR592" s="27" t="s">
        <v>7</v>
      </c>
      <c r="FS592" s="27" t="s">
        <v>8</v>
      </c>
      <c r="FT592" s="27" t="s">
        <v>7</v>
      </c>
      <c r="FU592" s="27" t="s">
        <v>8</v>
      </c>
      <c r="FV592" s="27" t="s">
        <v>7</v>
      </c>
      <c r="FW592" s="27" t="s">
        <v>8</v>
      </c>
      <c r="FX592" s="27" t="s">
        <v>7</v>
      </c>
      <c r="FY592" s="27" t="s">
        <v>8</v>
      </c>
      <c r="FZ592" s="27" t="s">
        <v>7</v>
      </c>
      <c r="GN592" s="27" t="s">
        <v>7</v>
      </c>
      <c r="GY592" s="27" t="s">
        <v>8</v>
      </c>
      <c r="GZ592" s="27" t="s">
        <v>7</v>
      </c>
      <c r="HA592" s="27" t="s">
        <v>8</v>
      </c>
      <c r="HB592" s="27" t="s">
        <v>7</v>
      </c>
      <c r="HC592" s="27" t="s">
        <v>8</v>
      </c>
      <c r="HD592" s="27" t="s">
        <v>7</v>
      </c>
      <c r="IW592" s="27" t="s">
        <v>8</v>
      </c>
      <c r="IX592" s="27" t="s">
        <v>7</v>
      </c>
      <c r="IY592" s="27" t="s">
        <v>8</v>
      </c>
    </row>
    <row r="593" spans="1:258" x14ac:dyDescent="0.25">
      <c r="A593" s="7">
        <v>0.8879713821861922</v>
      </c>
      <c r="B593"/>
      <c r="C593"/>
      <c r="D593"/>
      <c r="E593"/>
      <c r="F593" s="27" t="s">
        <v>7</v>
      </c>
      <c r="FQ593" s="27" t="s">
        <v>8</v>
      </c>
      <c r="FR593" s="27" t="s">
        <v>7</v>
      </c>
      <c r="FS593" s="27" t="s">
        <v>8</v>
      </c>
      <c r="FT593" s="27" t="s">
        <v>7</v>
      </c>
      <c r="FV593" s="27" t="s">
        <v>7</v>
      </c>
      <c r="FW593" s="27" t="s">
        <v>8</v>
      </c>
      <c r="FX593" s="27" t="s">
        <v>7</v>
      </c>
      <c r="FY593" s="27" t="s">
        <v>8</v>
      </c>
      <c r="GN593" s="27" t="s">
        <v>7</v>
      </c>
      <c r="GY593" s="27" t="s">
        <v>8</v>
      </c>
      <c r="GZ593" s="27" t="s">
        <v>7</v>
      </c>
      <c r="HA593" s="27" t="s">
        <v>8</v>
      </c>
      <c r="HB593" s="27" t="s">
        <v>7</v>
      </c>
      <c r="HC593" s="27" t="s">
        <v>8</v>
      </c>
      <c r="HD593" s="27" t="s">
        <v>7</v>
      </c>
      <c r="IC593" s="27" t="s">
        <v>8</v>
      </c>
      <c r="IW593" s="27" t="s">
        <v>8</v>
      </c>
      <c r="IX593" s="27" t="s">
        <v>7</v>
      </c>
    </row>
    <row r="594" spans="1:258" x14ac:dyDescent="0.25">
      <c r="A594" s="7">
        <v>0.87056017861391399</v>
      </c>
      <c r="B594"/>
      <c r="C594"/>
      <c r="D594"/>
      <c r="E594"/>
      <c r="F594" s="27" t="s">
        <v>7</v>
      </c>
      <c r="FQ594" s="27" t="s">
        <v>8</v>
      </c>
      <c r="FR594" s="27" t="s">
        <v>7</v>
      </c>
      <c r="FS594" s="27" t="s">
        <v>8</v>
      </c>
      <c r="FV594" s="27" t="s">
        <v>7</v>
      </c>
      <c r="FX594" s="27" t="s">
        <v>7</v>
      </c>
      <c r="FY594" s="27" t="s">
        <v>8</v>
      </c>
      <c r="GN594" s="27" t="s">
        <v>7</v>
      </c>
      <c r="GY594" s="27" t="s">
        <v>8</v>
      </c>
      <c r="GZ594" s="27" t="s">
        <v>7</v>
      </c>
      <c r="HA594" s="27" t="s">
        <v>8</v>
      </c>
      <c r="HB594" s="27" t="s">
        <v>7</v>
      </c>
      <c r="HC594" s="27" t="s">
        <v>8</v>
      </c>
      <c r="HD594" s="27" t="s">
        <v>7</v>
      </c>
      <c r="IC594" s="27" t="s">
        <v>8</v>
      </c>
      <c r="ID594" s="27" t="s">
        <v>7</v>
      </c>
      <c r="IO594" s="27" t="s">
        <v>8</v>
      </c>
      <c r="IW594" s="27" t="s">
        <v>8</v>
      </c>
    </row>
    <row r="595" spans="1:258" x14ac:dyDescent="0.25">
      <c r="A595" s="7">
        <v>0.85349037119011173</v>
      </c>
      <c r="B595"/>
      <c r="C595"/>
      <c r="D595"/>
      <c r="E595"/>
      <c r="F595" s="27" t="s">
        <v>7</v>
      </c>
      <c r="FQ595" s="27" t="s">
        <v>8</v>
      </c>
      <c r="FR595" s="27" t="s">
        <v>7</v>
      </c>
      <c r="FX595" s="27" t="s">
        <v>7</v>
      </c>
      <c r="FY595" s="27" t="s">
        <v>8</v>
      </c>
      <c r="GN595" s="27" t="s">
        <v>7</v>
      </c>
      <c r="GY595" s="27" t="s">
        <v>8</v>
      </c>
      <c r="GZ595" s="27" t="s">
        <v>7</v>
      </c>
      <c r="HA595" s="27" t="s">
        <v>8</v>
      </c>
      <c r="HB595" s="27" t="s">
        <v>7</v>
      </c>
      <c r="HD595" s="27" t="s">
        <v>7</v>
      </c>
      <c r="IC595" s="27" t="s">
        <v>8</v>
      </c>
      <c r="ID595" s="27" t="s">
        <v>7</v>
      </c>
      <c r="IO595" s="27" t="s">
        <v>8</v>
      </c>
      <c r="IP595" s="27" t="s">
        <v>7</v>
      </c>
      <c r="IW595" s="27" t="s">
        <v>8</v>
      </c>
    </row>
    <row r="596" spans="1:258" x14ac:dyDescent="0.25">
      <c r="A596" s="7">
        <v>0.83675526587265858</v>
      </c>
      <c r="B596"/>
      <c r="C596"/>
      <c r="D596"/>
      <c r="E596"/>
      <c r="F596" s="27" t="s">
        <v>7</v>
      </c>
      <c r="FQ596" s="27" t="s">
        <v>8</v>
      </c>
      <c r="FX596" s="27" t="s">
        <v>7</v>
      </c>
      <c r="FY596" s="27" t="s">
        <v>8</v>
      </c>
      <c r="GN596" s="27" t="s">
        <v>7</v>
      </c>
      <c r="GY596" s="27" t="s">
        <v>8</v>
      </c>
      <c r="GZ596" s="27" t="s">
        <v>7</v>
      </c>
      <c r="HA596" s="27" t="s">
        <v>8</v>
      </c>
      <c r="HD596" s="27" t="s">
        <v>7</v>
      </c>
      <c r="IC596" s="27" t="s">
        <v>8</v>
      </c>
      <c r="ID596" s="27" t="s">
        <v>7</v>
      </c>
      <c r="IM596" s="27" t="s">
        <v>8</v>
      </c>
      <c r="IO596" s="27" t="s">
        <v>8</v>
      </c>
      <c r="IP596" s="27" t="s">
        <v>7</v>
      </c>
      <c r="IW596" s="27" t="s">
        <v>8</v>
      </c>
    </row>
    <row r="597" spans="1:258" x14ac:dyDescent="0.25">
      <c r="A597" s="7">
        <v>0.82034829987515545</v>
      </c>
      <c r="B597"/>
      <c r="C597"/>
      <c r="D597"/>
      <c r="E597"/>
      <c r="F597" s="27" t="s">
        <v>7</v>
      </c>
      <c r="FQ597" s="27" t="s">
        <v>8</v>
      </c>
      <c r="FX597" s="27" t="s">
        <v>7</v>
      </c>
      <c r="FY597" s="27" t="s">
        <v>8</v>
      </c>
      <c r="GN597" s="27" t="s">
        <v>7</v>
      </c>
      <c r="GY597" s="27" t="s">
        <v>8</v>
      </c>
      <c r="GZ597" s="27" t="s">
        <v>7</v>
      </c>
      <c r="HA597" s="27" t="s">
        <v>8</v>
      </c>
      <c r="HD597" s="27" t="s">
        <v>7</v>
      </c>
      <c r="HG597" s="27" t="s">
        <v>8</v>
      </c>
      <c r="IC597" s="27" t="s">
        <v>8</v>
      </c>
      <c r="ID597" s="27" t="s">
        <v>7</v>
      </c>
      <c r="IM597" s="27" t="s">
        <v>8</v>
      </c>
      <c r="IN597" s="27" t="s">
        <v>7</v>
      </c>
      <c r="IO597" s="27" t="s">
        <v>8</v>
      </c>
      <c r="IP597" s="27" t="s">
        <v>7</v>
      </c>
      <c r="IW597" s="27" t="s">
        <v>8</v>
      </c>
    </row>
    <row r="598" spans="1:258" x14ac:dyDescent="0.25">
      <c r="A598" s="7">
        <v>0.80426303909328967</v>
      </c>
      <c r="B598"/>
      <c r="C598"/>
      <c r="D598"/>
      <c r="E598"/>
      <c r="F598" s="27" t="s">
        <v>7</v>
      </c>
      <c r="FQ598" s="27" t="s">
        <v>8</v>
      </c>
      <c r="FX598" s="27" t="s">
        <v>7</v>
      </c>
      <c r="FY598" s="27" t="s">
        <v>8</v>
      </c>
      <c r="GN598" s="27" t="s">
        <v>7</v>
      </c>
      <c r="GY598" s="27" t="s">
        <v>8</v>
      </c>
      <c r="GZ598" s="27" t="s">
        <v>7</v>
      </c>
      <c r="HA598" s="27" t="s">
        <v>8</v>
      </c>
      <c r="HD598" s="27" t="s">
        <v>7</v>
      </c>
      <c r="HG598" s="27" t="s">
        <v>8</v>
      </c>
      <c r="HH598" s="27" t="s">
        <v>7</v>
      </c>
      <c r="IA598" s="27" t="s">
        <v>8</v>
      </c>
      <c r="IC598" s="27" t="s">
        <v>8</v>
      </c>
      <c r="ID598" s="27" t="s">
        <v>7</v>
      </c>
      <c r="IG598" s="27" t="s">
        <v>8</v>
      </c>
      <c r="IM598" s="27" t="s">
        <v>8</v>
      </c>
      <c r="IN598" s="27" t="s">
        <v>7</v>
      </c>
      <c r="IO598" s="27" t="s">
        <v>8</v>
      </c>
      <c r="IP598" s="27" t="s">
        <v>7</v>
      </c>
      <c r="IW598" s="27" t="s">
        <v>8</v>
      </c>
    </row>
    <row r="599" spans="1:258" x14ac:dyDescent="0.25">
      <c r="A599" s="7">
        <v>0.78849317558165644</v>
      </c>
      <c r="B599"/>
      <c r="C599"/>
      <c r="D599"/>
      <c r="E599"/>
      <c r="F599" s="27" t="s">
        <v>7</v>
      </c>
      <c r="FO599" s="27" t="s">
        <v>8</v>
      </c>
      <c r="FQ599" s="27" t="s">
        <v>8</v>
      </c>
      <c r="FX599" s="27" t="s">
        <v>7</v>
      </c>
      <c r="GN599" s="27" t="s">
        <v>7</v>
      </c>
      <c r="GO599" s="27" t="s">
        <v>8</v>
      </c>
      <c r="GU599" s="27" t="s">
        <v>8</v>
      </c>
      <c r="GY599" s="27" t="s">
        <v>8</v>
      </c>
      <c r="GZ599" s="27" t="s">
        <v>7</v>
      </c>
      <c r="HA599" s="27" t="s">
        <v>8</v>
      </c>
      <c r="HD599" s="27" t="s">
        <v>7</v>
      </c>
      <c r="HG599" s="27" t="s">
        <v>8</v>
      </c>
      <c r="HH599" s="27" t="s">
        <v>7</v>
      </c>
      <c r="IA599" s="27" t="s">
        <v>8</v>
      </c>
      <c r="IB599" s="27" t="s">
        <v>7</v>
      </c>
      <c r="IC599" s="27" t="s">
        <v>8</v>
      </c>
      <c r="ID599" s="27" t="s">
        <v>7</v>
      </c>
      <c r="IG599" s="27" t="s">
        <v>8</v>
      </c>
      <c r="IH599" s="27" t="s">
        <v>7</v>
      </c>
      <c r="IM599" s="27" t="s">
        <v>8</v>
      </c>
      <c r="IN599" s="27" t="s">
        <v>7</v>
      </c>
      <c r="IO599" s="27" t="s">
        <v>8</v>
      </c>
      <c r="IP599" s="27" t="s">
        <v>7</v>
      </c>
      <c r="IQ599" s="27" t="s">
        <v>8</v>
      </c>
      <c r="IW599" s="27" t="s">
        <v>8</v>
      </c>
    </row>
    <row r="600" spans="1:258" x14ac:dyDescent="0.25">
      <c r="A600" s="7">
        <v>0.77303252508005538</v>
      </c>
      <c r="B600"/>
      <c r="C600"/>
      <c r="D600"/>
      <c r="E600"/>
      <c r="F600" s="27" t="s">
        <v>7</v>
      </c>
      <c r="FM600" s="27" t="s">
        <v>8</v>
      </c>
      <c r="FO600" s="27" t="s">
        <v>8</v>
      </c>
      <c r="FP600" s="27" t="s">
        <v>7</v>
      </c>
      <c r="FQ600" s="27" t="s">
        <v>8</v>
      </c>
      <c r="GN600" s="27" t="s">
        <v>7</v>
      </c>
      <c r="GO600" s="27" t="s">
        <v>8</v>
      </c>
      <c r="GP600" s="27" t="s">
        <v>7</v>
      </c>
      <c r="GU600" s="27" t="s">
        <v>8</v>
      </c>
      <c r="GV600" s="27" t="s">
        <v>7</v>
      </c>
      <c r="GY600" s="27" t="s">
        <v>8</v>
      </c>
      <c r="GZ600" s="27" t="s">
        <v>7</v>
      </c>
      <c r="HA600" s="27" t="s">
        <v>8</v>
      </c>
      <c r="HD600" s="27" t="s">
        <v>7</v>
      </c>
      <c r="HG600" s="27" t="s">
        <v>8</v>
      </c>
      <c r="HH600" s="27" t="s">
        <v>7</v>
      </c>
      <c r="IA600" s="27" t="s">
        <v>8</v>
      </c>
      <c r="IB600" s="27" t="s">
        <v>7</v>
      </c>
      <c r="IC600" s="27" t="s">
        <v>8</v>
      </c>
      <c r="ID600" s="27" t="s">
        <v>7</v>
      </c>
      <c r="IG600" s="27" t="s">
        <v>8</v>
      </c>
      <c r="IH600" s="27" t="s">
        <v>7</v>
      </c>
      <c r="II600" s="27" t="s">
        <v>8</v>
      </c>
      <c r="IM600" s="27" t="s">
        <v>8</v>
      </c>
      <c r="IN600" s="27" t="s">
        <v>7</v>
      </c>
      <c r="IP600" s="27" t="s">
        <v>7</v>
      </c>
      <c r="IQ600" s="27" t="s">
        <v>8</v>
      </c>
      <c r="IR600" s="27" t="s">
        <v>7</v>
      </c>
      <c r="IW600" s="27" t="s">
        <v>8</v>
      </c>
    </row>
    <row r="601" spans="1:258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FM601" s="27" t="s">
        <v>8</v>
      </c>
      <c r="FN601" s="27" t="s">
        <v>7</v>
      </c>
      <c r="FO601" s="27" t="s">
        <v>8</v>
      </c>
      <c r="FP601" s="27" t="s">
        <v>7</v>
      </c>
      <c r="FQ601" s="27" t="s">
        <v>8</v>
      </c>
      <c r="GN601" s="27" t="s">
        <v>7</v>
      </c>
      <c r="GO601" s="27" t="s">
        <v>8</v>
      </c>
      <c r="GP601" s="27" t="s">
        <v>7</v>
      </c>
      <c r="GU601" s="27" t="s">
        <v>8</v>
      </c>
      <c r="GV601" s="27" t="s">
        <v>7</v>
      </c>
      <c r="GY601" s="27" t="s">
        <v>8</v>
      </c>
      <c r="GZ601" s="27" t="s">
        <v>7</v>
      </c>
      <c r="HA601" s="27" t="s">
        <v>8</v>
      </c>
      <c r="HD601" s="27" t="s">
        <v>7</v>
      </c>
      <c r="HE601" s="27" t="s">
        <v>8</v>
      </c>
      <c r="HG601" s="27" t="s">
        <v>8</v>
      </c>
      <c r="HH601" s="27" t="s">
        <v>7</v>
      </c>
      <c r="IA601" s="27" t="s">
        <v>8</v>
      </c>
      <c r="IB601" s="27" t="s">
        <v>7</v>
      </c>
      <c r="IC601" s="27" t="s">
        <v>8</v>
      </c>
      <c r="ID601" s="27" t="s">
        <v>7</v>
      </c>
      <c r="IG601" s="27" t="s">
        <v>8</v>
      </c>
      <c r="IH601" s="27" t="s">
        <v>7</v>
      </c>
      <c r="II601" s="27" t="s">
        <v>8</v>
      </c>
      <c r="IJ601" s="27" t="s">
        <v>7</v>
      </c>
      <c r="IM601" s="27" t="s">
        <v>8</v>
      </c>
      <c r="IP601" s="27" t="s">
        <v>7</v>
      </c>
      <c r="IQ601" s="27" t="s">
        <v>8</v>
      </c>
      <c r="IR601" s="27" t="s">
        <v>7</v>
      </c>
      <c r="IU601" s="27" t="s">
        <v>8</v>
      </c>
      <c r="IW601" s="27" t="s">
        <v>8</v>
      </c>
    </row>
    <row r="602" spans="1:258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H602" s="27" t="s">
        <v>7</v>
      </c>
      <c r="FM602" s="27" t="s">
        <v>8</v>
      </c>
      <c r="FN602" s="27" t="s">
        <v>7</v>
      </c>
      <c r="FO602" s="27" t="s">
        <v>8</v>
      </c>
      <c r="FP602" s="27" t="s">
        <v>7</v>
      </c>
      <c r="FQ602" s="27" t="s">
        <v>8</v>
      </c>
      <c r="GN602" s="27" t="s">
        <v>7</v>
      </c>
      <c r="GO602" s="27" t="s">
        <v>8</v>
      </c>
      <c r="GP602" s="27" t="s">
        <v>7</v>
      </c>
      <c r="GU602" s="27" t="s">
        <v>8</v>
      </c>
      <c r="GV602" s="27" t="s">
        <v>7</v>
      </c>
      <c r="GY602" s="27" t="s">
        <v>8</v>
      </c>
      <c r="GZ602" s="27" t="s">
        <v>7</v>
      </c>
      <c r="HA602" s="27" t="s">
        <v>8</v>
      </c>
      <c r="HD602" s="27" t="s">
        <v>7</v>
      </c>
      <c r="HE602" s="27" t="s">
        <v>8</v>
      </c>
      <c r="HF602" s="27" t="s">
        <v>7</v>
      </c>
      <c r="HG602" s="27" t="s">
        <v>8</v>
      </c>
      <c r="HH602" s="27" t="s">
        <v>7</v>
      </c>
      <c r="IA602" s="27" t="s">
        <v>8</v>
      </c>
      <c r="IB602" s="27" t="s">
        <v>7</v>
      </c>
      <c r="IC602" s="27" t="s">
        <v>8</v>
      </c>
      <c r="ID602" s="27" t="s">
        <v>7</v>
      </c>
      <c r="IG602" s="27" t="s">
        <v>8</v>
      </c>
      <c r="IH602" s="27" t="s">
        <v>7</v>
      </c>
      <c r="II602" s="27" t="s">
        <v>8</v>
      </c>
      <c r="IJ602" s="27" t="s">
        <v>7</v>
      </c>
      <c r="IM602" s="27" t="s">
        <v>8</v>
      </c>
      <c r="IP602" s="27" t="s">
        <v>7</v>
      </c>
      <c r="IQ602" s="27" t="s">
        <v>8</v>
      </c>
      <c r="IR602" s="27" t="s">
        <v>7</v>
      </c>
      <c r="IU602" s="27" t="s">
        <v>8</v>
      </c>
      <c r="IV602" s="27" t="s">
        <v>7</v>
      </c>
      <c r="IW602" s="27" t="s">
        <v>8</v>
      </c>
    </row>
    <row r="603" spans="1:258" x14ac:dyDescent="0.25">
      <c r="A603" s="7">
        <v>0.72844581371423456</v>
      </c>
      <c r="B603"/>
      <c r="C603"/>
      <c r="D603"/>
      <c r="E603"/>
      <c r="F603" s="27" t="s">
        <v>7</v>
      </c>
      <c r="G603" s="27" t="s">
        <v>8</v>
      </c>
      <c r="H603" s="27" t="s">
        <v>7</v>
      </c>
      <c r="BO603" s="27" t="s">
        <v>8</v>
      </c>
      <c r="FM603" s="27" t="s">
        <v>8</v>
      </c>
      <c r="FN603" s="27" t="s">
        <v>7</v>
      </c>
      <c r="FO603" s="27" t="s">
        <v>8</v>
      </c>
      <c r="FP603" s="27" t="s">
        <v>7</v>
      </c>
      <c r="FQ603" s="27" t="s">
        <v>8</v>
      </c>
      <c r="GN603" s="27" t="s">
        <v>7</v>
      </c>
      <c r="GO603" s="27" t="s">
        <v>8</v>
      </c>
      <c r="GP603" s="27" t="s">
        <v>7</v>
      </c>
      <c r="GU603" s="27" t="s">
        <v>8</v>
      </c>
      <c r="GV603" s="27" t="s">
        <v>7</v>
      </c>
      <c r="GY603" s="27" t="s">
        <v>8</v>
      </c>
      <c r="GZ603" s="27" t="s">
        <v>7</v>
      </c>
      <c r="HD603" s="27" t="s">
        <v>7</v>
      </c>
      <c r="HE603" s="27" t="s">
        <v>8</v>
      </c>
      <c r="HF603" s="27" t="s">
        <v>7</v>
      </c>
      <c r="HG603" s="27" t="s">
        <v>8</v>
      </c>
      <c r="HH603" s="27" t="s">
        <v>7</v>
      </c>
      <c r="IA603" s="27" t="s">
        <v>8</v>
      </c>
      <c r="IB603" s="27" t="s">
        <v>7</v>
      </c>
      <c r="IC603" s="27" t="s">
        <v>8</v>
      </c>
      <c r="ID603" s="27" t="s">
        <v>7</v>
      </c>
      <c r="IG603" s="27" t="s">
        <v>8</v>
      </c>
      <c r="IH603" s="27" t="s">
        <v>7</v>
      </c>
      <c r="II603" s="27" t="s">
        <v>8</v>
      </c>
      <c r="IJ603" s="27" t="s">
        <v>7</v>
      </c>
      <c r="IM603" s="27" t="s">
        <v>8</v>
      </c>
      <c r="IP603" s="27" t="s">
        <v>7</v>
      </c>
      <c r="IQ603" s="27" t="s">
        <v>8</v>
      </c>
      <c r="IR603" s="27" t="s">
        <v>7</v>
      </c>
      <c r="IU603" s="27" t="s">
        <v>8</v>
      </c>
      <c r="IV603" s="27" t="s">
        <v>7</v>
      </c>
      <c r="IW603" s="27" t="s">
        <v>8</v>
      </c>
    </row>
    <row r="604" spans="1:258" x14ac:dyDescent="0.25">
      <c r="A604" s="7">
        <v>0.71416256246493581</v>
      </c>
      <c r="B604"/>
      <c r="C604"/>
      <c r="D604"/>
      <c r="E604"/>
      <c r="F604" s="27" t="s">
        <v>7</v>
      </c>
      <c r="G604" s="27" t="s">
        <v>8</v>
      </c>
      <c r="H604" s="27" t="s">
        <v>7</v>
      </c>
      <c r="BO604" s="27" t="s">
        <v>8</v>
      </c>
      <c r="BP604" s="27" t="s">
        <v>7</v>
      </c>
      <c r="FK604" s="27" t="s">
        <v>8</v>
      </c>
      <c r="FM604" s="27" t="s">
        <v>8</v>
      </c>
      <c r="FN604" s="27" t="s">
        <v>7</v>
      </c>
      <c r="FO604" s="27" t="s">
        <v>8</v>
      </c>
      <c r="FP604" s="27" t="s">
        <v>7</v>
      </c>
      <c r="GN604" s="27" t="s">
        <v>7</v>
      </c>
      <c r="GO604" s="27" t="s">
        <v>8</v>
      </c>
      <c r="GP604" s="27" t="s">
        <v>7</v>
      </c>
      <c r="GU604" s="27" t="s">
        <v>8</v>
      </c>
      <c r="GV604" s="27" t="s">
        <v>7</v>
      </c>
      <c r="GY604" s="27" t="s">
        <v>8</v>
      </c>
      <c r="HD604" s="27" t="s">
        <v>7</v>
      </c>
      <c r="HE604" s="27" t="s">
        <v>8</v>
      </c>
      <c r="HF604" s="27" t="s">
        <v>7</v>
      </c>
      <c r="HH604" s="27" t="s">
        <v>7</v>
      </c>
      <c r="HI604" s="27" t="s">
        <v>8</v>
      </c>
      <c r="IA604" s="27" t="s">
        <v>8</v>
      </c>
      <c r="IB604" s="27" t="s">
        <v>7</v>
      </c>
      <c r="IC604" s="27" t="s">
        <v>8</v>
      </c>
      <c r="ID604" s="27" t="s">
        <v>7</v>
      </c>
      <c r="IG604" s="27" t="s">
        <v>8</v>
      </c>
      <c r="IH604" s="27" t="s">
        <v>7</v>
      </c>
      <c r="II604" s="27" t="s">
        <v>8</v>
      </c>
      <c r="IJ604" s="27" t="s">
        <v>7</v>
      </c>
      <c r="IM604" s="27" t="s">
        <v>8</v>
      </c>
      <c r="IP604" s="27" t="s">
        <v>7</v>
      </c>
      <c r="IR604" s="27" t="s">
        <v>7</v>
      </c>
      <c r="IS604" s="27" t="s">
        <v>8</v>
      </c>
      <c r="IU604" s="27" t="s">
        <v>8</v>
      </c>
      <c r="IV604" s="27" t="s">
        <v>7</v>
      </c>
      <c r="IW604" s="27" t="s">
        <v>8</v>
      </c>
    </row>
    <row r="605" spans="1:258" x14ac:dyDescent="0.25">
      <c r="A605" s="7">
        <v>0.7001593749656233</v>
      </c>
      <c r="B605"/>
      <c r="C605"/>
      <c r="D605"/>
      <c r="E605"/>
      <c r="F605" s="27" t="s">
        <v>7</v>
      </c>
      <c r="G605" s="27" t="s">
        <v>8</v>
      </c>
      <c r="H605" s="27" t="s">
        <v>7</v>
      </c>
      <c r="BO605" s="27" t="s">
        <v>8</v>
      </c>
      <c r="BP605" s="27" t="s">
        <v>7</v>
      </c>
      <c r="FK605" s="27" t="s">
        <v>8</v>
      </c>
      <c r="FL605" s="27" t="s">
        <v>7</v>
      </c>
      <c r="FM605" s="27" t="s">
        <v>8</v>
      </c>
      <c r="FN605" s="27" t="s">
        <v>7</v>
      </c>
      <c r="FO605" s="27" t="s">
        <v>8</v>
      </c>
      <c r="GN605" s="27" t="s">
        <v>7</v>
      </c>
      <c r="GO605" s="27" t="s">
        <v>8</v>
      </c>
      <c r="GP605" s="27" t="s">
        <v>7</v>
      </c>
      <c r="GS605" s="27" t="s">
        <v>8</v>
      </c>
      <c r="GU605" s="27" t="s">
        <v>8</v>
      </c>
      <c r="GV605" s="27" t="s">
        <v>7</v>
      </c>
      <c r="GY605" s="27" t="s">
        <v>8</v>
      </c>
      <c r="HD605" s="27" t="s">
        <v>7</v>
      </c>
      <c r="HE605" s="27" t="s">
        <v>8</v>
      </c>
      <c r="HH605" s="27" t="s">
        <v>7</v>
      </c>
      <c r="HI605" s="27" t="s">
        <v>8</v>
      </c>
      <c r="HJ605" s="27" t="s">
        <v>7</v>
      </c>
      <c r="HK605" s="27" t="s">
        <v>8</v>
      </c>
      <c r="IA605" s="27" t="s">
        <v>8</v>
      </c>
      <c r="IB605" s="27" t="s">
        <v>7</v>
      </c>
      <c r="IC605" s="27" t="s">
        <v>8</v>
      </c>
      <c r="ID605" s="27" t="s">
        <v>7</v>
      </c>
      <c r="IE605" s="27" t="s">
        <v>8</v>
      </c>
      <c r="IG605" s="27" t="s">
        <v>8</v>
      </c>
      <c r="IH605" s="27" t="s">
        <v>7</v>
      </c>
      <c r="II605" s="27" t="s">
        <v>8</v>
      </c>
      <c r="IJ605" s="27" t="s">
        <v>7</v>
      </c>
      <c r="IK605" s="27" t="s">
        <v>8</v>
      </c>
      <c r="IM605" s="27" t="s">
        <v>8</v>
      </c>
      <c r="IR605" s="27" t="s">
        <v>7</v>
      </c>
      <c r="IS605" s="27" t="s">
        <v>8</v>
      </c>
      <c r="IT605" s="27" t="s">
        <v>7</v>
      </c>
      <c r="IU605" s="27" t="s">
        <v>8</v>
      </c>
      <c r="IV605" s="27" t="s">
        <v>7</v>
      </c>
      <c r="IW605" s="27" t="s">
        <v>8</v>
      </c>
    </row>
    <row r="606" spans="1:258" x14ac:dyDescent="0.25">
      <c r="A606" s="7">
        <v>0.68643075977021883</v>
      </c>
      <c r="B606"/>
      <c r="C606"/>
      <c r="D606"/>
      <c r="E606"/>
      <c r="F606" s="27" t="s">
        <v>7</v>
      </c>
      <c r="G606" s="27" t="s">
        <v>8</v>
      </c>
      <c r="H606" s="27" t="s">
        <v>7</v>
      </c>
      <c r="BK606" s="27" t="s">
        <v>8</v>
      </c>
      <c r="BO606" s="27" t="s">
        <v>8</v>
      </c>
      <c r="BP606" s="27" t="s">
        <v>7</v>
      </c>
      <c r="CI606" s="27" t="s">
        <v>8</v>
      </c>
      <c r="FK606" s="27" t="s">
        <v>8</v>
      </c>
      <c r="FL606" s="27" t="s">
        <v>7</v>
      </c>
      <c r="FM606" s="27" t="s">
        <v>8</v>
      </c>
      <c r="FN606" s="27" t="s">
        <v>7</v>
      </c>
      <c r="FO606" s="27" t="s">
        <v>8</v>
      </c>
      <c r="GN606" s="27" t="s">
        <v>7</v>
      </c>
      <c r="GO606" s="27" t="s">
        <v>8</v>
      </c>
      <c r="GP606" s="27" t="s">
        <v>7</v>
      </c>
      <c r="GQ606" s="27" t="s">
        <v>8</v>
      </c>
      <c r="GS606" s="27" t="s">
        <v>8</v>
      </c>
      <c r="GT606" s="27" t="s">
        <v>7</v>
      </c>
      <c r="GU606" s="27" t="s">
        <v>8</v>
      </c>
      <c r="GV606" s="27" t="s">
        <v>7</v>
      </c>
      <c r="GW606" s="27" t="s">
        <v>8</v>
      </c>
      <c r="GY606" s="27" t="s">
        <v>8</v>
      </c>
      <c r="HD606" s="27" t="s">
        <v>7</v>
      </c>
      <c r="HE606" s="27" t="s">
        <v>8</v>
      </c>
      <c r="HH606" s="27" t="s">
        <v>7</v>
      </c>
      <c r="HI606" s="27" t="s">
        <v>8</v>
      </c>
      <c r="HJ606" s="27" t="s">
        <v>7</v>
      </c>
      <c r="HK606" s="27" t="s">
        <v>8</v>
      </c>
      <c r="HL606" s="27" t="s">
        <v>7</v>
      </c>
      <c r="IA606" s="27" t="s">
        <v>8</v>
      </c>
      <c r="IB606" s="27" t="s">
        <v>7</v>
      </c>
      <c r="ID606" s="27" t="s">
        <v>7</v>
      </c>
      <c r="IE606" s="27" t="s">
        <v>8</v>
      </c>
      <c r="IF606" s="27" t="s">
        <v>7</v>
      </c>
      <c r="IG606" s="27" t="s">
        <v>8</v>
      </c>
      <c r="IH606" s="27" t="s">
        <v>7</v>
      </c>
      <c r="IJ606" s="27" t="s">
        <v>7</v>
      </c>
      <c r="IK606" s="27" t="s">
        <v>8</v>
      </c>
      <c r="IL606" s="27" t="s">
        <v>7</v>
      </c>
      <c r="IM606" s="27" t="s">
        <v>8</v>
      </c>
      <c r="IR606" s="27" t="s">
        <v>7</v>
      </c>
      <c r="IS606" s="27" t="s">
        <v>8</v>
      </c>
      <c r="IT606" s="27" t="s">
        <v>7</v>
      </c>
      <c r="IU606" s="27" t="s">
        <v>8</v>
      </c>
      <c r="IV606" s="27" t="s">
        <v>7</v>
      </c>
      <c r="IW606" s="27" t="s">
        <v>8</v>
      </c>
    </row>
    <row r="607" spans="1:258" x14ac:dyDescent="0.25">
      <c r="A607" s="7">
        <v>0.67297133310805768</v>
      </c>
      <c r="B607"/>
      <c r="C607"/>
      <c r="D607"/>
      <c r="E607"/>
      <c r="F607" s="27" t="s">
        <v>7</v>
      </c>
      <c r="G607" s="27" t="s">
        <v>8</v>
      </c>
      <c r="H607" s="27" t="s">
        <v>7</v>
      </c>
      <c r="BK607" s="27" t="s">
        <v>8</v>
      </c>
      <c r="BL607" s="27" t="s">
        <v>7</v>
      </c>
      <c r="BO607" s="27" t="s">
        <v>8</v>
      </c>
      <c r="BP607" s="27" t="s">
        <v>7</v>
      </c>
      <c r="CI607" s="27" t="s">
        <v>8</v>
      </c>
      <c r="CJ607" s="27" t="s">
        <v>7</v>
      </c>
      <c r="FK607" s="27" t="s">
        <v>8</v>
      </c>
      <c r="FL607" s="27" t="s">
        <v>7</v>
      </c>
      <c r="FM607" s="27" t="s">
        <v>8</v>
      </c>
      <c r="FN607" s="27" t="s">
        <v>7</v>
      </c>
      <c r="GN607" s="27" t="s">
        <v>7</v>
      </c>
      <c r="GO607" s="27" t="s">
        <v>8</v>
      </c>
      <c r="GP607" s="27" t="s">
        <v>7</v>
      </c>
      <c r="GQ607" s="27" t="s">
        <v>8</v>
      </c>
      <c r="GR607" s="27" t="s">
        <v>7</v>
      </c>
      <c r="GS607" s="27" t="s">
        <v>8</v>
      </c>
      <c r="GT607" s="27" t="s">
        <v>7</v>
      </c>
      <c r="GU607" s="27" t="s">
        <v>8</v>
      </c>
      <c r="GV607" s="27" t="s">
        <v>7</v>
      </c>
      <c r="GW607" s="27" t="s">
        <v>8</v>
      </c>
      <c r="GX607" s="27" t="s">
        <v>7</v>
      </c>
      <c r="GY607" s="27" t="s">
        <v>8</v>
      </c>
      <c r="HD607" s="27" t="s">
        <v>7</v>
      </c>
      <c r="HE607" s="27" t="s">
        <v>8</v>
      </c>
      <c r="HH607" s="27" t="s">
        <v>7</v>
      </c>
      <c r="HI607" s="27" t="s">
        <v>8</v>
      </c>
      <c r="HJ607" s="27" t="s">
        <v>7</v>
      </c>
      <c r="HK607" s="27" t="s">
        <v>8</v>
      </c>
      <c r="HL607" s="27" t="s">
        <v>7</v>
      </c>
      <c r="HM607" s="27" t="s">
        <v>8</v>
      </c>
      <c r="IA607" s="27" t="s">
        <v>8</v>
      </c>
      <c r="ID607" s="27" t="s">
        <v>7</v>
      </c>
      <c r="IE607" s="27" t="s">
        <v>8</v>
      </c>
      <c r="IF607" s="27" t="s">
        <v>7</v>
      </c>
      <c r="IG607" s="27" t="s">
        <v>8</v>
      </c>
      <c r="IJ607" s="27" t="s">
        <v>7</v>
      </c>
      <c r="IK607" s="27" t="s">
        <v>8</v>
      </c>
      <c r="IL607" s="27" t="s">
        <v>7</v>
      </c>
      <c r="IM607" s="27" t="s">
        <v>8</v>
      </c>
      <c r="IR607" s="27" t="s">
        <v>7</v>
      </c>
      <c r="IS607" s="27" t="s">
        <v>8</v>
      </c>
      <c r="IT607" s="27" t="s">
        <v>7</v>
      </c>
      <c r="IU607" s="27" t="s">
        <v>8</v>
      </c>
      <c r="IV607" s="27" t="s">
        <v>7</v>
      </c>
      <c r="IW607" s="27" t="s">
        <v>8</v>
      </c>
    </row>
    <row r="608" spans="1:258" x14ac:dyDescent="0.25">
      <c r="A608" s="7">
        <v>0.65977581677260566</v>
      </c>
      <c r="B608"/>
      <c r="C608"/>
      <c r="D608"/>
      <c r="E608"/>
      <c r="F608" s="27" t="s">
        <v>7</v>
      </c>
      <c r="G608" s="27" t="s">
        <v>8</v>
      </c>
      <c r="H608" s="27" t="s">
        <v>7</v>
      </c>
      <c r="BK608" s="27" t="s">
        <v>8</v>
      </c>
      <c r="BL608" s="27" t="s">
        <v>7</v>
      </c>
      <c r="BO608" s="27" t="s">
        <v>8</v>
      </c>
      <c r="BP608" s="27" t="s">
        <v>7</v>
      </c>
      <c r="CI608" s="27" t="s">
        <v>8</v>
      </c>
      <c r="CJ608" s="27" t="s">
        <v>7</v>
      </c>
      <c r="FK608" s="27" t="s">
        <v>8</v>
      </c>
      <c r="FL608" s="27" t="s">
        <v>7</v>
      </c>
      <c r="FM608" s="27" t="s">
        <v>8</v>
      </c>
      <c r="GN608" s="27" t="s">
        <v>7</v>
      </c>
      <c r="GO608" s="27" t="s">
        <v>8</v>
      </c>
      <c r="GP608" s="27" t="s">
        <v>7</v>
      </c>
      <c r="GQ608" s="27" t="s">
        <v>8</v>
      </c>
      <c r="GR608" s="27" t="s">
        <v>7</v>
      </c>
      <c r="GS608" s="27" t="s">
        <v>8</v>
      </c>
      <c r="GT608" s="27" t="s">
        <v>7</v>
      </c>
      <c r="GU608" s="27" t="s">
        <v>8</v>
      </c>
      <c r="GV608" s="27" t="s">
        <v>7</v>
      </c>
      <c r="GW608" s="27" t="s">
        <v>8</v>
      </c>
      <c r="GX608" s="27" t="s">
        <v>7</v>
      </c>
      <c r="GY608" s="27" t="s">
        <v>8</v>
      </c>
      <c r="HD608" s="27" t="s">
        <v>7</v>
      </c>
      <c r="HE608" s="27" t="s">
        <v>8</v>
      </c>
      <c r="HH608" s="27" t="s">
        <v>7</v>
      </c>
      <c r="HJ608" s="27" t="s">
        <v>7</v>
      </c>
      <c r="HK608" s="27" t="s">
        <v>8</v>
      </c>
      <c r="HL608" s="27" t="s">
        <v>7</v>
      </c>
      <c r="HM608" s="27" t="s">
        <v>8</v>
      </c>
      <c r="HN608" s="27" t="s">
        <v>7</v>
      </c>
      <c r="HQ608" s="27" t="s">
        <v>8</v>
      </c>
      <c r="IA608" s="27" t="s">
        <v>8</v>
      </c>
      <c r="ID608" s="27" t="s">
        <v>7</v>
      </c>
      <c r="IE608" s="27" t="s">
        <v>8</v>
      </c>
      <c r="IF608" s="27" t="s">
        <v>7</v>
      </c>
      <c r="IG608" s="27" t="s">
        <v>8</v>
      </c>
      <c r="IJ608" s="27" t="s">
        <v>7</v>
      </c>
      <c r="IK608" s="27" t="s">
        <v>8</v>
      </c>
      <c r="IL608" s="27" t="s">
        <v>7</v>
      </c>
      <c r="IM608" s="27" t="s">
        <v>8</v>
      </c>
      <c r="IR608" s="27" t="s">
        <v>7</v>
      </c>
      <c r="IS608" s="27" t="s">
        <v>8</v>
      </c>
      <c r="IT608" s="27" t="s">
        <v>7</v>
      </c>
      <c r="IV608" s="27" t="s">
        <v>7</v>
      </c>
      <c r="IW608" s="27" t="s">
        <v>8</v>
      </c>
    </row>
    <row r="609" spans="1:256" x14ac:dyDescent="0.25">
      <c r="A609" s="7">
        <v>0.64683903605157422</v>
      </c>
      <c r="B609"/>
      <c r="C609"/>
      <c r="D609"/>
      <c r="E609"/>
      <c r="F609" s="27" t="s">
        <v>7</v>
      </c>
      <c r="G609" s="27" t="s">
        <v>8</v>
      </c>
      <c r="H609" s="27" t="s">
        <v>7</v>
      </c>
      <c r="BK609" s="27" t="s">
        <v>8</v>
      </c>
      <c r="BL609" s="27" t="s">
        <v>7</v>
      </c>
      <c r="BO609" s="27" t="s">
        <v>8</v>
      </c>
      <c r="BP609" s="27" t="s">
        <v>7</v>
      </c>
      <c r="CI609" s="27" t="s">
        <v>8</v>
      </c>
      <c r="CJ609" s="27" t="s">
        <v>7</v>
      </c>
      <c r="CK609" s="27" t="s">
        <v>8</v>
      </c>
      <c r="FK609" s="27" t="s">
        <v>8</v>
      </c>
      <c r="FL609" s="27" t="s">
        <v>7</v>
      </c>
      <c r="FM609" s="27" t="s">
        <v>8</v>
      </c>
      <c r="GN609" s="27" t="s">
        <v>7</v>
      </c>
      <c r="GP609" s="27" t="s">
        <v>7</v>
      </c>
      <c r="GQ609" s="27" t="s">
        <v>8</v>
      </c>
      <c r="GR609" s="27" t="s">
        <v>7</v>
      </c>
      <c r="GS609" s="27" t="s">
        <v>8</v>
      </c>
      <c r="GT609" s="27" t="s">
        <v>7</v>
      </c>
      <c r="GV609" s="27" t="s">
        <v>7</v>
      </c>
      <c r="GW609" s="27" t="s">
        <v>8</v>
      </c>
      <c r="GX609" s="27" t="s">
        <v>7</v>
      </c>
      <c r="GY609" s="27" t="s">
        <v>8</v>
      </c>
      <c r="HD609" s="27" t="s">
        <v>7</v>
      </c>
      <c r="HJ609" s="27" t="s">
        <v>7</v>
      </c>
      <c r="HK609" s="27" t="s">
        <v>8</v>
      </c>
      <c r="HL609" s="27" t="s">
        <v>7</v>
      </c>
      <c r="HM609" s="27" t="s">
        <v>8</v>
      </c>
      <c r="HN609" s="27" t="s">
        <v>7</v>
      </c>
      <c r="HQ609" s="27" t="s">
        <v>8</v>
      </c>
      <c r="HR609" s="27" t="s">
        <v>7</v>
      </c>
      <c r="HY609" s="27" t="s">
        <v>8</v>
      </c>
      <c r="IA609" s="27" t="s">
        <v>8</v>
      </c>
      <c r="ID609" s="27" t="s">
        <v>7</v>
      </c>
      <c r="IE609" s="27" t="s">
        <v>8</v>
      </c>
      <c r="IF609" s="27" t="s">
        <v>7</v>
      </c>
      <c r="IG609" s="27" t="s">
        <v>8</v>
      </c>
      <c r="IJ609" s="27" t="s">
        <v>7</v>
      </c>
      <c r="IL609" s="27" t="s">
        <v>7</v>
      </c>
      <c r="IM609" s="27" t="s">
        <v>8</v>
      </c>
      <c r="IR609" s="27" t="s">
        <v>7</v>
      </c>
      <c r="IS609" s="27" t="s">
        <v>8</v>
      </c>
      <c r="IV609" s="27" t="s">
        <v>7</v>
      </c>
    </row>
    <row r="610" spans="1:256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H610" s="27" t="s">
        <v>7</v>
      </c>
      <c r="BK610" s="27" t="s">
        <v>8</v>
      </c>
      <c r="BL610" s="27" t="s">
        <v>7</v>
      </c>
      <c r="BO610" s="27" t="s">
        <v>8</v>
      </c>
      <c r="BP610" s="27" t="s">
        <v>7</v>
      </c>
      <c r="CI610" s="27" t="s">
        <v>8</v>
      </c>
      <c r="CJ610" s="27" t="s">
        <v>7</v>
      </c>
      <c r="CK610" s="27" t="s">
        <v>8</v>
      </c>
      <c r="CL610" s="27" t="s">
        <v>7</v>
      </c>
      <c r="FK610" s="27" t="s">
        <v>8</v>
      </c>
      <c r="FL610" s="27" t="s">
        <v>7</v>
      </c>
      <c r="GP610" s="27" t="s">
        <v>7</v>
      </c>
      <c r="GQ610" s="27" t="s">
        <v>8</v>
      </c>
      <c r="GR610" s="27" t="s">
        <v>7</v>
      </c>
      <c r="GS610" s="27" t="s">
        <v>8</v>
      </c>
      <c r="GV610" s="27" t="s">
        <v>7</v>
      </c>
      <c r="GW610" s="27" t="s">
        <v>8</v>
      </c>
      <c r="GX610" s="27" t="s">
        <v>7</v>
      </c>
      <c r="HJ610" s="27" t="s">
        <v>7</v>
      </c>
      <c r="HK610" s="27" t="s">
        <v>8</v>
      </c>
      <c r="HL610" s="27" t="s">
        <v>7</v>
      </c>
      <c r="HM610" s="27" t="s">
        <v>8</v>
      </c>
      <c r="HN610" s="27" t="s">
        <v>7</v>
      </c>
      <c r="HQ610" s="27" t="s">
        <v>8</v>
      </c>
      <c r="HR610" s="27" t="s">
        <v>7</v>
      </c>
      <c r="HS610" s="27" t="s">
        <v>8</v>
      </c>
      <c r="HY610" s="27" t="s">
        <v>8</v>
      </c>
      <c r="HZ610" s="27" t="s">
        <v>7</v>
      </c>
      <c r="IA610" s="27" t="s">
        <v>8</v>
      </c>
      <c r="ID610" s="27" t="s">
        <v>7</v>
      </c>
      <c r="IE610" s="27" t="s">
        <v>8</v>
      </c>
      <c r="IF610" s="27" t="s">
        <v>7</v>
      </c>
      <c r="IL610" s="27" t="s">
        <v>7</v>
      </c>
      <c r="IR610" s="27" t="s">
        <v>7</v>
      </c>
      <c r="IS610" s="27" t="s">
        <v>8</v>
      </c>
    </row>
    <row r="611" spans="1:256" x14ac:dyDescent="0.25">
      <c r="A611" s="7">
        <v>0.62172148793884496</v>
      </c>
      <c r="B611"/>
      <c r="C611"/>
      <c r="D611"/>
      <c r="E611"/>
      <c r="F611" s="27" t="s">
        <v>7</v>
      </c>
      <c r="G611" s="27" t="s">
        <v>8</v>
      </c>
      <c r="H611" s="27" t="s">
        <v>7</v>
      </c>
      <c r="BK611" s="27" t="s">
        <v>8</v>
      </c>
      <c r="BL611" s="27" t="s">
        <v>7</v>
      </c>
      <c r="BO611" s="27" t="s">
        <v>8</v>
      </c>
      <c r="BP611" s="27" t="s">
        <v>7</v>
      </c>
      <c r="CI611" s="27" t="s">
        <v>8</v>
      </c>
      <c r="CJ611" s="27" t="s">
        <v>7</v>
      </c>
      <c r="CK611" s="27" t="s">
        <v>8</v>
      </c>
      <c r="CL611" s="27" t="s">
        <v>7</v>
      </c>
      <c r="CM611" s="27" t="s">
        <v>8</v>
      </c>
      <c r="FK611" s="27" t="s">
        <v>8</v>
      </c>
      <c r="GP611" s="27" t="s">
        <v>7</v>
      </c>
      <c r="GQ611" s="27" t="s">
        <v>8</v>
      </c>
      <c r="GR611" s="27" t="s">
        <v>7</v>
      </c>
      <c r="GS611" s="27" t="s">
        <v>8</v>
      </c>
      <c r="GV611" s="27" t="s">
        <v>7</v>
      </c>
      <c r="GW611" s="27" t="s">
        <v>8</v>
      </c>
      <c r="HJ611" s="27" t="s">
        <v>7</v>
      </c>
      <c r="HK611" s="27" t="s">
        <v>8</v>
      </c>
      <c r="HL611" s="27" t="s">
        <v>7</v>
      </c>
      <c r="HM611" s="27" t="s">
        <v>8</v>
      </c>
      <c r="HN611" s="27" t="s">
        <v>7</v>
      </c>
      <c r="HQ611" s="27" t="s">
        <v>8</v>
      </c>
      <c r="HR611" s="27" t="s">
        <v>7</v>
      </c>
      <c r="HS611" s="27" t="s">
        <v>8</v>
      </c>
      <c r="HT611" s="27" t="s">
        <v>7</v>
      </c>
      <c r="HW611" s="27" t="s">
        <v>8</v>
      </c>
      <c r="HY611" s="27" t="s">
        <v>8</v>
      </c>
      <c r="HZ611" s="27" t="s">
        <v>7</v>
      </c>
      <c r="IA611" s="27" t="s">
        <v>8</v>
      </c>
      <c r="ID611" s="27" t="s">
        <v>7</v>
      </c>
      <c r="IE611" s="27" t="s">
        <v>8</v>
      </c>
      <c r="IR611" s="27" t="s">
        <v>7</v>
      </c>
      <c r="IS611" s="27" t="s">
        <v>8</v>
      </c>
    </row>
    <row r="612" spans="1:256" x14ac:dyDescent="0.25">
      <c r="A612" s="7">
        <v>0.60953087052827937</v>
      </c>
      <c r="B612"/>
      <c r="C612"/>
      <c r="D612"/>
      <c r="E612"/>
      <c r="F612" s="27" t="s">
        <v>7</v>
      </c>
      <c r="G612" s="27" t="s">
        <v>8</v>
      </c>
      <c r="H612" s="27" t="s">
        <v>7</v>
      </c>
      <c r="BK612" s="27" t="s">
        <v>8</v>
      </c>
      <c r="BL612" s="27" t="s">
        <v>7</v>
      </c>
      <c r="BO612" s="27" t="s">
        <v>8</v>
      </c>
      <c r="BP612" s="27" t="s">
        <v>7</v>
      </c>
      <c r="CI612" s="27" t="s">
        <v>8</v>
      </c>
      <c r="CJ612" s="27" t="s">
        <v>7</v>
      </c>
      <c r="CK612" s="27" t="s">
        <v>8</v>
      </c>
      <c r="CL612" s="27" t="s">
        <v>7</v>
      </c>
      <c r="CM612" s="27" t="s">
        <v>8</v>
      </c>
      <c r="CN612" s="27" t="s">
        <v>7</v>
      </c>
      <c r="CO612" s="27" t="s">
        <v>8</v>
      </c>
      <c r="FI612" s="27" t="s">
        <v>8</v>
      </c>
      <c r="FK612" s="27" t="s">
        <v>8</v>
      </c>
      <c r="GP612" s="27" t="s">
        <v>7</v>
      </c>
      <c r="GQ612" s="27" t="s">
        <v>8</v>
      </c>
      <c r="GR612" s="27" t="s">
        <v>7</v>
      </c>
      <c r="GS612" s="27" t="s">
        <v>8</v>
      </c>
      <c r="GV612" s="27" t="s">
        <v>7</v>
      </c>
      <c r="GW612" s="27" t="s">
        <v>8</v>
      </c>
      <c r="HJ612" s="27" t="s">
        <v>7</v>
      </c>
      <c r="HK612" s="27" t="s">
        <v>8</v>
      </c>
      <c r="HL612" s="27" t="s">
        <v>7</v>
      </c>
      <c r="HM612" s="27" t="s">
        <v>8</v>
      </c>
      <c r="HN612" s="27" t="s">
        <v>7</v>
      </c>
      <c r="HQ612" s="27" t="s">
        <v>8</v>
      </c>
      <c r="HR612" s="27" t="s">
        <v>7</v>
      </c>
      <c r="HS612" s="27" t="s">
        <v>8</v>
      </c>
      <c r="HT612" s="27" t="s">
        <v>7</v>
      </c>
      <c r="HW612" s="27" t="s">
        <v>8</v>
      </c>
      <c r="HX612" s="27" t="s">
        <v>7</v>
      </c>
      <c r="HY612" s="27" t="s">
        <v>8</v>
      </c>
      <c r="HZ612" s="27" t="s">
        <v>7</v>
      </c>
      <c r="IA612" s="27" t="s">
        <v>8</v>
      </c>
      <c r="ID612" s="27" t="s">
        <v>7</v>
      </c>
      <c r="IR612" s="27" t="s">
        <v>7</v>
      </c>
      <c r="IS612" s="27" t="s">
        <v>8</v>
      </c>
    </row>
    <row r="613" spans="1:256" x14ac:dyDescent="0.25">
      <c r="A613" s="7">
        <v>0.59757928483164646</v>
      </c>
      <c r="B613"/>
      <c r="C613"/>
      <c r="D613"/>
      <c r="E613"/>
      <c r="F613" s="27" t="s">
        <v>7</v>
      </c>
      <c r="G613" s="27" t="s">
        <v>8</v>
      </c>
      <c r="H613" s="27" t="s">
        <v>7</v>
      </c>
      <c r="BI613" s="27" t="s">
        <v>8</v>
      </c>
      <c r="BK613" s="27" t="s">
        <v>8</v>
      </c>
      <c r="BL613" s="27" t="s">
        <v>7</v>
      </c>
      <c r="BM613" s="27" t="s">
        <v>8</v>
      </c>
      <c r="BO613" s="27" t="s">
        <v>8</v>
      </c>
      <c r="BP613" s="27" t="s">
        <v>7</v>
      </c>
      <c r="CI613" s="27" t="s">
        <v>8</v>
      </c>
      <c r="CJ613" s="27" t="s">
        <v>7</v>
      </c>
      <c r="CK613" s="27" t="s">
        <v>8</v>
      </c>
      <c r="CL613" s="27" t="s">
        <v>7</v>
      </c>
      <c r="CM613" s="27" t="s">
        <v>8</v>
      </c>
      <c r="CN613" s="27" t="s">
        <v>7</v>
      </c>
      <c r="CO613" s="27" t="s">
        <v>8</v>
      </c>
      <c r="CP613" s="27" t="s">
        <v>7</v>
      </c>
      <c r="FI613" s="27" t="s">
        <v>8</v>
      </c>
      <c r="FJ613" s="27" t="s">
        <v>7</v>
      </c>
      <c r="FK613" s="27" t="s">
        <v>8</v>
      </c>
      <c r="GP613" s="27" t="s">
        <v>7</v>
      </c>
      <c r="GQ613" s="27" t="s">
        <v>8</v>
      </c>
      <c r="GR613" s="27" t="s">
        <v>7</v>
      </c>
      <c r="GS613" s="27" t="s">
        <v>8</v>
      </c>
      <c r="GV613" s="27" t="s">
        <v>7</v>
      </c>
      <c r="GW613" s="27" t="s">
        <v>8</v>
      </c>
      <c r="HJ613" s="27" t="s">
        <v>7</v>
      </c>
      <c r="HL613" s="27" t="s">
        <v>7</v>
      </c>
      <c r="HM613" s="27" t="s">
        <v>8</v>
      </c>
      <c r="HN613" s="27" t="s">
        <v>7</v>
      </c>
      <c r="HQ613" s="27" t="s">
        <v>8</v>
      </c>
      <c r="HR613" s="27" t="s">
        <v>7</v>
      </c>
      <c r="HS613" s="27" t="s">
        <v>8</v>
      </c>
      <c r="HT613" s="27" t="s">
        <v>7</v>
      </c>
      <c r="HU613" s="27" t="s">
        <v>8</v>
      </c>
      <c r="HW613" s="27" t="s">
        <v>8</v>
      </c>
      <c r="HX613" s="27" t="s">
        <v>7</v>
      </c>
      <c r="HY613" s="27" t="s">
        <v>8</v>
      </c>
      <c r="HZ613" s="27" t="s">
        <v>7</v>
      </c>
      <c r="IA613" s="27" t="s">
        <v>8</v>
      </c>
      <c r="IR613" s="27" t="s">
        <v>7</v>
      </c>
      <c r="IS613" s="27" t="s">
        <v>8</v>
      </c>
    </row>
    <row r="614" spans="1:256" x14ac:dyDescent="0.25">
      <c r="A614" s="7">
        <v>0.58586204395259456</v>
      </c>
      <c r="B614"/>
      <c r="C614"/>
      <c r="D614"/>
      <c r="E614"/>
      <c r="F614" s="27" t="s">
        <v>7</v>
      </c>
      <c r="G614" s="27" t="s">
        <v>8</v>
      </c>
      <c r="H614" s="27" t="s">
        <v>7</v>
      </c>
      <c r="BI614" s="27" t="s">
        <v>8</v>
      </c>
      <c r="BJ614" s="27" t="s">
        <v>7</v>
      </c>
      <c r="BK614" s="27" t="s">
        <v>8</v>
      </c>
      <c r="BL614" s="27" t="s">
        <v>7</v>
      </c>
      <c r="BM614" s="27" t="s">
        <v>8</v>
      </c>
      <c r="BN614" s="27" t="s">
        <v>7</v>
      </c>
      <c r="BO614" s="27" t="s">
        <v>8</v>
      </c>
      <c r="BP614" s="27" t="s">
        <v>7</v>
      </c>
      <c r="BQ614" s="27" t="s">
        <v>8</v>
      </c>
      <c r="CI614" s="27" t="s">
        <v>8</v>
      </c>
      <c r="CJ614" s="27" t="s">
        <v>7</v>
      </c>
      <c r="CK614" s="27" t="s">
        <v>8</v>
      </c>
      <c r="CL614" s="27" t="s">
        <v>7</v>
      </c>
      <c r="CM614" s="27" t="s">
        <v>8</v>
      </c>
      <c r="CN614" s="27" t="s">
        <v>7</v>
      </c>
      <c r="CO614" s="27" t="s">
        <v>8</v>
      </c>
      <c r="CP614" s="27" t="s">
        <v>7</v>
      </c>
      <c r="CW614" s="27" t="s">
        <v>8</v>
      </c>
      <c r="FI614" s="27" t="s">
        <v>8</v>
      </c>
      <c r="FJ614" s="27" t="s">
        <v>7</v>
      </c>
      <c r="FK614" s="27" t="s">
        <v>8</v>
      </c>
      <c r="GP614" s="27" t="s">
        <v>7</v>
      </c>
      <c r="GQ614" s="27" t="s">
        <v>8</v>
      </c>
      <c r="GR614" s="27" t="s">
        <v>7</v>
      </c>
      <c r="GS614" s="27" t="s">
        <v>8</v>
      </c>
      <c r="GV614" s="27" t="s">
        <v>7</v>
      </c>
      <c r="HL614" s="27" t="s">
        <v>7</v>
      </c>
      <c r="HM614" s="27" t="s">
        <v>8</v>
      </c>
      <c r="HN614" s="27" t="s">
        <v>7</v>
      </c>
      <c r="HQ614" s="27" t="s">
        <v>8</v>
      </c>
      <c r="HR614" s="27" t="s">
        <v>7</v>
      </c>
      <c r="HS614" s="27" t="s">
        <v>8</v>
      </c>
      <c r="HT614" s="27" t="s">
        <v>7</v>
      </c>
      <c r="HU614" s="27" t="s">
        <v>8</v>
      </c>
      <c r="HV614" s="27" t="s">
        <v>7</v>
      </c>
      <c r="HW614" s="27" t="s">
        <v>8</v>
      </c>
      <c r="HX614" s="27" t="s">
        <v>7</v>
      </c>
      <c r="HY614" s="27" t="s">
        <v>8</v>
      </c>
      <c r="HZ614" s="27" t="s">
        <v>7</v>
      </c>
      <c r="IR614" s="27" t="s">
        <v>7</v>
      </c>
      <c r="IS614" s="27" t="s">
        <v>8</v>
      </c>
    </row>
    <row r="615" spans="1:256" x14ac:dyDescent="0.25">
      <c r="A615" s="7">
        <v>0.57437455289470052</v>
      </c>
      <c r="B615"/>
      <c r="C615"/>
      <c r="D615"/>
      <c r="E615"/>
      <c r="F615" s="27" t="s">
        <v>7</v>
      </c>
      <c r="G615" s="27" t="s">
        <v>8</v>
      </c>
      <c r="H615" s="27" t="s">
        <v>7</v>
      </c>
      <c r="BI615" s="27" t="s">
        <v>8</v>
      </c>
      <c r="BJ615" s="27" t="s">
        <v>7</v>
      </c>
      <c r="BK615" s="27" t="s">
        <v>8</v>
      </c>
      <c r="BL615" s="27" t="s">
        <v>7</v>
      </c>
      <c r="BM615" s="27" t="s">
        <v>8</v>
      </c>
      <c r="BN615" s="27" t="s">
        <v>7</v>
      </c>
      <c r="BO615" s="27" t="s">
        <v>8</v>
      </c>
      <c r="BP615" s="27" t="s">
        <v>7</v>
      </c>
      <c r="BQ615" s="27" t="s">
        <v>8</v>
      </c>
      <c r="BR615" s="27" t="s">
        <v>7</v>
      </c>
      <c r="CI615" s="27" t="s">
        <v>8</v>
      </c>
      <c r="CJ615" s="27" t="s">
        <v>7</v>
      </c>
      <c r="CK615" s="27" t="s">
        <v>8</v>
      </c>
      <c r="CL615" s="27" t="s">
        <v>7</v>
      </c>
      <c r="CM615" s="27" t="s">
        <v>8</v>
      </c>
      <c r="CN615" s="27" t="s">
        <v>7</v>
      </c>
      <c r="CO615" s="27" t="s">
        <v>8</v>
      </c>
      <c r="CP615" s="27" t="s">
        <v>7</v>
      </c>
      <c r="CW615" s="27" t="s">
        <v>8</v>
      </c>
      <c r="CX615" s="27" t="s">
        <v>7</v>
      </c>
      <c r="FE615" s="27" t="s">
        <v>8</v>
      </c>
      <c r="FI615" s="27" t="s">
        <v>8</v>
      </c>
      <c r="FJ615" s="27" t="s">
        <v>7</v>
      </c>
      <c r="FK615" s="27" t="s">
        <v>8</v>
      </c>
      <c r="GP615" s="27" t="s">
        <v>7</v>
      </c>
      <c r="GQ615" s="27" t="s">
        <v>8</v>
      </c>
      <c r="GR615" s="27" t="s">
        <v>7</v>
      </c>
      <c r="GS615" s="27" t="s">
        <v>8</v>
      </c>
      <c r="HL615" s="27" t="s">
        <v>7</v>
      </c>
      <c r="HN615" s="27" t="s">
        <v>7</v>
      </c>
      <c r="HQ615" s="27" t="s">
        <v>8</v>
      </c>
      <c r="HR615" s="27" t="s">
        <v>7</v>
      </c>
      <c r="HS615" s="27" t="s">
        <v>8</v>
      </c>
      <c r="HT615" s="27" t="s">
        <v>7</v>
      </c>
      <c r="HU615" s="27" t="s">
        <v>8</v>
      </c>
      <c r="HV615" s="27" t="s">
        <v>7</v>
      </c>
      <c r="HW615" s="27" t="s">
        <v>8</v>
      </c>
      <c r="HX615" s="27" t="s">
        <v>7</v>
      </c>
      <c r="IR615" s="27" t="s">
        <v>7</v>
      </c>
      <c r="IS615" s="27" t="s">
        <v>8</v>
      </c>
    </row>
    <row r="616" spans="1:256" x14ac:dyDescent="0.25">
      <c r="A616" s="7">
        <v>0.56311230675951029</v>
      </c>
      <c r="B616"/>
      <c r="C616"/>
      <c r="D616"/>
      <c r="E616"/>
      <c r="F616" s="27" t="s">
        <v>7</v>
      </c>
      <c r="G616" s="27" t="s">
        <v>8</v>
      </c>
      <c r="H616" s="27" t="s">
        <v>7</v>
      </c>
      <c r="BI616" s="27" t="s">
        <v>8</v>
      </c>
      <c r="BJ616" s="27" t="s">
        <v>7</v>
      </c>
      <c r="BK616" s="27" t="s">
        <v>8</v>
      </c>
      <c r="BL616" s="27" t="s">
        <v>7</v>
      </c>
      <c r="BM616" s="27" t="s">
        <v>8</v>
      </c>
      <c r="BN616" s="27" t="s">
        <v>7</v>
      </c>
      <c r="BP616" s="27" t="s">
        <v>7</v>
      </c>
      <c r="BQ616" s="27" t="s">
        <v>8</v>
      </c>
      <c r="BR616" s="27" t="s">
        <v>7</v>
      </c>
      <c r="CG616" s="27" t="s">
        <v>8</v>
      </c>
      <c r="CI616" s="27" t="s">
        <v>8</v>
      </c>
      <c r="CJ616" s="27" t="s">
        <v>7</v>
      </c>
      <c r="CL616" s="27" t="s">
        <v>7</v>
      </c>
      <c r="CM616" s="27" t="s">
        <v>8</v>
      </c>
      <c r="CN616" s="27" t="s">
        <v>7</v>
      </c>
      <c r="CP616" s="27" t="s">
        <v>7</v>
      </c>
      <c r="CW616" s="27" t="s">
        <v>8</v>
      </c>
      <c r="CX616" s="27" t="s">
        <v>7</v>
      </c>
      <c r="CY616" s="27" t="s">
        <v>8</v>
      </c>
      <c r="FE616" s="27" t="s">
        <v>8</v>
      </c>
      <c r="FF616" s="27" t="s">
        <v>7</v>
      </c>
      <c r="FI616" s="27" t="s">
        <v>8</v>
      </c>
      <c r="FJ616" s="27" t="s">
        <v>7</v>
      </c>
      <c r="FK616" s="27" t="s">
        <v>8</v>
      </c>
      <c r="GP616" s="27" t="s">
        <v>7</v>
      </c>
      <c r="GQ616" s="27" t="s">
        <v>8</v>
      </c>
      <c r="GR616" s="27" t="s">
        <v>7</v>
      </c>
      <c r="HN616" s="27" t="s">
        <v>7</v>
      </c>
      <c r="HO616" s="27" t="s">
        <v>8</v>
      </c>
      <c r="HQ616" s="27" t="s">
        <v>8</v>
      </c>
      <c r="HR616" s="27" t="s">
        <v>7</v>
      </c>
      <c r="HS616" s="27" t="s">
        <v>8</v>
      </c>
      <c r="HT616" s="27" t="s">
        <v>7</v>
      </c>
      <c r="HV616" s="27" t="s">
        <v>7</v>
      </c>
      <c r="IR616" s="27" t="s">
        <v>7</v>
      </c>
    </row>
    <row r="617" spans="1:256" x14ac:dyDescent="0.25">
      <c r="A617" s="7">
        <v>0.55207088897991208</v>
      </c>
      <c r="B617"/>
      <c r="C617"/>
      <c r="D617"/>
      <c r="E617"/>
      <c r="F617" s="27" t="s">
        <v>7</v>
      </c>
      <c r="G617" s="27" t="s">
        <v>8</v>
      </c>
      <c r="H617" s="27" t="s">
        <v>7</v>
      </c>
      <c r="BI617" s="27" t="s">
        <v>8</v>
      </c>
      <c r="BJ617" s="27" t="s">
        <v>7</v>
      </c>
      <c r="BK617" s="27" t="s">
        <v>8</v>
      </c>
      <c r="BL617" s="27" t="s">
        <v>7</v>
      </c>
      <c r="BM617" s="27" t="s">
        <v>8</v>
      </c>
      <c r="BP617" s="27" t="s">
        <v>7</v>
      </c>
      <c r="BQ617" s="27" t="s">
        <v>8</v>
      </c>
      <c r="BR617" s="27" t="s">
        <v>7</v>
      </c>
      <c r="CE617" s="27" t="s">
        <v>8</v>
      </c>
      <c r="CG617" s="27" t="s">
        <v>8</v>
      </c>
      <c r="CH617" s="27" t="s">
        <v>7</v>
      </c>
      <c r="CI617" s="27" t="s">
        <v>8</v>
      </c>
      <c r="CL617" s="27" t="s">
        <v>7</v>
      </c>
      <c r="CM617" s="27" t="s">
        <v>8</v>
      </c>
      <c r="CP617" s="27" t="s">
        <v>7</v>
      </c>
      <c r="CW617" s="27" t="s">
        <v>8</v>
      </c>
      <c r="CX617" s="27" t="s">
        <v>7</v>
      </c>
      <c r="CY617" s="27" t="s">
        <v>8</v>
      </c>
      <c r="CZ617" s="27" t="s">
        <v>7</v>
      </c>
      <c r="FE617" s="27" t="s">
        <v>8</v>
      </c>
      <c r="FF617" s="27" t="s">
        <v>7</v>
      </c>
      <c r="FI617" s="27" t="s">
        <v>8</v>
      </c>
      <c r="FJ617" s="27" t="s">
        <v>7</v>
      </c>
      <c r="FK617" s="27" t="s">
        <v>8</v>
      </c>
      <c r="GP617" s="27" t="s">
        <v>7</v>
      </c>
      <c r="GQ617" s="27" t="s">
        <v>8</v>
      </c>
      <c r="HN617" s="27" t="s">
        <v>7</v>
      </c>
      <c r="HO617" s="27" t="s">
        <v>8</v>
      </c>
      <c r="HP617" s="27" t="s">
        <v>7</v>
      </c>
      <c r="HQ617" s="27" t="s">
        <v>8</v>
      </c>
      <c r="HR617" s="27" t="s">
        <v>7</v>
      </c>
      <c r="HS617" s="27" t="s">
        <v>8</v>
      </c>
    </row>
    <row r="618" spans="1:256" x14ac:dyDescent="0.25">
      <c r="A618" s="7">
        <v>0.54124596958814908</v>
      </c>
      <c r="B618"/>
      <c r="C618"/>
      <c r="D618"/>
      <c r="E618"/>
      <c r="F618" s="27" t="s">
        <v>7</v>
      </c>
      <c r="G618" s="27" t="s">
        <v>8</v>
      </c>
      <c r="H618" s="27" t="s">
        <v>7</v>
      </c>
      <c r="I618" s="27" t="s">
        <v>8</v>
      </c>
      <c r="BI618" s="27" t="s">
        <v>8</v>
      </c>
      <c r="BJ618" s="27" t="s">
        <v>7</v>
      </c>
      <c r="BK618" s="27" t="s">
        <v>8</v>
      </c>
      <c r="BL618" s="27" t="s">
        <v>7</v>
      </c>
      <c r="BM618" s="27" t="s">
        <v>8</v>
      </c>
      <c r="BP618" s="27" t="s">
        <v>7</v>
      </c>
      <c r="BR618" s="27" t="s">
        <v>7</v>
      </c>
      <c r="CE618" s="27" t="s">
        <v>8</v>
      </c>
      <c r="CF618" s="27" t="s">
        <v>7</v>
      </c>
      <c r="CG618" s="27" t="s">
        <v>8</v>
      </c>
      <c r="CH618" s="27" t="s">
        <v>7</v>
      </c>
      <c r="CI618" s="27" t="s">
        <v>8</v>
      </c>
      <c r="CL618" s="27" t="s">
        <v>7</v>
      </c>
      <c r="CM618" s="27" t="s">
        <v>8</v>
      </c>
      <c r="CP618" s="27" t="s">
        <v>7</v>
      </c>
      <c r="CQ618" s="27" t="s">
        <v>8</v>
      </c>
      <c r="CW618" s="27" t="s">
        <v>8</v>
      </c>
      <c r="CX618" s="27" t="s">
        <v>7</v>
      </c>
      <c r="CY618" s="27" t="s">
        <v>8</v>
      </c>
      <c r="CZ618" s="27" t="s">
        <v>7</v>
      </c>
      <c r="FE618" s="27" t="s">
        <v>8</v>
      </c>
      <c r="FF618" s="27" t="s">
        <v>7</v>
      </c>
      <c r="FI618" s="27" t="s">
        <v>8</v>
      </c>
      <c r="FJ618" s="27" t="s">
        <v>7</v>
      </c>
      <c r="GP618" s="27" t="s">
        <v>7</v>
      </c>
      <c r="GQ618" s="27" t="s">
        <v>8</v>
      </c>
      <c r="HN618" s="27" t="s">
        <v>7</v>
      </c>
      <c r="HO618" s="27" t="s">
        <v>8</v>
      </c>
      <c r="HP618" s="27" t="s">
        <v>7</v>
      </c>
      <c r="HQ618" s="27" t="s">
        <v>8</v>
      </c>
      <c r="HR618" s="27" t="s">
        <v>7</v>
      </c>
    </row>
    <row r="619" spans="1:256" x14ac:dyDescent="0.25">
      <c r="A619" s="7">
        <v>0.53063330351779314</v>
      </c>
      <c r="B619"/>
      <c r="C619"/>
      <c r="D619"/>
      <c r="E619"/>
      <c r="F619" s="27" t="s">
        <v>7</v>
      </c>
      <c r="G619" s="27" t="s">
        <v>8</v>
      </c>
      <c r="H619" s="27" t="s">
        <v>7</v>
      </c>
      <c r="I619" s="27" t="s">
        <v>8</v>
      </c>
      <c r="J619" s="27" t="s">
        <v>7</v>
      </c>
      <c r="BI619" s="27" t="s">
        <v>8</v>
      </c>
      <c r="BJ619" s="27" t="s">
        <v>7</v>
      </c>
      <c r="BK619" s="27" t="s">
        <v>8</v>
      </c>
      <c r="BL619" s="27" t="s">
        <v>7</v>
      </c>
      <c r="BR619" s="27" t="s">
        <v>7</v>
      </c>
      <c r="CE619" s="27" t="s">
        <v>8</v>
      </c>
      <c r="CF619" s="27" t="s">
        <v>7</v>
      </c>
      <c r="CG619" s="27" t="s">
        <v>8</v>
      </c>
      <c r="CH619" s="27" t="s">
        <v>7</v>
      </c>
      <c r="CI619" s="27" t="s">
        <v>8</v>
      </c>
      <c r="CL619" s="27" t="s">
        <v>7</v>
      </c>
      <c r="CM619" s="27" t="s">
        <v>8</v>
      </c>
      <c r="CP619" s="27" t="s">
        <v>7</v>
      </c>
      <c r="CQ619" s="27" t="s">
        <v>8</v>
      </c>
      <c r="CR619" s="27" t="s">
        <v>7</v>
      </c>
      <c r="CS619" s="27" t="s">
        <v>8</v>
      </c>
      <c r="CU619" s="27" t="s">
        <v>8</v>
      </c>
      <c r="CW619" s="27" t="s">
        <v>8</v>
      </c>
      <c r="CX619" s="27" t="s">
        <v>7</v>
      </c>
      <c r="CY619" s="27" t="s">
        <v>8</v>
      </c>
      <c r="CZ619" s="27" t="s">
        <v>7</v>
      </c>
      <c r="FE619" s="27" t="s">
        <v>8</v>
      </c>
      <c r="FF619" s="27" t="s">
        <v>7</v>
      </c>
      <c r="FG619" s="27" t="s">
        <v>8</v>
      </c>
      <c r="FI619" s="27" t="s">
        <v>8</v>
      </c>
      <c r="GP619" s="27" t="s">
        <v>7</v>
      </c>
      <c r="GQ619" s="27" t="s">
        <v>8</v>
      </c>
      <c r="HN619" s="27" t="s">
        <v>7</v>
      </c>
      <c r="HO619" s="27" t="s">
        <v>8</v>
      </c>
      <c r="HP619" s="27" t="s">
        <v>7</v>
      </c>
      <c r="HQ619" s="27" t="s">
        <v>8</v>
      </c>
    </row>
    <row r="620" spans="1:256" x14ac:dyDescent="0.25">
      <c r="A620" s="7">
        <v>0.52022872893901284</v>
      </c>
      <c r="B620"/>
      <c r="C620"/>
      <c r="D620"/>
      <c r="E620"/>
      <c r="F620" s="27" t="s">
        <v>7</v>
      </c>
      <c r="G620" s="27" t="s">
        <v>8</v>
      </c>
      <c r="H620" s="27" t="s">
        <v>7</v>
      </c>
      <c r="I620" s="27" t="s">
        <v>8</v>
      </c>
      <c r="J620" s="27" t="s">
        <v>7</v>
      </c>
      <c r="BI620" s="27" t="s">
        <v>8</v>
      </c>
      <c r="BJ620" s="27" t="s">
        <v>7</v>
      </c>
      <c r="BK620" s="27" t="s">
        <v>8</v>
      </c>
      <c r="BR620" s="27" t="s">
        <v>7</v>
      </c>
      <c r="CE620" s="27" t="s">
        <v>8</v>
      </c>
      <c r="CF620" s="27" t="s">
        <v>7</v>
      </c>
      <c r="CG620" s="27" t="s">
        <v>8</v>
      </c>
      <c r="CH620" s="27" t="s">
        <v>7</v>
      </c>
      <c r="CI620" s="27" t="s">
        <v>8</v>
      </c>
      <c r="CL620" s="27" t="s">
        <v>7</v>
      </c>
      <c r="CM620" s="27" t="s">
        <v>8</v>
      </c>
      <c r="CP620" s="27" t="s">
        <v>7</v>
      </c>
      <c r="CQ620" s="27" t="s">
        <v>8</v>
      </c>
      <c r="CR620" s="27" t="s">
        <v>7</v>
      </c>
      <c r="CS620" s="27" t="s">
        <v>8</v>
      </c>
      <c r="CT620" s="27" t="s">
        <v>7</v>
      </c>
      <c r="CU620" s="27" t="s">
        <v>8</v>
      </c>
      <c r="CV620" s="27" t="s">
        <v>7</v>
      </c>
      <c r="CW620" s="27" t="s">
        <v>8</v>
      </c>
      <c r="CX620" s="27" t="s">
        <v>7</v>
      </c>
      <c r="CZ620" s="27" t="s">
        <v>7</v>
      </c>
      <c r="FE620" s="27" t="s">
        <v>8</v>
      </c>
      <c r="FF620" s="27" t="s">
        <v>7</v>
      </c>
      <c r="FG620" s="27" t="s">
        <v>8</v>
      </c>
      <c r="FH620" s="27" t="s">
        <v>7</v>
      </c>
      <c r="FI620" s="27" t="s">
        <v>8</v>
      </c>
      <c r="GP620" s="27" t="s">
        <v>7</v>
      </c>
      <c r="HN620" s="27" t="s">
        <v>7</v>
      </c>
      <c r="HP620" s="27" t="s">
        <v>7</v>
      </c>
      <c r="HQ620" s="27" t="s">
        <v>8</v>
      </c>
    </row>
    <row r="621" spans="1:256" x14ac:dyDescent="0.25">
      <c r="A621" s="7">
        <v>0.51002816562648323</v>
      </c>
      <c r="B621"/>
      <c r="C621"/>
      <c r="D621"/>
      <c r="E621"/>
      <c r="F621" s="27" t="s">
        <v>7</v>
      </c>
      <c r="H621" s="27" t="s">
        <v>7</v>
      </c>
      <c r="I621" s="27" t="s">
        <v>8</v>
      </c>
      <c r="J621" s="27" t="s">
        <v>7</v>
      </c>
      <c r="BI621" s="27" t="s">
        <v>8</v>
      </c>
      <c r="BJ621" s="27" t="s">
        <v>7</v>
      </c>
      <c r="BK621" s="27" t="s">
        <v>8</v>
      </c>
      <c r="BR621" s="27" t="s">
        <v>7</v>
      </c>
      <c r="BU621" s="27" t="s">
        <v>8</v>
      </c>
      <c r="BW621" s="27" t="s">
        <v>8</v>
      </c>
      <c r="CE621" s="27" t="s">
        <v>8</v>
      </c>
      <c r="CF621" s="27" t="s">
        <v>7</v>
      </c>
      <c r="CG621" s="27" t="s">
        <v>8</v>
      </c>
      <c r="CH621" s="27" t="s">
        <v>7</v>
      </c>
      <c r="CI621" s="27" t="s">
        <v>8</v>
      </c>
      <c r="CL621" s="27" t="s">
        <v>7</v>
      </c>
      <c r="CM621" s="27" t="s">
        <v>8</v>
      </c>
      <c r="CP621" s="27" t="s">
        <v>7</v>
      </c>
      <c r="CQ621" s="27" t="s">
        <v>8</v>
      </c>
      <c r="CR621" s="27" t="s">
        <v>7</v>
      </c>
      <c r="CS621" s="27" t="s">
        <v>8</v>
      </c>
      <c r="CT621" s="27" t="s">
        <v>7</v>
      </c>
      <c r="CU621" s="27" t="s">
        <v>8</v>
      </c>
      <c r="CV621" s="27" t="s">
        <v>7</v>
      </c>
      <c r="CW621" s="27" t="s">
        <v>8</v>
      </c>
      <c r="CZ621" s="27" t="s">
        <v>7</v>
      </c>
      <c r="EW621" s="27" t="s">
        <v>8</v>
      </c>
      <c r="FE621" s="27" t="s">
        <v>8</v>
      </c>
      <c r="FF621" s="27" t="s">
        <v>7</v>
      </c>
      <c r="FG621" s="27" t="s">
        <v>8</v>
      </c>
      <c r="FH621" s="27" t="s">
        <v>7</v>
      </c>
      <c r="FI621" s="27" t="s">
        <v>8</v>
      </c>
      <c r="HP621" s="27" t="s">
        <v>7</v>
      </c>
      <c r="HQ621" s="27" t="s">
        <v>8</v>
      </c>
    </row>
    <row r="622" spans="1:256" x14ac:dyDescent="0.25">
      <c r="A622" s="7">
        <v>0.50002761335929735</v>
      </c>
      <c r="B622"/>
      <c r="C622"/>
      <c r="D622"/>
      <c r="E622"/>
      <c r="H622" s="27" t="s">
        <v>7</v>
      </c>
      <c r="I622" s="27" t="s">
        <v>8</v>
      </c>
      <c r="J622" s="27" t="s">
        <v>7</v>
      </c>
      <c r="K622" s="27" t="s">
        <v>8</v>
      </c>
      <c r="BI622" s="27" t="s">
        <v>8</v>
      </c>
      <c r="BJ622" s="27" t="s">
        <v>7</v>
      </c>
      <c r="BK622" s="27" t="s">
        <v>8</v>
      </c>
      <c r="BR622" s="27" t="s">
        <v>7</v>
      </c>
      <c r="BU622" s="27" t="s">
        <v>8</v>
      </c>
      <c r="BV622" s="27" t="s">
        <v>7</v>
      </c>
      <c r="BW622" s="27" t="s">
        <v>8</v>
      </c>
      <c r="BX622" s="27" t="s">
        <v>7</v>
      </c>
      <c r="CE622" s="27" t="s">
        <v>8</v>
      </c>
      <c r="CF622" s="27" t="s">
        <v>7</v>
      </c>
      <c r="CH622" s="27" t="s">
        <v>7</v>
      </c>
      <c r="CI622" s="27" t="s">
        <v>8</v>
      </c>
      <c r="CL622" s="27" t="s">
        <v>7</v>
      </c>
      <c r="CM622" s="27" t="s">
        <v>8</v>
      </c>
      <c r="CP622" s="27" t="s">
        <v>7</v>
      </c>
      <c r="CQ622" s="27" t="s">
        <v>8</v>
      </c>
      <c r="CR622" s="27" t="s">
        <v>7</v>
      </c>
      <c r="CS622" s="27" t="s">
        <v>8</v>
      </c>
      <c r="CT622" s="27" t="s">
        <v>7</v>
      </c>
      <c r="CU622" s="27" t="s">
        <v>8</v>
      </c>
      <c r="CV622" s="27" t="s">
        <v>7</v>
      </c>
      <c r="CZ622" s="27" t="s">
        <v>7</v>
      </c>
      <c r="EW622" s="27" t="s">
        <v>8</v>
      </c>
      <c r="EX622" s="27" t="s">
        <v>7</v>
      </c>
      <c r="FE622" s="27" t="s">
        <v>8</v>
      </c>
      <c r="FF622" s="27" t="s">
        <v>7</v>
      </c>
      <c r="FG622" s="27" t="s">
        <v>8</v>
      </c>
      <c r="FH622" s="27" t="s">
        <v>7</v>
      </c>
      <c r="FI622" s="27" t="s">
        <v>8</v>
      </c>
      <c r="HP622" s="27" t="s">
        <v>7</v>
      </c>
      <c r="HQ622" s="27" t="s">
        <v>8</v>
      </c>
    </row>
    <row r="623" spans="1:256" x14ac:dyDescent="0.25">
      <c r="A623" s="7">
        <v>0.49022315035225228</v>
      </c>
      <c r="B623"/>
      <c r="C623"/>
      <c r="D623"/>
      <c r="E623"/>
      <c r="H623" s="27" t="s">
        <v>7</v>
      </c>
      <c r="I623" s="27" t="s">
        <v>8</v>
      </c>
      <c r="J623" s="27" t="s">
        <v>7</v>
      </c>
      <c r="K623" s="27" t="s">
        <v>8</v>
      </c>
      <c r="L623" s="27" t="s">
        <v>7</v>
      </c>
      <c r="AS623" s="27" t="s">
        <v>8</v>
      </c>
      <c r="BI623" s="27" t="s">
        <v>8</v>
      </c>
      <c r="BJ623" s="27" t="s">
        <v>7</v>
      </c>
      <c r="BK623" s="27" t="s">
        <v>8</v>
      </c>
      <c r="BR623" s="27" t="s">
        <v>7</v>
      </c>
      <c r="BS623" s="27" t="s">
        <v>8</v>
      </c>
      <c r="BU623" s="27" t="s">
        <v>8</v>
      </c>
      <c r="BV623" s="27" t="s">
        <v>7</v>
      </c>
      <c r="BW623" s="27" t="s">
        <v>8</v>
      </c>
      <c r="BX623" s="27" t="s">
        <v>7</v>
      </c>
      <c r="BY623" s="27" t="s">
        <v>8</v>
      </c>
      <c r="CE623" s="27" t="s">
        <v>8</v>
      </c>
      <c r="CH623" s="27" t="s">
        <v>7</v>
      </c>
      <c r="CI623" s="27" t="s">
        <v>8</v>
      </c>
      <c r="CL623" s="27" t="s">
        <v>7</v>
      </c>
      <c r="CM623" s="27" t="s">
        <v>8</v>
      </c>
      <c r="CP623" s="27" t="s">
        <v>7</v>
      </c>
      <c r="CQ623" s="27" t="s">
        <v>8</v>
      </c>
      <c r="CR623" s="27" t="s">
        <v>7</v>
      </c>
      <c r="CT623" s="27" t="s">
        <v>7</v>
      </c>
      <c r="CU623" s="27" t="s">
        <v>8</v>
      </c>
      <c r="CZ623" s="27" t="s">
        <v>7</v>
      </c>
      <c r="EW623" s="27" t="s">
        <v>8</v>
      </c>
      <c r="EX623" s="27" t="s">
        <v>7</v>
      </c>
      <c r="FE623" s="27" t="s">
        <v>8</v>
      </c>
      <c r="FF623" s="27" t="s">
        <v>7</v>
      </c>
      <c r="FG623" s="27" t="s">
        <v>8</v>
      </c>
      <c r="FH623" s="27" t="s">
        <v>7</v>
      </c>
      <c r="HP623" s="27" t="s">
        <v>7</v>
      </c>
      <c r="HQ623" s="27" t="s">
        <v>8</v>
      </c>
    </row>
    <row r="624" spans="1:256" x14ac:dyDescent="0.25">
      <c r="A624" s="7">
        <v>0.48061093171789437</v>
      </c>
      <c r="B624"/>
      <c r="C624"/>
      <c r="D624"/>
      <c r="E624"/>
      <c r="H624" s="27" t="s">
        <v>7</v>
      </c>
      <c r="I624" s="27" t="s">
        <v>8</v>
      </c>
      <c r="J624" s="27" t="s">
        <v>7</v>
      </c>
      <c r="K624" s="27" t="s">
        <v>8</v>
      </c>
      <c r="L624" s="27" t="s">
        <v>7</v>
      </c>
      <c r="AS624" s="27" t="s">
        <v>8</v>
      </c>
      <c r="AT624" s="27" t="s">
        <v>7</v>
      </c>
      <c r="BI624" s="27" t="s">
        <v>8</v>
      </c>
      <c r="BJ624" s="27" t="s">
        <v>7</v>
      </c>
      <c r="BK624" s="27" t="s">
        <v>8</v>
      </c>
      <c r="BR624" s="27" t="s">
        <v>7</v>
      </c>
      <c r="BS624" s="27" t="s">
        <v>8</v>
      </c>
      <c r="BT624" s="27" t="s">
        <v>7</v>
      </c>
      <c r="BU624" s="27" t="s">
        <v>8</v>
      </c>
      <c r="BV624" s="27" t="s">
        <v>7</v>
      </c>
      <c r="BW624" s="27" t="s">
        <v>8</v>
      </c>
      <c r="BX624" s="27" t="s">
        <v>7</v>
      </c>
      <c r="BY624" s="27" t="s">
        <v>8</v>
      </c>
      <c r="BZ624" s="27" t="s">
        <v>7</v>
      </c>
      <c r="CA624" s="27" t="s">
        <v>8</v>
      </c>
      <c r="CE624" s="27" t="s">
        <v>8</v>
      </c>
      <c r="CH624" s="27" t="s">
        <v>7</v>
      </c>
      <c r="CI624" s="27" t="s">
        <v>8</v>
      </c>
      <c r="CL624" s="27" t="s">
        <v>7</v>
      </c>
      <c r="CP624" s="27" t="s">
        <v>7</v>
      </c>
      <c r="CQ624" s="27" t="s">
        <v>8</v>
      </c>
      <c r="CT624" s="27" t="s">
        <v>7</v>
      </c>
      <c r="CU624" s="27" t="s">
        <v>8</v>
      </c>
      <c r="CZ624" s="27" t="s">
        <v>7</v>
      </c>
      <c r="EW624" s="27" t="s">
        <v>8</v>
      </c>
      <c r="EX624" s="27" t="s">
        <v>7</v>
      </c>
      <c r="FC624" s="27" t="s">
        <v>8</v>
      </c>
      <c r="FE624" s="27" t="s">
        <v>8</v>
      </c>
      <c r="FF624" s="27" t="s">
        <v>7</v>
      </c>
      <c r="FG624" s="27" t="s">
        <v>8</v>
      </c>
      <c r="HP624" s="27" t="s">
        <v>7</v>
      </c>
      <c r="HQ624" s="27" t="s">
        <v>8</v>
      </c>
    </row>
    <row r="625" spans="1:224" x14ac:dyDescent="0.25">
      <c r="A625" s="7">
        <v>0.47118718795871994</v>
      </c>
      <c r="B625"/>
      <c r="C625"/>
      <c r="D625"/>
      <c r="E625"/>
      <c r="H625" s="27" t="s">
        <v>7</v>
      </c>
      <c r="I625" s="27" t="s">
        <v>8</v>
      </c>
      <c r="J625" s="27" t="s">
        <v>7</v>
      </c>
      <c r="L625" s="27" t="s">
        <v>7</v>
      </c>
      <c r="M625" s="27" t="s">
        <v>8</v>
      </c>
      <c r="AS625" s="27" t="s">
        <v>8</v>
      </c>
      <c r="AT625" s="27" t="s">
        <v>7</v>
      </c>
      <c r="BI625" s="27" t="s">
        <v>8</v>
      </c>
      <c r="BJ625" s="27" t="s">
        <v>7</v>
      </c>
      <c r="BK625" s="27" t="s">
        <v>8</v>
      </c>
      <c r="BR625" s="27" t="s">
        <v>7</v>
      </c>
      <c r="BS625" s="27" t="s">
        <v>8</v>
      </c>
      <c r="BT625" s="27" t="s">
        <v>7</v>
      </c>
      <c r="BU625" s="27" t="s">
        <v>8</v>
      </c>
      <c r="BV625" s="27" t="s">
        <v>7</v>
      </c>
      <c r="BX625" s="27" t="s">
        <v>7</v>
      </c>
      <c r="BY625" s="27" t="s">
        <v>8</v>
      </c>
      <c r="BZ625" s="27" t="s">
        <v>7</v>
      </c>
      <c r="CA625" s="27" t="s">
        <v>8</v>
      </c>
      <c r="CB625" s="27" t="s">
        <v>7</v>
      </c>
      <c r="CE625" s="27" t="s">
        <v>8</v>
      </c>
      <c r="CH625" s="27" t="s">
        <v>7</v>
      </c>
      <c r="CP625" s="27" t="s">
        <v>7</v>
      </c>
      <c r="CQ625" s="27" t="s">
        <v>8</v>
      </c>
      <c r="CT625" s="27" t="s">
        <v>7</v>
      </c>
      <c r="CZ625" s="27" t="s">
        <v>7</v>
      </c>
      <c r="EW625" s="27" t="s">
        <v>8</v>
      </c>
      <c r="EX625" s="27" t="s">
        <v>7</v>
      </c>
      <c r="FC625" s="27" t="s">
        <v>8</v>
      </c>
      <c r="FD625" s="27" t="s">
        <v>7</v>
      </c>
      <c r="FE625" s="27" t="s">
        <v>8</v>
      </c>
      <c r="FF625" s="27" t="s">
        <v>7</v>
      </c>
      <c r="FG625" s="27" t="s">
        <v>8</v>
      </c>
      <c r="HP625" s="27" t="s">
        <v>7</v>
      </c>
    </row>
    <row r="626" spans="1:224" x14ac:dyDescent="0.25">
      <c r="A626" s="7">
        <v>0.46194822348894116</v>
      </c>
      <c r="B626"/>
      <c r="C626"/>
      <c r="D626"/>
      <c r="E626"/>
      <c r="H626" s="27" t="s">
        <v>7</v>
      </c>
      <c r="L626" s="27" t="s">
        <v>7</v>
      </c>
      <c r="M626" s="27" t="s">
        <v>8</v>
      </c>
      <c r="N626" s="27" t="s">
        <v>7</v>
      </c>
      <c r="AS626" s="27" t="s">
        <v>8</v>
      </c>
      <c r="AT626" s="27" t="s">
        <v>7</v>
      </c>
      <c r="BI626" s="27" t="s">
        <v>8</v>
      </c>
      <c r="BJ626" s="27" t="s">
        <v>7</v>
      </c>
      <c r="BK626" s="27" t="s">
        <v>8</v>
      </c>
      <c r="BR626" s="27" t="s">
        <v>7</v>
      </c>
      <c r="BS626" s="27" t="s">
        <v>8</v>
      </c>
      <c r="BT626" s="27" t="s">
        <v>7</v>
      </c>
      <c r="BU626" s="27" t="s">
        <v>8</v>
      </c>
      <c r="BX626" s="27" t="s">
        <v>7</v>
      </c>
      <c r="BZ626" s="27" t="s">
        <v>7</v>
      </c>
      <c r="CA626" s="27" t="s">
        <v>8</v>
      </c>
      <c r="CB626" s="27" t="s">
        <v>7</v>
      </c>
      <c r="CC626" s="27" t="s">
        <v>8</v>
      </c>
      <c r="CE626" s="27" t="s">
        <v>8</v>
      </c>
      <c r="CP626" s="27" t="s">
        <v>7</v>
      </c>
      <c r="CQ626" s="27" t="s">
        <v>8</v>
      </c>
      <c r="CZ626" s="27" t="s">
        <v>7</v>
      </c>
      <c r="DA626" s="27" t="s">
        <v>8</v>
      </c>
      <c r="EW626" s="27" t="s">
        <v>8</v>
      </c>
      <c r="EX626" s="27" t="s">
        <v>7</v>
      </c>
      <c r="EY626" s="27" t="s">
        <v>8</v>
      </c>
      <c r="FC626" s="27" t="s">
        <v>8</v>
      </c>
      <c r="FD626" s="27" t="s">
        <v>7</v>
      </c>
      <c r="FE626" s="27" t="s">
        <v>8</v>
      </c>
      <c r="FF626" s="27" t="s">
        <v>7</v>
      </c>
    </row>
    <row r="627" spans="1:224" x14ac:dyDescent="0.25">
      <c r="A627" s="7">
        <v>0.45289041518523643</v>
      </c>
      <c r="B627"/>
      <c r="C627"/>
      <c r="D627"/>
      <c r="E627"/>
      <c r="L627" s="27" t="s">
        <v>7</v>
      </c>
      <c r="M627" s="27" t="s">
        <v>8</v>
      </c>
      <c r="N627" s="27" t="s">
        <v>7</v>
      </c>
      <c r="O627" s="27" t="s">
        <v>8</v>
      </c>
      <c r="AQ627" s="27" t="s">
        <v>8</v>
      </c>
      <c r="AS627" s="27" t="s">
        <v>8</v>
      </c>
      <c r="AT627" s="27" t="s">
        <v>7</v>
      </c>
      <c r="BI627" s="27" t="s">
        <v>8</v>
      </c>
      <c r="BJ627" s="27" t="s">
        <v>7</v>
      </c>
      <c r="BK627" s="27" t="s">
        <v>8</v>
      </c>
      <c r="BR627" s="27" t="s">
        <v>7</v>
      </c>
      <c r="BS627" s="27" t="s">
        <v>8</v>
      </c>
      <c r="BT627" s="27" t="s">
        <v>7</v>
      </c>
      <c r="BU627" s="27" t="s">
        <v>8</v>
      </c>
      <c r="BZ627" s="27" t="s">
        <v>7</v>
      </c>
      <c r="CA627" s="27" t="s">
        <v>8</v>
      </c>
      <c r="CB627" s="27" t="s">
        <v>7</v>
      </c>
      <c r="CC627" s="27" t="s">
        <v>8</v>
      </c>
      <c r="CD627" s="27" t="s">
        <v>7</v>
      </c>
      <c r="CE627" s="27" t="s">
        <v>8</v>
      </c>
      <c r="CP627" s="27" t="s">
        <v>7</v>
      </c>
      <c r="CZ627" s="27" t="s">
        <v>7</v>
      </c>
      <c r="DA627" s="27" t="s">
        <v>8</v>
      </c>
      <c r="DB627" s="27" t="s">
        <v>7</v>
      </c>
      <c r="EW627" s="27" t="s">
        <v>8</v>
      </c>
      <c r="EX627" s="27" t="s">
        <v>7</v>
      </c>
      <c r="EY627" s="27" t="s">
        <v>8</v>
      </c>
      <c r="EZ627" s="27" t="s">
        <v>7</v>
      </c>
      <c r="FC627" s="27" t="s">
        <v>8</v>
      </c>
      <c r="FD627" s="27" t="s">
        <v>7</v>
      </c>
      <c r="FE627" s="27" t="s">
        <v>8</v>
      </c>
    </row>
    <row r="628" spans="1:224" x14ac:dyDescent="0.25">
      <c r="A628" s="7">
        <v>0.44401021096591808</v>
      </c>
      <c r="B628"/>
      <c r="C628"/>
      <c r="D628"/>
      <c r="E628"/>
      <c r="L628" s="27" t="s">
        <v>7</v>
      </c>
      <c r="M628" s="27" t="s">
        <v>8</v>
      </c>
      <c r="N628" s="27" t="s">
        <v>7</v>
      </c>
      <c r="O628" s="27" t="s">
        <v>8</v>
      </c>
      <c r="P628" s="27" t="s">
        <v>7</v>
      </c>
      <c r="S628" s="27" t="s">
        <v>8</v>
      </c>
      <c r="AQ628" s="27" t="s">
        <v>8</v>
      </c>
      <c r="AR628" s="27" t="s">
        <v>7</v>
      </c>
      <c r="AS628" s="27" t="s">
        <v>8</v>
      </c>
      <c r="AT628" s="27" t="s">
        <v>7</v>
      </c>
      <c r="BE628" s="27" t="s">
        <v>8</v>
      </c>
      <c r="BI628" s="27" t="s">
        <v>8</v>
      </c>
      <c r="BJ628" s="27" t="s">
        <v>7</v>
      </c>
      <c r="BR628" s="27" t="s">
        <v>7</v>
      </c>
      <c r="BS628" s="27" t="s">
        <v>8</v>
      </c>
      <c r="BT628" s="27" t="s">
        <v>7</v>
      </c>
      <c r="BU628" s="27" t="s">
        <v>8</v>
      </c>
      <c r="BZ628" s="27" t="s">
        <v>7</v>
      </c>
      <c r="CB628" s="27" t="s">
        <v>7</v>
      </c>
      <c r="CC628" s="27" t="s">
        <v>8</v>
      </c>
      <c r="CD628" s="27" t="s">
        <v>7</v>
      </c>
      <c r="CE628" s="27" t="s">
        <v>8</v>
      </c>
      <c r="CZ628" s="27" t="s">
        <v>7</v>
      </c>
      <c r="DA628" s="27" t="s">
        <v>8</v>
      </c>
      <c r="DB628" s="27" t="s">
        <v>7</v>
      </c>
      <c r="EE628" s="27" t="s">
        <v>8</v>
      </c>
      <c r="EW628" s="27" t="s">
        <v>8</v>
      </c>
      <c r="EX628" s="27" t="s">
        <v>7</v>
      </c>
      <c r="EY628" s="27" t="s">
        <v>8</v>
      </c>
      <c r="EZ628" s="27" t="s">
        <v>7</v>
      </c>
      <c r="FC628" s="27" t="s">
        <v>8</v>
      </c>
      <c r="FD628" s="27" t="s">
        <v>7</v>
      </c>
      <c r="FE628" s="27" t="s">
        <v>8</v>
      </c>
    </row>
    <row r="629" spans="1:224" x14ac:dyDescent="0.25">
      <c r="A629" s="7">
        <v>0.4353041283979589</v>
      </c>
      <c r="B629"/>
      <c r="C629"/>
      <c r="D629"/>
      <c r="E629"/>
      <c r="L629" s="27" t="s">
        <v>7</v>
      </c>
      <c r="N629" s="27" t="s">
        <v>7</v>
      </c>
      <c r="O629" s="27" t="s">
        <v>8</v>
      </c>
      <c r="P629" s="27" t="s">
        <v>7</v>
      </c>
      <c r="S629" s="27" t="s">
        <v>8</v>
      </c>
      <c r="T629" s="27" t="s">
        <v>7</v>
      </c>
      <c r="AQ629" s="27" t="s">
        <v>8</v>
      </c>
      <c r="AR629" s="27" t="s">
        <v>7</v>
      </c>
      <c r="AS629" s="27" t="s">
        <v>8</v>
      </c>
      <c r="AT629" s="27" t="s">
        <v>7</v>
      </c>
      <c r="BE629" s="27" t="s">
        <v>8</v>
      </c>
      <c r="BF629" s="27" t="s">
        <v>7</v>
      </c>
      <c r="BI629" s="27" t="s">
        <v>8</v>
      </c>
      <c r="BR629" s="27" t="s">
        <v>7</v>
      </c>
      <c r="BS629" s="27" t="s">
        <v>8</v>
      </c>
      <c r="BT629" s="27" t="s">
        <v>7</v>
      </c>
      <c r="BU629" s="27" t="s">
        <v>8</v>
      </c>
      <c r="CB629" s="27" t="s">
        <v>7</v>
      </c>
      <c r="CD629" s="27" t="s">
        <v>7</v>
      </c>
      <c r="CE629" s="27" t="s">
        <v>8</v>
      </c>
      <c r="CZ629" s="27" t="s">
        <v>7</v>
      </c>
      <c r="DA629" s="27" t="s">
        <v>8</v>
      </c>
      <c r="DB629" s="27" t="s">
        <v>7</v>
      </c>
      <c r="EE629" s="27" t="s">
        <v>8</v>
      </c>
      <c r="EF629" s="27" t="s">
        <v>7</v>
      </c>
      <c r="EW629" s="27" t="s">
        <v>8</v>
      </c>
      <c r="EX629" s="27" t="s">
        <v>7</v>
      </c>
      <c r="EY629" s="27" t="s">
        <v>8</v>
      </c>
      <c r="EZ629" s="27" t="s">
        <v>7</v>
      </c>
      <c r="FA629" s="27" t="s">
        <v>8</v>
      </c>
      <c r="FC629" s="27" t="s">
        <v>8</v>
      </c>
      <c r="FD629" s="27" t="s">
        <v>7</v>
      </c>
    </row>
    <row r="630" spans="1:224" x14ac:dyDescent="0.25">
      <c r="A630" s="7">
        <v>0.4267687533313323</v>
      </c>
      <c r="B630"/>
      <c r="C630"/>
      <c r="D630"/>
      <c r="E630"/>
      <c r="N630" s="27" t="s">
        <v>7</v>
      </c>
      <c r="O630" s="27" t="s">
        <v>8</v>
      </c>
      <c r="P630" s="27" t="s">
        <v>7</v>
      </c>
      <c r="S630" s="27" t="s">
        <v>8</v>
      </c>
      <c r="T630" s="27" t="s">
        <v>7</v>
      </c>
      <c r="U630" s="27" t="s">
        <v>8</v>
      </c>
      <c r="AQ630" s="27" t="s">
        <v>8</v>
      </c>
      <c r="AR630" s="27" t="s">
        <v>7</v>
      </c>
      <c r="AS630" s="27" t="s">
        <v>8</v>
      </c>
      <c r="AT630" s="27" t="s">
        <v>7</v>
      </c>
      <c r="BE630" s="27" t="s">
        <v>8</v>
      </c>
      <c r="BF630" s="27" t="s">
        <v>7</v>
      </c>
      <c r="BI630" s="27" t="s">
        <v>8</v>
      </c>
      <c r="BR630" s="27" t="s">
        <v>7</v>
      </c>
      <c r="BS630" s="27" t="s">
        <v>8</v>
      </c>
      <c r="BT630" s="27" t="s">
        <v>7</v>
      </c>
      <c r="BU630" s="27" t="s">
        <v>8</v>
      </c>
      <c r="CD630" s="27" t="s">
        <v>7</v>
      </c>
      <c r="CE630" s="27" t="s">
        <v>8</v>
      </c>
      <c r="CZ630" s="27" t="s">
        <v>7</v>
      </c>
      <c r="DA630" s="27" t="s">
        <v>8</v>
      </c>
      <c r="DB630" s="27" t="s">
        <v>7</v>
      </c>
      <c r="EE630" s="27" t="s">
        <v>8</v>
      </c>
      <c r="EF630" s="27" t="s">
        <v>7</v>
      </c>
      <c r="ES630" s="27" t="s">
        <v>8</v>
      </c>
      <c r="EU630" s="27" t="s">
        <v>8</v>
      </c>
      <c r="EW630" s="27" t="s">
        <v>8</v>
      </c>
      <c r="EX630" s="27" t="s">
        <v>7</v>
      </c>
      <c r="EY630" s="27" t="s">
        <v>8</v>
      </c>
      <c r="EZ630" s="27" t="s">
        <v>7</v>
      </c>
      <c r="FA630" s="27" t="s">
        <v>8</v>
      </c>
      <c r="FB630" s="27" t="s">
        <v>7</v>
      </c>
      <c r="FC630" s="27" t="s">
        <v>8</v>
      </c>
    </row>
    <row r="631" spans="1:224" x14ac:dyDescent="0.25">
      <c r="A631" s="7">
        <v>0.41840073856012971</v>
      </c>
      <c r="B631"/>
      <c r="C631"/>
      <c r="D631"/>
      <c r="E631"/>
      <c r="N631" s="27" t="s">
        <v>7</v>
      </c>
      <c r="O631" s="27" t="s">
        <v>8</v>
      </c>
      <c r="P631" s="27" t="s">
        <v>7</v>
      </c>
      <c r="S631" s="27" t="s">
        <v>8</v>
      </c>
      <c r="T631" s="27" t="s">
        <v>7</v>
      </c>
      <c r="U631" s="27" t="s">
        <v>8</v>
      </c>
      <c r="V631" s="27" t="s">
        <v>7</v>
      </c>
      <c r="AQ631" s="27" t="s">
        <v>8</v>
      </c>
      <c r="AR631" s="27" t="s">
        <v>7</v>
      </c>
      <c r="AS631" s="27" t="s">
        <v>8</v>
      </c>
      <c r="AT631" s="27" t="s">
        <v>7</v>
      </c>
      <c r="BE631" s="27" t="s">
        <v>8</v>
      </c>
      <c r="BF631" s="27" t="s">
        <v>7</v>
      </c>
      <c r="BI631" s="27" t="s">
        <v>8</v>
      </c>
      <c r="BR631" s="27" t="s">
        <v>7</v>
      </c>
      <c r="BS631" s="27" t="s">
        <v>8</v>
      </c>
      <c r="BT631" s="27" t="s">
        <v>7</v>
      </c>
      <c r="BU631" s="27" t="s">
        <v>8</v>
      </c>
      <c r="CD631" s="27" t="s">
        <v>7</v>
      </c>
      <c r="CZ631" s="27" t="s">
        <v>7</v>
      </c>
      <c r="DA631" s="27" t="s">
        <v>8</v>
      </c>
      <c r="DB631" s="27" t="s">
        <v>7</v>
      </c>
      <c r="EE631" s="27" t="s">
        <v>8</v>
      </c>
      <c r="EF631" s="27" t="s">
        <v>7</v>
      </c>
      <c r="EQ631" s="27" t="s">
        <v>8</v>
      </c>
      <c r="ES631" s="27" t="s">
        <v>8</v>
      </c>
      <c r="ET631" s="27" t="s">
        <v>7</v>
      </c>
      <c r="EU631" s="27" t="s">
        <v>8</v>
      </c>
      <c r="EV631" s="27" t="s">
        <v>7</v>
      </c>
      <c r="EW631" s="27" t="s">
        <v>8</v>
      </c>
      <c r="EX631" s="27" t="s">
        <v>7</v>
      </c>
      <c r="EY631" s="27" t="s">
        <v>8</v>
      </c>
      <c r="EZ631" s="27" t="s">
        <v>7</v>
      </c>
      <c r="FA631" s="27" t="s">
        <v>8</v>
      </c>
      <c r="FB631" s="27" t="s">
        <v>7</v>
      </c>
      <c r="FC631" s="27" t="s">
        <v>8</v>
      </c>
    </row>
    <row r="632" spans="1:224" x14ac:dyDescent="0.25">
      <c r="A632" s="7">
        <v>0.41019680250993112</v>
      </c>
      <c r="B632"/>
      <c r="C632"/>
      <c r="D632"/>
      <c r="E632"/>
      <c r="N632" s="27" t="s">
        <v>7</v>
      </c>
      <c r="O632" s="27" t="s">
        <v>8</v>
      </c>
      <c r="P632" s="27" t="s">
        <v>7</v>
      </c>
      <c r="S632" s="27" t="s">
        <v>8</v>
      </c>
      <c r="T632" s="27" t="s">
        <v>7</v>
      </c>
      <c r="U632" s="27" t="s">
        <v>8</v>
      </c>
      <c r="V632" s="27" t="s">
        <v>7</v>
      </c>
      <c r="AO632" s="27" t="s">
        <v>8</v>
      </c>
      <c r="AQ632" s="27" t="s">
        <v>8</v>
      </c>
      <c r="AR632" s="27" t="s">
        <v>7</v>
      </c>
      <c r="AT632" s="27" t="s">
        <v>7</v>
      </c>
      <c r="BE632" s="27" t="s">
        <v>8</v>
      </c>
      <c r="BF632" s="27" t="s">
        <v>7</v>
      </c>
      <c r="BI632" s="27" t="s">
        <v>8</v>
      </c>
      <c r="BR632" s="27" t="s">
        <v>7</v>
      </c>
      <c r="BT632" s="27" t="s">
        <v>7</v>
      </c>
      <c r="CZ632" s="27" t="s">
        <v>7</v>
      </c>
      <c r="DA632" s="27" t="s">
        <v>8</v>
      </c>
      <c r="DB632" s="27" t="s">
        <v>7</v>
      </c>
      <c r="EE632" s="27" t="s">
        <v>8</v>
      </c>
      <c r="EF632" s="27" t="s">
        <v>7</v>
      </c>
      <c r="EQ632" s="27" t="s">
        <v>8</v>
      </c>
      <c r="ER632" s="27" t="s">
        <v>7</v>
      </c>
      <c r="ES632" s="27" t="s">
        <v>8</v>
      </c>
      <c r="ET632" s="27" t="s">
        <v>7</v>
      </c>
      <c r="EU632" s="27" t="s">
        <v>8</v>
      </c>
      <c r="EV632" s="27" t="s">
        <v>7</v>
      </c>
      <c r="EW632" s="27" t="s">
        <v>8</v>
      </c>
      <c r="EX632" s="27" t="s">
        <v>7</v>
      </c>
      <c r="EY632" s="27" t="s">
        <v>8</v>
      </c>
      <c r="EZ632" s="27" t="s">
        <v>7</v>
      </c>
      <c r="FA632" s="27" t="s">
        <v>8</v>
      </c>
      <c r="FB632" s="27" t="s">
        <v>7</v>
      </c>
    </row>
    <row r="633" spans="1:224" x14ac:dyDescent="0.25">
      <c r="A633" s="7">
        <v>0.40215372795091286</v>
      </c>
      <c r="B633"/>
      <c r="C633"/>
      <c r="D633"/>
      <c r="E633"/>
      <c r="N633" s="27" t="s">
        <v>7</v>
      </c>
      <c r="O633" s="27" t="s">
        <v>8</v>
      </c>
      <c r="P633" s="27" t="s">
        <v>7</v>
      </c>
      <c r="S633" s="27" t="s">
        <v>8</v>
      </c>
      <c r="T633" s="27" t="s">
        <v>7</v>
      </c>
      <c r="U633" s="27" t="s">
        <v>8</v>
      </c>
      <c r="V633" s="27" t="s">
        <v>7</v>
      </c>
      <c r="AO633" s="27" t="s">
        <v>8</v>
      </c>
      <c r="AP633" s="27" t="s">
        <v>7</v>
      </c>
      <c r="AQ633" s="27" t="s">
        <v>8</v>
      </c>
      <c r="AT633" s="27" t="s">
        <v>7</v>
      </c>
      <c r="BE633" s="27" t="s">
        <v>8</v>
      </c>
      <c r="BF633" s="27" t="s">
        <v>7</v>
      </c>
      <c r="BI633" s="27" t="s">
        <v>8</v>
      </c>
      <c r="CZ633" s="27" t="s">
        <v>7</v>
      </c>
      <c r="DA633" s="27" t="s">
        <v>8</v>
      </c>
      <c r="DB633" s="27" t="s">
        <v>7</v>
      </c>
      <c r="EE633" s="27" t="s">
        <v>8</v>
      </c>
      <c r="EF633" s="27" t="s">
        <v>7</v>
      </c>
      <c r="EK633" s="27" t="s">
        <v>8</v>
      </c>
      <c r="EM633" s="27" t="s">
        <v>8</v>
      </c>
      <c r="EO633" s="27" t="s">
        <v>8</v>
      </c>
      <c r="EQ633" s="27" t="s">
        <v>8</v>
      </c>
      <c r="ER633" s="27" t="s">
        <v>7</v>
      </c>
      <c r="ES633" s="27" t="s">
        <v>8</v>
      </c>
      <c r="ET633" s="27" t="s">
        <v>7</v>
      </c>
      <c r="EU633" s="27" t="s">
        <v>8</v>
      </c>
      <c r="EV633" s="27" t="s">
        <v>7</v>
      </c>
      <c r="EW633" s="27" t="s">
        <v>8</v>
      </c>
      <c r="EX633" s="27" t="s">
        <v>7</v>
      </c>
      <c r="EY633" s="27" t="s">
        <v>8</v>
      </c>
      <c r="EZ633" s="27" t="s">
        <v>7</v>
      </c>
      <c r="FA633" s="27" t="s">
        <v>8</v>
      </c>
    </row>
    <row r="634" spans="1:224" x14ac:dyDescent="0.25">
      <c r="A634" s="7">
        <v>0.39426836073618904</v>
      </c>
      <c r="B634"/>
      <c r="C634"/>
      <c r="D634"/>
      <c r="E634"/>
      <c r="N634" s="27" t="s">
        <v>7</v>
      </c>
      <c r="P634" s="27" t="s">
        <v>7</v>
      </c>
      <c r="S634" s="27" t="s">
        <v>8</v>
      </c>
      <c r="T634" s="27" t="s">
        <v>7</v>
      </c>
      <c r="U634" s="27" t="s">
        <v>8</v>
      </c>
      <c r="V634" s="27" t="s">
        <v>7</v>
      </c>
      <c r="AO634" s="27" t="s">
        <v>8</v>
      </c>
      <c r="AP634" s="27" t="s">
        <v>7</v>
      </c>
      <c r="AQ634" s="27" t="s">
        <v>8</v>
      </c>
      <c r="AT634" s="27" t="s">
        <v>7</v>
      </c>
      <c r="AU634" s="27" t="s">
        <v>8</v>
      </c>
      <c r="BE634" s="27" t="s">
        <v>8</v>
      </c>
      <c r="BF634" s="27" t="s">
        <v>7</v>
      </c>
      <c r="BI634" s="27" t="s">
        <v>8</v>
      </c>
      <c r="CZ634" s="27" t="s">
        <v>7</v>
      </c>
      <c r="DB634" s="27" t="s">
        <v>7</v>
      </c>
      <c r="EE634" s="27" t="s">
        <v>8</v>
      </c>
      <c r="EF634" s="27" t="s">
        <v>7</v>
      </c>
      <c r="EG634" s="27" t="s">
        <v>8</v>
      </c>
      <c r="EI634" s="27" t="s">
        <v>8</v>
      </c>
      <c r="EK634" s="27" t="s">
        <v>8</v>
      </c>
      <c r="EL634" s="27" t="s">
        <v>7</v>
      </c>
      <c r="EM634" s="27" t="s">
        <v>8</v>
      </c>
      <c r="EN634" s="27" t="s">
        <v>7</v>
      </c>
      <c r="EO634" s="27" t="s">
        <v>8</v>
      </c>
      <c r="EP634" s="27" t="s">
        <v>7</v>
      </c>
      <c r="EQ634" s="27" t="s">
        <v>8</v>
      </c>
      <c r="ER634" s="27" t="s">
        <v>7</v>
      </c>
      <c r="ES634" s="27" t="s">
        <v>8</v>
      </c>
      <c r="ET634" s="27" t="s">
        <v>7</v>
      </c>
      <c r="EU634" s="27" t="s">
        <v>8</v>
      </c>
      <c r="EV634" s="27" t="s">
        <v>7</v>
      </c>
      <c r="EW634" s="27" t="s">
        <v>8</v>
      </c>
      <c r="EX634" s="27" t="s">
        <v>7</v>
      </c>
      <c r="EY634" s="27" t="s">
        <v>8</v>
      </c>
      <c r="EZ634" s="27" t="s">
        <v>7</v>
      </c>
      <c r="FA634" s="27" t="s">
        <v>8</v>
      </c>
    </row>
    <row r="635" spans="1:224" x14ac:dyDescent="0.25">
      <c r="A635" s="7">
        <v>0.38653760856489122</v>
      </c>
      <c r="B635"/>
      <c r="C635"/>
      <c r="D635"/>
      <c r="E635"/>
      <c r="P635" s="27" t="s">
        <v>7</v>
      </c>
      <c r="Q635" s="27" t="s">
        <v>8</v>
      </c>
      <c r="S635" s="27" t="s">
        <v>8</v>
      </c>
      <c r="T635" s="27" t="s">
        <v>7</v>
      </c>
      <c r="U635" s="27" t="s">
        <v>8</v>
      </c>
      <c r="V635" s="27" t="s">
        <v>7</v>
      </c>
      <c r="AO635" s="27" t="s">
        <v>8</v>
      </c>
      <c r="AP635" s="27" t="s">
        <v>7</v>
      </c>
      <c r="AQ635" s="27" t="s">
        <v>8</v>
      </c>
      <c r="AT635" s="27" t="s">
        <v>7</v>
      </c>
      <c r="AU635" s="27" t="s">
        <v>8</v>
      </c>
      <c r="AV635" s="27" t="s">
        <v>7</v>
      </c>
      <c r="BE635" s="27" t="s">
        <v>8</v>
      </c>
      <c r="BF635" s="27" t="s">
        <v>7</v>
      </c>
      <c r="BI635" s="27" t="s">
        <v>8</v>
      </c>
      <c r="DB635" s="27" t="s">
        <v>7</v>
      </c>
      <c r="EE635" s="27" t="s">
        <v>8</v>
      </c>
      <c r="EF635" s="27" t="s">
        <v>7</v>
      </c>
      <c r="EG635" s="27" t="s">
        <v>8</v>
      </c>
      <c r="EH635" s="27" t="s">
        <v>7</v>
      </c>
      <c r="EI635" s="27" t="s">
        <v>8</v>
      </c>
      <c r="EJ635" s="27" t="s">
        <v>7</v>
      </c>
      <c r="EK635" s="27" t="s">
        <v>8</v>
      </c>
      <c r="EL635" s="27" t="s">
        <v>7</v>
      </c>
      <c r="EM635" s="27" t="s">
        <v>8</v>
      </c>
      <c r="EN635" s="27" t="s">
        <v>7</v>
      </c>
      <c r="EO635" s="27" t="s">
        <v>8</v>
      </c>
      <c r="EP635" s="27" t="s">
        <v>7</v>
      </c>
      <c r="EQ635" s="27" t="s">
        <v>8</v>
      </c>
      <c r="ER635" s="27" t="s">
        <v>7</v>
      </c>
      <c r="ET635" s="27" t="s">
        <v>7</v>
      </c>
      <c r="EV635" s="27" t="s">
        <v>7</v>
      </c>
      <c r="EW635" s="27" t="s">
        <v>8</v>
      </c>
      <c r="EX635" s="27" t="s">
        <v>7</v>
      </c>
      <c r="EZ635" s="27" t="s">
        <v>7</v>
      </c>
    </row>
    <row r="636" spans="1:224" x14ac:dyDescent="0.25">
      <c r="A636" s="7">
        <v>0.37895843976950117</v>
      </c>
      <c r="B636"/>
      <c r="C636"/>
      <c r="D636"/>
      <c r="E636"/>
      <c r="P636" s="27" t="s">
        <v>7</v>
      </c>
      <c r="Q636" s="27" t="s">
        <v>8</v>
      </c>
      <c r="R636" s="27" t="s">
        <v>7</v>
      </c>
      <c r="S636" s="27" t="s">
        <v>8</v>
      </c>
      <c r="T636" s="27" t="s">
        <v>7</v>
      </c>
      <c r="V636" s="27" t="s">
        <v>7</v>
      </c>
      <c r="AE636" s="27" t="s">
        <v>8</v>
      </c>
      <c r="AO636" s="27" t="s">
        <v>8</v>
      </c>
      <c r="AP636" s="27" t="s">
        <v>7</v>
      </c>
      <c r="AQ636" s="27" t="s">
        <v>8</v>
      </c>
      <c r="AT636" s="27" t="s">
        <v>7</v>
      </c>
      <c r="AU636" s="27" t="s">
        <v>8</v>
      </c>
      <c r="AV636" s="27" t="s">
        <v>7</v>
      </c>
      <c r="BE636" s="27" t="s">
        <v>8</v>
      </c>
      <c r="BF636" s="27" t="s">
        <v>7</v>
      </c>
      <c r="BI636" s="27" t="s">
        <v>8</v>
      </c>
      <c r="DB636" s="27" t="s">
        <v>7</v>
      </c>
      <c r="EA636" s="27" t="s">
        <v>8</v>
      </c>
      <c r="EE636" s="27" t="s">
        <v>8</v>
      </c>
      <c r="EF636" s="27" t="s">
        <v>7</v>
      </c>
      <c r="EG636" s="27" t="s">
        <v>8</v>
      </c>
      <c r="EH636" s="27" t="s">
        <v>7</v>
      </c>
      <c r="EI636" s="27" t="s">
        <v>8</v>
      </c>
      <c r="EJ636" s="27" t="s">
        <v>7</v>
      </c>
      <c r="EK636" s="27" t="s">
        <v>8</v>
      </c>
      <c r="EL636" s="27" t="s">
        <v>7</v>
      </c>
      <c r="EM636" s="27" t="s">
        <v>8</v>
      </c>
      <c r="EN636" s="27" t="s">
        <v>7</v>
      </c>
      <c r="EO636" s="27" t="s">
        <v>8</v>
      </c>
      <c r="EP636" s="27" t="s">
        <v>7</v>
      </c>
      <c r="EQ636" s="27" t="s">
        <v>8</v>
      </c>
      <c r="EV636" s="27" t="s">
        <v>7</v>
      </c>
    </row>
    <row r="637" spans="1:224" x14ac:dyDescent="0.25">
      <c r="A637" s="7">
        <v>0.37152788212696197</v>
      </c>
      <c r="B637"/>
      <c r="C637"/>
      <c r="D637"/>
      <c r="E637"/>
      <c r="P637" s="27" t="s">
        <v>7</v>
      </c>
      <c r="Q637" s="27" t="s">
        <v>8</v>
      </c>
      <c r="R637" s="27" t="s">
        <v>7</v>
      </c>
      <c r="S637" s="27" t="s">
        <v>8</v>
      </c>
      <c r="V637" s="27" t="s">
        <v>7</v>
      </c>
      <c r="AC637" s="27" t="s">
        <v>8</v>
      </c>
      <c r="AE637" s="27" t="s">
        <v>8</v>
      </c>
      <c r="AF637" s="27" t="s">
        <v>7</v>
      </c>
      <c r="AO637" s="27" t="s">
        <v>8</v>
      </c>
      <c r="AP637" s="27" t="s">
        <v>7</v>
      </c>
      <c r="AQ637" s="27" t="s">
        <v>8</v>
      </c>
      <c r="AT637" s="27" t="s">
        <v>7</v>
      </c>
      <c r="AU637" s="27" t="s">
        <v>8</v>
      </c>
      <c r="AV637" s="27" t="s">
        <v>7</v>
      </c>
      <c r="BE637" s="27" t="s">
        <v>8</v>
      </c>
      <c r="BF637" s="27" t="s">
        <v>7</v>
      </c>
      <c r="BG637" s="27" t="s">
        <v>8</v>
      </c>
      <c r="BI637" s="27" t="s">
        <v>8</v>
      </c>
      <c r="DB637" s="27" t="s">
        <v>7</v>
      </c>
      <c r="DW637" s="27" t="s">
        <v>8</v>
      </c>
      <c r="EA637" s="27" t="s">
        <v>8</v>
      </c>
      <c r="EB637" s="27" t="s">
        <v>7</v>
      </c>
      <c r="EC637" s="27" t="s">
        <v>8</v>
      </c>
      <c r="EE637" s="27" t="s">
        <v>8</v>
      </c>
      <c r="EF637" s="27" t="s">
        <v>7</v>
      </c>
      <c r="EG637" s="27" t="s">
        <v>8</v>
      </c>
      <c r="EH637" s="27" t="s">
        <v>7</v>
      </c>
      <c r="EJ637" s="27" t="s">
        <v>7</v>
      </c>
      <c r="EK637" s="27" t="s">
        <v>8</v>
      </c>
      <c r="EL637" s="27" t="s">
        <v>7</v>
      </c>
      <c r="EM637" s="27" t="s">
        <v>8</v>
      </c>
      <c r="EN637" s="27" t="s">
        <v>7</v>
      </c>
      <c r="EO637" s="27" t="s">
        <v>8</v>
      </c>
      <c r="EP637" s="27" t="s">
        <v>7</v>
      </c>
    </row>
    <row r="638" spans="1:224" x14ac:dyDescent="0.25">
      <c r="A638" s="7">
        <v>0.36424302169310002</v>
      </c>
      <c r="B638"/>
      <c r="C638"/>
      <c r="D638"/>
      <c r="E638"/>
      <c r="P638" s="27" t="s">
        <v>7</v>
      </c>
      <c r="Q638" s="27" t="s">
        <v>8</v>
      </c>
      <c r="R638" s="27" t="s">
        <v>7</v>
      </c>
      <c r="S638" s="27" t="s">
        <v>8</v>
      </c>
      <c r="V638" s="27" t="s">
        <v>7</v>
      </c>
      <c r="AC638" s="27" t="s">
        <v>8</v>
      </c>
      <c r="AD638" s="27" t="s">
        <v>7</v>
      </c>
      <c r="AE638" s="27" t="s">
        <v>8</v>
      </c>
      <c r="AF638" s="27" t="s">
        <v>7</v>
      </c>
      <c r="AG638" s="27" t="s">
        <v>8</v>
      </c>
      <c r="AO638" s="27" t="s">
        <v>8</v>
      </c>
      <c r="AP638" s="27" t="s">
        <v>7</v>
      </c>
      <c r="AQ638" s="27" t="s">
        <v>8</v>
      </c>
      <c r="AT638" s="27" t="s">
        <v>7</v>
      </c>
      <c r="AU638" s="27" t="s">
        <v>8</v>
      </c>
      <c r="AV638" s="27" t="s">
        <v>7</v>
      </c>
      <c r="BE638" s="27" t="s">
        <v>8</v>
      </c>
      <c r="BF638" s="27" t="s">
        <v>7</v>
      </c>
      <c r="BG638" s="27" t="s">
        <v>8</v>
      </c>
      <c r="BH638" s="27" t="s">
        <v>7</v>
      </c>
      <c r="BI638" s="27" t="s">
        <v>8</v>
      </c>
      <c r="DB638" s="27" t="s">
        <v>7</v>
      </c>
      <c r="DW638" s="27" t="s">
        <v>8</v>
      </c>
      <c r="DX638" s="27" t="s">
        <v>7</v>
      </c>
      <c r="DY638" s="27" t="s">
        <v>8</v>
      </c>
      <c r="EA638" s="27" t="s">
        <v>8</v>
      </c>
      <c r="EB638" s="27" t="s">
        <v>7</v>
      </c>
      <c r="EC638" s="27" t="s">
        <v>8</v>
      </c>
      <c r="ED638" s="27" t="s">
        <v>7</v>
      </c>
      <c r="EE638" s="27" t="s">
        <v>8</v>
      </c>
      <c r="EF638" s="27" t="s">
        <v>7</v>
      </c>
      <c r="EG638" s="27" t="s">
        <v>8</v>
      </c>
      <c r="EJ638" s="27" t="s">
        <v>7</v>
      </c>
      <c r="EK638" s="27" t="s">
        <v>8</v>
      </c>
      <c r="EL638" s="27" t="s">
        <v>7</v>
      </c>
      <c r="EN638" s="27" t="s">
        <v>7</v>
      </c>
      <c r="EO638" s="27" t="s">
        <v>8</v>
      </c>
    </row>
    <row r="639" spans="1:224" x14ac:dyDescent="0.25">
      <c r="A639" s="7">
        <v>0.35710100165990194</v>
      </c>
      <c r="B639"/>
      <c r="C639"/>
      <c r="D639"/>
      <c r="E639"/>
      <c r="P639" s="27" t="s">
        <v>7</v>
      </c>
      <c r="Q639" s="27" t="s">
        <v>8</v>
      </c>
      <c r="R639" s="27" t="s">
        <v>7</v>
      </c>
      <c r="V639" s="27" t="s">
        <v>7</v>
      </c>
      <c r="AC639" s="27" t="s">
        <v>8</v>
      </c>
      <c r="AD639" s="27" t="s">
        <v>7</v>
      </c>
      <c r="AE639" s="27" t="s">
        <v>8</v>
      </c>
      <c r="AF639" s="27" t="s">
        <v>7</v>
      </c>
      <c r="AG639" s="27" t="s">
        <v>8</v>
      </c>
      <c r="AH639" s="27" t="s">
        <v>7</v>
      </c>
      <c r="AO639" s="27" t="s">
        <v>8</v>
      </c>
      <c r="AP639" s="27" t="s">
        <v>7</v>
      </c>
      <c r="AT639" s="27" t="s">
        <v>7</v>
      </c>
      <c r="AU639" s="27" t="s">
        <v>8</v>
      </c>
      <c r="AV639" s="27" t="s">
        <v>7</v>
      </c>
      <c r="BE639" s="27" t="s">
        <v>8</v>
      </c>
      <c r="BF639" s="27" t="s">
        <v>7</v>
      </c>
      <c r="BG639" s="27" t="s">
        <v>8</v>
      </c>
      <c r="BH639" s="27" t="s">
        <v>7</v>
      </c>
      <c r="BI639" s="27" t="s">
        <v>8</v>
      </c>
      <c r="DB639" s="27" t="s">
        <v>7</v>
      </c>
      <c r="DW639" s="27" t="s">
        <v>8</v>
      </c>
      <c r="DX639" s="27" t="s">
        <v>7</v>
      </c>
      <c r="DY639" s="27" t="s">
        <v>8</v>
      </c>
      <c r="DZ639" s="27" t="s">
        <v>7</v>
      </c>
      <c r="EA639" s="27" t="s">
        <v>8</v>
      </c>
      <c r="EB639" s="27" t="s">
        <v>7</v>
      </c>
      <c r="EC639" s="27" t="s">
        <v>8</v>
      </c>
      <c r="ED639" s="27" t="s">
        <v>7</v>
      </c>
      <c r="EE639" s="27" t="s">
        <v>8</v>
      </c>
      <c r="EF639" s="27" t="s">
        <v>7</v>
      </c>
      <c r="EG639" s="27" t="s">
        <v>8</v>
      </c>
      <c r="EJ639" s="27" t="s">
        <v>7</v>
      </c>
      <c r="EK639" s="27" t="s">
        <v>8</v>
      </c>
      <c r="EN639" s="27" t="s">
        <v>7</v>
      </c>
    </row>
    <row r="640" spans="1:224" x14ac:dyDescent="0.25">
      <c r="A640" s="7">
        <v>0.35009902123519804</v>
      </c>
      <c r="B640"/>
      <c r="C640"/>
      <c r="D640"/>
      <c r="E640"/>
      <c r="P640" s="27" t="s">
        <v>7</v>
      </c>
      <c r="V640" s="27" t="s">
        <v>7</v>
      </c>
      <c r="AC640" s="27" t="s">
        <v>8</v>
      </c>
      <c r="AD640" s="27" t="s">
        <v>7</v>
      </c>
      <c r="AE640" s="27" t="s">
        <v>8</v>
      </c>
      <c r="AF640" s="27" t="s">
        <v>7</v>
      </c>
      <c r="AG640" s="27" t="s">
        <v>8</v>
      </c>
      <c r="AH640" s="27" t="s">
        <v>7</v>
      </c>
      <c r="AO640" s="27" t="s">
        <v>8</v>
      </c>
      <c r="AT640" s="27" t="s">
        <v>7</v>
      </c>
      <c r="AU640" s="27" t="s">
        <v>8</v>
      </c>
      <c r="AV640" s="27" t="s">
        <v>7</v>
      </c>
      <c r="BE640" s="27" t="s">
        <v>8</v>
      </c>
      <c r="BF640" s="27" t="s">
        <v>7</v>
      </c>
      <c r="BG640" s="27" t="s">
        <v>8</v>
      </c>
      <c r="BH640" s="27" t="s">
        <v>7</v>
      </c>
      <c r="BI640" s="27" t="s">
        <v>8</v>
      </c>
      <c r="DB640" s="27" t="s">
        <v>7</v>
      </c>
      <c r="DW640" s="27" t="s">
        <v>8</v>
      </c>
      <c r="DX640" s="27" t="s">
        <v>7</v>
      </c>
      <c r="DY640" s="27" t="s">
        <v>8</v>
      </c>
      <c r="DZ640" s="27" t="s">
        <v>7</v>
      </c>
      <c r="EA640" s="27" t="s">
        <v>8</v>
      </c>
      <c r="EB640" s="27" t="s">
        <v>7</v>
      </c>
      <c r="EC640" s="27" t="s">
        <v>8</v>
      </c>
      <c r="ED640" s="27" t="s">
        <v>7</v>
      </c>
      <c r="EE640" s="27" t="s">
        <v>8</v>
      </c>
      <c r="EF640" s="27" t="s">
        <v>7</v>
      </c>
      <c r="EG640" s="27" t="s">
        <v>8</v>
      </c>
      <c r="EJ640" s="27" t="s">
        <v>7</v>
      </c>
    </row>
    <row r="641" spans="1:137" x14ac:dyDescent="0.25">
      <c r="A641" s="7">
        <v>0.34323433454431179</v>
      </c>
      <c r="B641"/>
      <c r="C641"/>
      <c r="D641"/>
      <c r="E641"/>
      <c r="V641" s="27" t="s">
        <v>7</v>
      </c>
      <c r="AC641" s="27" t="s">
        <v>8</v>
      </c>
      <c r="AD641" s="27" t="s">
        <v>7</v>
      </c>
      <c r="AF641" s="27" t="s">
        <v>7</v>
      </c>
      <c r="AG641" s="27" t="s">
        <v>8</v>
      </c>
      <c r="AH641" s="27" t="s">
        <v>7</v>
      </c>
      <c r="AO641" s="27" t="s">
        <v>8</v>
      </c>
      <c r="AT641" s="27" t="s">
        <v>7</v>
      </c>
      <c r="AV641" s="27" t="s">
        <v>7</v>
      </c>
      <c r="BE641" s="27" t="s">
        <v>8</v>
      </c>
      <c r="BF641" s="27" t="s">
        <v>7</v>
      </c>
      <c r="BG641" s="27" t="s">
        <v>8</v>
      </c>
      <c r="BH641" s="27" t="s">
        <v>7</v>
      </c>
      <c r="BI641" s="27" t="s">
        <v>8</v>
      </c>
      <c r="DB641" s="27" t="s">
        <v>7</v>
      </c>
      <c r="DW641" s="27" t="s">
        <v>8</v>
      </c>
      <c r="DX641" s="27" t="s">
        <v>7</v>
      </c>
      <c r="DY641" s="27" t="s">
        <v>8</v>
      </c>
      <c r="DZ641" s="27" t="s">
        <v>7</v>
      </c>
      <c r="EA641" s="27" t="s">
        <v>8</v>
      </c>
      <c r="EB641" s="27" t="s">
        <v>7</v>
      </c>
      <c r="EC641" s="27" t="s">
        <v>8</v>
      </c>
      <c r="ED641" s="27" t="s">
        <v>7</v>
      </c>
      <c r="EE641" s="27" t="s">
        <v>8</v>
      </c>
      <c r="EF641" s="27" t="s">
        <v>7</v>
      </c>
      <c r="EG641" s="27" t="s">
        <v>8</v>
      </c>
    </row>
    <row r="642" spans="1:137" x14ac:dyDescent="0.25">
      <c r="A642" s="7">
        <v>0.33650424955324681</v>
      </c>
      <c r="B642"/>
      <c r="C642"/>
      <c r="D642"/>
      <c r="E642"/>
      <c r="V642" s="27" t="s">
        <v>7</v>
      </c>
      <c r="AC642" s="27" t="s">
        <v>8</v>
      </c>
      <c r="AF642" s="27" t="s">
        <v>7</v>
      </c>
      <c r="AG642" s="27" t="s">
        <v>8</v>
      </c>
      <c r="AH642" s="27" t="s">
        <v>7</v>
      </c>
      <c r="AI642" s="27" t="s">
        <v>8</v>
      </c>
      <c r="AO642" s="27" t="s">
        <v>8</v>
      </c>
      <c r="AV642" s="27" t="s">
        <v>7</v>
      </c>
      <c r="BE642" s="27" t="s">
        <v>8</v>
      </c>
      <c r="BF642" s="27" t="s">
        <v>7</v>
      </c>
      <c r="BG642" s="27" t="s">
        <v>8</v>
      </c>
      <c r="BH642" s="27" t="s">
        <v>7</v>
      </c>
      <c r="DB642" s="27" t="s">
        <v>7</v>
      </c>
      <c r="DW642" s="27" t="s">
        <v>8</v>
      </c>
      <c r="DX642" s="27" t="s">
        <v>7</v>
      </c>
      <c r="DY642" s="27" t="s">
        <v>8</v>
      </c>
      <c r="DZ642" s="27" t="s">
        <v>7</v>
      </c>
      <c r="EB642" s="27" t="s">
        <v>7</v>
      </c>
      <c r="ED642" s="27" t="s">
        <v>7</v>
      </c>
      <c r="EF642" s="27" t="s">
        <v>7</v>
      </c>
      <c r="EG642" s="27" t="s">
        <v>8</v>
      </c>
    </row>
    <row r="643" spans="1:137" x14ac:dyDescent="0.25">
      <c r="A643" s="7">
        <v>0.3299061270129871</v>
      </c>
      <c r="B643"/>
      <c r="C643"/>
      <c r="D643"/>
      <c r="E643"/>
      <c r="V643" s="27" t="s">
        <v>7</v>
      </c>
      <c r="AA643" s="27" t="s">
        <v>8</v>
      </c>
      <c r="AC643" s="27" t="s">
        <v>8</v>
      </c>
      <c r="AF643" s="27" t="s">
        <v>7</v>
      </c>
      <c r="AH643" s="27" t="s">
        <v>7</v>
      </c>
      <c r="AI643" s="27" t="s">
        <v>8</v>
      </c>
      <c r="AJ643" s="27" t="s">
        <v>7</v>
      </c>
      <c r="AK643" s="27" t="s">
        <v>8</v>
      </c>
      <c r="AO643" s="27" t="s">
        <v>8</v>
      </c>
      <c r="AV643" s="27" t="s">
        <v>7</v>
      </c>
      <c r="BE643" s="27" t="s">
        <v>8</v>
      </c>
      <c r="BF643" s="27" t="s">
        <v>7</v>
      </c>
      <c r="BG643" s="27" t="s">
        <v>8</v>
      </c>
      <c r="DB643" s="27" t="s">
        <v>7</v>
      </c>
      <c r="DW643" s="27" t="s">
        <v>8</v>
      </c>
      <c r="DX643" s="27" t="s">
        <v>7</v>
      </c>
      <c r="DY643" s="27" t="s">
        <v>8</v>
      </c>
      <c r="EF643" s="27" t="s">
        <v>7</v>
      </c>
      <c r="EG643" s="27" t="s">
        <v>8</v>
      </c>
    </row>
    <row r="644" spans="1:137" x14ac:dyDescent="0.25">
      <c r="A644" s="7">
        <v>0.32343737942449713</v>
      </c>
      <c r="B644"/>
      <c r="C644"/>
      <c r="D644"/>
      <c r="E644"/>
      <c r="V644" s="27" t="s">
        <v>7</v>
      </c>
      <c r="W644" s="27" t="s">
        <v>8</v>
      </c>
      <c r="AA644" s="27" t="s">
        <v>8</v>
      </c>
      <c r="AB644" s="27" t="s">
        <v>7</v>
      </c>
      <c r="AC644" s="27" t="s">
        <v>8</v>
      </c>
      <c r="AH644" s="27" t="s">
        <v>7</v>
      </c>
      <c r="AI644" s="27" t="s">
        <v>8</v>
      </c>
      <c r="AJ644" s="27" t="s">
        <v>7</v>
      </c>
      <c r="AK644" s="27" t="s">
        <v>8</v>
      </c>
      <c r="AL644" s="27" t="s">
        <v>7</v>
      </c>
      <c r="AO644" s="27" t="s">
        <v>8</v>
      </c>
      <c r="AV644" s="27" t="s">
        <v>7</v>
      </c>
      <c r="AW644" s="27" t="s">
        <v>8</v>
      </c>
      <c r="BE644" s="27" t="s">
        <v>8</v>
      </c>
      <c r="BF644" s="27" t="s">
        <v>7</v>
      </c>
      <c r="BG644" s="27" t="s">
        <v>8</v>
      </c>
      <c r="DB644" s="27" t="s">
        <v>7</v>
      </c>
      <c r="DW644" s="27" t="s">
        <v>8</v>
      </c>
      <c r="DX644" s="27" t="s">
        <v>7</v>
      </c>
      <c r="DY644" s="27" t="s">
        <v>8</v>
      </c>
      <c r="EF644" s="27" t="s">
        <v>7</v>
      </c>
      <c r="EG644" s="27" t="s">
        <v>8</v>
      </c>
    </row>
    <row r="645" spans="1:137" x14ac:dyDescent="0.25">
      <c r="A645" s="7">
        <v>0.31709547002401678</v>
      </c>
      <c r="B645"/>
      <c r="C645"/>
      <c r="D645"/>
      <c r="E645"/>
      <c r="V645" s="27" t="s">
        <v>7</v>
      </c>
      <c r="W645" s="27" t="s">
        <v>8</v>
      </c>
      <c r="X645" s="27" t="s">
        <v>7</v>
      </c>
      <c r="Y645" s="27" t="s">
        <v>8</v>
      </c>
      <c r="AA645" s="27" t="s">
        <v>8</v>
      </c>
      <c r="AB645" s="27" t="s">
        <v>7</v>
      </c>
      <c r="AC645" s="27" t="s">
        <v>8</v>
      </c>
      <c r="AH645" s="27" t="s">
        <v>7</v>
      </c>
      <c r="AI645" s="27" t="s">
        <v>8</v>
      </c>
      <c r="AJ645" s="27" t="s">
        <v>7</v>
      </c>
      <c r="AK645" s="27" t="s">
        <v>8</v>
      </c>
      <c r="AL645" s="27" t="s">
        <v>7</v>
      </c>
      <c r="AO645" s="27" t="s">
        <v>8</v>
      </c>
      <c r="AV645" s="27" t="s">
        <v>7</v>
      </c>
      <c r="AW645" s="27" t="s">
        <v>8</v>
      </c>
      <c r="AX645" s="27" t="s">
        <v>7</v>
      </c>
      <c r="BE645" s="27" t="s">
        <v>8</v>
      </c>
      <c r="BF645" s="27" t="s">
        <v>7</v>
      </c>
      <c r="BG645" s="27" t="s">
        <v>8</v>
      </c>
      <c r="DB645" s="27" t="s">
        <v>7</v>
      </c>
      <c r="DW645" s="27" t="s">
        <v>8</v>
      </c>
      <c r="DX645" s="27" t="s">
        <v>7</v>
      </c>
      <c r="DY645" s="27" t="s">
        <v>8</v>
      </c>
      <c r="EF645" s="27" t="s">
        <v>7</v>
      </c>
      <c r="EG645" s="27" t="s">
        <v>8</v>
      </c>
    </row>
    <row r="646" spans="1:137" x14ac:dyDescent="0.25">
      <c r="A646" s="7">
        <v>0.31087791178825175</v>
      </c>
      <c r="B646"/>
      <c r="C646"/>
      <c r="D646"/>
      <c r="E646"/>
      <c r="V646" s="27" t="s">
        <v>7</v>
      </c>
      <c r="W646" s="27" t="s">
        <v>8</v>
      </c>
      <c r="X646" s="27" t="s">
        <v>7</v>
      </c>
      <c r="Y646" s="27" t="s">
        <v>8</v>
      </c>
      <c r="Z646" s="27" t="s">
        <v>7</v>
      </c>
      <c r="AA646" s="27" t="s">
        <v>8</v>
      </c>
      <c r="AB646" s="27" t="s">
        <v>7</v>
      </c>
      <c r="AH646" s="27" t="s">
        <v>7</v>
      </c>
      <c r="AI646" s="27" t="s">
        <v>8</v>
      </c>
      <c r="AJ646" s="27" t="s">
        <v>7</v>
      </c>
      <c r="AK646" s="27" t="s">
        <v>8</v>
      </c>
      <c r="AL646" s="27" t="s">
        <v>7</v>
      </c>
      <c r="AM646" s="27" t="s">
        <v>8</v>
      </c>
      <c r="AO646" s="27" t="s">
        <v>8</v>
      </c>
      <c r="AV646" s="27" t="s">
        <v>7</v>
      </c>
      <c r="AW646" s="27" t="s">
        <v>8</v>
      </c>
      <c r="AX646" s="27" t="s">
        <v>7</v>
      </c>
      <c r="BE646" s="27" t="s">
        <v>8</v>
      </c>
      <c r="BF646" s="27" t="s">
        <v>7</v>
      </c>
      <c r="BG646" s="27" t="s">
        <v>8</v>
      </c>
      <c r="DB646" s="27" t="s">
        <v>7</v>
      </c>
      <c r="DW646" s="27" t="s">
        <v>8</v>
      </c>
      <c r="DX646" s="27" t="s">
        <v>7</v>
      </c>
      <c r="DY646" s="27" t="s">
        <v>8</v>
      </c>
      <c r="EF646" s="27" t="s">
        <v>7</v>
      </c>
      <c r="EG646" s="27" t="s">
        <v>8</v>
      </c>
    </row>
    <row r="647" spans="1:137" x14ac:dyDescent="0.25">
      <c r="A647" s="7">
        <v>0.30478226645907036</v>
      </c>
      <c r="B647"/>
      <c r="C647"/>
      <c r="D647"/>
      <c r="E647"/>
      <c r="V647" s="27" t="s">
        <v>7</v>
      </c>
      <c r="W647" s="27" t="s">
        <v>8</v>
      </c>
      <c r="X647" s="27" t="s">
        <v>7</v>
      </c>
      <c r="Y647" s="27" t="s">
        <v>8</v>
      </c>
      <c r="Z647" s="27" t="s">
        <v>7</v>
      </c>
      <c r="AA647" s="27" t="s">
        <v>8</v>
      </c>
      <c r="AH647" s="27" t="s">
        <v>7</v>
      </c>
      <c r="AJ647" s="27" t="s">
        <v>7</v>
      </c>
      <c r="AL647" s="27" t="s">
        <v>7</v>
      </c>
      <c r="AM647" s="27" t="s">
        <v>8</v>
      </c>
      <c r="AN647" s="27" t="s">
        <v>7</v>
      </c>
      <c r="AO647" s="27" t="s">
        <v>8</v>
      </c>
      <c r="AV647" s="27" t="s">
        <v>7</v>
      </c>
      <c r="AX647" s="27" t="s">
        <v>7</v>
      </c>
      <c r="BE647" s="27" t="s">
        <v>8</v>
      </c>
      <c r="BF647" s="27" t="s">
        <v>7</v>
      </c>
      <c r="BG647" s="27" t="s">
        <v>8</v>
      </c>
      <c r="DB647" s="27" t="s">
        <v>7</v>
      </c>
      <c r="DQ647" s="27" t="s">
        <v>8</v>
      </c>
      <c r="DS647" s="27" t="s">
        <v>8</v>
      </c>
      <c r="DW647" s="27" t="s">
        <v>8</v>
      </c>
      <c r="DX647" s="27" t="s">
        <v>7</v>
      </c>
      <c r="DY647" s="27" t="s">
        <v>8</v>
      </c>
      <c r="EF647" s="27" t="s">
        <v>7</v>
      </c>
      <c r="EG647" s="27" t="s">
        <v>8</v>
      </c>
    </row>
    <row r="648" spans="1:137" x14ac:dyDescent="0.25">
      <c r="A648" s="7">
        <v>0.29880614358732388</v>
      </c>
      <c r="B648"/>
      <c r="C648"/>
      <c r="D648"/>
      <c r="E648"/>
      <c r="V648" s="27" t="s">
        <v>7</v>
      </c>
      <c r="W648" s="27" t="s">
        <v>8</v>
      </c>
      <c r="X648" s="27" t="s">
        <v>7</v>
      </c>
      <c r="Y648" s="27" t="s">
        <v>8</v>
      </c>
      <c r="Z648" s="27" t="s">
        <v>7</v>
      </c>
      <c r="AA648" s="27" t="s">
        <v>8</v>
      </c>
      <c r="AL648" s="27" t="s">
        <v>7</v>
      </c>
      <c r="AM648" s="27" t="s">
        <v>8</v>
      </c>
      <c r="AN648" s="27" t="s">
        <v>7</v>
      </c>
      <c r="AO648" s="27" t="s">
        <v>8</v>
      </c>
      <c r="AX648" s="27" t="s">
        <v>7</v>
      </c>
      <c r="BE648" s="27" t="s">
        <v>8</v>
      </c>
      <c r="BF648" s="27" t="s">
        <v>7</v>
      </c>
      <c r="BG648" s="27" t="s">
        <v>8</v>
      </c>
      <c r="DB648" s="27" t="s">
        <v>7</v>
      </c>
      <c r="DQ648" s="27" t="s">
        <v>8</v>
      </c>
      <c r="DR648" s="27" t="s">
        <v>7</v>
      </c>
      <c r="DS648" s="27" t="s">
        <v>8</v>
      </c>
      <c r="DT648" s="27" t="s">
        <v>7</v>
      </c>
      <c r="DW648" s="27" t="s">
        <v>8</v>
      </c>
      <c r="DX648" s="27" t="s">
        <v>7</v>
      </c>
      <c r="DY648" s="27" t="s">
        <v>8</v>
      </c>
      <c r="EF648" s="27" t="s">
        <v>7</v>
      </c>
    </row>
    <row r="649" spans="1:137" x14ac:dyDescent="0.25">
      <c r="A649" s="7">
        <v>0.2929471995954156</v>
      </c>
      <c r="B649"/>
      <c r="C649"/>
      <c r="D649"/>
      <c r="E649"/>
      <c r="V649" s="27" t="s">
        <v>7</v>
      </c>
      <c r="W649" s="27" t="s">
        <v>8</v>
      </c>
      <c r="X649" s="27" t="s">
        <v>7</v>
      </c>
      <c r="Y649" s="27" t="s">
        <v>8</v>
      </c>
      <c r="Z649" s="27" t="s">
        <v>7</v>
      </c>
      <c r="AL649" s="27" t="s">
        <v>7</v>
      </c>
      <c r="AM649" s="27" t="s">
        <v>8</v>
      </c>
      <c r="AN649" s="27" t="s">
        <v>7</v>
      </c>
      <c r="AO649" s="27" t="s">
        <v>8</v>
      </c>
      <c r="AX649" s="27" t="s">
        <v>7</v>
      </c>
      <c r="BA649" s="27" t="s">
        <v>8</v>
      </c>
      <c r="BE649" s="27" t="s">
        <v>8</v>
      </c>
      <c r="BF649" s="27" t="s">
        <v>7</v>
      </c>
      <c r="DB649" s="27" t="s">
        <v>7</v>
      </c>
      <c r="DG649" s="27" t="s">
        <v>8</v>
      </c>
      <c r="DQ649" s="27" t="s">
        <v>8</v>
      </c>
      <c r="DR649" s="27" t="s">
        <v>7</v>
      </c>
      <c r="DS649" s="27" t="s">
        <v>8</v>
      </c>
      <c r="DT649" s="27" t="s">
        <v>7</v>
      </c>
      <c r="DW649" s="27" t="s">
        <v>8</v>
      </c>
      <c r="DX649" s="27" t="s">
        <v>7</v>
      </c>
      <c r="DY649" s="27" t="s">
        <v>8</v>
      </c>
    </row>
    <row r="650" spans="1:137" x14ac:dyDescent="0.25">
      <c r="A650" s="7">
        <v>0.28720313685825055</v>
      </c>
      <c r="B650"/>
      <c r="C650"/>
      <c r="D650"/>
      <c r="E650"/>
      <c r="V650" s="27" t="s">
        <v>7</v>
      </c>
      <c r="W650" s="27" t="s">
        <v>8</v>
      </c>
      <c r="X650" s="27" t="s">
        <v>7</v>
      </c>
      <c r="AL650" s="27" t="s">
        <v>7</v>
      </c>
      <c r="AM650" s="27" t="s">
        <v>8</v>
      </c>
      <c r="AN650" s="27" t="s">
        <v>7</v>
      </c>
      <c r="AO650" s="27" t="s">
        <v>8</v>
      </c>
      <c r="AX650" s="27" t="s">
        <v>7</v>
      </c>
      <c r="BA650" s="27" t="s">
        <v>8</v>
      </c>
      <c r="BB650" s="27" t="s">
        <v>7</v>
      </c>
      <c r="BC650" s="27" t="s">
        <v>8</v>
      </c>
      <c r="BE650" s="27" t="s">
        <v>8</v>
      </c>
      <c r="DB650" s="27" t="s">
        <v>7</v>
      </c>
      <c r="DG650" s="27" t="s">
        <v>8</v>
      </c>
      <c r="DH650" s="27" t="s">
        <v>7</v>
      </c>
      <c r="DM650" s="27" t="s">
        <v>8</v>
      </c>
      <c r="DQ650" s="27" t="s">
        <v>8</v>
      </c>
      <c r="DR650" s="27" t="s">
        <v>7</v>
      </c>
      <c r="DT650" s="27" t="s">
        <v>7</v>
      </c>
      <c r="DU650" s="27" t="s">
        <v>8</v>
      </c>
      <c r="DW650" s="27" t="s">
        <v>8</v>
      </c>
      <c r="DX650" s="27" t="s">
        <v>7</v>
      </c>
      <c r="DY650" s="27" t="s">
        <v>8</v>
      </c>
    </row>
    <row r="651" spans="1:137" x14ac:dyDescent="0.25">
      <c r="A651" s="7">
        <v>0.28157170280220645</v>
      </c>
      <c r="B651"/>
      <c r="C651"/>
      <c r="D651"/>
      <c r="E651"/>
      <c r="V651" s="27" t="s">
        <v>7</v>
      </c>
      <c r="W651" s="27" t="s">
        <v>8</v>
      </c>
      <c r="AL651" s="27" t="s">
        <v>7</v>
      </c>
      <c r="AM651" s="27" t="s">
        <v>8</v>
      </c>
      <c r="AN651" s="27" t="s">
        <v>7</v>
      </c>
      <c r="AX651" s="27" t="s">
        <v>7</v>
      </c>
      <c r="BA651" s="27" t="s">
        <v>8</v>
      </c>
      <c r="BB651" s="27" t="s">
        <v>7</v>
      </c>
      <c r="BC651" s="27" t="s">
        <v>8</v>
      </c>
      <c r="BD651" s="27" t="s">
        <v>7</v>
      </c>
      <c r="BE651" s="27" t="s">
        <v>8</v>
      </c>
      <c r="DB651" s="27" t="s">
        <v>7</v>
      </c>
      <c r="DG651" s="27" t="s">
        <v>8</v>
      </c>
      <c r="DH651" s="27" t="s">
        <v>7</v>
      </c>
      <c r="DM651" s="27" t="s">
        <v>8</v>
      </c>
      <c r="DN651" s="27" t="s">
        <v>7</v>
      </c>
      <c r="DQ651" s="27" t="s">
        <v>8</v>
      </c>
      <c r="DT651" s="27" t="s">
        <v>7</v>
      </c>
      <c r="DU651" s="27" t="s">
        <v>8</v>
      </c>
      <c r="DV651" s="27" t="s">
        <v>7</v>
      </c>
      <c r="DW651" s="27" t="s">
        <v>8</v>
      </c>
      <c r="DX651" s="27" t="s">
        <v>7</v>
      </c>
    </row>
    <row r="652" spans="1:137" x14ac:dyDescent="0.25">
      <c r="A652" s="7">
        <v>0.27605068902177105</v>
      </c>
      <c r="B652"/>
      <c r="C652"/>
      <c r="D652"/>
      <c r="E652"/>
      <c r="V652" s="27" t="s">
        <v>7</v>
      </c>
      <c r="W652" s="27" t="s">
        <v>8</v>
      </c>
      <c r="AL652" s="27" t="s">
        <v>7</v>
      </c>
      <c r="AM652" s="27" t="s">
        <v>8</v>
      </c>
      <c r="AX652" s="27" t="s">
        <v>7</v>
      </c>
      <c r="AY652" s="27" t="s">
        <v>8</v>
      </c>
      <c r="BA652" s="27" t="s">
        <v>8</v>
      </c>
      <c r="BB652" s="27" t="s">
        <v>7</v>
      </c>
      <c r="BC652" s="27" t="s">
        <v>8</v>
      </c>
      <c r="BD652" s="27" t="s">
        <v>7</v>
      </c>
      <c r="BE652" s="27" t="s">
        <v>8</v>
      </c>
      <c r="DB652" s="27" t="s">
        <v>7</v>
      </c>
      <c r="DE652" s="27" t="s">
        <v>8</v>
      </c>
      <c r="DG652" s="27" t="s">
        <v>8</v>
      </c>
      <c r="DH652" s="27" t="s">
        <v>7</v>
      </c>
      <c r="DM652" s="27" t="s">
        <v>8</v>
      </c>
      <c r="DN652" s="27" t="s">
        <v>7</v>
      </c>
      <c r="DO652" s="27" t="s">
        <v>8</v>
      </c>
      <c r="DQ652" s="27" t="s">
        <v>8</v>
      </c>
      <c r="DT652" s="27" t="s">
        <v>7</v>
      </c>
      <c r="DU652" s="27" t="s">
        <v>8</v>
      </c>
      <c r="DV652" s="27" t="s">
        <v>7</v>
      </c>
      <c r="DW652" s="27" t="s">
        <v>8</v>
      </c>
    </row>
    <row r="653" spans="1:137" x14ac:dyDescent="0.25">
      <c r="A653" s="7">
        <v>0.27063793041350104</v>
      </c>
      <c r="B653"/>
      <c r="C653"/>
      <c r="D653"/>
      <c r="E653"/>
      <c r="V653" s="27" t="s">
        <v>7</v>
      </c>
      <c r="W653" s="27" t="s">
        <v>8</v>
      </c>
      <c r="AL653" s="27" t="s">
        <v>7</v>
      </c>
      <c r="AX653" s="27" t="s">
        <v>7</v>
      </c>
      <c r="AY653" s="27" t="s">
        <v>8</v>
      </c>
      <c r="AZ653" s="27" t="s">
        <v>7</v>
      </c>
      <c r="BA653" s="27" t="s">
        <v>8</v>
      </c>
      <c r="BB653" s="27" t="s">
        <v>7</v>
      </c>
      <c r="BC653" s="27" t="s">
        <v>8</v>
      </c>
      <c r="BD653" s="27" t="s">
        <v>7</v>
      </c>
      <c r="BE653" s="27" t="s">
        <v>8</v>
      </c>
      <c r="DB653" s="27" t="s">
        <v>7</v>
      </c>
      <c r="DE653" s="27" t="s">
        <v>8</v>
      </c>
      <c r="DF653" s="27" t="s">
        <v>7</v>
      </c>
      <c r="DG653" s="27" t="s">
        <v>8</v>
      </c>
      <c r="DH653" s="27" t="s">
        <v>7</v>
      </c>
      <c r="DM653" s="27" t="s">
        <v>8</v>
      </c>
      <c r="DN653" s="27" t="s">
        <v>7</v>
      </c>
      <c r="DO653" s="27" t="s">
        <v>8</v>
      </c>
      <c r="DP653" s="27" t="s">
        <v>7</v>
      </c>
      <c r="DQ653" s="27" t="s">
        <v>8</v>
      </c>
      <c r="DT653" s="27" t="s">
        <v>7</v>
      </c>
      <c r="DU653" s="27" t="s">
        <v>8</v>
      </c>
      <c r="DV653" s="27" t="s">
        <v>7</v>
      </c>
      <c r="DW653" s="27" t="s">
        <v>8</v>
      </c>
    </row>
    <row r="654" spans="1:137" x14ac:dyDescent="0.25">
      <c r="A654" s="7">
        <v>0.26533130432696184</v>
      </c>
      <c r="B654"/>
      <c r="C654"/>
      <c r="D654"/>
      <c r="E654"/>
      <c r="V654" s="27" t="s">
        <v>7</v>
      </c>
      <c r="AX654" s="27" t="s">
        <v>7</v>
      </c>
      <c r="AY654" s="27" t="s">
        <v>8</v>
      </c>
      <c r="AZ654" s="27" t="s">
        <v>7</v>
      </c>
      <c r="BA654" s="27" t="s">
        <v>8</v>
      </c>
      <c r="BB654" s="27" t="s">
        <v>7</v>
      </c>
      <c r="BC654" s="27" t="s">
        <v>8</v>
      </c>
      <c r="BD654" s="27" t="s">
        <v>7</v>
      </c>
      <c r="BE654" s="27" t="s">
        <v>8</v>
      </c>
      <c r="DB654" s="27" t="s">
        <v>7</v>
      </c>
      <c r="DE654" s="27" t="s">
        <v>8</v>
      </c>
      <c r="DF654" s="27" t="s">
        <v>7</v>
      </c>
      <c r="DG654" s="27" t="s">
        <v>8</v>
      </c>
      <c r="DH654" s="27" t="s">
        <v>7</v>
      </c>
      <c r="DM654" s="27" t="s">
        <v>8</v>
      </c>
      <c r="DN654" s="27" t="s">
        <v>7</v>
      </c>
      <c r="DO654" s="27" t="s">
        <v>8</v>
      </c>
      <c r="DP654" s="27" t="s">
        <v>7</v>
      </c>
      <c r="DQ654" s="27" t="s">
        <v>8</v>
      </c>
      <c r="DT654" s="27" t="s">
        <v>7</v>
      </c>
      <c r="DU654" s="27" t="s">
        <v>8</v>
      </c>
      <c r="DV654" s="27" t="s">
        <v>7</v>
      </c>
      <c r="DW654" s="27" t="s">
        <v>8</v>
      </c>
    </row>
    <row r="655" spans="1:137" x14ac:dyDescent="0.25">
      <c r="A655" s="7">
        <v>0.26012872973231554</v>
      </c>
      <c r="B655"/>
      <c r="C655"/>
      <c r="D655"/>
      <c r="E655"/>
      <c r="AX655" s="27" t="s">
        <v>7</v>
      </c>
      <c r="AY655" s="27" t="s">
        <v>8</v>
      </c>
      <c r="AZ655" s="27" t="s">
        <v>7</v>
      </c>
      <c r="BA655" s="27" t="s">
        <v>8</v>
      </c>
      <c r="BB655" s="27" t="s">
        <v>7</v>
      </c>
      <c r="BD655" s="27" t="s">
        <v>7</v>
      </c>
      <c r="DB655" s="27" t="s">
        <v>7</v>
      </c>
      <c r="DE655" s="27" t="s">
        <v>8</v>
      </c>
      <c r="DF655" s="27" t="s">
        <v>7</v>
      </c>
      <c r="DG655" s="27" t="s">
        <v>8</v>
      </c>
      <c r="DH655" s="27" t="s">
        <v>7</v>
      </c>
      <c r="DI655" s="27" t="s">
        <v>8</v>
      </c>
      <c r="DM655" s="27" t="s">
        <v>8</v>
      </c>
      <c r="DN655" s="27" t="s">
        <v>7</v>
      </c>
      <c r="DP655" s="27" t="s">
        <v>7</v>
      </c>
      <c r="DT655" s="27" t="s">
        <v>7</v>
      </c>
      <c r="DU655" s="27" t="s">
        <v>8</v>
      </c>
      <c r="DV655" s="27" t="s">
        <v>7</v>
      </c>
      <c r="DW655" s="27" t="s">
        <v>8</v>
      </c>
    </row>
    <row r="656" spans="1:137" x14ac:dyDescent="0.25">
      <c r="A656" s="7">
        <v>0.25502816640423093</v>
      </c>
      <c r="B656"/>
      <c r="C656"/>
      <c r="D656"/>
      <c r="E656"/>
      <c r="AX656" s="27" t="s">
        <v>7</v>
      </c>
      <c r="AY656" s="27" t="s">
        <v>8</v>
      </c>
      <c r="AZ656" s="27" t="s">
        <v>7</v>
      </c>
      <c r="BA656" s="27" t="s">
        <v>8</v>
      </c>
      <c r="DB656" s="27" t="s">
        <v>7</v>
      </c>
      <c r="DE656" s="27" t="s">
        <v>8</v>
      </c>
      <c r="DF656" s="27" t="s">
        <v>7</v>
      </c>
      <c r="DG656" s="27" t="s">
        <v>8</v>
      </c>
      <c r="DH656" s="27" t="s">
        <v>7</v>
      </c>
      <c r="DI656" s="27" t="s">
        <v>8</v>
      </c>
      <c r="DJ656" s="27" t="s">
        <v>7</v>
      </c>
      <c r="DM656" s="27" t="s">
        <v>8</v>
      </c>
      <c r="DT656" s="27" t="s">
        <v>7</v>
      </c>
      <c r="DV656" s="27" t="s">
        <v>7</v>
      </c>
    </row>
    <row r="657" spans="1:117" x14ac:dyDescent="0.25">
      <c r="A657" s="7">
        <v>0.25002761412179503</v>
      </c>
      <c r="B657"/>
      <c r="C657"/>
      <c r="D657"/>
      <c r="E657"/>
      <c r="AX657" s="27" t="s">
        <v>7</v>
      </c>
      <c r="AY657" s="27" t="s">
        <v>8</v>
      </c>
      <c r="AZ657" s="27" t="s">
        <v>7</v>
      </c>
      <c r="BA657" s="27" t="s">
        <v>8</v>
      </c>
      <c r="DB657" s="27" t="s">
        <v>7</v>
      </c>
      <c r="DE657" s="27" t="s">
        <v>8</v>
      </c>
      <c r="DF657" s="27" t="s">
        <v>7</v>
      </c>
      <c r="DG657" s="27" t="s">
        <v>8</v>
      </c>
      <c r="DH657" s="27" t="s">
        <v>7</v>
      </c>
      <c r="DI657" s="27" t="s">
        <v>8</v>
      </c>
      <c r="DJ657" s="27" t="s">
        <v>7</v>
      </c>
      <c r="DM657" s="27" t="s">
        <v>8</v>
      </c>
    </row>
    <row r="658" spans="1:117" x14ac:dyDescent="0.25">
      <c r="A658" s="7">
        <v>0.24512511188411276</v>
      </c>
      <c r="B658"/>
      <c r="C658"/>
      <c r="D658"/>
      <c r="E658"/>
      <c r="AX658" s="27" t="s">
        <v>7</v>
      </c>
      <c r="AY658" s="27" t="s">
        <v>8</v>
      </c>
      <c r="AZ658" s="27" t="s">
        <v>7</v>
      </c>
      <c r="BA658" s="27" t="s">
        <v>8</v>
      </c>
      <c r="DB658" s="27" t="s">
        <v>7</v>
      </c>
      <c r="DE658" s="27" t="s">
        <v>8</v>
      </c>
      <c r="DF658" s="27" t="s">
        <v>7</v>
      </c>
      <c r="DG658" s="27" t="s">
        <v>8</v>
      </c>
      <c r="DH658" s="27" t="s">
        <v>7</v>
      </c>
      <c r="DI658" s="27" t="s">
        <v>8</v>
      </c>
      <c r="DJ658" s="27" t="s">
        <v>7</v>
      </c>
      <c r="DK658" s="27" t="s">
        <v>8</v>
      </c>
      <c r="DM658" s="27" t="s">
        <v>8</v>
      </c>
    </row>
    <row r="659" spans="1:117" x14ac:dyDescent="0.25">
      <c r="A659" s="7">
        <v>0.24031873714128701</v>
      </c>
      <c r="B659"/>
      <c r="C659"/>
      <c r="D659"/>
      <c r="E659"/>
      <c r="AX659" s="27" t="s">
        <v>7</v>
      </c>
      <c r="AY659" s="27" t="s">
        <v>8</v>
      </c>
      <c r="AZ659" s="27" t="s">
        <v>7</v>
      </c>
      <c r="BA659" s="27" t="s">
        <v>8</v>
      </c>
      <c r="DB659" s="27" t="s">
        <v>7</v>
      </c>
      <c r="DC659" s="27" t="s">
        <v>8</v>
      </c>
      <c r="DE659" s="27" t="s">
        <v>8</v>
      </c>
      <c r="DF659" s="27" t="s">
        <v>7</v>
      </c>
      <c r="DG659" s="27" t="s">
        <v>8</v>
      </c>
      <c r="DH659" s="27" t="s">
        <v>7</v>
      </c>
      <c r="DI659" s="27" t="s">
        <v>8</v>
      </c>
      <c r="DJ659" s="27" t="s">
        <v>7</v>
      </c>
      <c r="DK659" s="27" t="s">
        <v>8</v>
      </c>
      <c r="DL659" s="27" t="s">
        <v>7</v>
      </c>
      <c r="DM659" s="27" t="s">
        <v>8</v>
      </c>
    </row>
    <row r="660" spans="1:117" x14ac:dyDescent="0.25">
      <c r="A660" s="7">
        <v>0.23560660504047748</v>
      </c>
      <c r="B660"/>
      <c r="C660"/>
      <c r="D660"/>
      <c r="E660"/>
      <c r="AX660" s="27" t="s">
        <v>7</v>
      </c>
      <c r="AZ660" s="27" t="s">
        <v>7</v>
      </c>
      <c r="BA660" s="27" t="s">
        <v>8</v>
      </c>
      <c r="DB660" s="27" t="s">
        <v>7</v>
      </c>
      <c r="DC660" s="27" t="s">
        <v>8</v>
      </c>
      <c r="DD660" s="27" t="s">
        <v>7</v>
      </c>
      <c r="DE660" s="27" t="s">
        <v>8</v>
      </c>
      <c r="DF660" s="27" t="s">
        <v>7</v>
      </c>
      <c r="DG660" s="27" t="s">
        <v>8</v>
      </c>
      <c r="DH660" s="27" t="s">
        <v>7</v>
      </c>
      <c r="DI660" s="27" t="s">
        <v>8</v>
      </c>
      <c r="DJ660" s="27" t="s">
        <v>7</v>
      </c>
      <c r="DK660" s="27" t="s">
        <v>8</v>
      </c>
      <c r="DL660" s="27" t="s">
        <v>7</v>
      </c>
      <c r="DM660" s="27" t="s">
        <v>8</v>
      </c>
    </row>
    <row r="661" spans="1:117" x14ac:dyDescent="0.25">
      <c r="A661" s="7">
        <v>0.23098686768674265</v>
      </c>
      <c r="B661"/>
      <c r="C661"/>
      <c r="D661"/>
      <c r="E661"/>
      <c r="AZ661" s="27" t="s">
        <v>7</v>
      </c>
      <c r="DB661" s="27" t="s">
        <v>7</v>
      </c>
      <c r="DC661" s="27" t="s">
        <v>8</v>
      </c>
      <c r="DD661" s="27" t="s">
        <v>7</v>
      </c>
      <c r="DE661" s="27" t="s">
        <v>8</v>
      </c>
      <c r="DF661" s="27" t="s">
        <v>7</v>
      </c>
      <c r="DG661" s="27" t="s">
        <v>8</v>
      </c>
      <c r="DH661" s="27" t="s">
        <v>7</v>
      </c>
      <c r="DI661" s="27" t="s">
        <v>8</v>
      </c>
      <c r="DJ661" s="27" t="s">
        <v>7</v>
      </c>
      <c r="DK661" s="27" t="s">
        <v>8</v>
      </c>
      <c r="DL661" s="27" t="s">
        <v>7</v>
      </c>
    </row>
    <row r="662" spans="1:117" x14ac:dyDescent="0.25">
      <c r="A662" s="7">
        <v>0.22645771341837515</v>
      </c>
      <c r="B662"/>
      <c r="C662"/>
      <c r="D662"/>
      <c r="E662"/>
      <c r="DB662" s="27" t="s">
        <v>7</v>
      </c>
      <c r="DC662" s="27" t="s">
        <v>8</v>
      </c>
      <c r="DD662" s="27" t="s">
        <v>7</v>
      </c>
      <c r="DE662" s="27" t="s">
        <v>8</v>
      </c>
      <c r="DF662" s="27" t="s">
        <v>7</v>
      </c>
      <c r="DG662" s="27" t="s">
        <v>8</v>
      </c>
      <c r="DH662" s="27" t="s">
        <v>7</v>
      </c>
      <c r="DI662" s="27" t="s">
        <v>8</v>
      </c>
      <c r="DJ662" s="27" t="s">
        <v>7</v>
      </c>
      <c r="DK662" s="27" t="s">
        <v>8</v>
      </c>
    </row>
    <row r="663" spans="1:117" x14ac:dyDescent="0.25">
      <c r="A663" s="7">
        <v>0.22201736609644623</v>
      </c>
      <c r="B663"/>
      <c r="C663"/>
      <c r="D663"/>
      <c r="E663"/>
      <c r="DB663" s="27" t="s">
        <v>7</v>
      </c>
      <c r="DC663" s="27" t="s">
        <v>8</v>
      </c>
      <c r="DD663" s="27" t="s">
        <v>7</v>
      </c>
      <c r="DE663" s="27" t="s">
        <v>8</v>
      </c>
      <c r="DF663" s="27" t="s">
        <v>7</v>
      </c>
      <c r="DH663" s="27" t="s">
        <v>7</v>
      </c>
      <c r="DI663" s="27" t="s">
        <v>8</v>
      </c>
      <c r="DJ663" s="27" t="s">
        <v>7</v>
      </c>
      <c r="DK663" s="27" t="s">
        <v>8</v>
      </c>
    </row>
    <row r="664" spans="1:117" x14ac:dyDescent="0.25">
      <c r="A664" s="7">
        <v>0.21766408440828061</v>
      </c>
      <c r="B664"/>
      <c r="C664"/>
      <c r="D664"/>
      <c r="E664"/>
      <c r="DB664" s="27" t="s">
        <v>7</v>
      </c>
      <c r="DC664" s="27" t="s">
        <v>8</v>
      </c>
      <c r="DD664" s="27" t="s">
        <v>7</v>
      </c>
      <c r="DE664" s="27" t="s">
        <v>8</v>
      </c>
      <c r="DH664" s="27" t="s">
        <v>7</v>
      </c>
      <c r="DI664" s="27" t="s">
        <v>8</v>
      </c>
      <c r="DJ664" s="27" t="s">
        <v>7</v>
      </c>
      <c r="DK664" s="27" t="s">
        <v>8</v>
      </c>
    </row>
    <row r="665" spans="1:117" x14ac:dyDescent="0.25">
      <c r="A665" s="7">
        <v>0.21339616118458882</v>
      </c>
      <c r="B665"/>
      <c r="C665"/>
      <c r="D665"/>
      <c r="E665"/>
      <c r="DB665" s="27" t="s">
        <v>7</v>
      </c>
      <c r="DC665" s="27" t="s">
        <v>8</v>
      </c>
      <c r="DD665" s="27" t="s">
        <v>7</v>
      </c>
      <c r="DE665" s="27" t="s">
        <v>8</v>
      </c>
      <c r="DH665" s="27" t="s">
        <v>7</v>
      </c>
      <c r="DJ665" s="27" t="s">
        <v>7</v>
      </c>
    </row>
    <row r="666" spans="1:117" x14ac:dyDescent="0.25">
      <c r="A666" s="7">
        <v>0.20921192272998904</v>
      </c>
      <c r="B666"/>
      <c r="C666"/>
      <c r="D666"/>
      <c r="E666"/>
      <c r="DB666" s="27" t="s">
        <v>7</v>
      </c>
      <c r="DC666" s="27" t="s">
        <v>8</v>
      </c>
      <c r="DD666" s="27" t="s">
        <v>7</v>
      </c>
      <c r="DE666" s="27" t="s">
        <v>8</v>
      </c>
    </row>
    <row r="667" spans="1:117" x14ac:dyDescent="0.25">
      <c r="A667" s="7">
        <v>0.20510972816665593</v>
      </c>
      <c r="B667"/>
      <c r="C667"/>
      <c r="D667"/>
      <c r="E667"/>
      <c r="DB667" s="27" t="s">
        <v>7</v>
      </c>
      <c r="DC667" s="27" t="s">
        <v>8</v>
      </c>
      <c r="DD667" s="27" t="s">
        <v>7</v>
      </c>
      <c r="DE667" s="27" t="s">
        <v>8</v>
      </c>
    </row>
    <row r="668" spans="1:117" x14ac:dyDescent="0.25">
      <c r="A668" s="7">
        <v>0.20108796879083912</v>
      </c>
      <c r="B668"/>
      <c r="C668"/>
      <c r="D668"/>
      <c r="E668"/>
      <c r="DB668" s="27" t="s">
        <v>7</v>
      </c>
      <c r="DC668" s="27" t="s">
        <v>8</v>
      </c>
      <c r="DD668" s="27" t="s">
        <v>7</v>
      </c>
      <c r="DE668" s="27" t="s">
        <v>8</v>
      </c>
    </row>
    <row r="669" spans="1:117" x14ac:dyDescent="0.25">
      <c r="A669" s="7">
        <v>0.19714506744199917</v>
      </c>
      <c r="B669"/>
      <c r="C669"/>
      <c r="D669"/>
      <c r="E669"/>
      <c r="DB669" s="27" t="s">
        <v>7</v>
      </c>
      <c r="DC669" s="27" t="s">
        <v>8</v>
      </c>
      <c r="DD669" s="27" t="s">
        <v>7</v>
      </c>
      <c r="DE669" s="27" t="s">
        <v>8</v>
      </c>
    </row>
    <row r="670" spans="1:117" x14ac:dyDescent="0.25">
      <c r="A670" s="7">
        <v>0.19327947788431293</v>
      </c>
      <c r="B670"/>
      <c r="C670"/>
      <c r="D670"/>
      <c r="E670"/>
      <c r="DB670" s="27" t="s">
        <v>7</v>
      </c>
      <c r="DC670" s="27" t="s">
        <v>8</v>
      </c>
      <c r="DD670" s="27" t="s">
        <v>7</v>
      </c>
      <c r="DE670" s="27" t="s">
        <v>8</v>
      </c>
    </row>
    <row r="671" spans="1:117" x14ac:dyDescent="0.25">
      <c r="A671" s="7">
        <v>0.18948968420030682</v>
      </c>
      <c r="B671"/>
      <c r="C671"/>
      <c r="D671"/>
      <c r="E671"/>
      <c r="DB671" s="27" t="s">
        <v>7</v>
      </c>
      <c r="DC671" s="27" t="s">
        <v>8</v>
      </c>
      <c r="DD671" s="27" t="s">
        <v>7</v>
      </c>
      <c r="DE671" s="27" t="s">
        <v>8</v>
      </c>
    </row>
    <row r="672" spans="1:117" x14ac:dyDescent="0.25">
      <c r="A672" s="7">
        <v>0.18577420019637925</v>
      </c>
      <c r="B672"/>
      <c r="C672"/>
      <c r="D672"/>
      <c r="E672"/>
      <c r="DB672" s="27" t="s">
        <v>7</v>
      </c>
      <c r="DC672" s="27" t="s">
        <v>8</v>
      </c>
      <c r="DD672" s="27" t="s">
        <v>7</v>
      </c>
      <c r="DE672" s="27" t="s">
        <v>8</v>
      </c>
    </row>
    <row r="673" spans="1:109" x14ac:dyDescent="0.25">
      <c r="A673" s="7">
        <v>0.18213156881997963</v>
      </c>
      <c r="B673"/>
      <c r="C673"/>
      <c r="D673"/>
      <c r="E673"/>
      <c r="DB673" s="27" t="s">
        <v>7</v>
      </c>
      <c r="DC673" s="27" t="s">
        <v>8</v>
      </c>
      <c r="DD673" s="27" t="s">
        <v>7</v>
      </c>
      <c r="DE673" s="27" t="s">
        <v>8</v>
      </c>
    </row>
    <row r="674" spans="1:109" x14ac:dyDescent="0.25">
      <c r="A674" s="7">
        <v>0.17856036158821534</v>
      </c>
      <c r="B674"/>
      <c r="C674"/>
      <c r="D674"/>
      <c r="E674"/>
      <c r="DB674" s="27" t="s">
        <v>7</v>
      </c>
      <c r="DC674" s="27" t="s">
        <v>8</v>
      </c>
      <c r="DD674" s="27" t="s">
        <v>7</v>
      </c>
      <c r="DE674" s="27" t="s">
        <v>8</v>
      </c>
    </row>
    <row r="675" spans="1:109" x14ac:dyDescent="0.25">
      <c r="A675" s="7">
        <v>0.17505917802766208</v>
      </c>
      <c r="B675"/>
      <c r="C675"/>
      <c r="D675"/>
      <c r="E675"/>
      <c r="DB675" s="27" t="s">
        <v>7</v>
      </c>
      <c r="DC675" s="27" t="s">
        <v>8</v>
      </c>
      <c r="DD675" s="27" t="s">
        <v>7</v>
      </c>
      <c r="DE675" s="27" t="s">
        <v>8</v>
      </c>
    </row>
    <row r="676" spans="1:109" x14ac:dyDescent="0.25">
      <c r="A676" s="7">
        <v>0.17162664512515888</v>
      </c>
      <c r="B676"/>
      <c r="C676"/>
      <c r="D676"/>
      <c r="E676"/>
      <c r="DB676" s="27" t="s">
        <v>7</v>
      </c>
      <c r="DC676" s="27" t="s">
        <v>8</v>
      </c>
      <c r="DD676" s="27" t="s">
        <v>7</v>
      </c>
      <c r="DE676" s="27" t="s">
        <v>8</v>
      </c>
    </row>
    <row r="677" spans="1:109" x14ac:dyDescent="0.25">
      <c r="A677" s="7">
        <v>0.16826141678937145</v>
      </c>
      <c r="B677"/>
      <c r="C677"/>
      <c r="D677"/>
      <c r="E677"/>
      <c r="DB677" s="27" t="s">
        <v>7</v>
      </c>
      <c r="DC677" s="27" t="s">
        <v>8</v>
      </c>
      <c r="DD677" s="27" t="s">
        <v>7</v>
      </c>
    </row>
    <row r="678" spans="1:109" x14ac:dyDescent="0.25">
      <c r="A678" s="7">
        <v>0.16496217332291319</v>
      </c>
      <c r="B678"/>
      <c r="C678"/>
      <c r="D678"/>
      <c r="E678"/>
      <c r="DB678" s="27" t="s">
        <v>7</v>
      </c>
      <c r="DC678" s="27" t="s">
        <v>8</v>
      </c>
    </row>
    <row r="679" spans="1:109" x14ac:dyDescent="0.25">
      <c r="A679" s="7">
        <v>0.16172762090481685</v>
      </c>
      <c r="B679"/>
      <c r="C679"/>
      <c r="D679"/>
      <c r="E679"/>
      <c r="DB679" s="27" t="s">
        <v>7</v>
      </c>
      <c r="DC679" s="27" t="s">
        <v>8</v>
      </c>
    </row>
    <row r="680" spans="1:109" x14ac:dyDescent="0.25">
      <c r="A680" s="7">
        <v>0.15855649108315376</v>
      </c>
      <c r="B680"/>
      <c r="C680"/>
      <c r="D680"/>
      <c r="E680"/>
      <c r="DB680" s="27" t="s">
        <v>7</v>
      </c>
      <c r="DC680" s="27" t="s">
        <v>8</v>
      </c>
    </row>
    <row r="681" spans="1:109" x14ac:dyDescent="0.25">
      <c r="A681" s="7">
        <v>0.15544754027760171</v>
      </c>
      <c r="B681"/>
      <c r="C681"/>
      <c r="D681"/>
      <c r="E681"/>
      <c r="DB681" s="27" t="s">
        <v>7</v>
      </c>
      <c r="DC681" s="27" t="s">
        <v>8</v>
      </c>
    </row>
    <row r="682" spans="1:109" x14ac:dyDescent="0.25">
      <c r="A682" s="7">
        <v>0.15239954929176638</v>
      </c>
      <c r="B682"/>
      <c r="C682"/>
      <c r="D682"/>
      <c r="E682"/>
      <c r="DB682" s="27" t="s">
        <v>7</v>
      </c>
      <c r="DC682" s="27" t="s">
        <v>8</v>
      </c>
    </row>
    <row r="683" spans="1:109" x14ac:dyDescent="0.25">
      <c r="A683" s="7">
        <v>0.14941132283506509</v>
      </c>
      <c r="B683"/>
      <c r="C683"/>
      <c r="D683"/>
      <c r="E683"/>
      <c r="DB683" s="27" t="s">
        <v>7</v>
      </c>
      <c r="DC683" s="27" t="s">
        <v>8</v>
      </c>
    </row>
    <row r="684" spans="1:109" x14ac:dyDescent="0.25">
      <c r="A684" s="7">
        <v>0.14648168905398537</v>
      </c>
      <c r="B684"/>
      <c r="C684"/>
      <c r="D684"/>
      <c r="E684"/>
      <c r="DB684" s="27" t="s">
        <v>7</v>
      </c>
      <c r="DC684" s="27" t="s">
        <v>8</v>
      </c>
    </row>
    <row r="685" spans="1:109" x14ac:dyDescent="0.25">
      <c r="A685" s="7">
        <v>0.14360949907253467</v>
      </c>
      <c r="B685"/>
      <c r="C685"/>
      <c r="D685"/>
      <c r="E685"/>
      <c r="DB685" s="27" t="s">
        <v>7</v>
      </c>
      <c r="DC685" s="27" t="s">
        <v>8</v>
      </c>
    </row>
    <row r="686" spans="1:109" x14ac:dyDescent="0.25">
      <c r="A686" s="7">
        <v>0.14079362654170066</v>
      </c>
      <c r="B686"/>
      <c r="C686"/>
      <c r="D686"/>
      <c r="E686"/>
      <c r="DB686" s="27" t="s">
        <v>7</v>
      </c>
      <c r="DC686" s="27" t="s">
        <v>8</v>
      </c>
    </row>
    <row r="687" spans="1:109" x14ac:dyDescent="0.25">
      <c r="A687" s="7">
        <v>0.13803296719774574</v>
      </c>
      <c r="B687"/>
      <c r="C687"/>
      <c r="D687"/>
      <c r="E687"/>
      <c r="DB687" s="27" t="s">
        <v>7</v>
      </c>
      <c r="DC687" s="27" t="s">
        <v>8</v>
      </c>
    </row>
    <row r="688" spans="1:109" x14ac:dyDescent="0.25">
      <c r="A688" s="7">
        <v>0.1353264384291625</v>
      </c>
      <c r="B688"/>
      <c r="C688"/>
      <c r="D688"/>
      <c r="E688"/>
      <c r="DB688" s="27" t="s">
        <v>7</v>
      </c>
      <c r="DC688" s="27" t="s">
        <v>8</v>
      </c>
    </row>
    <row r="689" spans="1:107" x14ac:dyDescent="0.25">
      <c r="A689" s="7">
        <v>0.13267297885212009</v>
      </c>
      <c r="B689"/>
      <c r="C689"/>
      <c r="D689"/>
      <c r="E689"/>
      <c r="DB689" s="27" t="s">
        <v>7</v>
      </c>
      <c r="DC689" s="27" t="s">
        <v>8</v>
      </c>
    </row>
    <row r="690" spans="1:107" x14ac:dyDescent="0.25">
      <c r="A690" s="7">
        <v>0.13007154789423539</v>
      </c>
      <c r="B690"/>
      <c r="C690"/>
      <c r="D690"/>
      <c r="E690"/>
      <c r="DB690" s="27" t="s">
        <v>7</v>
      </c>
      <c r="DC690" s="27" t="s">
        <v>8</v>
      </c>
    </row>
    <row r="691" spans="1:107" x14ac:dyDescent="0.25">
      <c r="A691" s="7">
        <v>0.12752112538650529</v>
      </c>
      <c r="B691"/>
      <c r="C691"/>
      <c r="D691"/>
      <c r="E691"/>
      <c r="DB691" s="27" t="s">
        <v>7</v>
      </c>
      <c r="DC691" s="27" t="s">
        <v>8</v>
      </c>
    </row>
    <row r="692" spans="1:107" x14ac:dyDescent="0.25">
      <c r="A692" s="7">
        <v>0.12502071116324048</v>
      </c>
      <c r="B692"/>
      <c r="C692"/>
      <c r="D692"/>
      <c r="E692"/>
      <c r="DB692" s="27" t="s">
        <v>7</v>
      </c>
      <c r="DC692" s="27" t="s">
        <v>8</v>
      </c>
    </row>
    <row r="693" spans="1:107" x14ac:dyDescent="0.25">
      <c r="A693" s="7">
        <v>0.1225693246698436</v>
      </c>
      <c r="B693"/>
      <c r="C693"/>
      <c r="D693"/>
      <c r="E693"/>
      <c r="DB693" s="27" t="s">
        <v>7</v>
      </c>
      <c r="DC693" s="27" t="s">
        <v>8</v>
      </c>
    </row>
    <row r="694" spans="1:107" x14ac:dyDescent="0.25">
      <c r="A694" s="7">
        <v>0.12016600457827803</v>
      </c>
      <c r="B694"/>
      <c r="C694"/>
      <c r="D694"/>
      <c r="E694"/>
      <c r="DB694" s="27" t="s">
        <v>7</v>
      </c>
    </row>
    <row r="695" spans="1:107" x14ac:dyDescent="0.25">
      <c r="A695" s="7">
        <v>0.1178098084100765</v>
      </c>
      <c r="B695"/>
      <c r="C695"/>
      <c r="D695"/>
      <c r="E695"/>
    </row>
    <row r="696" spans="1:107" x14ac:dyDescent="0.25">
      <c r="A696" s="7">
        <v>0.11549981216674166</v>
      </c>
      <c r="B696"/>
      <c r="C696"/>
      <c r="D696"/>
      <c r="E696"/>
    </row>
    <row r="697" spans="1:107" x14ac:dyDescent="0.25">
      <c r="A697" s="7">
        <v>0.11323510996739378</v>
      </c>
      <c r="B697"/>
      <c r="C697"/>
      <c r="D697"/>
      <c r="E697"/>
    </row>
    <row r="698" spans="1:107" x14ac:dyDescent="0.25">
      <c r="A698" s="7">
        <v>0.11101481369352331</v>
      </c>
      <c r="B698"/>
      <c r="C698"/>
      <c r="D698"/>
      <c r="E698"/>
    </row>
    <row r="699" spans="1:107" x14ac:dyDescent="0.25">
      <c r="A699" s="7">
        <v>0.10883805264070913</v>
      </c>
      <c r="B699"/>
      <c r="C699"/>
      <c r="D699"/>
      <c r="E699"/>
    </row>
    <row r="700" spans="1:107" x14ac:dyDescent="0.25">
      <c r="A700" s="7">
        <v>0.10670397317716582</v>
      </c>
      <c r="B700"/>
      <c r="C700"/>
      <c r="D700"/>
      <c r="E700"/>
    </row>
    <row r="701" spans="1:107" x14ac:dyDescent="0.25">
      <c r="A701" s="7">
        <v>0.1046117384089861</v>
      </c>
      <c r="B701"/>
      <c r="C701"/>
      <c r="D701"/>
      <c r="E701"/>
    </row>
    <row r="702" spans="1:107" x14ac:dyDescent="0.25">
      <c r="A702" s="7">
        <v>0.10256052785194716</v>
      </c>
      <c r="B702"/>
      <c r="C702"/>
      <c r="D702"/>
      <c r="E702"/>
    </row>
    <row r="703" spans="1:107" x14ac:dyDescent="0.25">
      <c r="A703" s="7">
        <v>0.10054953710975212</v>
      </c>
      <c r="B703"/>
      <c r="C703"/>
      <c r="D703"/>
      <c r="E703"/>
    </row>
    <row r="704" spans="1:107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93" operator="equal">
      <formula>$U$1</formula>
    </cfRule>
    <cfRule type="cellIs" dxfId="89" priority="1294" operator="equal">
      <formula>$S$1</formula>
    </cfRule>
  </conditionalFormatting>
  <conditionalFormatting sqref="D27">
    <cfRule type="cellIs" dxfId="88" priority="1291" operator="equal">
      <formula>$S$1</formula>
    </cfRule>
    <cfRule type="cellIs" dxfId="87" priority="1292" operator="equal">
      <formula>$U$1</formula>
    </cfRule>
  </conditionalFormatting>
  <conditionalFormatting sqref="C164">
    <cfRule type="cellIs" dxfId="86" priority="1289" operator="equal">
      <formula>$U$1</formula>
    </cfRule>
    <cfRule type="cellIs" dxfId="85" priority="1290" operator="equal">
      <formula>$S$1</formula>
    </cfRule>
  </conditionalFormatting>
  <conditionalFormatting sqref="D164">
    <cfRule type="cellIs" dxfId="84" priority="1287" operator="equal">
      <formula>$S$1</formula>
    </cfRule>
    <cfRule type="cellIs" dxfId="83" priority="1288" operator="equal">
      <formula>$U$1</formula>
    </cfRule>
  </conditionalFormatting>
  <conditionalFormatting sqref="C55">
    <cfRule type="cellIs" dxfId="82" priority="1285" operator="equal">
      <formula>$U$1</formula>
    </cfRule>
    <cfRule type="cellIs" dxfId="81" priority="1286" operator="equal">
      <formula>$S$1</formula>
    </cfRule>
  </conditionalFormatting>
  <conditionalFormatting sqref="D55">
    <cfRule type="cellIs" dxfId="80" priority="1283" operator="equal">
      <formula>$S$1</formula>
    </cfRule>
    <cfRule type="cellIs" dxfId="79" priority="1284" operator="equal">
      <formula>$U$1</formula>
    </cfRule>
  </conditionalFormatting>
  <conditionalFormatting sqref="C89">
    <cfRule type="cellIs" dxfId="78" priority="1281" operator="equal">
      <formula>$U$1</formula>
    </cfRule>
    <cfRule type="cellIs" dxfId="77" priority="1282" operator="equal">
      <formula>$S$1</formula>
    </cfRule>
  </conditionalFormatting>
  <conditionalFormatting sqref="D89">
    <cfRule type="cellIs" dxfId="76" priority="1279" operator="equal">
      <formula>$S$1</formula>
    </cfRule>
    <cfRule type="cellIs" dxfId="75" priority="1280" operator="equal">
      <formula>$U$1</formula>
    </cfRule>
  </conditionalFormatting>
  <conditionalFormatting sqref="C136">
    <cfRule type="cellIs" dxfId="74" priority="1277" operator="equal">
      <formula>$U$1</formula>
    </cfRule>
    <cfRule type="cellIs" dxfId="73" priority="1278" operator="equal">
      <formula>$S$1</formula>
    </cfRule>
  </conditionalFormatting>
  <conditionalFormatting sqref="D136">
    <cfRule type="cellIs" dxfId="72" priority="1275" operator="equal">
      <formula>$S$1</formula>
    </cfRule>
    <cfRule type="cellIs" dxfId="71" priority="1276" operator="equal">
      <formula>$U$1</formula>
    </cfRule>
  </conditionalFormatting>
  <conditionalFormatting sqref="C1">
    <cfRule type="cellIs" dxfId="70" priority="127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99" zoomScale="90" zoomScaleNormal="90" workbookViewId="0">
      <pane xSplit="4" topLeftCell="EN1" activePane="topRight" state="frozen"/>
      <selection activeCell="A109" sqref="A109"/>
      <selection pane="topRight" activeCell="GY237" sqref="GY23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$A$236</v>
      </c>
      <c r="D111" s="1" t="str">
        <f>ADDRESS(C121-1,D121,1,1)</f>
        <v>$GY$236</v>
      </c>
      <c r="E111"/>
    </row>
    <row r="112" spans="1:5" x14ac:dyDescent="0.25">
      <c r="A112" s="30">
        <v>515.50191262726139</v>
      </c>
      <c r="C112" s="1" t="str">
        <f>ADDRESS(C121,1,1,1)</f>
        <v>$A$237</v>
      </c>
      <c r="D112" s="1" t="str">
        <f>ADDRESS(C121,D121-1,1,1)</f>
        <v>$GX$237</v>
      </c>
      <c r="E112"/>
    </row>
    <row r="113" spans="1:5" x14ac:dyDescent="0.25">
      <c r="A113" s="30">
        <v>490.95420250215363</v>
      </c>
      <c r="C113" s="1" t="str">
        <f>ADDRESS(C121+1,1,1,1)</f>
        <v>$A$238</v>
      </c>
      <c r="D113" s="1" t="str">
        <f>ADDRESS(C121-1,D121+1,1,1)</f>
        <v>$GZ$236</v>
      </c>
    </row>
    <row r="114" spans="1:5" x14ac:dyDescent="0.25">
      <c r="A114" s="30">
        <v>467.57543095443202</v>
      </c>
      <c r="C114" s="1" t="str">
        <f>ADDRESS(C121,D121,1,1)</f>
        <v>$GY$237</v>
      </c>
      <c r="D114" s="1" t="str">
        <f>ADDRESS(C121+1,D121+1,1,1)</f>
        <v>$GZ$238</v>
      </c>
    </row>
    <row r="115" spans="1:5" x14ac:dyDescent="0.25">
      <c r="A115" s="30">
        <v>445.30993424231622</v>
      </c>
      <c r="C115" s="1" t="str">
        <f>ADDRESS(C121+1,D121,1,1)</f>
        <v>$GY$238</v>
      </c>
    </row>
    <row r="116" spans="1:5" x14ac:dyDescent="0.25">
      <c r="A116" s="30">
        <v>424.10469927839637</v>
      </c>
      <c r="C116" s="1">
        <f>C117-1</f>
        <v>236</v>
      </c>
    </row>
    <row r="117" spans="1:5" x14ac:dyDescent="0.25">
      <c r="A117" s="30">
        <v>403.9092374079965</v>
      </c>
      <c r="C117" s="1">
        <f>C121</f>
        <v>237</v>
      </c>
      <c r="D117" s="1">
        <f>D121</f>
        <v>207</v>
      </c>
    </row>
    <row r="118" spans="1:5" x14ac:dyDescent="0.25">
      <c r="A118" s="30">
        <v>384.6754641980919</v>
      </c>
      <c r="C118" s="1">
        <f>C117+1</f>
        <v>238</v>
      </c>
      <c r="D118" s="1">
        <f>D117+1</f>
        <v>208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237</v>
      </c>
      <c r="D121" s="19">
        <v>207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R237</v>
      </c>
      <c r="D123" s="1" t="str">
        <f>"C"&amp;D121</f>
        <v>C207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1.1576249999999999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206" x14ac:dyDescent="0.25">
      <c r="A209" s="30">
        <v>4.5380394939082018</v>
      </c>
      <c r="E209"/>
    </row>
    <row r="210" spans="1:206" x14ac:dyDescent="0.25">
      <c r="A210" s="30">
        <v>4.3219423751506678</v>
      </c>
      <c r="C210"/>
      <c r="E210"/>
    </row>
    <row r="211" spans="1:206" x14ac:dyDescent="0.25">
      <c r="A211" s="30">
        <v>4.1161355953815884</v>
      </c>
      <c r="E211"/>
    </row>
    <row r="212" spans="1:206" x14ac:dyDescent="0.25">
      <c r="A212" s="30">
        <v>3.9201291384586554</v>
      </c>
      <c r="E212"/>
    </row>
    <row r="213" spans="1:206" x14ac:dyDescent="0.25">
      <c r="A213" s="30">
        <v>3.7334563223415764</v>
      </c>
      <c r="E213"/>
      <c r="FW213" s="27" t="s">
        <v>8</v>
      </c>
      <c r="FY213" s="27" t="s">
        <v>8</v>
      </c>
      <c r="GM213" s="27" t="s">
        <v>8</v>
      </c>
      <c r="GO213" s="27" t="s">
        <v>8</v>
      </c>
    </row>
    <row r="214" spans="1:206" x14ac:dyDescent="0.25">
      <c r="A214" s="30">
        <v>3.5556726879443583</v>
      </c>
      <c r="E214"/>
      <c r="EO214" s="27" t="s">
        <v>8</v>
      </c>
      <c r="FW214" s="27" t="s">
        <v>8</v>
      </c>
      <c r="FX214" s="27" t="s">
        <v>7</v>
      </c>
      <c r="FY214" s="27" t="s">
        <v>8</v>
      </c>
      <c r="FZ214" s="27" t="s">
        <v>7</v>
      </c>
      <c r="GM214" s="27" t="s">
        <v>8</v>
      </c>
      <c r="GN214" s="27" t="s">
        <v>7</v>
      </c>
      <c r="GO214" s="27" t="s">
        <v>8</v>
      </c>
      <c r="GP214" s="27" t="s">
        <v>7</v>
      </c>
    </row>
    <row r="215" spans="1:206" x14ac:dyDescent="0.25">
      <c r="A215" s="30">
        <v>3.3863549408993889</v>
      </c>
      <c r="E215"/>
      <c r="EM215" s="27" t="s">
        <v>8</v>
      </c>
      <c r="EO215" s="27" t="s">
        <v>8</v>
      </c>
      <c r="EP215" s="27" t="s">
        <v>7</v>
      </c>
      <c r="FW215" s="27" t="s">
        <v>8</v>
      </c>
      <c r="FX215" s="27" t="s">
        <v>7</v>
      </c>
      <c r="FY215" s="27" t="s">
        <v>8</v>
      </c>
      <c r="FZ215" s="27" t="s">
        <v>7</v>
      </c>
      <c r="GM215" s="27" t="s">
        <v>8</v>
      </c>
      <c r="GN215" s="27" t="s">
        <v>7</v>
      </c>
      <c r="GO215" s="27" t="s">
        <v>8</v>
      </c>
      <c r="GP215" s="27" t="s">
        <v>7</v>
      </c>
    </row>
    <row r="216" spans="1:206" x14ac:dyDescent="0.25">
      <c r="A216" s="30">
        <v>3.2250999437137038</v>
      </c>
      <c r="E216"/>
      <c r="EM216" s="27" t="s">
        <v>8</v>
      </c>
      <c r="EN216" s="27" t="s">
        <v>7</v>
      </c>
      <c r="EO216" s="27" t="s">
        <v>8</v>
      </c>
      <c r="EP216" s="27" t="s">
        <v>7</v>
      </c>
      <c r="FW216" s="27" t="s">
        <v>8</v>
      </c>
      <c r="FX216" s="27" t="s">
        <v>7</v>
      </c>
      <c r="FY216" s="27" t="s">
        <v>8</v>
      </c>
      <c r="FZ216" s="27" t="s">
        <v>7</v>
      </c>
      <c r="GM216" s="27" t="s">
        <v>8</v>
      </c>
      <c r="GN216" s="27" t="s">
        <v>7</v>
      </c>
      <c r="GO216" s="27" t="s">
        <v>8</v>
      </c>
      <c r="GP216" s="27" t="s">
        <v>7</v>
      </c>
      <c r="GQ216" s="27" t="s">
        <v>8</v>
      </c>
    </row>
    <row r="217" spans="1:206" x14ac:dyDescent="0.25">
      <c r="A217" s="30">
        <v>3.0715237559178128</v>
      </c>
      <c r="E217"/>
      <c r="EK217" s="27" t="s">
        <v>8</v>
      </c>
      <c r="EM217" s="27" t="s">
        <v>8</v>
      </c>
      <c r="EN217" s="27" t="s">
        <v>7</v>
      </c>
      <c r="EO217" s="27" t="s">
        <v>8</v>
      </c>
      <c r="EP217" s="27" t="s">
        <v>7</v>
      </c>
      <c r="EU217" s="27" t="s">
        <v>8</v>
      </c>
      <c r="FS217" s="27" t="s">
        <v>8</v>
      </c>
      <c r="FU217" s="27" t="s">
        <v>8</v>
      </c>
      <c r="FW217" s="27" t="s">
        <v>8</v>
      </c>
      <c r="FX217" s="27" t="s">
        <v>7</v>
      </c>
      <c r="FY217" s="27" t="s">
        <v>8</v>
      </c>
      <c r="FZ217" s="27" t="s">
        <v>7</v>
      </c>
      <c r="GM217" s="27" t="s">
        <v>8</v>
      </c>
      <c r="GN217" s="27" t="s">
        <v>7</v>
      </c>
      <c r="GP217" s="27" t="s">
        <v>7</v>
      </c>
      <c r="GQ217" s="27" t="s">
        <v>8</v>
      </c>
      <c r="GR217" s="27" t="s">
        <v>7</v>
      </c>
    </row>
    <row r="218" spans="1:206" x14ac:dyDescent="0.25">
      <c r="A218" s="30">
        <v>2.9252607199217264</v>
      </c>
      <c r="E218"/>
      <c r="EC218" s="27" t="s">
        <v>8</v>
      </c>
      <c r="EI218" s="27" t="s">
        <v>8</v>
      </c>
      <c r="EK218" s="27" t="s">
        <v>8</v>
      </c>
      <c r="EL218" s="27" t="s">
        <v>7</v>
      </c>
      <c r="EM218" s="27" t="s">
        <v>8</v>
      </c>
      <c r="EN218" s="27" t="s">
        <v>7</v>
      </c>
      <c r="EO218" s="27" t="s">
        <v>8</v>
      </c>
      <c r="EP218" s="27" t="s">
        <v>7</v>
      </c>
      <c r="EU218" s="27" t="s">
        <v>8</v>
      </c>
      <c r="EV218" s="27" t="s">
        <v>7</v>
      </c>
      <c r="FQ218" s="27" t="s">
        <v>8</v>
      </c>
      <c r="FS218" s="27" t="s">
        <v>8</v>
      </c>
      <c r="FT218" s="27" t="s">
        <v>7</v>
      </c>
      <c r="FU218" s="27" t="s">
        <v>8</v>
      </c>
      <c r="FV218" s="27" t="s">
        <v>7</v>
      </c>
      <c r="FW218" s="27" t="s">
        <v>8</v>
      </c>
      <c r="FX218" s="27" t="s">
        <v>7</v>
      </c>
      <c r="FZ218" s="27" t="s">
        <v>7</v>
      </c>
      <c r="GM218" s="27" t="s">
        <v>8</v>
      </c>
      <c r="GP218" s="27" t="s">
        <v>7</v>
      </c>
      <c r="GQ218" s="27" t="s">
        <v>8</v>
      </c>
      <c r="GR218" s="27" t="s">
        <v>7</v>
      </c>
    </row>
    <row r="219" spans="1:206" x14ac:dyDescent="0.25">
      <c r="A219" s="30">
        <v>2.7859625904016441</v>
      </c>
      <c r="E219"/>
      <c r="EC219" s="27" t="s">
        <v>8</v>
      </c>
      <c r="ED219" s="27" t="s">
        <v>7</v>
      </c>
      <c r="EE219" s="27" t="s">
        <v>8</v>
      </c>
      <c r="EI219" s="27" t="s">
        <v>8</v>
      </c>
      <c r="EJ219" s="27" t="s">
        <v>7</v>
      </c>
      <c r="EK219" s="27" t="s">
        <v>8</v>
      </c>
      <c r="EL219" s="27" t="s">
        <v>7</v>
      </c>
      <c r="EM219" s="27" t="s">
        <v>8</v>
      </c>
      <c r="EN219" s="27" t="s">
        <v>7</v>
      </c>
      <c r="EP219" s="27" t="s">
        <v>7</v>
      </c>
      <c r="EU219" s="27" t="s">
        <v>8</v>
      </c>
      <c r="EV219" s="27" t="s">
        <v>7</v>
      </c>
      <c r="FQ219" s="27" t="s">
        <v>8</v>
      </c>
      <c r="FR219" s="27" t="s">
        <v>7</v>
      </c>
      <c r="FS219" s="27" t="s">
        <v>8</v>
      </c>
      <c r="FT219" s="27" t="s">
        <v>7</v>
      </c>
      <c r="FU219" s="27" t="s">
        <v>8</v>
      </c>
      <c r="FV219" s="27" t="s">
        <v>7</v>
      </c>
      <c r="FW219" s="27" t="s">
        <v>8</v>
      </c>
      <c r="FZ219" s="27" t="s">
        <v>7</v>
      </c>
      <c r="GK219" s="27" t="s">
        <v>8</v>
      </c>
      <c r="GM219" s="27" t="s">
        <v>8</v>
      </c>
      <c r="GP219" s="27" t="s">
        <v>7</v>
      </c>
      <c r="GR219" s="27" t="s">
        <v>7</v>
      </c>
    </row>
    <row r="220" spans="1:206" x14ac:dyDescent="0.25">
      <c r="A220" s="30">
        <v>2.6532977051444226</v>
      </c>
      <c r="E220"/>
      <c r="DW220" s="27" t="s">
        <v>8</v>
      </c>
      <c r="EC220" s="27" t="s">
        <v>8</v>
      </c>
      <c r="ED220" s="27" t="s">
        <v>7</v>
      </c>
      <c r="EE220" s="27" t="s">
        <v>8</v>
      </c>
      <c r="EF220" s="27" t="s">
        <v>7</v>
      </c>
      <c r="EG220" s="27" t="s">
        <v>8</v>
      </c>
      <c r="EI220" s="27" t="s">
        <v>8</v>
      </c>
      <c r="EJ220" s="27" t="s">
        <v>7</v>
      </c>
      <c r="EK220" s="27" t="s">
        <v>8</v>
      </c>
      <c r="EL220" s="27" t="s">
        <v>7</v>
      </c>
      <c r="EM220" s="27" t="s">
        <v>8</v>
      </c>
      <c r="EP220" s="27" t="s">
        <v>7</v>
      </c>
      <c r="EQ220" s="27" t="s">
        <v>8</v>
      </c>
      <c r="EU220" s="27" t="s">
        <v>8</v>
      </c>
      <c r="EV220" s="27" t="s">
        <v>7</v>
      </c>
      <c r="FO220" s="27" t="s">
        <v>8</v>
      </c>
      <c r="FQ220" s="27" t="s">
        <v>8</v>
      </c>
      <c r="FR220" s="27" t="s">
        <v>7</v>
      </c>
      <c r="FS220" s="27" t="s">
        <v>8</v>
      </c>
      <c r="FT220" s="27" t="s">
        <v>7</v>
      </c>
      <c r="FV220" s="27" t="s">
        <v>7</v>
      </c>
      <c r="FZ220" s="27" t="s">
        <v>7</v>
      </c>
      <c r="GG220" s="27" t="s">
        <v>8</v>
      </c>
      <c r="GI220" s="27" t="s">
        <v>8</v>
      </c>
      <c r="GK220" s="27" t="s">
        <v>8</v>
      </c>
      <c r="GL220" s="27" t="s">
        <v>7</v>
      </c>
      <c r="GM220" s="27" t="s">
        <v>8</v>
      </c>
      <c r="GR220" s="27" t="s">
        <v>7</v>
      </c>
    </row>
    <row r="221" spans="1:206" x14ac:dyDescent="0.25">
      <c r="A221" s="30">
        <v>2.5269501953756404</v>
      </c>
      <c r="E221"/>
      <c r="DW221" s="27" t="s">
        <v>8</v>
      </c>
      <c r="DX221" s="27" t="s">
        <v>7</v>
      </c>
      <c r="EC221" s="27" t="s">
        <v>8</v>
      </c>
      <c r="ED221" s="27" t="s">
        <v>7</v>
      </c>
      <c r="EE221" s="27" t="s">
        <v>8</v>
      </c>
      <c r="EF221" s="27" t="s">
        <v>7</v>
      </c>
      <c r="EG221" s="27" t="s">
        <v>8</v>
      </c>
      <c r="EH221" s="27" t="s">
        <v>7</v>
      </c>
      <c r="EI221" s="27" t="s">
        <v>8</v>
      </c>
      <c r="EJ221" s="27" t="s">
        <v>7</v>
      </c>
      <c r="EK221" s="27" t="s">
        <v>8</v>
      </c>
      <c r="EL221" s="27" t="s">
        <v>7</v>
      </c>
      <c r="EP221" s="27" t="s">
        <v>7</v>
      </c>
      <c r="EQ221" s="27" t="s">
        <v>8</v>
      </c>
      <c r="ER221" s="27" t="s">
        <v>7</v>
      </c>
      <c r="ES221" s="27" t="s">
        <v>8</v>
      </c>
      <c r="EU221" s="27" t="s">
        <v>8</v>
      </c>
      <c r="EV221" s="27" t="s">
        <v>7</v>
      </c>
      <c r="FO221" s="27" t="s">
        <v>8</v>
      </c>
      <c r="FP221" s="27" t="s">
        <v>7</v>
      </c>
      <c r="FQ221" s="27" t="s">
        <v>8</v>
      </c>
      <c r="FR221" s="27" t="s">
        <v>7</v>
      </c>
      <c r="FZ221" s="27" t="s">
        <v>7</v>
      </c>
      <c r="GC221" s="27" t="s">
        <v>8</v>
      </c>
      <c r="GG221" s="27" t="s">
        <v>8</v>
      </c>
      <c r="GH221" s="27" t="s">
        <v>7</v>
      </c>
      <c r="GI221" s="27" t="s">
        <v>8</v>
      </c>
      <c r="GJ221" s="27" t="s">
        <v>7</v>
      </c>
      <c r="GK221" s="27" t="s">
        <v>8</v>
      </c>
      <c r="GL221" s="27" t="s">
        <v>7</v>
      </c>
      <c r="GM221" s="27" t="s">
        <v>8</v>
      </c>
      <c r="GR221" s="27" t="s">
        <v>7</v>
      </c>
    </row>
    <row r="222" spans="1:206" x14ac:dyDescent="0.25">
      <c r="A222" s="30">
        <v>2.4066192336910861</v>
      </c>
      <c r="E222"/>
      <c r="DQ222" s="27" t="s">
        <v>8</v>
      </c>
      <c r="DW222" s="27" t="s">
        <v>8</v>
      </c>
      <c r="DX222" s="27" t="s">
        <v>7</v>
      </c>
      <c r="EC222" s="27" t="s">
        <v>8</v>
      </c>
      <c r="ED222" s="27" t="s">
        <v>7</v>
      </c>
      <c r="EF222" s="27" t="s">
        <v>7</v>
      </c>
      <c r="EG222" s="27" t="s">
        <v>8</v>
      </c>
      <c r="EH222" s="27" t="s">
        <v>7</v>
      </c>
      <c r="EI222" s="27" t="s">
        <v>8</v>
      </c>
      <c r="EJ222" s="27" t="s">
        <v>7</v>
      </c>
      <c r="EK222" s="27" t="s">
        <v>8</v>
      </c>
      <c r="EP222" s="27" t="s">
        <v>7</v>
      </c>
      <c r="EQ222" s="27" t="s">
        <v>8</v>
      </c>
      <c r="ER222" s="27" t="s">
        <v>7</v>
      </c>
      <c r="ES222" s="27" t="s">
        <v>8</v>
      </c>
      <c r="ET222" s="27" t="s">
        <v>7</v>
      </c>
      <c r="EU222" s="27" t="s">
        <v>8</v>
      </c>
      <c r="EV222" s="27" t="s">
        <v>7</v>
      </c>
      <c r="FO222" s="27" t="s">
        <v>8</v>
      </c>
      <c r="FP222" s="27" t="s">
        <v>7</v>
      </c>
      <c r="FQ222" s="27" t="s">
        <v>8</v>
      </c>
      <c r="FZ222" s="27" t="s">
        <v>7</v>
      </c>
      <c r="GA222" s="27" t="s">
        <v>8</v>
      </c>
      <c r="GC222" s="27" t="s">
        <v>8</v>
      </c>
      <c r="GD222" s="27" t="s">
        <v>7</v>
      </c>
      <c r="GE222" s="27" t="s">
        <v>8</v>
      </c>
      <c r="GG222" s="27" t="s">
        <v>8</v>
      </c>
      <c r="GH222" s="27" t="s">
        <v>7</v>
      </c>
      <c r="GI222" s="27" t="s">
        <v>8</v>
      </c>
      <c r="GJ222" s="27" t="s">
        <v>7</v>
      </c>
      <c r="GK222" s="27" t="s">
        <v>8</v>
      </c>
      <c r="GL222" s="27" t="s">
        <v>7</v>
      </c>
      <c r="GR222" s="27" t="s">
        <v>7</v>
      </c>
      <c r="GS222" s="27" t="s">
        <v>8</v>
      </c>
      <c r="GU222" s="27" t="s">
        <v>8</v>
      </c>
    </row>
    <row r="223" spans="1:206" x14ac:dyDescent="0.25">
      <c r="A223" s="30">
        <v>2.2920183178010345</v>
      </c>
      <c r="E223"/>
      <c r="DQ223" s="27" t="s">
        <v>8</v>
      </c>
      <c r="DR223" s="27" t="s">
        <v>7</v>
      </c>
      <c r="DW223" s="27" t="s">
        <v>8</v>
      </c>
      <c r="DX223" s="27" t="s">
        <v>7</v>
      </c>
      <c r="EC223" s="27" t="s">
        <v>8</v>
      </c>
      <c r="EF223" s="27" t="s">
        <v>7</v>
      </c>
      <c r="EG223" s="27" t="s">
        <v>8</v>
      </c>
      <c r="EH223" s="27" t="s">
        <v>7</v>
      </c>
      <c r="EI223" s="27" t="s">
        <v>8</v>
      </c>
      <c r="EJ223" s="27" t="s">
        <v>7</v>
      </c>
      <c r="EK223" s="27" t="s">
        <v>8</v>
      </c>
      <c r="EP223" s="27" t="s">
        <v>7</v>
      </c>
      <c r="EQ223" s="27" t="s">
        <v>8</v>
      </c>
      <c r="ER223" s="27" t="s">
        <v>7</v>
      </c>
      <c r="ES223" s="27" t="s">
        <v>8</v>
      </c>
      <c r="ET223" s="27" t="s">
        <v>7</v>
      </c>
      <c r="EU223" s="27" t="s">
        <v>8</v>
      </c>
      <c r="EV223" s="27" t="s">
        <v>7</v>
      </c>
      <c r="FO223" s="27" t="s">
        <v>8</v>
      </c>
      <c r="FP223" s="18" t="s">
        <v>7</v>
      </c>
      <c r="FQ223" s="27" t="s">
        <v>8</v>
      </c>
      <c r="FZ223" s="27" t="s">
        <v>7</v>
      </c>
      <c r="GA223" s="27" t="s">
        <v>8</v>
      </c>
      <c r="GB223" s="27" t="s">
        <v>7</v>
      </c>
      <c r="GC223" s="27" t="s">
        <v>8</v>
      </c>
      <c r="GD223" s="27" t="s">
        <v>7</v>
      </c>
      <c r="GE223" s="27" t="s">
        <v>8</v>
      </c>
      <c r="GF223" s="27" t="s">
        <v>7</v>
      </c>
      <c r="GG223" s="27" t="s">
        <v>8</v>
      </c>
      <c r="GH223" s="27" t="s">
        <v>7</v>
      </c>
      <c r="GI223" s="27" t="s">
        <v>8</v>
      </c>
      <c r="GJ223" s="27" t="s">
        <v>7</v>
      </c>
      <c r="GR223" s="27" t="s">
        <v>7</v>
      </c>
      <c r="GS223" s="27" t="s">
        <v>8</v>
      </c>
      <c r="GT223" s="27" t="s">
        <v>7</v>
      </c>
      <c r="GU223" s="27" t="s">
        <v>8</v>
      </c>
      <c r="GV223" s="27" t="s">
        <v>7</v>
      </c>
      <c r="GW223" s="27" t="s">
        <v>8</v>
      </c>
    </row>
    <row r="224" spans="1:206" x14ac:dyDescent="0.25">
      <c r="A224" s="30">
        <v>2.1828745883819374</v>
      </c>
      <c r="E224"/>
      <c r="DQ224" s="27" t="s">
        <v>8</v>
      </c>
      <c r="DR224" s="27" t="s">
        <v>7</v>
      </c>
      <c r="DU224" s="27" t="s">
        <v>8</v>
      </c>
      <c r="DW224" s="27" t="s">
        <v>8</v>
      </c>
      <c r="DX224" s="27" t="s">
        <v>7</v>
      </c>
      <c r="EA224" s="27" t="s">
        <v>8</v>
      </c>
      <c r="EC224" s="27" t="s">
        <v>8</v>
      </c>
      <c r="EF224" s="27" t="s">
        <v>7</v>
      </c>
      <c r="EH224" s="27" t="s">
        <v>7</v>
      </c>
      <c r="EJ224" s="27" t="s">
        <v>7</v>
      </c>
      <c r="EP224" s="27" t="s">
        <v>7</v>
      </c>
      <c r="EQ224" s="27" t="s">
        <v>8</v>
      </c>
      <c r="ER224" s="27" t="s">
        <v>7</v>
      </c>
      <c r="ES224" s="27" t="s">
        <v>8</v>
      </c>
      <c r="ET224" s="27" t="s">
        <v>7</v>
      </c>
      <c r="EU224" s="27" t="s">
        <v>8</v>
      </c>
      <c r="EV224" s="27" t="s">
        <v>7</v>
      </c>
      <c r="FO224" s="27" t="s">
        <v>8</v>
      </c>
      <c r="FP224" s="27" t="s">
        <v>7</v>
      </c>
      <c r="FZ224" s="27" t="s">
        <v>7</v>
      </c>
      <c r="GA224" s="27" t="s">
        <v>8</v>
      </c>
      <c r="GB224" s="27" t="s">
        <v>7</v>
      </c>
      <c r="GC224" s="27" t="s">
        <v>8</v>
      </c>
      <c r="GD224" s="27" t="s">
        <v>7</v>
      </c>
      <c r="GE224" s="27" t="s">
        <v>8</v>
      </c>
      <c r="GF224" s="27" t="s">
        <v>7</v>
      </c>
      <c r="GG224" s="27" t="s">
        <v>8</v>
      </c>
      <c r="GH224" s="27" t="s">
        <v>7</v>
      </c>
      <c r="GI224" s="27" t="s">
        <v>8</v>
      </c>
      <c r="GR224" s="27" t="s">
        <v>7</v>
      </c>
      <c r="GS224" s="27" t="s">
        <v>8</v>
      </c>
      <c r="GT224" s="27" t="s">
        <v>7</v>
      </c>
      <c r="GU224" s="27" t="s">
        <v>8</v>
      </c>
      <c r="GV224" s="27" t="s">
        <v>7</v>
      </c>
      <c r="GW224" s="27" t="s">
        <v>8</v>
      </c>
      <c r="GX224" s="27" t="s">
        <v>7</v>
      </c>
    </row>
    <row r="225" spans="1:207" x14ac:dyDescent="0.25">
      <c r="A225" s="30">
        <v>2.0789281794113688</v>
      </c>
      <c r="E225"/>
      <c r="DQ225" s="27" t="s">
        <v>8</v>
      </c>
      <c r="DR225" s="27" t="s">
        <v>7</v>
      </c>
      <c r="DS225" s="27" t="s">
        <v>8</v>
      </c>
      <c r="DU225" s="27" t="s">
        <v>8</v>
      </c>
      <c r="DV225" s="27" t="s">
        <v>7</v>
      </c>
      <c r="DW225" s="27" t="s">
        <v>8</v>
      </c>
      <c r="DX225" s="27" t="s">
        <v>7</v>
      </c>
      <c r="DY225" s="27" t="s">
        <v>8</v>
      </c>
      <c r="EA225" s="27" t="s">
        <v>8</v>
      </c>
      <c r="EB225" s="27" t="s">
        <v>7</v>
      </c>
      <c r="EC225" s="27" t="s">
        <v>8</v>
      </c>
      <c r="EP225" s="27" t="s">
        <v>7</v>
      </c>
      <c r="EQ225" s="27" t="s">
        <v>8</v>
      </c>
      <c r="ER225" s="27" t="s">
        <v>7</v>
      </c>
      <c r="ET225" s="27" t="s">
        <v>7</v>
      </c>
      <c r="EU225" s="27" t="s">
        <v>8</v>
      </c>
      <c r="EV225" s="27" t="s">
        <v>7</v>
      </c>
      <c r="FO225" s="27" t="s">
        <v>8</v>
      </c>
      <c r="FZ225" s="27" t="s">
        <v>7</v>
      </c>
      <c r="GB225" s="27" t="s">
        <v>7</v>
      </c>
      <c r="GD225" s="27" t="s">
        <v>7</v>
      </c>
      <c r="GE225" s="27" t="s">
        <v>8</v>
      </c>
      <c r="GF225" s="27" t="s">
        <v>7</v>
      </c>
      <c r="GG225" s="27" t="s">
        <v>8</v>
      </c>
      <c r="GH225" s="27" t="s">
        <v>7</v>
      </c>
      <c r="GR225" s="27" t="s">
        <v>7</v>
      </c>
      <c r="GS225" s="27" t="s">
        <v>8</v>
      </c>
      <c r="GT225" s="27" t="s">
        <v>7</v>
      </c>
      <c r="GU225" s="27" t="s">
        <v>8</v>
      </c>
      <c r="GV225" s="27" t="s">
        <v>7</v>
      </c>
      <c r="GW225" s="27" t="s">
        <v>8</v>
      </c>
      <c r="GX225" s="27" t="s">
        <v>7</v>
      </c>
    </row>
    <row r="226" spans="1:207" x14ac:dyDescent="0.25">
      <c r="A226" s="30">
        <v>1.9799315994393987</v>
      </c>
      <c r="E226"/>
      <c r="DO226" s="27" t="s">
        <v>8</v>
      </c>
      <c r="DQ226" s="27" t="s">
        <v>8</v>
      </c>
      <c r="DR226" s="27" t="s">
        <v>7</v>
      </c>
      <c r="DS226" s="27" t="s">
        <v>8</v>
      </c>
      <c r="DT226" s="27" t="s">
        <v>7</v>
      </c>
      <c r="DU226" s="27" t="s">
        <v>8</v>
      </c>
      <c r="DV226" s="27" t="s">
        <v>7</v>
      </c>
      <c r="DW226" s="27" t="s">
        <v>8</v>
      </c>
      <c r="DX226" s="27" t="s">
        <v>7</v>
      </c>
      <c r="DY226" s="27" t="s">
        <v>8</v>
      </c>
      <c r="DZ226" s="27" t="s">
        <v>7</v>
      </c>
      <c r="EA226" s="27" t="s">
        <v>8</v>
      </c>
      <c r="EB226" s="27" t="s">
        <v>7</v>
      </c>
      <c r="EC226" s="27" t="s">
        <v>8</v>
      </c>
      <c r="EP226" s="27" t="s">
        <v>7</v>
      </c>
      <c r="ET226" s="27" t="s">
        <v>7</v>
      </c>
      <c r="EU226" s="27" t="s">
        <v>8</v>
      </c>
      <c r="EV226" s="27" t="s">
        <v>7</v>
      </c>
      <c r="FK226" s="27" t="s">
        <v>8</v>
      </c>
      <c r="FO226" s="27" t="s">
        <v>8</v>
      </c>
      <c r="GD226" s="27" t="s">
        <v>7</v>
      </c>
      <c r="GE226" s="27" t="s">
        <v>8</v>
      </c>
      <c r="GF226" s="27" t="s">
        <v>7</v>
      </c>
      <c r="GR226" s="27" t="s">
        <v>7</v>
      </c>
      <c r="GT226" s="27" t="s">
        <v>7</v>
      </c>
      <c r="GV226" s="27" t="s">
        <v>7</v>
      </c>
      <c r="GW226" s="27" t="s">
        <v>8</v>
      </c>
      <c r="GX226" s="27" t="s">
        <v>7</v>
      </c>
    </row>
    <row r="227" spans="1:207" x14ac:dyDescent="0.25">
      <c r="A227" s="30">
        <v>1.8856491423232367</v>
      </c>
      <c r="E227"/>
      <c r="DM227" s="27" t="s">
        <v>8</v>
      </c>
      <c r="DO227" s="27" t="s">
        <v>8</v>
      </c>
      <c r="DP227" s="27" t="s">
        <v>7</v>
      </c>
      <c r="DQ227" s="27" t="s">
        <v>8</v>
      </c>
      <c r="DR227" s="27" t="s">
        <v>7</v>
      </c>
      <c r="DS227" s="27" t="s">
        <v>8</v>
      </c>
      <c r="DT227" s="27" t="s">
        <v>7</v>
      </c>
      <c r="DU227" s="27" t="s">
        <v>8</v>
      </c>
      <c r="DV227" s="27" t="s">
        <v>7</v>
      </c>
      <c r="DW227" s="27" t="s">
        <v>8</v>
      </c>
      <c r="DX227" s="27" t="s">
        <v>7</v>
      </c>
      <c r="DY227" s="27" t="s">
        <v>8</v>
      </c>
      <c r="DZ227" s="27" t="s">
        <v>7</v>
      </c>
      <c r="EA227" s="27" t="s">
        <v>8</v>
      </c>
      <c r="EB227" s="27" t="s">
        <v>7</v>
      </c>
      <c r="EC227" s="27" t="s">
        <v>8</v>
      </c>
      <c r="ET227" s="27" t="s">
        <v>7</v>
      </c>
      <c r="EU227" s="27" t="s">
        <v>8</v>
      </c>
      <c r="EV227" s="27" t="s">
        <v>7</v>
      </c>
      <c r="FK227" s="27" t="s">
        <v>8</v>
      </c>
      <c r="FL227" s="27" t="s">
        <v>7</v>
      </c>
      <c r="FO227" s="27" t="s">
        <v>8</v>
      </c>
      <c r="GD227" s="27" t="s">
        <v>7</v>
      </c>
      <c r="GV227" s="27" t="s">
        <v>7</v>
      </c>
      <c r="GW227" s="27" t="s">
        <v>8</v>
      </c>
      <c r="GX227" s="27" t="s">
        <v>7</v>
      </c>
    </row>
    <row r="228" spans="1:207" x14ac:dyDescent="0.25">
      <c r="A228" s="30">
        <v>1.7958563260221301</v>
      </c>
      <c r="C228" s="7"/>
      <c r="D228"/>
      <c r="E228"/>
      <c r="DM228" s="27" t="s">
        <v>8</v>
      </c>
      <c r="DN228" s="27" t="s">
        <v>7</v>
      </c>
      <c r="DO228" s="27" t="s">
        <v>8</v>
      </c>
      <c r="DP228" s="27" t="s">
        <v>7</v>
      </c>
      <c r="DQ228" s="27" t="s">
        <v>8</v>
      </c>
      <c r="DR228" s="27" t="s">
        <v>7</v>
      </c>
      <c r="DS228" s="27" t="s">
        <v>8</v>
      </c>
      <c r="DT228" s="27" t="s">
        <v>7</v>
      </c>
      <c r="DV228" s="27" t="s">
        <v>7</v>
      </c>
      <c r="DW228" s="27" t="s">
        <v>8</v>
      </c>
      <c r="DX228" s="27" t="s">
        <v>7</v>
      </c>
      <c r="DZ228" s="27" t="s">
        <v>7</v>
      </c>
      <c r="EA228" s="27" t="s">
        <v>8</v>
      </c>
      <c r="EB228" s="27" t="s">
        <v>7</v>
      </c>
      <c r="ET228" s="27" t="s">
        <v>7</v>
      </c>
      <c r="EU228" s="27" t="s">
        <v>8</v>
      </c>
      <c r="EV228" s="27" t="s">
        <v>7</v>
      </c>
      <c r="FE228" s="27" t="s">
        <v>8</v>
      </c>
      <c r="FG228" s="27" t="s">
        <v>8</v>
      </c>
      <c r="FK228" s="27" t="s">
        <v>8</v>
      </c>
      <c r="FL228" s="27" t="s">
        <v>7</v>
      </c>
      <c r="FO228" s="27" t="s">
        <v>8</v>
      </c>
      <c r="GV228" s="27" t="s">
        <v>7</v>
      </c>
      <c r="GX228" s="27" t="s">
        <v>7</v>
      </c>
    </row>
    <row r="229" spans="1:207" x14ac:dyDescent="0.25">
      <c r="A229" s="30">
        <v>1.7103393581163142</v>
      </c>
      <c r="E229"/>
      <c r="DM229" s="27" t="s">
        <v>8</v>
      </c>
      <c r="DN229" s="27" t="s">
        <v>7</v>
      </c>
      <c r="DO229" s="27" t="s">
        <v>8</v>
      </c>
      <c r="DP229" s="27" t="s">
        <v>7</v>
      </c>
      <c r="DQ229" s="27" t="s">
        <v>8</v>
      </c>
      <c r="DR229" s="27" t="s">
        <v>7</v>
      </c>
      <c r="DV229" s="27" t="s">
        <v>7</v>
      </c>
      <c r="DW229" s="27" t="s">
        <v>8</v>
      </c>
      <c r="DZ229" s="27" t="s">
        <v>7</v>
      </c>
      <c r="EA229" s="27" t="s">
        <v>8</v>
      </c>
      <c r="ET229" s="27" t="s">
        <v>7</v>
      </c>
      <c r="EV229" s="27" t="s">
        <v>7</v>
      </c>
      <c r="FE229" s="27" t="s">
        <v>8</v>
      </c>
      <c r="FF229" s="27" t="s">
        <v>7</v>
      </c>
      <c r="FG229" s="27" t="s">
        <v>8</v>
      </c>
      <c r="FH229" s="27" t="s">
        <v>7</v>
      </c>
      <c r="FK229" s="27" t="s">
        <v>8</v>
      </c>
      <c r="FL229" s="27" t="s">
        <v>7</v>
      </c>
      <c r="FO229" s="27" t="s">
        <v>8</v>
      </c>
      <c r="GX229" s="27" t="s">
        <v>7</v>
      </c>
    </row>
    <row r="230" spans="1:207" x14ac:dyDescent="0.25">
      <c r="A230" s="30">
        <v>1.628894626777442</v>
      </c>
      <c r="E230"/>
      <c r="DM230" s="27" t="s">
        <v>8</v>
      </c>
      <c r="DN230" s="27" t="s">
        <v>7</v>
      </c>
      <c r="DO230" s="27" t="s">
        <v>8</v>
      </c>
      <c r="DP230" s="27" t="s">
        <v>7</v>
      </c>
      <c r="DV230" s="27" t="s">
        <v>7</v>
      </c>
      <c r="DW230" s="27" t="s">
        <v>8</v>
      </c>
      <c r="DZ230" s="27" t="s">
        <v>7</v>
      </c>
      <c r="EA230" s="27" t="s">
        <v>8</v>
      </c>
      <c r="EV230" s="27" t="s">
        <v>7</v>
      </c>
      <c r="EW230" s="27" t="s">
        <v>8</v>
      </c>
      <c r="FA230" s="27" t="s">
        <v>8</v>
      </c>
      <c r="FC230" s="27" t="s">
        <v>8</v>
      </c>
      <c r="FE230" s="27" t="s">
        <v>8</v>
      </c>
      <c r="FF230" s="27" t="s">
        <v>7</v>
      </c>
      <c r="FG230" s="27" t="s">
        <v>8</v>
      </c>
      <c r="FH230" s="27" t="s">
        <v>7</v>
      </c>
      <c r="FK230" s="27" t="s">
        <v>8</v>
      </c>
      <c r="FL230" s="27" t="s">
        <v>7</v>
      </c>
      <c r="FO230" s="33" t="s">
        <v>8</v>
      </c>
      <c r="GX230" s="27" t="s">
        <v>7</v>
      </c>
    </row>
    <row r="231" spans="1:207" x14ac:dyDescent="0.25">
      <c r="A231" s="30">
        <v>1.5513282159785162</v>
      </c>
      <c r="C231"/>
      <c r="D231"/>
      <c r="E231"/>
      <c r="BW231" s="27" t="s">
        <v>8</v>
      </c>
      <c r="DM231" s="27" t="s">
        <v>8</v>
      </c>
      <c r="DN231" s="27" t="s">
        <v>7</v>
      </c>
      <c r="DV231" s="27" t="s">
        <v>7</v>
      </c>
      <c r="DW231" s="27" t="s">
        <v>8</v>
      </c>
      <c r="DZ231" s="27" t="s">
        <v>7</v>
      </c>
      <c r="EV231" s="27" t="s">
        <v>7</v>
      </c>
      <c r="EW231" s="27" t="s">
        <v>8</v>
      </c>
      <c r="EX231" s="27" t="s">
        <v>7</v>
      </c>
      <c r="EY231" s="27" t="s">
        <v>8</v>
      </c>
      <c r="FA231" s="27" t="s">
        <v>8</v>
      </c>
      <c r="FB231" s="27" t="s">
        <v>7</v>
      </c>
      <c r="FC231" s="27" t="s">
        <v>8</v>
      </c>
      <c r="FD231" s="27" t="s">
        <v>7</v>
      </c>
      <c r="FE231" s="27" t="s">
        <v>8</v>
      </c>
      <c r="FF231" s="27" t="s">
        <v>7</v>
      </c>
      <c r="FH231" s="27" t="s">
        <v>7</v>
      </c>
      <c r="FI231" s="27" t="s">
        <v>8</v>
      </c>
      <c r="FK231" s="27" t="s">
        <v>8</v>
      </c>
      <c r="FL231" s="27" t="s">
        <v>7</v>
      </c>
      <c r="FM231" s="27" t="s">
        <v>8</v>
      </c>
      <c r="FO231" s="27" t="s">
        <v>8</v>
      </c>
      <c r="GX231" s="27" t="s">
        <v>7</v>
      </c>
    </row>
    <row r="232" spans="1:207" x14ac:dyDescent="0.25">
      <c r="A232" s="30">
        <v>1.477455443789063</v>
      </c>
      <c r="E232"/>
      <c r="BW232" s="27" t="s">
        <v>8</v>
      </c>
      <c r="BX232" s="27" t="s">
        <v>7</v>
      </c>
      <c r="DM232" s="27" t="s">
        <v>8</v>
      </c>
      <c r="DV232" s="27" t="s">
        <v>7</v>
      </c>
      <c r="EV232" s="27" t="s">
        <v>7</v>
      </c>
      <c r="EW232" s="27" t="s">
        <v>8</v>
      </c>
      <c r="EX232" s="27" t="s">
        <v>7</v>
      </c>
      <c r="EY232" s="27" t="s">
        <v>8</v>
      </c>
      <c r="EZ232" s="27" t="s">
        <v>7</v>
      </c>
      <c r="FA232" s="27" t="s">
        <v>8</v>
      </c>
      <c r="FB232" s="27" t="s">
        <v>7</v>
      </c>
      <c r="FC232" s="27" t="s">
        <v>8</v>
      </c>
      <c r="FD232" s="27" t="s">
        <v>7</v>
      </c>
      <c r="FE232" s="27" t="s">
        <v>8</v>
      </c>
      <c r="FH232" s="27" t="s">
        <v>7</v>
      </c>
      <c r="FI232" s="27" t="s">
        <v>8</v>
      </c>
      <c r="FJ232" s="27" t="s">
        <v>7</v>
      </c>
      <c r="FK232" s="27" t="s">
        <v>8</v>
      </c>
      <c r="FL232" s="27" t="s">
        <v>7</v>
      </c>
      <c r="FM232" s="27" t="s">
        <v>8</v>
      </c>
      <c r="FN232" s="27" t="s">
        <v>7</v>
      </c>
      <c r="FO232" s="27" t="s">
        <v>8</v>
      </c>
      <c r="GX232" s="27" t="s">
        <v>7</v>
      </c>
    </row>
    <row r="233" spans="1:207" x14ac:dyDescent="0.25">
      <c r="A233" s="30">
        <v>1.4071004226562505</v>
      </c>
      <c r="E233"/>
      <c r="BW233" s="27" t="s">
        <v>8</v>
      </c>
      <c r="BX233" s="27" t="s">
        <v>7</v>
      </c>
      <c r="DI233" s="27" t="s">
        <v>8</v>
      </c>
      <c r="DM233" s="27" t="s">
        <v>8</v>
      </c>
      <c r="EV233" s="27" t="s">
        <v>7</v>
      </c>
      <c r="EW233" s="27" t="s">
        <v>8</v>
      </c>
      <c r="EX233" s="27" t="s">
        <v>7</v>
      </c>
      <c r="EY233" s="27" t="s">
        <v>8</v>
      </c>
      <c r="EZ233" s="27" t="s">
        <v>7</v>
      </c>
      <c r="FA233" s="27" t="s">
        <v>8</v>
      </c>
      <c r="FB233" s="27" t="s">
        <v>7</v>
      </c>
      <c r="FD233" s="27" t="s">
        <v>7</v>
      </c>
      <c r="FE233" s="27" t="s">
        <v>8</v>
      </c>
      <c r="FH233" s="27" t="s">
        <v>7</v>
      </c>
      <c r="FI233" s="27" t="s">
        <v>8</v>
      </c>
      <c r="FJ233" s="27" t="s">
        <v>7</v>
      </c>
      <c r="FK233" s="27" t="s">
        <v>8</v>
      </c>
      <c r="FL233" s="27" t="s">
        <v>7</v>
      </c>
      <c r="FM233" s="27" t="s">
        <v>8</v>
      </c>
      <c r="FN233" s="27" t="s">
        <v>7</v>
      </c>
      <c r="FO233" s="27" t="s">
        <v>8</v>
      </c>
      <c r="GX233" s="27" t="s">
        <v>7</v>
      </c>
    </row>
    <row r="234" spans="1:207" x14ac:dyDescent="0.25">
      <c r="A234" s="30">
        <v>1.3400956406250004</v>
      </c>
      <c r="E234"/>
      <c r="BU234" s="27" t="s">
        <v>8</v>
      </c>
      <c r="BW234" s="27" t="s">
        <v>8</v>
      </c>
      <c r="BX234" s="27" t="s">
        <v>7</v>
      </c>
      <c r="DI234" s="27" t="s">
        <v>8</v>
      </c>
      <c r="DJ234" s="27" t="s">
        <v>7</v>
      </c>
      <c r="DK234" s="27" t="s">
        <v>8</v>
      </c>
      <c r="DM234" s="27" t="s">
        <v>8</v>
      </c>
      <c r="EV234" s="27" t="s">
        <v>7</v>
      </c>
      <c r="EW234" s="27" t="s">
        <v>8</v>
      </c>
      <c r="EX234" s="27" t="s">
        <v>7</v>
      </c>
      <c r="EY234" s="27" t="s">
        <v>8</v>
      </c>
      <c r="EZ234" s="27" t="s">
        <v>7</v>
      </c>
      <c r="FA234" s="27" t="s">
        <v>8</v>
      </c>
      <c r="FD234" s="27" t="s">
        <v>7</v>
      </c>
      <c r="FE234" s="27" t="s">
        <v>8</v>
      </c>
      <c r="FH234" s="27" t="s">
        <v>7</v>
      </c>
      <c r="FJ234" s="27" t="s">
        <v>7</v>
      </c>
      <c r="FL234" s="27" t="s">
        <v>7</v>
      </c>
      <c r="FM234" s="27" t="s">
        <v>8</v>
      </c>
      <c r="FN234" s="27" t="s">
        <v>7</v>
      </c>
      <c r="FO234" s="27" t="s">
        <v>8</v>
      </c>
      <c r="GX234" s="27" t="s">
        <v>7</v>
      </c>
    </row>
    <row r="235" spans="1:207" x14ac:dyDescent="0.25">
      <c r="A235" s="30">
        <v>1.2762815625000004</v>
      </c>
      <c r="C235"/>
      <c r="E235"/>
      <c r="BU235" s="27" t="s">
        <v>8</v>
      </c>
      <c r="BV235" s="27" t="s">
        <v>7</v>
      </c>
      <c r="BW235" s="27" t="s">
        <v>8</v>
      </c>
      <c r="BX235" s="27" t="s">
        <v>7</v>
      </c>
      <c r="BY235" s="27" t="s">
        <v>8</v>
      </c>
      <c r="DE235" s="27" t="s">
        <v>8</v>
      </c>
      <c r="DG235" s="27" t="s">
        <v>8</v>
      </c>
      <c r="DI235" s="27" t="s">
        <v>8</v>
      </c>
      <c r="DJ235" s="27" t="s">
        <v>7</v>
      </c>
      <c r="DK235" s="27" t="s">
        <v>8</v>
      </c>
      <c r="DL235" s="27" t="s">
        <v>7</v>
      </c>
      <c r="DM235" s="27" t="s">
        <v>8</v>
      </c>
      <c r="EV235" s="27" t="s">
        <v>7</v>
      </c>
      <c r="EW235" s="27" t="s">
        <v>8</v>
      </c>
      <c r="EX235" s="27" t="s">
        <v>7</v>
      </c>
      <c r="EY235" s="27" t="s">
        <v>8</v>
      </c>
      <c r="EZ235" s="27" t="s">
        <v>7</v>
      </c>
      <c r="FA235" s="27" t="s">
        <v>8</v>
      </c>
      <c r="FD235" s="27" t="s">
        <v>7</v>
      </c>
      <c r="FL235" s="32" t="s">
        <v>7</v>
      </c>
      <c r="FN235" s="27" t="s">
        <v>7</v>
      </c>
      <c r="GX235" s="27" t="s">
        <v>7</v>
      </c>
    </row>
    <row r="236" spans="1:207" x14ac:dyDescent="0.25">
      <c r="A236" s="30">
        <v>1.2155062500000002</v>
      </c>
      <c r="E236"/>
      <c r="BU236" s="27" t="s">
        <v>8</v>
      </c>
      <c r="BV236" s="27" t="s">
        <v>7</v>
      </c>
      <c r="BW236" s="27" t="s">
        <v>8</v>
      </c>
      <c r="BX236" s="27" t="s">
        <v>7</v>
      </c>
      <c r="BY236" s="27" t="s">
        <v>8</v>
      </c>
      <c r="BZ236" s="27" t="s">
        <v>7</v>
      </c>
      <c r="DE236" s="27" t="s">
        <v>8</v>
      </c>
      <c r="DF236" s="27" t="s">
        <v>7</v>
      </c>
      <c r="DG236" s="27" t="s">
        <v>8</v>
      </c>
      <c r="DH236" s="27" t="s">
        <v>7</v>
      </c>
      <c r="DI236" s="27" t="s">
        <v>8</v>
      </c>
      <c r="DJ236" s="27" t="s">
        <v>7</v>
      </c>
      <c r="DK236" s="27" t="s">
        <v>8</v>
      </c>
      <c r="DL236" s="27" t="s">
        <v>7</v>
      </c>
      <c r="DM236" s="27" t="s">
        <v>8</v>
      </c>
      <c r="EV236" s="27" t="s">
        <v>7</v>
      </c>
      <c r="EW236" s="27" t="s">
        <v>8</v>
      </c>
      <c r="EX236" s="27" t="s">
        <v>7</v>
      </c>
      <c r="EZ236" s="27" t="s">
        <v>7</v>
      </c>
      <c r="FA236" s="27" t="s">
        <v>8</v>
      </c>
      <c r="GX236" s="27" t="s">
        <v>7</v>
      </c>
    </row>
    <row r="237" spans="1:207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S237" s="27" t="s">
        <v>8</v>
      </c>
      <c r="BU237" s="27" t="s">
        <v>8</v>
      </c>
      <c r="BV237" s="27" t="s">
        <v>7</v>
      </c>
      <c r="BW237" s="27" t="s">
        <v>8</v>
      </c>
      <c r="BX237" s="27" t="s">
        <v>7</v>
      </c>
      <c r="BY237" s="27" t="s">
        <v>8</v>
      </c>
      <c r="BZ237" s="27" t="s">
        <v>7</v>
      </c>
      <c r="CA237" s="27" t="s">
        <v>8</v>
      </c>
      <c r="CC237" s="27" t="s">
        <v>8</v>
      </c>
      <c r="CM237" s="27" t="s">
        <v>8</v>
      </c>
      <c r="DE237" s="27" t="s">
        <v>8</v>
      </c>
      <c r="DF237" s="27" t="s">
        <v>7</v>
      </c>
      <c r="DG237" s="27" t="s">
        <v>8</v>
      </c>
      <c r="DH237" s="27" t="s">
        <v>7</v>
      </c>
      <c r="DI237" s="27" t="s">
        <v>8</v>
      </c>
      <c r="DJ237" s="27" t="s">
        <v>7</v>
      </c>
      <c r="DK237" s="27" t="s">
        <v>8</v>
      </c>
      <c r="DL237" s="27" t="s">
        <v>7</v>
      </c>
      <c r="EV237" s="27" t="s">
        <v>7</v>
      </c>
      <c r="EW237" s="27" t="s">
        <v>8</v>
      </c>
      <c r="EZ237" s="27" t="s">
        <v>7</v>
      </c>
      <c r="FA237" s="27" t="s">
        <v>8</v>
      </c>
      <c r="GX237" s="27" t="s">
        <v>7</v>
      </c>
      <c r="GY237" s="27" t="s">
        <v>8</v>
      </c>
    </row>
    <row r="238" spans="1:207" x14ac:dyDescent="0.25">
      <c r="A238" s="30">
        <v>1.1025</v>
      </c>
      <c r="E238"/>
      <c r="BS238" s="27" t="s">
        <v>8</v>
      </c>
      <c r="BT238" s="27" t="s">
        <v>7</v>
      </c>
      <c r="BU238" s="27" t="s">
        <v>8</v>
      </c>
      <c r="BV238" s="27" t="s">
        <v>7</v>
      </c>
      <c r="BX238" s="27" t="s">
        <v>7</v>
      </c>
      <c r="BZ238" s="27" t="s">
        <v>7</v>
      </c>
      <c r="CA238" s="27" t="s">
        <v>8</v>
      </c>
      <c r="CB238" s="27" t="s">
        <v>7</v>
      </c>
      <c r="CC238" s="27" t="s">
        <v>8</v>
      </c>
      <c r="CD238" s="27" t="s">
        <v>7</v>
      </c>
      <c r="CM238" s="27" t="s">
        <v>8</v>
      </c>
      <c r="CN238" s="27" t="s">
        <v>7</v>
      </c>
      <c r="DE238" s="27" t="s">
        <v>8</v>
      </c>
      <c r="DF238" s="27" t="s">
        <v>7</v>
      </c>
      <c r="DG238" s="27" t="s">
        <v>8</v>
      </c>
      <c r="DH238" s="27" t="s">
        <v>7</v>
      </c>
      <c r="DJ238" s="27" t="s">
        <v>7</v>
      </c>
      <c r="DK238" s="27" t="s">
        <v>8</v>
      </c>
      <c r="EV238" s="27" t="s">
        <v>7</v>
      </c>
      <c r="EW238" s="27" t="s">
        <v>8</v>
      </c>
      <c r="EZ238" s="27" t="s">
        <v>7</v>
      </c>
      <c r="FA238" s="27" t="s">
        <v>8</v>
      </c>
      <c r="GX238" s="27" t="s">
        <v>7</v>
      </c>
      <c r="GY238" s="27" t="s">
        <v>8</v>
      </c>
    </row>
    <row r="239" spans="1:207" x14ac:dyDescent="0.25">
      <c r="A239" s="30">
        <v>1.05</v>
      </c>
      <c r="E239"/>
      <c r="BS239" s="27" t="s">
        <v>8</v>
      </c>
      <c r="BT239" s="27" t="s">
        <v>7</v>
      </c>
      <c r="BU239" s="27" t="s">
        <v>8</v>
      </c>
      <c r="BZ239" s="27" t="s">
        <v>7</v>
      </c>
      <c r="CA239" s="27" t="s">
        <v>8</v>
      </c>
      <c r="CB239" s="27" t="s">
        <v>7</v>
      </c>
      <c r="CC239" s="27" t="s">
        <v>8</v>
      </c>
      <c r="CD239" s="27" t="s">
        <v>7</v>
      </c>
      <c r="CM239" s="27" t="s">
        <v>8</v>
      </c>
      <c r="CN239" s="27" t="s">
        <v>7</v>
      </c>
      <c r="DE239" s="27" t="s">
        <v>8</v>
      </c>
      <c r="DF239" s="27" t="s">
        <v>7</v>
      </c>
      <c r="DG239" s="27" t="s">
        <v>8</v>
      </c>
      <c r="DJ239" s="27" t="s">
        <v>7</v>
      </c>
      <c r="EV239" s="27" t="s">
        <v>7</v>
      </c>
      <c r="EW239" s="27" t="s">
        <v>8</v>
      </c>
      <c r="EZ239" s="27" t="s">
        <v>7</v>
      </c>
      <c r="GX239" s="27" t="s">
        <v>7</v>
      </c>
      <c r="GY239" s="27" t="s">
        <v>8</v>
      </c>
    </row>
    <row r="240" spans="1:207" x14ac:dyDescent="0.25">
      <c r="A240" s="30">
        <v>1</v>
      </c>
      <c r="E240" s="29" t="s">
        <v>8</v>
      </c>
      <c r="BQ240" s="27" t="s">
        <v>8</v>
      </c>
      <c r="BS240" s="27" t="s">
        <v>8</v>
      </c>
      <c r="BT240" s="27" t="s">
        <v>7</v>
      </c>
      <c r="BU240" s="27" t="s">
        <v>8</v>
      </c>
      <c r="BZ240" s="27" t="s">
        <v>7</v>
      </c>
      <c r="CB240" s="27" t="s">
        <v>7</v>
      </c>
      <c r="CC240" s="27" t="s">
        <v>8</v>
      </c>
      <c r="CD240" s="27" t="s">
        <v>7</v>
      </c>
      <c r="CM240" s="27" t="s">
        <v>8</v>
      </c>
      <c r="CN240" s="27" t="s">
        <v>7</v>
      </c>
      <c r="DE240" s="27" t="s">
        <v>8</v>
      </c>
      <c r="DF240" s="27" t="s">
        <v>7</v>
      </c>
      <c r="EV240" s="27" t="s">
        <v>7</v>
      </c>
      <c r="EW240" s="27" t="s">
        <v>8</v>
      </c>
      <c r="GX240" s="27" t="s">
        <v>7</v>
      </c>
      <c r="GY240" s="27" t="s">
        <v>8</v>
      </c>
    </row>
    <row r="241" spans="1:206" x14ac:dyDescent="0.25">
      <c r="A241" s="30">
        <v>0.952380952380952</v>
      </c>
      <c r="B241"/>
      <c r="C241"/>
      <c r="D241"/>
      <c r="E241"/>
      <c r="F241" s="27" t="s">
        <v>7</v>
      </c>
      <c r="BQ241" s="27" t="s">
        <v>8</v>
      </c>
      <c r="BR241" s="27" t="s">
        <v>7</v>
      </c>
      <c r="BS241" s="27" t="s">
        <v>8</v>
      </c>
      <c r="BT241" s="27" t="s">
        <v>7</v>
      </c>
      <c r="BU241" s="27" t="s">
        <v>8</v>
      </c>
      <c r="CB241" s="27" t="s">
        <v>7</v>
      </c>
      <c r="CC241" s="27" t="s">
        <v>8</v>
      </c>
      <c r="CD241" s="27" t="s">
        <v>7</v>
      </c>
      <c r="CK241" s="27" t="s">
        <v>8</v>
      </c>
      <c r="CM241" s="27" t="s">
        <v>8</v>
      </c>
      <c r="CN241" s="27" t="s">
        <v>7</v>
      </c>
      <c r="DE241" s="27" t="s">
        <v>8</v>
      </c>
      <c r="EV241" s="27" t="s">
        <v>7</v>
      </c>
      <c r="GX241" s="27" t="s">
        <v>7</v>
      </c>
    </row>
    <row r="242" spans="1:206" x14ac:dyDescent="0.25">
      <c r="A242" s="30">
        <v>0.90702947845804915</v>
      </c>
      <c r="B242"/>
      <c r="C242"/>
      <c r="D242"/>
      <c r="E242"/>
      <c r="F242" s="27" t="s">
        <v>7</v>
      </c>
      <c r="BQ242" s="27" t="s">
        <v>8</v>
      </c>
      <c r="BR242" s="27" t="s">
        <v>7</v>
      </c>
      <c r="BS242" s="27" t="s">
        <v>8</v>
      </c>
      <c r="BT242" s="27" t="s">
        <v>7</v>
      </c>
      <c r="BU242" s="27" t="s">
        <v>8</v>
      </c>
      <c r="CB242" s="27" t="s">
        <v>7</v>
      </c>
      <c r="CD242" s="27" t="s">
        <v>7</v>
      </c>
      <c r="CK242" s="27" t="s">
        <v>8</v>
      </c>
      <c r="CL242" s="27" t="s">
        <v>7</v>
      </c>
      <c r="CM242" s="27" t="s">
        <v>8</v>
      </c>
      <c r="CN242" s="27" t="s">
        <v>7</v>
      </c>
      <c r="DE242" s="27" t="s">
        <v>8</v>
      </c>
    </row>
    <row r="243" spans="1:206" x14ac:dyDescent="0.25">
      <c r="A243" s="30">
        <v>0.86383759853147501</v>
      </c>
      <c r="B243"/>
      <c r="C243"/>
      <c r="D243"/>
      <c r="E243"/>
      <c r="F243" s="27" t="s">
        <v>7</v>
      </c>
      <c r="BQ243" s="27" t="s">
        <v>8</v>
      </c>
      <c r="BR243" s="27" t="s">
        <v>7</v>
      </c>
      <c r="BT243" s="27" t="s">
        <v>7</v>
      </c>
      <c r="BU243" s="27" t="s">
        <v>8</v>
      </c>
      <c r="CD243" s="27" t="s">
        <v>7</v>
      </c>
      <c r="CK243" s="27" t="s">
        <v>8</v>
      </c>
      <c r="CL243" s="27" t="s">
        <v>7</v>
      </c>
      <c r="CM243" s="27" t="s">
        <v>8</v>
      </c>
      <c r="CN243" s="27" t="s">
        <v>7</v>
      </c>
      <c r="CW243" s="27" t="s">
        <v>8</v>
      </c>
      <c r="DA243" s="27" t="s">
        <v>8</v>
      </c>
      <c r="DE243" s="27" t="s">
        <v>8</v>
      </c>
    </row>
    <row r="244" spans="1:206" x14ac:dyDescent="0.25">
      <c r="A244" s="30">
        <v>0.82270247479188063</v>
      </c>
      <c r="B244"/>
      <c r="C244"/>
      <c r="D244"/>
      <c r="E244"/>
      <c r="F244" s="27" t="s">
        <v>7</v>
      </c>
      <c r="BQ244" s="27" t="s">
        <v>8</v>
      </c>
      <c r="BT244" s="27" t="s">
        <v>7</v>
      </c>
      <c r="BU244" s="27" t="s">
        <v>8</v>
      </c>
      <c r="CD244" s="27" t="s">
        <v>7</v>
      </c>
      <c r="CK244" s="27" t="s">
        <v>8</v>
      </c>
      <c r="CL244" s="27" t="s">
        <v>7</v>
      </c>
      <c r="CM244" s="27" t="s">
        <v>8</v>
      </c>
      <c r="CN244" s="27" t="s">
        <v>7</v>
      </c>
      <c r="CO244" s="27" t="s">
        <v>8</v>
      </c>
      <c r="CW244" s="27" t="s">
        <v>8</v>
      </c>
      <c r="CX244" s="27" t="s">
        <v>7</v>
      </c>
      <c r="DA244" s="27" t="s">
        <v>8</v>
      </c>
      <c r="DB244" s="27" t="s">
        <v>7</v>
      </c>
      <c r="DE244" s="27" t="s">
        <v>8</v>
      </c>
    </row>
    <row r="245" spans="1:206" x14ac:dyDescent="0.25">
      <c r="A245" s="30">
        <v>0.78352616646845741</v>
      </c>
      <c r="B245"/>
      <c r="C245"/>
      <c r="D245"/>
      <c r="E245"/>
      <c r="F245" s="27" t="s">
        <v>7</v>
      </c>
      <c r="BO245" s="27" t="s">
        <v>8</v>
      </c>
      <c r="BQ245" s="27" t="s">
        <v>8</v>
      </c>
      <c r="BT245" s="27" t="s">
        <v>7</v>
      </c>
      <c r="CD245" s="27" t="s">
        <v>7</v>
      </c>
      <c r="CE245" s="27" t="s">
        <v>8</v>
      </c>
      <c r="CI245" s="27" t="s">
        <v>8</v>
      </c>
      <c r="CK245" s="27" t="s">
        <v>8</v>
      </c>
      <c r="CL245" s="27" t="s">
        <v>7</v>
      </c>
      <c r="CM245" s="27" t="s">
        <v>8</v>
      </c>
      <c r="CN245" s="27" t="s">
        <v>7</v>
      </c>
      <c r="CO245" s="27" t="s">
        <v>8</v>
      </c>
      <c r="CP245" s="27" t="s">
        <v>7</v>
      </c>
      <c r="CW245" s="27" t="s">
        <v>8</v>
      </c>
      <c r="CX245" s="27" t="s">
        <v>7</v>
      </c>
      <c r="CY245" s="27" t="s">
        <v>8</v>
      </c>
      <c r="DA245" s="27" t="s">
        <v>8</v>
      </c>
      <c r="DB245" s="27" t="s">
        <v>7</v>
      </c>
      <c r="DE245" s="27" t="s">
        <v>8</v>
      </c>
    </row>
    <row r="246" spans="1:206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W246" s="27" t="s">
        <v>8</v>
      </c>
      <c r="BO246" s="27" t="s">
        <v>8</v>
      </c>
      <c r="BP246" s="27" t="s">
        <v>7</v>
      </c>
      <c r="BQ246" s="27" t="s">
        <v>8</v>
      </c>
      <c r="CD246" s="27" t="s">
        <v>7</v>
      </c>
      <c r="CE246" s="27" t="s">
        <v>8</v>
      </c>
      <c r="CF246" s="27" t="s">
        <v>7</v>
      </c>
      <c r="CI246" s="27" t="s">
        <v>8</v>
      </c>
      <c r="CJ246" s="27" t="s">
        <v>7</v>
      </c>
      <c r="CK246" s="27" t="s">
        <v>8</v>
      </c>
      <c r="CL246" s="27" t="s">
        <v>7</v>
      </c>
      <c r="CN246" s="27" t="s">
        <v>7</v>
      </c>
      <c r="CO246" s="27" t="s">
        <v>8</v>
      </c>
      <c r="CP246" s="27" t="s">
        <v>7</v>
      </c>
      <c r="CW246" s="27" t="s">
        <v>8</v>
      </c>
      <c r="CX246" s="27" t="s">
        <v>7</v>
      </c>
      <c r="CY246" s="27" t="s">
        <v>8</v>
      </c>
      <c r="CZ246" s="27" t="s">
        <v>7</v>
      </c>
      <c r="DA246" s="27" t="s">
        <v>8</v>
      </c>
      <c r="DB246" s="27" t="s">
        <v>7</v>
      </c>
      <c r="DC246" s="27" t="s">
        <v>8</v>
      </c>
      <c r="DE246" s="27" t="s">
        <v>8</v>
      </c>
    </row>
    <row r="247" spans="1:206" x14ac:dyDescent="0.25">
      <c r="A247" s="30">
        <v>0.71068133013011958</v>
      </c>
      <c r="B247"/>
      <c r="C247"/>
      <c r="D247"/>
      <c r="E247"/>
      <c r="F247" s="27" t="s">
        <v>7</v>
      </c>
      <c r="G247" s="27" t="s">
        <v>8</v>
      </c>
      <c r="H247" s="27" t="s">
        <v>7</v>
      </c>
      <c r="W247" s="27" t="s">
        <v>8</v>
      </c>
      <c r="X247" s="27" t="s">
        <v>7</v>
      </c>
      <c r="AC247" s="27" t="s">
        <v>8</v>
      </c>
      <c r="BO247" s="27" t="s">
        <v>8</v>
      </c>
      <c r="BP247" s="27" t="s">
        <v>7</v>
      </c>
      <c r="BQ247" s="27" t="s">
        <v>8</v>
      </c>
      <c r="CD247" s="27" t="s">
        <v>7</v>
      </c>
      <c r="CE247" s="27" t="s">
        <v>8</v>
      </c>
      <c r="CF247" s="27" t="s">
        <v>7</v>
      </c>
      <c r="CI247" s="27" t="s">
        <v>8</v>
      </c>
      <c r="CJ247" s="27" t="s">
        <v>7</v>
      </c>
      <c r="CK247" s="27" t="s">
        <v>8</v>
      </c>
      <c r="CN247" s="27" t="s">
        <v>7</v>
      </c>
      <c r="CO247" s="27" t="s">
        <v>8</v>
      </c>
      <c r="CP247" s="27" t="s">
        <v>7</v>
      </c>
      <c r="CQ247" s="27" t="s">
        <v>8</v>
      </c>
      <c r="CW247" s="27" t="s">
        <v>8</v>
      </c>
      <c r="CX247" s="27" t="s">
        <v>7</v>
      </c>
      <c r="CY247" s="27" t="s">
        <v>8</v>
      </c>
      <c r="CZ247" s="27" t="s">
        <v>7</v>
      </c>
      <c r="DA247" s="27" t="s">
        <v>8</v>
      </c>
      <c r="DB247" s="27" t="s">
        <v>7</v>
      </c>
      <c r="DC247" s="27" t="s">
        <v>8</v>
      </c>
      <c r="DD247" s="27" t="s">
        <v>7</v>
      </c>
      <c r="DE247" s="27" t="s">
        <v>8</v>
      </c>
    </row>
    <row r="248" spans="1:206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H248" s="27" t="s">
        <v>7</v>
      </c>
      <c r="W248" s="27" t="s">
        <v>8</v>
      </c>
      <c r="X248" s="27" t="s">
        <v>7</v>
      </c>
      <c r="AA248" s="27" t="s">
        <v>8</v>
      </c>
      <c r="AC248" s="27" t="s">
        <v>8</v>
      </c>
      <c r="AD248" s="27" t="s">
        <v>7</v>
      </c>
      <c r="AK248" s="27" t="s">
        <v>8</v>
      </c>
      <c r="BO248" s="27" t="s">
        <v>8</v>
      </c>
      <c r="BP248" s="27" t="s">
        <v>7</v>
      </c>
      <c r="CD248" s="27" t="s">
        <v>7</v>
      </c>
      <c r="CE248" s="27" t="s">
        <v>8</v>
      </c>
      <c r="CF248" s="27" t="s">
        <v>7</v>
      </c>
      <c r="CG248" s="27" t="s">
        <v>8</v>
      </c>
      <c r="CI248" s="27" t="s">
        <v>8</v>
      </c>
      <c r="CJ248" s="27" t="s">
        <v>7</v>
      </c>
      <c r="CK248" s="27" t="s">
        <v>8</v>
      </c>
      <c r="CN248" s="27" t="s">
        <v>7</v>
      </c>
      <c r="CO248" s="27" t="s">
        <v>8</v>
      </c>
      <c r="CP248" s="27" t="s">
        <v>7</v>
      </c>
      <c r="CQ248" s="27" t="s">
        <v>8</v>
      </c>
      <c r="CR248" s="27" t="s">
        <v>7</v>
      </c>
      <c r="CS248" s="27" t="s">
        <v>8</v>
      </c>
      <c r="CW248" s="27" t="s">
        <v>8</v>
      </c>
      <c r="CX248" s="27" t="s">
        <v>7</v>
      </c>
      <c r="CY248" s="27" t="s">
        <v>8</v>
      </c>
      <c r="CZ248" s="27" t="s">
        <v>7</v>
      </c>
      <c r="DA248" s="27" t="s">
        <v>8</v>
      </c>
      <c r="DB248" s="27" t="s">
        <v>7</v>
      </c>
      <c r="DC248" s="27" t="s">
        <v>8</v>
      </c>
      <c r="DD248" s="27" t="s">
        <v>7</v>
      </c>
      <c r="DE248" s="27" t="s">
        <v>8</v>
      </c>
    </row>
    <row r="249" spans="1:206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  <c r="H249" s="27" t="s">
        <v>7</v>
      </c>
      <c r="W249" s="27" t="s">
        <v>8</v>
      </c>
      <c r="X249" s="27" t="s">
        <v>7</v>
      </c>
      <c r="AA249" s="27" t="s">
        <v>8</v>
      </c>
      <c r="AB249" s="27" t="s">
        <v>7</v>
      </c>
      <c r="AC249" s="27" t="s">
        <v>8</v>
      </c>
      <c r="AD249" s="27" t="s">
        <v>7</v>
      </c>
      <c r="AK249" s="27" t="s">
        <v>8</v>
      </c>
      <c r="AL249" s="27" t="s">
        <v>7</v>
      </c>
      <c r="AM249" s="27" t="s">
        <v>8</v>
      </c>
      <c r="BO249" s="27" t="s">
        <v>8</v>
      </c>
      <c r="CD249" s="27" t="s">
        <v>7</v>
      </c>
      <c r="CF249" s="27" t="s">
        <v>7</v>
      </c>
      <c r="CG249" s="27" t="s">
        <v>8</v>
      </c>
      <c r="CH249" s="27" t="s">
        <v>7</v>
      </c>
      <c r="CI249" s="27" t="s">
        <v>8</v>
      </c>
      <c r="CJ249" s="27" t="s">
        <v>7</v>
      </c>
      <c r="CK249" s="27" t="s">
        <v>8</v>
      </c>
      <c r="CN249" s="27" t="s">
        <v>7</v>
      </c>
      <c r="CP249" s="27" t="s">
        <v>7</v>
      </c>
      <c r="CQ249" s="27" t="s">
        <v>8</v>
      </c>
      <c r="CR249" s="27" t="s">
        <v>7</v>
      </c>
      <c r="CS249" s="27" t="s">
        <v>8</v>
      </c>
      <c r="CT249" s="27" t="s">
        <v>7</v>
      </c>
      <c r="CU249" s="27" t="s">
        <v>8</v>
      </c>
      <c r="CW249" s="27" t="s">
        <v>8</v>
      </c>
      <c r="CX249" s="27" t="s">
        <v>7</v>
      </c>
      <c r="CY249" s="27" t="s">
        <v>8</v>
      </c>
      <c r="CZ249" s="27" t="s">
        <v>7</v>
      </c>
      <c r="DB249" s="27" t="s">
        <v>7</v>
      </c>
      <c r="DC249" s="27" t="s">
        <v>8</v>
      </c>
      <c r="DD249" s="27" t="s">
        <v>7</v>
      </c>
    </row>
    <row r="250" spans="1:206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H250" s="27" t="s">
        <v>7</v>
      </c>
      <c r="W250" s="27" t="s">
        <v>8</v>
      </c>
      <c r="X250" s="27" t="s">
        <v>7</v>
      </c>
      <c r="AA250" s="27" t="s">
        <v>8</v>
      </c>
      <c r="AB250" s="27" t="s">
        <v>7</v>
      </c>
      <c r="AC250" s="27" t="s">
        <v>8</v>
      </c>
      <c r="AD250" s="27" t="s">
        <v>7</v>
      </c>
      <c r="AK250" s="27" t="s">
        <v>8</v>
      </c>
      <c r="AL250" s="27" t="s">
        <v>7</v>
      </c>
      <c r="AM250" s="27" t="s">
        <v>8</v>
      </c>
      <c r="AN250" s="27" t="s">
        <v>7</v>
      </c>
      <c r="AO250" s="27" t="s">
        <v>8</v>
      </c>
      <c r="BO250" s="27" t="s">
        <v>8</v>
      </c>
      <c r="CF250" s="27" t="s">
        <v>7</v>
      </c>
      <c r="CG250" s="27" t="s">
        <v>8</v>
      </c>
      <c r="CH250" s="27" t="s">
        <v>7</v>
      </c>
      <c r="CI250" s="27" t="s">
        <v>8</v>
      </c>
      <c r="CJ250" s="27" t="s">
        <v>7</v>
      </c>
      <c r="CK250" s="27" t="s">
        <v>8</v>
      </c>
      <c r="CP250" s="27" t="s">
        <v>7</v>
      </c>
      <c r="CR250" s="27" t="s">
        <v>7</v>
      </c>
      <c r="CS250" s="27" t="s">
        <v>8</v>
      </c>
      <c r="CT250" s="27" t="s">
        <v>7</v>
      </c>
      <c r="CU250" s="27" t="s">
        <v>8</v>
      </c>
      <c r="CV250" s="27" t="s">
        <v>7</v>
      </c>
      <c r="CW250" s="27" t="s">
        <v>8</v>
      </c>
      <c r="CX250" s="27" t="s">
        <v>7</v>
      </c>
      <c r="DB250" s="27" t="s">
        <v>7</v>
      </c>
      <c r="DC250" s="27" t="s">
        <v>8</v>
      </c>
    </row>
    <row r="251" spans="1:206" x14ac:dyDescent="0.25">
      <c r="A251" s="30">
        <v>0.58467928908643485</v>
      </c>
      <c r="B251"/>
      <c r="C251"/>
      <c r="D251"/>
      <c r="E251"/>
      <c r="F251" s="27" t="s">
        <v>7</v>
      </c>
      <c r="G251" s="27" t="s">
        <v>8</v>
      </c>
      <c r="H251" s="27" t="s">
        <v>7</v>
      </c>
      <c r="W251" s="27" t="s">
        <v>8</v>
      </c>
      <c r="X251" s="27" t="s">
        <v>7</v>
      </c>
      <c r="Y251" s="27" t="s">
        <v>8</v>
      </c>
      <c r="AA251" s="27" t="s">
        <v>8</v>
      </c>
      <c r="AB251" s="27" t="s">
        <v>7</v>
      </c>
      <c r="AC251" s="27" t="s">
        <v>8</v>
      </c>
      <c r="AD251" s="27" t="s">
        <v>7</v>
      </c>
      <c r="AK251" s="27" t="s">
        <v>8</v>
      </c>
      <c r="AL251" s="27" t="s">
        <v>7</v>
      </c>
      <c r="AM251" s="27" t="s">
        <v>8</v>
      </c>
      <c r="AN251" s="27" t="s">
        <v>7</v>
      </c>
      <c r="AO251" s="27" t="s">
        <v>8</v>
      </c>
      <c r="AP251" s="27" t="s">
        <v>7</v>
      </c>
      <c r="AQ251" s="27" t="s">
        <v>8</v>
      </c>
      <c r="BO251" s="27" t="s">
        <v>8</v>
      </c>
      <c r="CF251" s="27" t="s">
        <v>7</v>
      </c>
      <c r="CG251" s="27" t="s">
        <v>8</v>
      </c>
      <c r="CH251" s="27" t="s">
        <v>7</v>
      </c>
      <c r="CJ251" s="27" t="s">
        <v>7</v>
      </c>
      <c r="CR251" s="27" t="s">
        <v>7</v>
      </c>
      <c r="CT251" s="27" t="s">
        <v>7</v>
      </c>
      <c r="CU251" s="27" t="s">
        <v>8</v>
      </c>
      <c r="CV251" s="27" t="s">
        <v>7</v>
      </c>
      <c r="CW251" s="27" t="s">
        <v>8</v>
      </c>
      <c r="DB251" s="27" t="s">
        <v>7</v>
      </c>
    </row>
    <row r="252" spans="1:206" x14ac:dyDescent="0.25">
      <c r="A252" s="30">
        <v>0.55683741817755672</v>
      </c>
      <c r="B252"/>
      <c r="C252"/>
      <c r="D252"/>
      <c r="E252"/>
      <c r="F252" s="27" t="s">
        <v>7</v>
      </c>
      <c r="G252" s="27" t="s">
        <v>8</v>
      </c>
      <c r="H252" s="27" t="s">
        <v>7</v>
      </c>
      <c r="W252" s="27" t="s">
        <v>8</v>
      </c>
      <c r="X252" s="27" t="s">
        <v>7</v>
      </c>
      <c r="Y252" s="27" t="s">
        <v>8</v>
      </c>
      <c r="Z252" s="27" t="s">
        <v>7</v>
      </c>
      <c r="AA252" s="27" t="s">
        <v>8</v>
      </c>
      <c r="AB252" s="27" t="s">
        <v>7</v>
      </c>
      <c r="AC252" s="27" t="s">
        <v>8</v>
      </c>
      <c r="AD252" s="27" t="s">
        <v>7</v>
      </c>
      <c r="AI252" s="27" t="s">
        <v>8</v>
      </c>
      <c r="AK252" s="27" t="s">
        <v>8</v>
      </c>
      <c r="AL252" s="27" t="s">
        <v>7</v>
      </c>
      <c r="AN252" s="27" t="s">
        <v>7</v>
      </c>
      <c r="AO252" s="27" t="s">
        <v>8</v>
      </c>
      <c r="AP252" s="27" t="s">
        <v>7</v>
      </c>
      <c r="AQ252" s="27" t="s">
        <v>8</v>
      </c>
      <c r="AR252" s="27" t="s">
        <v>7</v>
      </c>
      <c r="BM252" s="27" t="s">
        <v>8</v>
      </c>
      <c r="BO252" s="27" t="s">
        <v>8</v>
      </c>
      <c r="CF252" s="27" t="s">
        <v>7</v>
      </c>
      <c r="CG252" s="27" t="s">
        <v>8</v>
      </c>
      <c r="CT252" s="27" t="s">
        <v>7</v>
      </c>
      <c r="CU252" s="27" t="s">
        <v>8</v>
      </c>
      <c r="CV252" s="27" t="s">
        <v>7</v>
      </c>
    </row>
    <row r="253" spans="1:206" x14ac:dyDescent="0.25">
      <c r="A253" s="30">
        <v>0.53032135064529184</v>
      </c>
      <c r="B253"/>
      <c r="C253"/>
      <c r="D253"/>
      <c r="E253"/>
      <c r="F253" s="27" t="s">
        <v>7</v>
      </c>
      <c r="G253" s="27" t="s">
        <v>8</v>
      </c>
      <c r="H253" s="27" t="s">
        <v>7</v>
      </c>
      <c r="I253" s="27" t="s">
        <v>8</v>
      </c>
      <c r="W253" s="27" t="s">
        <v>8</v>
      </c>
      <c r="X253" s="27" t="s">
        <v>7</v>
      </c>
      <c r="Y253" s="27" t="s">
        <v>8</v>
      </c>
      <c r="Z253" s="27" t="s">
        <v>7</v>
      </c>
      <c r="AA253" s="27" t="s">
        <v>8</v>
      </c>
      <c r="AB253" s="27" t="s">
        <v>7</v>
      </c>
      <c r="AD253" s="27" t="s">
        <v>7</v>
      </c>
      <c r="AI253" s="27" t="s">
        <v>8</v>
      </c>
      <c r="AJ253" s="27" t="s">
        <v>7</v>
      </c>
      <c r="AK253" s="27" t="s">
        <v>8</v>
      </c>
      <c r="AN253" s="27" t="s">
        <v>7</v>
      </c>
      <c r="AO253" s="27" t="s">
        <v>8</v>
      </c>
      <c r="AP253" s="27" t="s">
        <v>7</v>
      </c>
      <c r="AQ253" s="27" t="s">
        <v>8</v>
      </c>
      <c r="AR253" s="27" t="s">
        <v>7</v>
      </c>
      <c r="BM253" s="27" t="s">
        <v>8</v>
      </c>
      <c r="BN253" s="27" t="s">
        <v>7</v>
      </c>
      <c r="BO253" s="27" t="s">
        <v>8</v>
      </c>
      <c r="CF253" s="27" t="s">
        <v>7</v>
      </c>
      <c r="CT253" s="27" t="s">
        <v>7</v>
      </c>
      <c r="CU253" s="27" t="s">
        <v>8</v>
      </c>
    </row>
    <row r="254" spans="1:206" x14ac:dyDescent="0.25">
      <c r="A254" s="30">
        <v>0.50506795299551588</v>
      </c>
      <c r="B254"/>
      <c r="C254"/>
      <c r="D254"/>
      <c r="E254"/>
      <c r="F254" s="27" t="s">
        <v>7</v>
      </c>
      <c r="H254" s="27" t="s">
        <v>7</v>
      </c>
      <c r="I254" s="27" t="s">
        <v>8</v>
      </c>
      <c r="J254" s="27" t="s">
        <v>7</v>
      </c>
      <c r="W254" s="27" t="s">
        <v>8</v>
      </c>
      <c r="X254" s="27" t="s">
        <v>7</v>
      </c>
      <c r="Y254" s="27" t="s">
        <v>8</v>
      </c>
      <c r="Z254" s="27" t="s">
        <v>7</v>
      </c>
      <c r="AA254" s="27" t="s">
        <v>8</v>
      </c>
      <c r="AD254" s="27" t="s">
        <v>7</v>
      </c>
      <c r="AG254" s="27" t="s">
        <v>8</v>
      </c>
      <c r="AI254" s="27" t="s">
        <v>8</v>
      </c>
      <c r="AJ254" s="27" t="s">
        <v>7</v>
      </c>
      <c r="AK254" s="27" t="s">
        <v>8</v>
      </c>
      <c r="AN254" s="27" t="s">
        <v>7</v>
      </c>
      <c r="AO254" s="27" t="s">
        <v>8</v>
      </c>
      <c r="AP254" s="27" t="s">
        <v>7</v>
      </c>
      <c r="AQ254" s="27" t="s">
        <v>8</v>
      </c>
      <c r="AR254" s="27" t="s">
        <v>7</v>
      </c>
      <c r="BI254" s="27" t="s">
        <v>8</v>
      </c>
      <c r="BM254" s="27" t="s">
        <v>8</v>
      </c>
      <c r="BN254" s="27" t="s">
        <v>7</v>
      </c>
      <c r="BO254" s="27" t="s">
        <v>8</v>
      </c>
      <c r="CT254" s="27" t="s">
        <v>7</v>
      </c>
      <c r="CU254" s="27" t="s">
        <v>8</v>
      </c>
    </row>
    <row r="255" spans="1:206" x14ac:dyDescent="0.25">
      <c r="A255" s="30">
        <v>0.48101709809096732</v>
      </c>
      <c r="E255"/>
      <c r="H255" s="27" t="s">
        <v>7</v>
      </c>
      <c r="I255" s="27" t="s">
        <v>8</v>
      </c>
      <c r="J255" s="27" t="s">
        <v>7</v>
      </c>
      <c r="O255" s="27" t="s">
        <v>8</v>
      </c>
      <c r="W255" s="27" t="s">
        <v>8</v>
      </c>
      <c r="X255" s="27" t="s">
        <v>7</v>
      </c>
      <c r="Y255" s="27" t="s">
        <v>8</v>
      </c>
      <c r="Z255" s="27" t="s">
        <v>7</v>
      </c>
      <c r="AA255" s="27" t="s">
        <v>8</v>
      </c>
      <c r="AD255" s="27" t="s">
        <v>7</v>
      </c>
      <c r="AE255" s="27" t="s">
        <v>8</v>
      </c>
      <c r="AG255" s="27" t="s">
        <v>8</v>
      </c>
      <c r="AH255" s="27" t="s">
        <v>7</v>
      </c>
      <c r="AI255" s="27" t="s">
        <v>8</v>
      </c>
      <c r="AJ255" s="27" t="s">
        <v>7</v>
      </c>
      <c r="AN255" s="27" t="s">
        <v>7</v>
      </c>
      <c r="AP255" s="27" t="s">
        <v>7</v>
      </c>
      <c r="AQ255" s="27" t="s">
        <v>8</v>
      </c>
      <c r="AR255" s="27" t="s">
        <v>7</v>
      </c>
      <c r="BI255" s="27" t="s">
        <v>8</v>
      </c>
      <c r="BJ255" s="27" t="s">
        <v>7</v>
      </c>
      <c r="BM255" s="27" t="s">
        <v>8</v>
      </c>
      <c r="BN255" s="27" t="s">
        <v>7</v>
      </c>
      <c r="BO255" s="27" t="s">
        <v>8</v>
      </c>
      <c r="CT255" s="27" t="s">
        <v>7</v>
      </c>
    </row>
    <row r="256" spans="1:206" x14ac:dyDescent="0.25">
      <c r="A256" s="30">
        <v>0.45811152199139726</v>
      </c>
      <c r="E256"/>
      <c r="H256" s="27" t="s">
        <v>7</v>
      </c>
      <c r="J256" s="27" t="s">
        <v>7</v>
      </c>
      <c r="O256" s="27" t="s">
        <v>8</v>
      </c>
      <c r="P256" s="27" t="s">
        <v>7</v>
      </c>
      <c r="W256" s="27" t="s">
        <v>8</v>
      </c>
      <c r="X256" s="27" t="s">
        <v>7</v>
      </c>
      <c r="Y256" s="27" t="s">
        <v>8</v>
      </c>
      <c r="Z256" s="27" t="s">
        <v>7</v>
      </c>
      <c r="AD256" s="27" t="s">
        <v>7</v>
      </c>
      <c r="AE256" s="27" t="s">
        <v>8</v>
      </c>
      <c r="AF256" s="27" t="s">
        <v>7</v>
      </c>
      <c r="AG256" s="27" t="s">
        <v>8</v>
      </c>
      <c r="AH256" s="27" t="s">
        <v>7</v>
      </c>
      <c r="AI256" s="27" t="s">
        <v>8</v>
      </c>
      <c r="AP256" s="27" t="s">
        <v>7</v>
      </c>
      <c r="AR256" s="27" t="s">
        <v>7</v>
      </c>
      <c r="AS256" s="27" t="s">
        <v>8</v>
      </c>
      <c r="BI256" s="27" t="s">
        <v>8</v>
      </c>
      <c r="BJ256" s="27" t="s">
        <v>7</v>
      </c>
      <c r="BK256" s="27" t="s">
        <v>8</v>
      </c>
      <c r="BM256" s="27" t="s">
        <v>8</v>
      </c>
      <c r="BN256" s="27" t="s">
        <v>7</v>
      </c>
    </row>
    <row r="257" spans="1:65" x14ac:dyDescent="0.25">
      <c r="A257" s="30">
        <v>0.43629668761085438</v>
      </c>
      <c r="B257"/>
      <c r="C257"/>
      <c r="D257"/>
      <c r="E257"/>
      <c r="J257" s="27" t="s">
        <v>7</v>
      </c>
      <c r="K257" s="27" t="s">
        <v>8</v>
      </c>
      <c r="O257" s="27" t="s">
        <v>8</v>
      </c>
      <c r="P257" s="27" t="s">
        <v>7</v>
      </c>
      <c r="U257" s="27" t="s">
        <v>8</v>
      </c>
      <c r="W257" s="27" t="s">
        <v>8</v>
      </c>
      <c r="X257" s="27" t="s">
        <v>7</v>
      </c>
      <c r="Y257" s="27" t="s">
        <v>8</v>
      </c>
      <c r="AD257" s="27" t="s">
        <v>7</v>
      </c>
      <c r="AE257" s="27" t="s">
        <v>8</v>
      </c>
      <c r="AF257" s="27" t="s">
        <v>7</v>
      </c>
      <c r="AG257" s="27" t="s">
        <v>8</v>
      </c>
      <c r="AH257" s="27" t="s">
        <v>7</v>
      </c>
      <c r="AI257" s="27" t="s">
        <v>8</v>
      </c>
      <c r="AR257" s="27" t="s">
        <v>7</v>
      </c>
      <c r="AS257" s="27" t="s">
        <v>8</v>
      </c>
      <c r="AT257" s="27" t="s">
        <v>7</v>
      </c>
      <c r="BG257" s="27" t="s">
        <v>8</v>
      </c>
      <c r="BI257" s="27" t="s">
        <v>8</v>
      </c>
      <c r="BJ257" s="27" t="s">
        <v>7</v>
      </c>
      <c r="BK257" s="27" t="s">
        <v>8</v>
      </c>
      <c r="BL257" s="27" t="s">
        <v>7</v>
      </c>
      <c r="BM257" s="27" t="s">
        <v>8</v>
      </c>
    </row>
    <row r="258" spans="1:65" x14ac:dyDescent="0.25">
      <c r="A258" s="30">
        <v>0.41552065486748019</v>
      </c>
      <c r="B258"/>
      <c r="C258"/>
      <c r="D258"/>
      <c r="E258"/>
      <c r="J258" s="27" t="s">
        <v>7</v>
      </c>
      <c r="K258" s="27" t="s">
        <v>8</v>
      </c>
      <c r="L258" s="27" t="s">
        <v>7</v>
      </c>
      <c r="O258" s="27" t="s">
        <v>8</v>
      </c>
      <c r="P258" s="27" t="s">
        <v>7</v>
      </c>
      <c r="U258" s="27" t="s">
        <v>8</v>
      </c>
      <c r="V258" s="27" t="s">
        <v>7</v>
      </c>
      <c r="W258" s="27" t="s">
        <v>8</v>
      </c>
      <c r="X258" s="27" t="s">
        <v>7</v>
      </c>
      <c r="Y258" s="27" t="s">
        <v>8</v>
      </c>
      <c r="AD258" s="27" t="s">
        <v>7</v>
      </c>
      <c r="AF258" s="27" t="s">
        <v>7</v>
      </c>
      <c r="AH258" s="27" t="s">
        <v>7</v>
      </c>
      <c r="AR258" s="27" t="s">
        <v>7</v>
      </c>
      <c r="AS258" s="27" t="s">
        <v>8</v>
      </c>
      <c r="AT258" s="27" t="s">
        <v>7</v>
      </c>
      <c r="BG258" s="27" t="s">
        <v>8</v>
      </c>
      <c r="BH258" s="27" t="s">
        <v>7</v>
      </c>
      <c r="BI258" s="27" t="s">
        <v>8</v>
      </c>
      <c r="BJ258" s="27" t="s">
        <v>7</v>
      </c>
      <c r="BK258" s="27" t="s">
        <v>8</v>
      </c>
      <c r="BL258" s="27" t="s">
        <v>7</v>
      </c>
      <c r="BM258" s="27" t="s">
        <v>8</v>
      </c>
    </row>
    <row r="259" spans="1:65" x14ac:dyDescent="0.25">
      <c r="A259" s="30">
        <v>0.39573395701664765</v>
      </c>
      <c r="B259"/>
      <c r="C259"/>
      <c r="D259"/>
      <c r="E259"/>
      <c r="J259" s="27" t="s">
        <v>7</v>
      </c>
      <c r="K259" s="27" t="s">
        <v>8</v>
      </c>
      <c r="L259" s="27" t="s">
        <v>7</v>
      </c>
      <c r="O259" s="27" t="s">
        <v>8</v>
      </c>
      <c r="P259" s="27" t="s">
        <v>7</v>
      </c>
      <c r="Q259" s="27" t="s">
        <v>8</v>
      </c>
      <c r="U259" s="27" t="s">
        <v>8</v>
      </c>
      <c r="V259" s="27" t="s">
        <v>7</v>
      </c>
      <c r="W259" s="27" t="s">
        <v>8</v>
      </c>
      <c r="X259" s="27" t="s">
        <v>7</v>
      </c>
      <c r="AR259" s="27" t="s">
        <v>7</v>
      </c>
      <c r="AT259" s="27" t="s">
        <v>7</v>
      </c>
      <c r="BG259" s="27" t="s">
        <v>8</v>
      </c>
      <c r="BH259" s="27" t="s">
        <v>7</v>
      </c>
      <c r="BI259" s="27" t="s">
        <v>8</v>
      </c>
      <c r="BJ259" s="27" t="s">
        <v>7</v>
      </c>
      <c r="BL259" s="27" t="s">
        <v>7</v>
      </c>
    </row>
    <row r="260" spans="1:65" x14ac:dyDescent="0.25">
      <c r="A260" s="30">
        <v>0.37688948287299762</v>
      </c>
      <c r="B260"/>
      <c r="C260"/>
      <c r="D260"/>
      <c r="E260"/>
      <c r="J260" s="27" t="s">
        <v>7</v>
      </c>
      <c r="K260" s="27" t="s">
        <v>8</v>
      </c>
      <c r="L260" s="27" t="s">
        <v>7</v>
      </c>
      <c r="M260" s="27" t="s">
        <v>8</v>
      </c>
      <c r="O260" s="27" t="s">
        <v>8</v>
      </c>
      <c r="P260" s="27" t="s">
        <v>7</v>
      </c>
      <c r="Q260" s="27" t="s">
        <v>8</v>
      </c>
      <c r="R260" s="27" t="s">
        <v>7</v>
      </c>
      <c r="U260" s="27" t="s">
        <v>8</v>
      </c>
      <c r="V260" s="27" t="s">
        <v>7</v>
      </c>
      <c r="W260" s="27" t="s">
        <v>8</v>
      </c>
      <c r="AT260" s="27" t="s">
        <v>7</v>
      </c>
      <c r="BG260" s="27" t="s">
        <v>8</v>
      </c>
      <c r="BH260" s="27" t="s">
        <v>7</v>
      </c>
      <c r="BI260" s="27" t="s">
        <v>8</v>
      </c>
    </row>
    <row r="261" spans="1:65" x14ac:dyDescent="0.25">
      <c r="A261" s="30">
        <v>0.35894236464094997</v>
      </c>
      <c r="B261"/>
      <c r="C261"/>
      <c r="D261"/>
      <c r="E261"/>
      <c r="J261" s="27" t="s">
        <v>7</v>
      </c>
      <c r="L261" s="27" t="s">
        <v>7</v>
      </c>
      <c r="M261" s="27" t="s">
        <v>8</v>
      </c>
      <c r="N261" s="27" t="s">
        <v>7</v>
      </c>
      <c r="O261" s="27" t="s">
        <v>8</v>
      </c>
      <c r="P261" s="27" t="s">
        <v>7</v>
      </c>
      <c r="Q261" s="27" t="s">
        <v>8</v>
      </c>
      <c r="R261" s="27" t="s">
        <v>7</v>
      </c>
      <c r="U261" s="27" t="s">
        <v>8</v>
      </c>
      <c r="V261" s="27" t="s">
        <v>7</v>
      </c>
      <c r="W261" s="27" t="s">
        <v>8</v>
      </c>
      <c r="AT261" s="27" t="s">
        <v>7</v>
      </c>
      <c r="BE261" s="27" t="s">
        <v>8</v>
      </c>
      <c r="BG261" s="27" t="s">
        <v>8</v>
      </c>
      <c r="BH261" s="27" t="s">
        <v>7</v>
      </c>
      <c r="BI261" s="27" t="s">
        <v>8</v>
      </c>
    </row>
    <row r="262" spans="1:65" x14ac:dyDescent="0.25">
      <c r="A262" s="30">
        <v>0.34184987108661891</v>
      </c>
      <c r="B262"/>
      <c r="C262"/>
      <c r="D262"/>
      <c r="E262"/>
      <c r="L262" s="27" t="s">
        <v>7</v>
      </c>
      <c r="M262" s="27" t="s">
        <v>8</v>
      </c>
      <c r="N262" s="27" t="s">
        <v>7</v>
      </c>
      <c r="O262" s="27" t="s">
        <v>8</v>
      </c>
      <c r="P262" s="27" t="s">
        <v>7</v>
      </c>
      <c r="R262" s="27" t="s">
        <v>7</v>
      </c>
      <c r="U262" s="27" t="s">
        <v>8</v>
      </c>
      <c r="V262" s="27" t="s">
        <v>7</v>
      </c>
      <c r="W262" s="27" t="s">
        <v>8</v>
      </c>
      <c r="AT262" s="27" t="s">
        <v>7</v>
      </c>
      <c r="BE262" s="27" t="s">
        <v>8</v>
      </c>
      <c r="BF262" s="27" t="s">
        <v>7</v>
      </c>
      <c r="BG262" s="27" t="s">
        <v>8</v>
      </c>
      <c r="BH262" s="27" t="s">
        <v>7</v>
      </c>
      <c r="BI262" s="27" t="s">
        <v>8</v>
      </c>
    </row>
    <row r="263" spans="1:65" x14ac:dyDescent="0.25">
      <c r="A263" s="30">
        <v>0.32557130579677979</v>
      </c>
      <c r="B263"/>
      <c r="C263"/>
      <c r="D263"/>
      <c r="E263"/>
      <c r="L263" s="27" t="s">
        <v>7</v>
      </c>
      <c r="M263" s="27" t="s">
        <v>8</v>
      </c>
      <c r="N263" s="27" t="s">
        <v>7</v>
      </c>
      <c r="O263" s="27" t="s">
        <v>8</v>
      </c>
      <c r="R263" s="27" t="s">
        <v>7</v>
      </c>
      <c r="U263" s="27" t="s">
        <v>8</v>
      </c>
      <c r="V263" s="27" t="s">
        <v>7</v>
      </c>
      <c r="W263" s="27" t="s">
        <v>8</v>
      </c>
      <c r="AT263" s="27" t="s">
        <v>7</v>
      </c>
      <c r="BE263" s="27" t="s">
        <v>8</v>
      </c>
      <c r="BF263" s="27" t="s">
        <v>7</v>
      </c>
      <c r="BG263" s="27" t="s">
        <v>8</v>
      </c>
      <c r="BH263" s="27" t="s">
        <v>7</v>
      </c>
      <c r="BI263" s="27" t="s">
        <v>8</v>
      </c>
    </row>
    <row r="264" spans="1:65" x14ac:dyDescent="0.25">
      <c r="A264" s="30">
        <v>0.3100679102826473</v>
      </c>
      <c r="B264"/>
      <c r="C264"/>
      <c r="D264"/>
      <c r="E264"/>
      <c r="L264" s="27" t="s">
        <v>7</v>
      </c>
      <c r="M264" s="27" t="s">
        <v>8</v>
      </c>
      <c r="N264" s="27" t="s">
        <v>7</v>
      </c>
      <c r="O264" s="27" t="s">
        <v>8</v>
      </c>
      <c r="R264" s="27" t="s">
        <v>7</v>
      </c>
      <c r="U264" s="27" t="s">
        <v>8</v>
      </c>
      <c r="V264" s="27" t="s">
        <v>7</v>
      </c>
      <c r="W264" s="27" t="s">
        <v>8</v>
      </c>
      <c r="AT264" s="27" t="s">
        <v>7</v>
      </c>
      <c r="BE264" s="27" t="s">
        <v>8</v>
      </c>
      <c r="BF264" s="27" t="s">
        <v>7</v>
      </c>
      <c r="BG264" s="27" t="s">
        <v>8</v>
      </c>
      <c r="BH264" s="27" t="s">
        <v>7</v>
      </c>
      <c r="BI264" s="27" t="s">
        <v>8</v>
      </c>
    </row>
    <row r="265" spans="1:65" x14ac:dyDescent="0.25">
      <c r="A265" s="30">
        <v>0.2953027716977592</v>
      </c>
      <c r="B265"/>
      <c r="C265"/>
      <c r="D265"/>
      <c r="E265"/>
      <c r="L265" s="27" t="s">
        <v>7</v>
      </c>
      <c r="M265" s="27" t="s">
        <v>8</v>
      </c>
      <c r="N265" s="27" t="s">
        <v>7</v>
      </c>
      <c r="O265" s="27" t="s">
        <v>8</v>
      </c>
      <c r="R265" s="27" t="s">
        <v>7</v>
      </c>
      <c r="U265" s="27" t="s">
        <v>8</v>
      </c>
      <c r="V265" s="27" t="s">
        <v>7</v>
      </c>
      <c r="AT265" s="27" t="s">
        <v>7</v>
      </c>
      <c r="BC265" s="27" t="s">
        <v>8</v>
      </c>
      <c r="BE265" s="27" t="s">
        <v>8</v>
      </c>
      <c r="BF265" s="27" t="s">
        <v>7</v>
      </c>
      <c r="BG265" s="27" t="s">
        <v>8</v>
      </c>
      <c r="BH265" s="27" t="s">
        <v>7</v>
      </c>
    </row>
    <row r="266" spans="1:65" x14ac:dyDescent="0.25">
      <c r="A266" s="30">
        <v>0.28124073495024676</v>
      </c>
      <c r="B266"/>
      <c r="C266"/>
      <c r="D266"/>
      <c r="E266"/>
      <c r="L266" s="27" t="s">
        <v>7</v>
      </c>
      <c r="M266" s="27" t="s">
        <v>8</v>
      </c>
      <c r="N266" s="27" t="s">
        <v>7</v>
      </c>
      <c r="O266" s="27" t="s">
        <v>8</v>
      </c>
      <c r="R266" s="27" t="s">
        <v>7</v>
      </c>
      <c r="U266" s="27" t="s">
        <v>8</v>
      </c>
      <c r="AT266" s="27" t="s">
        <v>7</v>
      </c>
      <c r="AY266" s="27" t="s">
        <v>8</v>
      </c>
      <c r="BC266" s="27" t="s">
        <v>8</v>
      </c>
      <c r="BD266" s="27" t="s">
        <v>7</v>
      </c>
      <c r="BE266" s="27" t="s">
        <v>8</v>
      </c>
      <c r="BF266" s="27" t="s">
        <v>7</v>
      </c>
    </row>
    <row r="267" spans="1:65" x14ac:dyDescent="0.25">
      <c r="A267" s="30">
        <v>0.26784831900023492</v>
      </c>
      <c r="B267"/>
      <c r="C267"/>
      <c r="D267"/>
      <c r="E267"/>
      <c r="L267" s="27" t="s">
        <v>7</v>
      </c>
      <c r="N267" s="27" t="s">
        <v>7</v>
      </c>
      <c r="R267" s="27" t="s">
        <v>7</v>
      </c>
      <c r="S267" s="27" t="s">
        <v>8</v>
      </c>
      <c r="U267" s="27" t="s">
        <v>8</v>
      </c>
      <c r="AT267" s="27" t="s">
        <v>7</v>
      </c>
      <c r="AW267" s="27" t="s">
        <v>8</v>
      </c>
      <c r="AY267" s="27" t="s">
        <v>8</v>
      </c>
      <c r="AZ267" s="27" t="s">
        <v>7</v>
      </c>
      <c r="BC267" s="27" t="s">
        <v>8</v>
      </c>
      <c r="BD267" s="27" t="s">
        <v>7</v>
      </c>
      <c r="BE267" s="27" t="s">
        <v>8</v>
      </c>
    </row>
    <row r="268" spans="1:65" x14ac:dyDescent="0.25">
      <c r="A268" s="30">
        <v>0.25509363714308075</v>
      </c>
      <c r="B268"/>
      <c r="C268"/>
      <c r="D268"/>
      <c r="E268"/>
      <c r="R268" s="27" t="s">
        <v>7</v>
      </c>
      <c r="S268" s="27" t="s">
        <v>8</v>
      </c>
      <c r="T268" s="27" t="s">
        <v>7</v>
      </c>
      <c r="U268" s="27" t="s">
        <v>8</v>
      </c>
      <c r="AT268" s="27" t="s">
        <v>7</v>
      </c>
      <c r="AW268" s="27" t="s">
        <v>8</v>
      </c>
      <c r="AX268" s="27" t="s">
        <v>7</v>
      </c>
      <c r="AY268" s="27" t="s">
        <v>8</v>
      </c>
      <c r="AZ268" s="27" t="s">
        <v>7</v>
      </c>
      <c r="BA268" s="27" t="s">
        <v>8</v>
      </c>
      <c r="BC268" s="27" t="s">
        <v>8</v>
      </c>
      <c r="BD268" s="27" t="s">
        <v>7</v>
      </c>
    </row>
    <row r="269" spans="1:65" x14ac:dyDescent="0.25">
      <c r="A269" s="30">
        <v>0.24294632108864825</v>
      </c>
      <c r="B269"/>
      <c r="C269"/>
      <c r="D269"/>
      <c r="E269"/>
      <c r="R269" s="27" t="s">
        <v>7</v>
      </c>
      <c r="S269" s="27" t="s">
        <v>8</v>
      </c>
      <c r="T269" s="27" t="s">
        <v>7</v>
      </c>
      <c r="U269" s="27" t="s">
        <v>8</v>
      </c>
      <c r="AT269" s="27" t="s">
        <v>7</v>
      </c>
      <c r="AW269" s="27" t="s">
        <v>8</v>
      </c>
      <c r="AX269" s="27" t="s">
        <v>7</v>
      </c>
      <c r="AY269" s="27" t="s">
        <v>8</v>
      </c>
      <c r="AZ269" s="27" t="s">
        <v>7</v>
      </c>
      <c r="BA269" s="27" t="s">
        <v>8</v>
      </c>
      <c r="BB269" s="27" t="s">
        <v>7</v>
      </c>
      <c r="BC269" s="27" t="s">
        <v>8</v>
      </c>
    </row>
    <row r="270" spans="1:65" x14ac:dyDescent="0.25">
      <c r="A270" s="30">
        <v>0.23137744865585538</v>
      </c>
      <c r="B270"/>
      <c r="C270"/>
      <c r="D270"/>
      <c r="E270"/>
      <c r="R270" s="27" t="s">
        <v>7</v>
      </c>
      <c r="T270" s="27" t="s">
        <v>7</v>
      </c>
      <c r="AT270" s="27" t="s">
        <v>7</v>
      </c>
      <c r="AU270" s="27" t="s">
        <v>8</v>
      </c>
      <c r="AW270" s="27" t="s">
        <v>8</v>
      </c>
      <c r="AX270" s="27" t="s">
        <v>7</v>
      </c>
      <c r="AY270" s="27" t="s">
        <v>8</v>
      </c>
      <c r="AZ270" s="27" t="s">
        <v>7</v>
      </c>
      <c r="BA270" s="27" t="s">
        <v>8</v>
      </c>
      <c r="BB270" s="27" t="s">
        <v>7</v>
      </c>
      <c r="BC270" s="27" t="s">
        <v>8</v>
      </c>
    </row>
    <row r="271" spans="1:65" x14ac:dyDescent="0.25">
      <c r="A271" s="30">
        <v>0.22035947491033836</v>
      </c>
      <c r="B271"/>
      <c r="C271"/>
      <c r="D271"/>
      <c r="E271"/>
      <c r="AT271" s="27" t="s">
        <v>7</v>
      </c>
      <c r="AU271" s="27" t="s">
        <v>8</v>
      </c>
      <c r="AV271" s="27" t="s">
        <v>7</v>
      </c>
      <c r="AW271" s="27" t="s">
        <v>8</v>
      </c>
      <c r="AX271" s="27" t="s">
        <v>7</v>
      </c>
      <c r="AZ271" s="27" t="s">
        <v>7</v>
      </c>
      <c r="BB271" s="27" t="s">
        <v>7</v>
      </c>
    </row>
    <row r="272" spans="1:65" x14ac:dyDescent="0.25">
      <c r="A272" s="30">
        <v>0.20986616658127455</v>
      </c>
      <c r="B272"/>
      <c r="C272"/>
      <c r="D272"/>
      <c r="E272"/>
      <c r="AT272" s="27" t="s">
        <v>7</v>
      </c>
      <c r="AU272" s="27" t="s">
        <v>8</v>
      </c>
      <c r="AV272" s="27" t="s">
        <v>7</v>
      </c>
      <c r="AW272" s="27" t="s">
        <v>8</v>
      </c>
    </row>
    <row r="273" spans="1:49" x14ac:dyDescent="0.25">
      <c r="A273" s="30">
        <v>0.19987253960121379</v>
      </c>
      <c r="B273"/>
      <c r="C273"/>
      <c r="D273"/>
      <c r="E273"/>
      <c r="AT273" s="27" t="s">
        <v>7</v>
      </c>
      <c r="AU273" s="27" t="s">
        <v>8</v>
      </c>
      <c r="AV273" s="27" t="s">
        <v>7</v>
      </c>
      <c r="AW273" s="27" t="s">
        <v>8</v>
      </c>
    </row>
    <row r="274" spans="1:49" x14ac:dyDescent="0.25">
      <c r="A274" s="30">
        <v>0.19035479962020352</v>
      </c>
      <c r="B274"/>
      <c r="C274"/>
      <c r="D274"/>
      <c r="E274"/>
      <c r="AT274" s="27" t="s">
        <v>7</v>
      </c>
      <c r="AU274" s="27" t="s">
        <v>8</v>
      </c>
      <c r="AV274" s="27" t="s">
        <v>7</v>
      </c>
      <c r="AW274" s="27" t="s">
        <v>8</v>
      </c>
    </row>
    <row r="275" spans="1:49" x14ac:dyDescent="0.25">
      <c r="A275" s="30">
        <v>0.18129028535257471</v>
      </c>
      <c r="B275"/>
      <c r="C275"/>
      <c r="D275"/>
      <c r="E275"/>
      <c r="AT275" s="27" t="s">
        <v>7</v>
      </c>
      <c r="AU275" s="27" t="s">
        <v>8</v>
      </c>
      <c r="AV275" s="27" t="s">
        <v>7</v>
      </c>
      <c r="AW275" s="27" t="s">
        <v>8</v>
      </c>
    </row>
    <row r="276" spans="1:49" x14ac:dyDescent="0.25">
      <c r="A276" s="30">
        <v>0.17265741462149967</v>
      </c>
      <c r="B276"/>
      <c r="C276"/>
      <c r="D276"/>
      <c r="E276"/>
      <c r="AT276" s="27" t="s">
        <v>7</v>
      </c>
      <c r="AU276" s="27" t="s">
        <v>8</v>
      </c>
      <c r="AV276" s="27" t="s">
        <v>7</v>
      </c>
    </row>
    <row r="277" spans="1:49" x14ac:dyDescent="0.25">
      <c r="A277" s="30">
        <v>0.16443563297285677</v>
      </c>
      <c r="B277"/>
      <c r="C277"/>
      <c r="D277"/>
      <c r="E277"/>
      <c r="AT277" s="27" t="s">
        <v>7</v>
      </c>
      <c r="AU277" s="27" t="s">
        <v>8</v>
      </c>
    </row>
    <row r="278" spans="1:49" x14ac:dyDescent="0.25">
      <c r="A278" s="30">
        <v>0.15660536473605399</v>
      </c>
      <c r="B278"/>
      <c r="C278"/>
      <c r="D278"/>
      <c r="E278"/>
      <c r="AT278" s="27" t="s">
        <v>7</v>
      </c>
      <c r="AU278" s="27" t="s">
        <v>8</v>
      </c>
    </row>
    <row r="279" spans="1:49" x14ac:dyDescent="0.25">
      <c r="A279" s="30">
        <v>0.14914796641528946</v>
      </c>
      <c r="B279"/>
      <c r="C279"/>
      <c r="D279"/>
      <c r="E279"/>
      <c r="AT279" s="27" t="s">
        <v>7</v>
      </c>
      <c r="AU279" s="27" t="s">
        <v>8</v>
      </c>
    </row>
    <row r="280" spans="1:49" x14ac:dyDescent="0.25">
      <c r="A280" s="30">
        <v>0.14204568230027562</v>
      </c>
      <c r="B280"/>
      <c r="C280"/>
      <c r="D280"/>
      <c r="E280"/>
      <c r="AT280" s="27" t="s">
        <v>7</v>
      </c>
      <c r="AU280" s="27" t="s">
        <v>8</v>
      </c>
    </row>
    <row r="281" spans="1:49" x14ac:dyDescent="0.25">
      <c r="A281" s="30">
        <v>0.13528160219073862</v>
      </c>
      <c r="B281"/>
      <c r="C281"/>
      <c r="D281"/>
      <c r="E281"/>
      <c r="AT281" s="27" t="s">
        <v>7</v>
      </c>
      <c r="AU281" s="27" t="s">
        <v>8</v>
      </c>
    </row>
    <row r="282" spans="1:49" x14ac:dyDescent="0.25">
      <c r="A282" s="30">
        <v>0.12883962113403674</v>
      </c>
      <c r="B282"/>
      <c r="C282"/>
      <c r="D282"/>
      <c r="E282"/>
      <c r="AT282" s="27" t="s">
        <v>7</v>
      </c>
      <c r="AU282" s="27" t="s">
        <v>8</v>
      </c>
    </row>
    <row r="283" spans="1:49" x14ac:dyDescent="0.25">
      <c r="A283" s="30">
        <v>0.12270440108003494</v>
      </c>
      <c r="B283"/>
      <c r="C283"/>
      <c r="D283"/>
      <c r="E283"/>
      <c r="AT283" s="27" t="s">
        <v>7</v>
      </c>
    </row>
    <row r="284" spans="1:49" x14ac:dyDescent="0.25">
      <c r="A284" s="30">
        <v>0.11686133436193799</v>
      </c>
      <c r="B284"/>
      <c r="C284"/>
      <c r="D284"/>
      <c r="E284"/>
    </row>
    <row r="285" spans="1:49" x14ac:dyDescent="0.25">
      <c r="A285" s="30">
        <v>0.11129650891613138</v>
      </c>
      <c r="B285"/>
      <c r="C285"/>
      <c r="D285"/>
      <c r="E285"/>
    </row>
    <row r="286" spans="1:49" x14ac:dyDescent="0.25">
      <c r="A286" s="30">
        <v>0.10599667515822032</v>
      </c>
      <c r="B286"/>
      <c r="C286"/>
      <c r="D286"/>
      <c r="E286"/>
    </row>
    <row r="287" spans="1:49" x14ac:dyDescent="0.25">
      <c r="A287" s="30">
        <v>0.10094921443640027</v>
      </c>
      <c r="B287"/>
      <c r="C287"/>
      <c r="D287"/>
      <c r="E287"/>
    </row>
    <row r="288" spans="1:49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308" operator="equal">
      <formula>$U$1</formula>
    </cfRule>
    <cfRule type="cellIs" dxfId="67" priority="1309" operator="equal">
      <formula>$S$1</formula>
    </cfRule>
  </conditionalFormatting>
  <conditionalFormatting sqref="D136">
    <cfRule type="cellIs" dxfId="66" priority="1306" operator="equal">
      <formula>$S$1</formula>
    </cfRule>
    <cfRule type="cellIs" dxfId="65" priority="1307" operator="equal">
      <formula>$U$1</formula>
    </cfRule>
  </conditionalFormatting>
  <conditionalFormatting sqref="C162">
    <cfRule type="cellIs" dxfId="64" priority="1304" operator="equal">
      <formula>$U$1</formula>
    </cfRule>
    <cfRule type="cellIs" dxfId="63" priority="1305" operator="equal">
      <formula>$S$1</formula>
    </cfRule>
  </conditionalFormatting>
  <conditionalFormatting sqref="D162">
    <cfRule type="cellIs" dxfId="62" priority="1302" operator="equal">
      <formula>$S$1</formula>
    </cfRule>
    <cfRule type="cellIs" dxfId="61" priority="1303" operator="equal">
      <formula>$U$1</formula>
    </cfRule>
  </conditionalFormatting>
  <conditionalFormatting sqref="C187">
    <cfRule type="cellIs" dxfId="60" priority="1300" operator="equal">
      <formula>$U$1</formula>
    </cfRule>
    <cfRule type="cellIs" dxfId="59" priority="1301" operator="equal">
      <formula>$S$1</formula>
    </cfRule>
  </conditionalFormatting>
  <conditionalFormatting sqref="D187">
    <cfRule type="cellIs" dxfId="58" priority="1298" operator="equal">
      <formula>$S$1</formula>
    </cfRule>
    <cfRule type="cellIs" dxfId="57" priority="1299" operator="equal">
      <formula>$U$1</formula>
    </cfRule>
  </conditionalFormatting>
  <conditionalFormatting sqref="C212">
    <cfRule type="cellIs" dxfId="56" priority="1296" operator="equal">
      <formula>$U$1</formula>
    </cfRule>
    <cfRule type="cellIs" dxfId="55" priority="1297" operator="equal">
      <formula>$S$1</formula>
    </cfRule>
  </conditionalFormatting>
  <conditionalFormatting sqref="D212">
    <cfRule type="cellIs" dxfId="54" priority="1294" operator="equal">
      <formula>$S$1</formula>
    </cfRule>
    <cfRule type="cellIs" dxfId="53" priority="1295" operator="equal">
      <formula>$U$1</formula>
    </cfRule>
  </conditionalFormatting>
  <conditionalFormatting sqref="C237">
    <cfRule type="cellIs" dxfId="52" priority="1292" operator="equal">
      <formula>$U$1</formula>
    </cfRule>
    <cfRule type="cellIs" dxfId="51" priority="1293" operator="equal">
      <formula>$S$1</formula>
    </cfRule>
  </conditionalFormatting>
  <conditionalFormatting sqref="D237">
    <cfRule type="cellIs" dxfId="50" priority="1290" operator="equal">
      <formula>$S$1</formula>
    </cfRule>
    <cfRule type="cellIs" dxfId="49" priority="1291" operator="equal">
      <formula>$U$1</formula>
    </cfRule>
  </conditionalFormatting>
  <conditionalFormatting sqref="C106">
    <cfRule type="cellIs" dxfId="48" priority="1288" operator="equal">
      <formula>$U$1</formula>
    </cfRule>
    <cfRule type="cellIs" dxfId="47" priority="1289" operator="equal">
      <formula>$S$1</formula>
    </cfRule>
  </conditionalFormatting>
  <conditionalFormatting sqref="D106">
    <cfRule type="cellIs" dxfId="46" priority="1286" operator="equal">
      <formula>$S$1</formula>
    </cfRule>
    <cfRule type="cellIs" dxfId="45" priority="1287" operator="equal">
      <formula>$U$1</formula>
    </cfRule>
  </conditionalFormatting>
  <conditionalFormatting sqref="C81">
    <cfRule type="cellIs" dxfId="44" priority="1284" operator="equal">
      <formula>$U$1</formula>
    </cfRule>
    <cfRule type="cellIs" dxfId="43" priority="1285" operator="equal">
      <formula>$S$1</formula>
    </cfRule>
  </conditionalFormatting>
  <conditionalFormatting sqref="D81">
    <cfRule type="cellIs" dxfId="42" priority="1282" operator="equal">
      <formula>$S$1</formula>
    </cfRule>
    <cfRule type="cellIs" dxfId="41" priority="1283" operator="equal">
      <formula>$U$1</formula>
    </cfRule>
  </conditionalFormatting>
  <conditionalFormatting sqref="C56">
    <cfRule type="cellIs" dxfId="40" priority="1280" operator="equal">
      <formula>$U$1</formula>
    </cfRule>
    <cfRule type="cellIs" dxfId="39" priority="1281" operator="equal">
      <formula>$S$1</formula>
    </cfRule>
  </conditionalFormatting>
  <conditionalFormatting sqref="D56">
    <cfRule type="cellIs" dxfId="38" priority="1278" operator="equal">
      <formula>$S$1</formula>
    </cfRule>
    <cfRule type="cellIs" dxfId="37" priority="1279" operator="equal">
      <formula>$U$1</formula>
    </cfRule>
  </conditionalFormatting>
  <conditionalFormatting sqref="C31">
    <cfRule type="cellIs" dxfId="36" priority="1276" operator="equal">
      <formula>$U$1</formula>
    </cfRule>
    <cfRule type="cellIs" dxfId="35" priority="1277" operator="equal">
      <formula>$S$1</formula>
    </cfRule>
  </conditionalFormatting>
  <conditionalFormatting sqref="D31">
    <cfRule type="cellIs" dxfId="34" priority="1274" operator="equal">
      <formula>$S$1</formula>
    </cfRule>
    <cfRule type="cellIs" dxfId="33" priority="127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2" zoomScale="90" zoomScaleNormal="90" workbookViewId="0">
      <pane xSplit="4" topLeftCell="G1" activePane="topRight" state="frozen"/>
      <selection activeCell="A109" sqref="A109"/>
      <selection pane="topRight" activeCell="BF121" sqref="BF12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8" x14ac:dyDescent="0.25">
      <c r="A97" s="30">
        <v>9.849732675807628</v>
      </c>
      <c r="E97"/>
    </row>
    <row r="98" spans="1:58" x14ac:dyDescent="0.25">
      <c r="A98" s="30">
        <v>8.9543024325523888</v>
      </c>
      <c r="C98" s="1" t="s">
        <v>13</v>
      </c>
      <c r="E98"/>
    </row>
    <row r="99" spans="1:58" x14ac:dyDescent="0.25">
      <c r="A99" s="30">
        <v>8.140274938683989</v>
      </c>
      <c r="C99" s="1">
        <f>C88</f>
        <v>0</v>
      </c>
      <c r="E99"/>
    </row>
    <row r="100" spans="1:58" x14ac:dyDescent="0.25">
      <c r="A100" s="30">
        <v>7.4002499442581717</v>
      </c>
      <c r="C100"/>
      <c r="D100"/>
      <c r="E100"/>
    </row>
    <row r="101" spans="1:58" x14ac:dyDescent="0.25">
      <c r="A101" s="30">
        <v>6.72749994932561</v>
      </c>
      <c r="C101" s="1" t="s">
        <v>14</v>
      </c>
      <c r="E101"/>
    </row>
    <row r="102" spans="1:5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8" x14ac:dyDescent="0.25">
      <c r="A103" s="30">
        <v>5.5599173134922388</v>
      </c>
      <c r="E103"/>
    </row>
    <row r="104" spans="1:58" x14ac:dyDescent="0.25">
      <c r="A104" s="30">
        <v>5.0544702849929442</v>
      </c>
      <c r="E104"/>
    </row>
    <row r="105" spans="1:58" x14ac:dyDescent="0.25">
      <c r="A105" s="30">
        <v>4.594972986357222</v>
      </c>
      <c r="E105"/>
    </row>
    <row r="106" spans="1:58" x14ac:dyDescent="0.25">
      <c r="A106" s="30">
        <v>4.1772481694156562</v>
      </c>
      <c r="E106"/>
    </row>
    <row r="107" spans="1:58" x14ac:dyDescent="0.25">
      <c r="A107" s="30">
        <v>3.7974983358324148</v>
      </c>
      <c r="E107"/>
      <c r="BC107" s="27" t="s">
        <v>8</v>
      </c>
      <c r="BE107" s="27" t="s">
        <v>8</v>
      </c>
    </row>
    <row r="108" spans="1:58" x14ac:dyDescent="0.25">
      <c r="A108" s="30">
        <v>3.4522712143931042</v>
      </c>
      <c r="E108"/>
      <c r="AQ108" s="27" t="s">
        <v>8</v>
      </c>
      <c r="BC108" s="27" t="s">
        <v>8</v>
      </c>
      <c r="BD108" s="27" t="s">
        <v>7</v>
      </c>
      <c r="BE108" s="27" t="s">
        <v>8</v>
      </c>
      <c r="BF108" s="27" t="s">
        <v>7</v>
      </c>
    </row>
    <row r="109" spans="1:58" x14ac:dyDescent="0.25">
      <c r="A109" s="30">
        <v>3.1384283767210035</v>
      </c>
      <c r="E109"/>
      <c r="AQ109" s="27" t="s">
        <v>8</v>
      </c>
      <c r="AR109" s="27" t="s">
        <v>7</v>
      </c>
      <c r="BC109" s="27" t="s">
        <v>8</v>
      </c>
      <c r="BD109" s="27" t="s">
        <v>7</v>
      </c>
      <c r="BE109" s="27" t="s">
        <v>8</v>
      </c>
      <c r="BF109" s="27" t="s">
        <v>7</v>
      </c>
    </row>
    <row r="110" spans="1:58" x14ac:dyDescent="0.25">
      <c r="A110" s="30">
        <v>2.8531167061100029</v>
      </c>
      <c r="E110"/>
      <c r="AO110" s="27" t="s">
        <v>8</v>
      </c>
      <c r="AQ110" s="27" t="s">
        <v>8</v>
      </c>
      <c r="AR110" s="27" t="s">
        <v>7</v>
      </c>
      <c r="AU110" s="31" t="s">
        <v>8</v>
      </c>
      <c r="BC110" s="27" t="s">
        <v>8</v>
      </c>
      <c r="BD110" s="27" t="s">
        <v>7</v>
      </c>
      <c r="BE110" s="27" t="s">
        <v>8</v>
      </c>
      <c r="BF110" s="27" t="s">
        <v>7</v>
      </c>
    </row>
    <row r="111" spans="1:58" x14ac:dyDescent="0.25">
      <c r="A111" s="30">
        <v>2.5937424601000023</v>
      </c>
      <c r="C111" s="1" t="str">
        <f>ADDRESS(C121-1,1,1,1)</f>
        <v>$A$120</v>
      </c>
      <c r="D111" s="1" t="str">
        <f>ADDRESS(C121-1,D121,1,1)</f>
        <v>$BF$120</v>
      </c>
      <c r="E111"/>
      <c r="AM111" s="27" t="s">
        <v>8</v>
      </c>
      <c r="AO111" s="27" t="s">
        <v>8</v>
      </c>
      <c r="AP111" s="27" t="s">
        <v>7</v>
      </c>
      <c r="AQ111" s="27" t="s">
        <v>8</v>
      </c>
      <c r="AR111" s="27" t="s">
        <v>7</v>
      </c>
      <c r="AS111" s="27" t="s">
        <v>8</v>
      </c>
      <c r="AU111" s="27" t="s">
        <v>8</v>
      </c>
      <c r="AV111" s="31" t="s">
        <v>7</v>
      </c>
      <c r="BC111" s="18" t="s">
        <v>8</v>
      </c>
      <c r="BD111" s="27" t="s">
        <v>7</v>
      </c>
      <c r="BE111" s="27" t="s">
        <v>8</v>
      </c>
      <c r="BF111" s="27" t="s">
        <v>7</v>
      </c>
    </row>
    <row r="112" spans="1:58" x14ac:dyDescent="0.25">
      <c r="A112" s="30">
        <v>2.3579476910000019</v>
      </c>
      <c r="C112" s="1" t="str">
        <f>ADDRESS(C121,1,1,1)</f>
        <v>$A$121</v>
      </c>
      <c r="D112" s="1" t="str">
        <f>ADDRESS(C121,D121-1,1,1)</f>
        <v>$BE$121</v>
      </c>
      <c r="E112"/>
      <c r="AK112" s="27" t="s">
        <v>8</v>
      </c>
      <c r="AM112" s="27" t="s">
        <v>8</v>
      </c>
      <c r="AN112" s="27" t="s">
        <v>7</v>
      </c>
      <c r="AO112" s="27" t="s">
        <v>8</v>
      </c>
      <c r="AP112" s="27" t="s">
        <v>7</v>
      </c>
      <c r="AQ112" s="27" t="s">
        <v>8</v>
      </c>
      <c r="AR112" s="27" t="s">
        <v>7</v>
      </c>
      <c r="AS112" s="27" t="s">
        <v>8</v>
      </c>
      <c r="AT112" s="27" t="s">
        <v>7</v>
      </c>
      <c r="AU112" s="27" t="s">
        <v>8</v>
      </c>
      <c r="AV112" s="27" t="s">
        <v>7</v>
      </c>
      <c r="AW112" s="31"/>
      <c r="BC112" s="27" t="s">
        <v>8</v>
      </c>
      <c r="BD112" s="27" t="s">
        <v>7</v>
      </c>
      <c r="BE112" s="27" t="s">
        <v>8</v>
      </c>
      <c r="BF112" s="27" t="s">
        <v>7</v>
      </c>
    </row>
    <row r="113" spans="1:58" x14ac:dyDescent="0.25">
      <c r="A113" s="30">
        <v>2.1435888100000016</v>
      </c>
      <c r="C113" s="1" t="str">
        <f>ADDRESS(C121+1,1,1,1)</f>
        <v>$A$122</v>
      </c>
      <c r="D113" s="1" t="str">
        <f>ADDRESS(C121-1,D121+1,1,1)</f>
        <v>$BG$120</v>
      </c>
      <c r="AK113" s="27" t="s">
        <v>8</v>
      </c>
      <c r="AL113" s="27" t="s">
        <v>7</v>
      </c>
      <c r="AM113" s="27" t="s">
        <v>8</v>
      </c>
      <c r="AN113" s="27" t="s">
        <v>7</v>
      </c>
      <c r="AO113" s="27" t="s">
        <v>8</v>
      </c>
      <c r="AP113" s="27" t="s">
        <v>7</v>
      </c>
      <c r="AR113" s="27" t="s">
        <v>7</v>
      </c>
      <c r="AS113" s="27" t="s">
        <v>8</v>
      </c>
      <c r="AT113" s="27" t="s">
        <v>7</v>
      </c>
      <c r="AU113" s="27" t="s">
        <v>8</v>
      </c>
      <c r="AV113" s="27" t="s">
        <v>7</v>
      </c>
      <c r="AX113" s="31"/>
      <c r="BC113" s="27" t="s">
        <v>8</v>
      </c>
      <c r="BD113" s="27" t="s">
        <v>7</v>
      </c>
      <c r="BE113" s="27" t="s">
        <v>8</v>
      </c>
      <c r="BF113" s="27" t="s">
        <v>7</v>
      </c>
    </row>
    <row r="114" spans="1:58" x14ac:dyDescent="0.25">
      <c r="A114" s="30">
        <v>1.9487171000000014</v>
      </c>
      <c r="C114" s="1" t="str">
        <f>ADDRESS(C121,D121,1,1)</f>
        <v>$BF$121</v>
      </c>
      <c r="D114" s="1" t="str">
        <f>ADDRESS(C121+1,D121+1,1,1)</f>
        <v>$BG$122</v>
      </c>
      <c r="AK114" s="27" t="s">
        <v>8</v>
      </c>
      <c r="AL114" s="27" t="s">
        <v>7</v>
      </c>
      <c r="AM114" s="27" t="s">
        <v>8</v>
      </c>
      <c r="AN114" s="27" t="s">
        <v>7</v>
      </c>
      <c r="AO114" s="27" t="s">
        <v>8</v>
      </c>
      <c r="AR114" s="27" t="s">
        <v>7</v>
      </c>
      <c r="AT114" s="27" t="s">
        <v>7</v>
      </c>
      <c r="AU114" s="27" t="s">
        <v>8</v>
      </c>
      <c r="AV114" s="27" t="s">
        <v>7</v>
      </c>
      <c r="AY114" s="31"/>
      <c r="BA114" s="27" t="s">
        <v>8</v>
      </c>
      <c r="BC114" s="27" t="s">
        <v>8</v>
      </c>
      <c r="BD114" s="27" t="s">
        <v>7</v>
      </c>
      <c r="BF114" s="27" t="s">
        <v>7</v>
      </c>
    </row>
    <row r="115" spans="1:58" x14ac:dyDescent="0.25">
      <c r="A115" s="30">
        <v>1.7715610000000011</v>
      </c>
      <c r="C115" s="1" t="str">
        <f>ADDRESS(C121+1,D121,1,1)</f>
        <v>$BF$122</v>
      </c>
      <c r="AK115" s="27" t="s">
        <v>8</v>
      </c>
      <c r="AL115" s="27" t="s">
        <v>7</v>
      </c>
      <c r="AM115" s="27" t="s">
        <v>8</v>
      </c>
      <c r="AN115" s="27" t="s">
        <v>7</v>
      </c>
      <c r="AO115" s="27" t="s">
        <v>8</v>
      </c>
      <c r="AT115" s="27" t="s">
        <v>7</v>
      </c>
      <c r="AV115" s="31" t="s">
        <v>7</v>
      </c>
      <c r="AY115" s="27" t="s">
        <v>8</v>
      </c>
      <c r="AZ115" s="31"/>
      <c r="BA115" s="27" t="s">
        <v>8</v>
      </c>
      <c r="BB115" s="27" t="s">
        <v>7</v>
      </c>
      <c r="BC115" s="27" t="s">
        <v>8</v>
      </c>
      <c r="BF115" s="27" t="s">
        <v>7</v>
      </c>
    </row>
    <row r="116" spans="1:58" x14ac:dyDescent="0.25">
      <c r="A116" s="30">
        <v>1.6105100000000008</v>
      </c>
      <c r="C116" s="1">
        <f>C117-1</f>
        <v>120</v>
      </c>
      <c r="AK116" s="27" t="s">
        <v>8</v>
      </c>
      <c r="AL116" s="27" t="s">
        <v>7</v>
      </c>
      <c r="AM116" s="27" t="s">
        <v>8</v>
      </c>
      <c r="AN116" s="27" t="s">
        <v>7</v>
      </c>
      <c r="AU116" s="31"/>
      <c r="AV116" s="27" t="s">
        <v>7</v>
      </c>
      <c r="AW116" s="27" t="s">
        <v>8</v>
      </c>
      <c r="AY116" s="27" t="s">
        <v>8</v>
      </c>
      <c r="AZ116" s="27" t="s">
        <v>7</v>
      </c>
      <c r="BA116" s="31" t="s">
        <v>8</v>
      </c>
      <c r="BB116" s="27" t="s">
        <v>7</v>
      </c>
      <c r="BC116" s="27" t="s">
        <v>8</v>
      </c>
      <c r="BF116" s="27" t="s">
        <v>7</v>
      </c>
    </row>
    <row r="117" spans="1:58" x14ac:dyDescent="0.25">
      <c r="A117" s="30">
        <v>1.4641000000000006</v>
      </c>
      <c r="C117" s="1">
        <f>C121</f>
        <v>121</v>
      </c>
      <c r="D117" s="1">
        <f>D121</f>
        <v>58</v>
      </c>
      <c r="AC117" s="27" t="s">
        <v>8</v>
      </c>
      <c r="AK117" s="27" t="s">
        <v>8</v>
      </c>
      <c r="AL117" s="27" t="s">
        <v>7</v>
      </c>
      <c r="AT117" s="31"/>
      <c r="AV117" s="27" t="s">
        <v>7</v>
      </c>
      <c r="AW117" s="27" t="s">
        <v>8</v>
      </c>
      <c r="AX117" s="27" t="s">
        <v>7</v>
      </c>
      <c r="AY117" s="27" t="s">
        <v>8</v>
      </c>
      <c r="AZ117" s="27" t="s">
        <v>7</v>
      </c>
      <c r="BA117" s="27" t="s">
        <v>8</v>
      </c>
      <c r="BB117" s="27" t="s">
        <v>7</v>
      </c>
      <c r="BC117" s="27" t="s">
        <v>8</v>
      </c>
      <c r="BF117" s="27" t="s">
        <v>7</v>
      </c>
    </row>
    <row r="118" spans="1:58" x14ac:dyDescent="0.25">
      <c r="A118" s="30">
        <v>1.3310000000000004</v>
      </c>
      <c r="C118" s="1">
        <f>C117+1</f>
        <v>122</v>
      </c>
      <c r="D118" s="1">
        <f>D117+1</f>
        <v>59</v>
      </c>
      <c r="AC118" s="27" t="s">
        <v>8</v>
      </c>
      <c r="AD118" s="27" t="s">
        <v>7</v>
      </c>
      <c r="AK118" s="27" t="s">
        <v>8</v>
      </c>
      <c r="AS118" s="31"/>
      <c r="AV118" s="27" t="s">
        <v>7</v>
      </c>
      <c r="AW118" s="27" t="s">
        <v>8</v>
      </c>
      <c r="AX118" s="27" t="s">
        <v>7</v>
      </c>
      <c r="AY118" s="27" t="s">
        <v>8</v>
      </c>
      <c r="AZ118" s="27" t="s">
        <v>7</v>
      </c>
      <c r="BB118" s="27" t="s">
        <v>7</v>
      </c>
      <c r="BF118" s="27" t="s">
        <v>7</v>
      </c>
    </row>
    <row r="119" spans="1:58" x14ac:dyDescent="0.25">
      <c r="A119" s="30">
        <v>1.2100000000000002</v>
      </c>
      <c r="AC119" s="27" t="s">
        <v>8</v>
      </c>
      <c r="AD119" s="27" t="s">
        <v>7</v>
      </c>
      <c r="AK119" s="27" t="s">
        <v>8</v>
      </c>
      <c r="AR119" s="31"/>
      <c r="AV119" s="27" t="s">
        <v>7</v>
      </c>
      <c r="AW119" s="27" t="s">
        <v>8</v>
      </c>
      <c r="AX119" s="27" t="s">
        <v>7</v>
      </c>
      <c r="AY119" s="27" t="s">
        <v>8</v>
      </c>
      <c r="BF119" s="27" t="s">
        <v>7</v>
      </c>
    </row>
    <row r="120" spans="1:58" x14ac:dyDescent="0.25">
      <c r="A120" s="30">
        <v>1.1000000000000001</v>
      </c>
      <c r="C120" s="1" t="s">
        <v>9</v>
      </c>
      <c r="AA120" s="27" t="s">
        <v>8</v>
      </c>
      <c r="AC120" s="27" t="s">
        <v>8</v>
      </c>
      <c r="AD120" s="27" t="s">
        <v>7</v>
      </c>
      <c r="AE120" s="27" t="s">
        <v>8</v>
      </c>
      <c r="AK120" s="27" t="s">
        <v>8</v>
      </c>
      <c r="AQ120" s="31"/>
      <c r="AV120" s="27" t="s">
        <v>7</v>
      </c>
      <c r="AW120" s="27" t="s">
        <v>8</v>
      </c>
      <c r="AX120" s="27" t="s">
        <v>7</v>
      </c>
      <c r="BF120" s="27" t="s">
        <v>7</v>
      </c>
    </row>
    <row r="121" spans="1:58" x14ac:dyDescent="0.25">
      <c r="A121" s="30">
        <v>1</v>
      </c>
      <c r="C121" s="18">
        <v>121</v>
      </c>
      <c r="D121" s="19">
        <v>58</v>
      </c>
      <c r="E121" s="18" t="s">
        <v>8</v>
      </c>
      <c r="AA121" s="27" t="s">
        <v>8</v>
      </c>
      <c r="AB121" s="27" t="s">
        <v>7</v>
      </c>
      <c r="AC121" s="27" t="s">
        <v>8</v>
      </c>
      <c r="AD121" s="27" t="s">
        <v>7</v>
      </c>
      <c r="AE121" s="27" t="s">
        <v>8</v>
      </c>
      <c r="AF121" s="27" t="s">
        <v>7</v>
      </c>
      <c r="AK121" s="27" t="s">
        <v>8</v>
      </c>
      <c r="AP121" s="31"/>
      <c r="AV121" s="27" t="s">
        <v>7</v>
      </c>
      <c r="BF121" s="27" t="s">
        <v>7</v>
      </c>
    </row>
    <row r="122" spans="1:58" x14ac:dyDescent="0.25">
      <c r="A122" s="30">
        <v>0.90909090909090895</v>
      </c>
      <c r="C122" s="1" t="str">
        <f>INDEX(1:1048576,C117,D117)</f>
        <v>O</v>
      </c>
      <c r="F122" s="27" t="s">
        <v>7</v>
      </c>
      <c r="AA122" s="27" t="s">
        <v>8</v>
      </c>
      <c r="AB122" s="27" t="s">
        <v>7</v>
      </c>
      <c r="AC122" s="27" t="s">
        <v>8</v>
      </c>
      <c r="AD122" s="27" t="s">
        <v>7</v>
      </c>
      <c r="AE122" s="27" t="s">
        <v>8</v>
      </c>
      <c r="AF122" s="27" t="s">
        <v>7</v>
      </c>
      <c r="AK122" s="27" t="s">
        <v>8</v>
      </c>
      <c r="AO122" s="31"/>
    </row>
    <row r="123" spans="1:58" x14ac:dyDescent="0.25">
      <c r="A123" s="30">
        <v>0.82644628099173523</v>
      </c>
      <c r="C123" s="1" t="str">
        <f>"R"&amp;C121</f>
        <v>R121</v>
      </c>
      <c r="D123" s="1" t="str">
        <f>"C"&amp;D121</f>
        <v>C58</v>
      </c>
      <c r="F123" s="27" t="s">
        <v>7</v>
      </c>
      <c r="AA123" s="27" t="s">
        <v>8</v>
      </c>
      <c r="AB123" s="27" t="s">
        <v>7</v>
      </c>
      <c r="AD123" s="27" t="s">
        <v>7</v>
      </c>
      <c r="AE123" s="27" t="s">
        <v>8</v>
      </c>
      <c r="AF123" s="27" t="s">
        <v>7</v>
      </c>
      <c r="AG123" s="27" t="s">
        <v>8</v>
      </c>
      <c r="AI123" s="27" t="s">
        <v>8</v>
      </c>
      <c r="AK123" s="27" t="s">
        <v>8</v>
      </c>
      <c r="AN123" s="31"/>
    </row>
    <row r="124" spans="1:5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M124" s="27" t="s">
        <v>8</v>
      </c>
      <c r="AA124" s="27" t="s">
        <v>8</v>
      </c>
      <c r="AD124" s="27" t="s">
        <v>7</v>
      </c>
      <c r="AE124" s="27" t="s">
        <v>8</v>
      </c>
      <c r="AF124" s="27" t="s">
        <v>7</v>
      </c>
      <c r="AG124" s="27" t="s">
        <v>8</v>
      </c>
      <c r="AH124" s="27" t="s">
        <v>7</v>
      </c>
      <c r="AI124" s="27" t="s">
        <v>8</v>
      </c>
      <c r="AJ124" s="27" t="s">
        <v>7</v>
      </c>
      <c r="AK124" s="27" t="s">
        <v>8</v>
      </c>
      <c r="AM124" s="31"/>
    </row>
    <row r="125" spans="1:58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M125" s="27" t="s">
        <v>8</v>
      </c>
      <c r="N125" s="27" t="s">
        <v>7</v>
      </c>
      <c r="O125" s="27" t="s">
        <v>8</v>
      </c>
      <c r="Q125" s="27" t="s">
        <v>8</v>
      </c>
      <c r="AA125" s="27" t="s">
        <v>8</v>
      </c>
      <c r="AD125" s="27" t="s">
        <v>7</v>
      </c>
      <c r="AE125" s="27" t="s">
        <v>8</v>
      </c>
      <c r="AF125" s="27" t="s">
        <v>7</v>
      </c>
      <c r="AG125" s="27" t="s">
        <v>8</v>
      </c>
      <c r="AH125" s="27" t="s">
        <v>7</v>
      </c>
      <c r="AI125" s="27" t="s">
        <v>8</v>
      </c>
      <c r="AJ125" s="31" t="s">
        <v>7</v>
      </c>
      <c r="AK125" s="27" t="s">
        <v>8</v>
      </c>
      <c r="AL125" s="31"/>
    </row>
    <row r="126" spans="1:58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M126" s="27" t="s">
        <v>8</v>
      </c>
      <c r="N126" s="27" t="s">
        <v>7</v>
      </c>
      <c r="O126" s="27" t="s">
        <v>8</v>
      </c>
      <c r="P126" s="27" t="s">
        <v>7</v>
      </c>
      <c r="Q126" s="27" t="s">
        <v>8</v>
      </c>
      <c r="R126" s="27" t="s">
        <v>7</v>
      </c>
      <c r="AA126" s="27" t="s">
        <v>8</v>
      </c>
      <c r="AD126" s="27" t="s">
        <v>7</v>
      </c>
      <c r="AE126" s="27" t="s">
        <v>8</v>
      </c>
      <c r="AF126" s="27" t="s">
        <v>7</v>
      </c>
      <c r="AG126" s="27" t="s">
        <v>8</v>
      </c>
      <c r="AH126" s="27" t="s">
        <v>7</v>
      </c>
      <c r="AI126" s="31"/>
      <c r="AJ126" s="27" t="s">
        <v>7</v>
      </c>
      <c r="AK126" s="31" t="s">
        <v>8</v>
      </c>
    </row>
    <row r="127" spans="1:58" x14ac:dyDescent="0.25">
      <c r="A127" s="30">
        <v>0.56447393005377677</v>
      </c>
      <c r="C127" s="30">
        <v>1</v>
      </c>
      <c r="D127"/>
      <c r="F127" s="27" t="s">
        <v>7</v>
      </c>
      <c r="G127" s="27" t="s">
        <v>8</v>
      </c>
      <c r="H127" s="27" t="s">
        <v>7</v>
      </c>
      <c r="M127" s="27" t="s">
        <v>8</v>
      </c>
      <c r="N127" s="27" t="s">
        <v>7</v>
      </c>
      <c r="O127" s="27" t="s">
        <v>8</v>
      </c>
      <c r="P127" s="27" t="s">
        <v>7</v>
      </c>
      <c r="Q127" s="27" t="s">
        <v>8</v>
      </c>
      <c r="R127" s="27" t="s">
        <v>7</v>
      </c>
      <c r="AA127" s="27" t="s">
        <v>8</v>
      </c>
      <c r="AD127" s="27" t="s">
        <v>7</v>
      </c>
      <c r="AF127" s="27" t="s">
        <v>7</v>
      </c>
      <c r="AG127" s="27" t="s">
        <v>8</v>
      </c>
      <c r="AH127" s="31"/>
      <c r="AJ127" s="31" t="s">
        <v>7</v>
      </c>
    </row>
    <row r="128" spans="1:58" x14ac:dyDescent="0.25">
      <c r="A128" s="30">
        <v>0.51315811823070612</v>
      </c>
      <c r="F128" s="27" t="s">
        <v>7</v>
      </c>
      <c r="H128" s="27" t="s">
        <v>7</v>
      </c>
      <c r="M128" s="27" t="s">
        <v>8</v>
      </c>
      <c r="N128" s="27" t="s">
        <v>7</v>
      </c>
      <c r="O128" s="27" t="s">
        <v>8</v>
      </c>
      <c r="P128" s="27" t="s">
        <v>7</v>
      </c>
      <c r="Q128" s="27" t="s">
        <v>8</v>
      </c>
      <c r="R128" s="27" t="s">
        <v>7</v>
      </c>
      <c r="Y128" s="27" t="s">
        <v>8</v>
      </c>
      <c r="AA128" s="27" t="s">
        <v>8</v>
      </c>
      <c r="AF128" s="27" t="s">
        <v>7</v>
      </c>
      <c r="AG128" s="31" t="s">
        <v>8</v>
      </c>
    </row>
    <row r="129" spans="1:32" x14ac:dyDescent="0.25">
      <c r="A129" s="30">
        <v>0.46650738020973276</v>
      </c>
      <c r="C129" s="1" t="s">
        <v>11</v>
      </c>
      <c r="D129" s="1" t="s">
        <v>12</v>
      </c>
      <c r="E129"/>
      <c r="H129" s="27" t="s">
        <v>7</v>
      </c>
      <c r="I129" s="27" t="s">
        <v>8</v>
      </c>
      <c r="M129" s="27" t="s">
        <v>8</v>
      </c>
      <c r="N129" s="27" t="s">
        <v>7</v>
      </c>
      <c r="O129" s="27" t="s">
        <v>8</v>
      </c>
      <c r="P129" s="27" t="s">
        <v>7</v>
      </c>
      <c r="Q129" s="27" t="s">
        <v>8</v>
      </c>
      <c r="R129" s="27" t="s">
        <v>7</v>
      </c>
      <c r="Y129" s="27" t="s">
        <v>8</v>
      </c>
      <c r="Z129" s="27" t="s">
        <v>7</v>
      </c>
      <c r="AA129" s="27" t="s">
        <v>8</v>
      </c>
      <c r="AF129" s="31" t="s">
        <v>7</v>
      </c>
    </row>
    <row r="130" spans="1:32" x14ac:dyDescent="0.25">
      <c r="A130" s="30">
        <v>0.42409761837248428</v>
      </c>
      <c r="C130" s="6"/>
      <c r="D130" s="6"/>
      <c r="E130"/>
      <c r="H130" s="27" t="s">
        <v>7</v>
      </c>
      <c r="I130" s="27" t="s">
        <v>8</v>
      </c>
      <c r="J130" s="27" t="s">
        <v>7</v>
      </c>
      <c r="K130" s="27" t="s">
        <v>8</v>
      </c>
      <c r="M130" s="27" t="s">
        <v>8</v>
      </c>
      <c r="N130" s="27" t="s">
        <v>7</v>
      </c>
      <c r="P130" s="27" t="s">
        <v>7</v>
      </c>
      <c r="R130" s="27" t="s">
        <v>7</v>
      </c>
      <c r="W130" s="27" t="s">
        <v>8</v>
      </c>
      <c r="Y130" s="27" t="s">
        <v>8</v>
      </c>
      <c r="Z130" s="27" t="s">
        <v>7</v>
      </c>
      <c r="AA130" s="27" t="s">
        <v>8</v>
      </c>
      <c r="AE130" s="31"/>
    </row>
    <row r="131" spans="1:32" x14ac:dyDescent="0.25">
      <c r="A131" s="30">
        <v>0.38554328942953109</v>
      </c>
      <c r="E131"/>
      <c r="H131" s="27" t="s">
        <v>7</v>
      </c>
      <c r="I131" s="27" t="s">
        <v>8</v>
      </c>
      <c r="J131" s="27" t="s">
        <v>7</v>
      </c>
      <c r="K131" s="27" t="s">
        <v>8</v>
      </c>
      <c r="L131" s="27" t="s">
        <v>7</v>
      </c>
      <c r="M131" s="27" t="s">
        <v>8</v>
      </c>
      <c r="R131" s="27" t="s">
        <v>7</v>
      </c>
      <c r="W131" s="27" t="s">
        <v>8</v>
      </c>
      <c r="X131" s="27" t="s">
        <v>7</v>
      </c>
      <c r="Y131" s="27" t="s">
        <v>8</v>
      </c>
      <c r="Z131" s="27" t="s">
        <v>7</v>
      </c>
      <c r="AD131" s="31"/>
    </row>
    <row r="132" spans="1:32" x14ac:dyDescent="0.25">
      <c r="A132" s="30">
        <v>0.35049389948139187</v>
      </c>
      <c r="C132" s="1" t="s">
        <v>13</v>
      </c>
      <c r="E132"/>
      <c r="H132" s="27" t="s">
        <v>7</v>
      </c>
      <c r="I132" s="27" t="s">
        <v>8</v>
      </c>
      <c r="J132" s="27" t="s">
        <v>7</v>
      </c>
      <c r="K132" s="27" t="s">
        <v>8</v>
      </c>
      <c r="L132" s="27" t="s">
        <v>7</v>
      </c>
      <c r="M132" s="27" t="s">
        <v>8</v>
      </c>
      <c r="R132" s="27" t="s">
        <v>7</v>
      </c>
      <c r="W132" s="27" t="s">
        <v>8</v>
      </c>
      <c r="X132" s="27" t="s">
        <v>7</v>
      </c>
      <c r="Y132" s="27" t="s">
        <v>8</v>
      </c>
      <c r="AC132" s="31"/>
    </row>
    <row r="133" spans="1:32" x14ac:dyDescent="0.25">
      <c r="A133" s="30">
        <v>0.31863081771035617</v>
      </c>
      <c r="C133" s="1" t="str">
        <f>C122</f>
        <v>O</v>
      </c>
      <c r="E133"/>
      <c r="H133" s="27" t="s">
        <v>7</v>
      </c>
      <c r="I133" s="27" t="s">
        <v>8</v>
      </c>
      <c r="J133" s="27" t="s">
        <v>7</v>
      </c>
      <c r="K133" s="27" t="s">
        <v>8</v>
      </c>
      <c r="L133" s="27" t="s">
        <v>7</v>
      </c>
      <c r="M133" s="27" t="s">
        <v>8</v>
      </c>
      <c r="R133" s="27" t="s">
        <v>7</v>
      </c>
      <c r="W133" s="27" t="s">
        <v>8</v>
      </c>
      <c r="X133" s="27" t="s">
        <v>7</v>
      </c>
      <c r="AB133" s="31"/>
    </row>
    <row r="134" spans="1:32" x14ac:dyDescent="0.25">
      <c r="A134" s="30">
        <v>0.28966437973668741</v>
      </c>
      <c r="C134"/>
      <c r="D134"/>
      <c r="E134"/>
      <c r="H134" s="27" t="s">
        <v>7</v>
      </c>
      <c r="I134" s="27" t="s">
        <v>8</v>
      </c>
      <c r="J134" s="27" t="s">
        <v>7</v>
      </c>
      <c r="K134" s="27" t="s">
        <v>8</v>
      </c>
      <c r="L134" s="27" t="s">
        <v>7</v>
      </c>
      <c r="R134" s="27" t="s">
        <v>7</v>
      </c>
      <c r="U134" s="27" t="s">
        <v>8</v>
      </c>
      <c r="W134" s="27" t="s">
        <v>8</v>
      </c>
      <c r="AA134" s="31"/>
    </row>
    <row r="135" spans="1:32" x14ac:dyDescent="0.25">
      <c r="A135" s="30">
        <v>0.2633312543060794</v>
      </c>
      <c r="C135" s="1" t="s">
        <v>14</v>
      </c>
      <c r="E135"/>
      <c r="H135" s="27" t="s">
        <v>7</v>
      </c>
      <c r="J135" s="27" t="s">
        <v>7</v>
      </c>
      <c r="K135" s="27" t="s">
        <v>8</v>
      </c>
      <c r="R135" s="27" t="s">
        <v>7</v>
      </c>
      <c r="U135" s="27" t="s">
        <v>8</v>
      </c>
      <c r="V135" s="27" t="s">
        <v>7</v>
      </c>
      <c r="W135" s="27" t="s">
        <v>8</v>
      </c>
      <c r="Z135" s="31"/>
    </row>
    <row r="136" spans="1:3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J136" s="27" t="s">
        <v>7</v>
      </c>
      <c r="R136" s="27" t="s">
        <v>7</v>
      </c>
      <c r="S136" s="27" t="s">
        <v>8</v>
      </c>
      <c r="U136" s="27" t="s">
        <v>8</v>
      </c>
      <c r="V136" s="27" t="s">
        <v>7</v>
      </c>
      <c r="W136" s="27" t="s">
        <v>8</v>
      </c>
      <c r="Y136" s="31"/>
    </row>
    <row r="137" spans="1:32" x14ac:dyDescent="0.25">
      <c r="A137" s="30">
        <v>0.2176291357901482</v>
      </c>
      <c r="E137"/>
      <c r="R137" s="27" t="s">
        <v>7</v>
      </c>
      <c r="S137" s="27" t="s">
        <v>8</v>
      </c>
      <c r="T137" s="27" t="s">
        <v>7</v>
      </c>
      <c r="U137" s="27" t="s">
        <v>8</v>
      </c>
      <c r="V137" s="27" t="s">
        <v>7</v>
      </c>
      <c r="X137" s="31"/>
    </row>
    <row r="138" spans="1:3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R138" s="27" t="s">
        <v>7</v>
      </c>
      <c r="S138" s="27" t="s">
        <v>8</v>
      </c>
      <c r="T138" s="27" t="s">
        <v>7</v>
      </c>
      <c r="U138" s="27" t="s">
        <v>8</v>
      </c>
      <c r="W138" s="31"/>
    </row>
    <row r="139" spans="1:32" x14ac:dyDescent="0.25">
      <c r="A139" s="30">
        <v>0.17985878990921333</v>
      </c>
      <c r="E139"/>
      <c r="R139" s="27" t="s">
        <v>7</v>
      </c>
      <c r="S139" s="27" t="s">
        <v>8</v>
      </c>
      <c r="T139" s="27" t="s">
        <v>7</v>
      </c>
      <c r="V139" s="31"/>
    </row>
    <row r="140" spans="1:32" x14ac:dyDescent="0.25">
      <c r="A140" s="30">
        <v>0.16350799082655756</v>
      </c>
      <c r="C140" s="1">
        <v>0</v>
      </c>
      <c r="E140"/>
      <c r="R140" s="27" t="s">
        <v>7</v>
      </c>
      <c r="S140" s="27" t="s">
        <v>8</v>
      </c>
      <c r="U140" s="31"/>
    </row>
    <row r="141" spans="1:32" x14ac:dyDescent="0.25">
      <c r="A141" s="30">
        <v>0.14864362802414322</v>
      </c>
      <c r="C141" s="1">
        <v>1</v>
      </c>
      <c r="E141"/>
      <c r="R141" s="27" t="s">
        <v>7</v>
      </c>
      <c r="S141" s="27" t="s">
        <v>8</v>
      </c>
      <c r="T141" s="31"/>
    </row>
    <row r="142" spans="1:32" x14ac:dyDescent="0.25">
      <c r="A142" s="30">
        <v>0.13513057093103928</v>
      </c>
      <c r="C142" s="1">
        <v>2</v>
      </c>
      <c r="E142"/>
      <c r="R142" s="27" t="s">
        <v>7</v>
      </c>
      <c r="S142" s="31" t="s">
        <v>8</v>
      </c>
    </row>
    <row r="143" spans="1:32" x14ac:dyDescent="0.25">
      <c r="A143" s="30">
        <v>0.12284597357367205</v>
      </c>
      <c r="C143" s="1">
        <v>3</v>
      </c>
      <c r="E143"/>
      <c r="R143" s="31" t="s">
        <v>7</v>
      </c>
    </row>
    <row r="144" spans="1:32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92" operator="equal">
      <formula>$U$1</formula>
    </cfRule>
    <cfRule type="cellIs" dxfId="30" priority="1293" operator="equal">
      <formula>$S$1</formula>
    </cfRule>
  </conditionalFormatting>
  <conditionalFormatting sqref="D136">
    <cfRule type="cellIs" dxfId="29" priority="1290" operator="equal">
      <formula>$S$1</formula>
    </cfRule>
    <cfRule type="cellIs" dxfId="28" priority="1291" operator="equal">
      <formula>$U$1</formula>
    </cfRule>
  </conditionalFormatting>
  <conditionalFormatting sqref="C102">
    <cfRule type="cellIs" dxfId="27" priority="1288" operator="equal">
      <formula>$U$1</formula>
    </cfRule>
    <cfRule type="cellIs" dxfId="26" priority="1289" operator="equal">
      <formula>$S$1</formula>
    </cfRule>
  </conditionalFormatting>
  <conditionalFormatting sqref="D102">
    <cfRule type="cellIs" dxfId="25" priority="1286" operator="equal">
      <formula>$S$1</formula>
    </cfRule>
    <cfRule type="cellIs" dxfId="24" priority="1287" operator="equal">
      <formula>$U$1</formula>
    </cfRule>
  </conditionalFormatting>
  <conditionalFormatting sqref="C77">
    <cfRule type="cellIs" dxfId="23" priority="1284" operator="equal">
      <formula>$U$1</formula>
    </cfRule>
    <cfRule type="cellIs" dxfId="22" priority="1285" operator="equal">
      <formula>$S$1</formula>
    </cfRule>
  </conditionalFormatting>
  <conditionalFormatting sqref="D77">
    <cfRule type="cellIs" dxfId="21" priority="1282" operator="equal">
      <formula>$S$1</formula>
    </cfRule>
    <cfRule type="cellIs" dxfId="20" priority="1283" operator="equal">
      <formula>$U$1</formula>
    </cfRule>
  </conditionalFormatting>
  <conditionalFormatting sqref="C52">
    <cfRule type="cellIs" dxfId="19" priority="1280" operator="equal">
      <formula>$U$1</formula>
    </cfRule>
    <cfRule type="cellIs" dxfId="18" priority="1281" operator="equal">
      <formula>$S$1</formula>
    </cfRule>
  </conditionalFormatting>
  <conditionalFormatting sqref="D52">
    <cfRule type="cellIs" dxfId="17" priority="1278" operator="equal">
      <formula>$S$1</formula>
    </cfRule>
    <cfRule type="cellIs" dxfId="16" priority="1279" operator="equal">
      <formula>$U$1</formula>
    </cfRule>
  </conditionalFormatting>
  <conditionalFormatting sqref="C26">
    <cfRule type="cellIs" dxfId="15" priority="1276" operator="equal">
      <formula>$U$1</formula>
    </cfRule>
    <cfRule type="cellIs" dxfId="14" priority="1277" operator="equal">
      <formula>$S$1</formula>
    </cfRule>
  </conditionalFormatting>
  <conditionalFormatting sqref="D26">
    <cfRule type="cellIs" dxfId="13" priority="1274" operator="equal">
      <formula>$S$1</formula>
    </cfRule>
    <cfRule type="cellIs" dxfId="12" priority="127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D36" sqref="D36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1.2762815625000004</v>
      </c>
      <c r="F3" s="30">
        <v>1.3400956406250004</v>
      </c>
      <c r="G3" s="30">
        <v>2.6532977051444226</v>
      </c>
      <c r="H3" s="25">
        <f>IF(G3="","",(3*(G3-F3))+E3)</f>
        <v>5.215887756058267</v>
      </c>
      <c r="I3" s="7"/>
      <c r="J3" s="7">
        <f>(E3+G3)/2</f>
        <v>1.9647896338222115</v>
      </c>
      <c r="K3" s="7">
        <f>H3/2</f>
        <v>2.6079438780291335</v>
      </c>
      <c r="M3" s="26">
        <f>IF(OR(J3="",H3=""),"",H3/J3)</f>
        <v>2.6546800055696136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2022-01-28T01:22:11Z</dcterms:modified>
</cp:coreProperties>
</file>