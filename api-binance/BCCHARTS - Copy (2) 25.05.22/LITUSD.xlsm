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29F20A88-CF44-4743-9FFE-A93B1CA67007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22" i="4"/>
  <c r="C133" i="4" s="1"/>
  <c r="C136" i="4" s="1"/>
  <c r="C118" i="4"/>
  <c r="C116" i="3"/>
  <c r="C122" i="3"/>
  <c r="C133" i="3" s="1"/>
  <c r="D136" i="3" s="1"/>
  <c r="R765" i="1"/>
  <c r="D136" i="5" l="1"/>
  <c r="C138" i="5" s="1"/>
  <c r="D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<sst xmlns="http://schemas.openxmlformats.org/spreadsheetml/2006/main" count="4243" uniqueCount="34">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</sst>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1.4790000000000001</c:v>
                </c:pt>
                <c:pt idx="1">
                  <c:v>1.5169999999999999</c:v>
                </c:pt>
                <c:pt idx="2">
                  <c:v>1.518</c:v>
                </c:pt>
                <c:pt idx="3">
                  <c:v>1.5269999999999999</c:v>
                </c:pt>
                <c:pt idx="4">
                  <c:v>1.6879999999999999</c:v>
                </c:pt>
                <c:pt idx="5">
                  <c:v>1.6559999999999999</c:v>
                </c:pt>
                <c:pt idx="6">
                  <c:v>1.905</c:v>
                </c:pt>
                <c:pt idx="7">
                  <c:v>2.2120000000000002</c:v>
                </c:pt>
                <c:pt idx="8">
                  <c:v>2.3199999999999998</c:v>
                </c:pt>
                <c:pt idx="9">
                  <c:v>2.4390000000000001</c:v>
                </c:pt>
                <c:pt idx="10">
                  <c:v>2.4689999999999999</c:v>
                </c:pt>
                <c:pt idx="11">
                  <c:v>2.67</c:v>
                </c:pt>
                <c:pt idx="12">
                  <c:v>2.68</c:v>
                </c:pt>
                <c:pt idx="13">
                  <c:v>2.5720000000000001</c:v>
                </c:pt>
                <c:pt idx="14">
                  <c:v>2.59</c:v>
                </c:pt>
                <c:pt idx="15">
                  <c:v>2.637</c:v>
                </c:pt>
                <c:pt idx="16">
                  <c:v>2.4169999999999998</c:v>
                </c:pt>
                <c:pt idx="17">
                  <c:v>2.2989999999999999</c:v>
                </c:pt>
                <c:pt idx="18">
                  <c:v>2.4710000000000001</c:v>
                </c:pt>
                <c:pt idx="19">
                  <c:v>2.4369999999999998</c:v>
                </c:pt>
                <c:pt idx="20">
                  <c:v>2.6070000000000002</c:v>
                </c:pt>
                <c:pt idx="21">
                  <c:v>2.782</c:v>
                </c:pt>
                <c:pt idx="22">
                  <c:v>2.8620000000000001</c:v>
                </c:pt>
                <c:pt idx="23">
                  <c:v>3.0750000000000002</c:v>
                </c:pt>
                <c:pt idx="24">
                  <c:v>3.0990000000000002</c:v>
                </c:pt>
                <c:pt idx="25">
                  <c:v>3.1819999999999999</c:v>
                </c:pt>
                <c:pt idx="26">
                  <c:v>3.1259999999999999</c:v>
                </c:pt>
                <c:pt idx="27">
                  <c:v>2.968</c:v>
                </c:pt>
                <c:pt idx="28">
                  <c:v>2.9540000000000002</c:v>
                </c:pt>
                <c:pt idx="29">
                  <c:v>2.9569999999999999</c:v>
                </c:pt>
                <c:pt idx="30">
                  <c:v>3.08</c:v>
                </c:pt>
                <c:pt idx="31">
                  <c:v>3.3220000000000001</c:v>
                </c:pt>
                <c:pt idx="32">
                  <c:v>3.3959999999999999</c:v>
                </c:pt>
                <c:pt idx="33">
                  <c:v>3.3650000000000002</c:v>
                </c:pt>
                <c:pt idx="34">
                  <c:v>3.121</c:v>
                </c:pt>
                <c:pt idx="35">
                  <c:v>3.21</c:v>
                </c:pt>
                <c:pt idx="36">
                  <c:v>3.032</c:v>
                </c:pt>
                <c:pt idx="37">
                  <c:v>2.96</c:v>
                </c:pt>
                <c:pt idx="38">
                  <c:v>2.77</c:v>
                </c:pt>
                <c:pt idx="39">
                  <c:v>2.8050000000000002</c:v>
                </c:pt>
                <c:pt idx="40">
                  <c:v>2.8940000000000001</c:v>
                </c:pt>
                <c:pt idx="41">
                  <c:v>2.855</c:v>
                </c:pt>
                <c:pt idx="42">
                  <c:v>2.915</c:v>
                </c:pt>
                <c:pt idx="43">
                  <c:v>3.0169999999999999</c:v>
                </c:pt>
                <c:pt idx="44">
                  <c:v>2.8679999999999999</c:v>
                </c:pt>
                <c:pt idx="45">
                  <c:v>2.7109999999999999</c:v>
                </c:pt>
                <c:pt idx="46">
                  <c:v>3.1850000000000001</c:v>
                </c:pt>
                <c:pt idx="47">
                  <c:v>2.984</c:v>
                </c:pt>
                <c:pt idx="48">
                  <c:v>2.9449999999999998</c:v>
                </c:pt>
                <c:pt idx="49">
                  <c:v>3.0950000000000002</c:v>
                </c:pt>
                <c:pt idx="50">
                  <c:v>3.456</c:v>
                </c:pt>
                <c:pt idx="51">
                  <c:v>3.2759999999999998</c:v>
                </c:pt>
                <c:pt idx="52">
                  <c:v>3.246</c:v>
                </c:pt>
                <c:pt idx="53">
                  <c:v>3.21</c:v>
                </c:pt>
                <c:pt idx="54">
                  <c:v>3.6309999999999998</c:v>
                </c:pt>
                <c:pt idx="55">
                  <c:v>4.8150000000000004</c:v>
                </c:pt>
                <c:pt idx="56">
                  <c:v>4.8780000000000001</c:v>
                </c:pt>
                <c:pt idx="57">
                  <c:v>5.0540000000000003</c:v>
                </c:pt>
                <c:pt idx="58">
                  <c:v>5.2670000000000003</c:v>
                </c:pt>
                <c:pt idx="59">
                  <c:v>6.024</c:v>
                </c:pt>
                <c:pt idx="60">
                  <c:v>5.9089999999999998</c:v>
                </c:pt>
                <c:pt idx="61">
                  <c:v>5.9420000000000002</c:v>
                </c:pt>
                <c:pt idx="62">
                  <c:v>4.0469999999999997</c:v>
                </c:pt>
                <c:pt idx="63">
                  <c:v>4.4720000000000004</c:v>
                </c:pt>
                <c:pt idx="64">
                  <c:v>4.5350000000000001</c:v>
                </c:pt>
                <c:pt idx="65">
                  <c:v>4.51</c:v>
                </c:pt>
                <c:pt idx="66">
                  <c:v>4.3470000000000004</c:v>
                </c:pt>
                <c:pt idx="67">
                  <c:v>4.3650000000000002</c:v>
                </c:pt>
                <c:pt idx="68">
                  <c:v>4.3390000000000004</c:v>
                </c:pt>
                <c:pt idx="69">
                  <c:v>4.202</c:v>
                </c:pt>
                <c:pt idx="70">
                  <c:v>3.968</c:v>
                </c:pt>
                <c:pt idx="71">
                  <c:v>4.4390000000000001</c:v>
                </c:pt>
                <c:pt idx="72">
                  <c:v>4.3540000000000001</c:v>
                </c:pt>
                <c:pt idx="73">
                  <c:v>4.7919999999999998</c:v>
                </c:pt>
                <c:pt idx="74">
                  <c:v>4.9420000000000002</c:v>
                </c:pt>
                <c:pt idx="75">
                  <c:v>4.8609999999999998</c:v>
                </c:pt>
                <c:pt idx="76">
                  <c:v>4.7140000000000004</c:v>
                </c:pt>
                <c:pt idx="77">
                  <c:v>4.9390000000000001</c:v>
                </c:pt>
                <c:pt idx="78">
                  <c:v>4.6040000000000001</c:v>
                </c:pt>
                <c:pt idx="79">
                  <c:v>5.1120000000000001</c:v>
                </c:pt>
                <c:pt idx="80">
                  <c:v>5.1529999999999996</c:v>
                </c:pt>
                <c:pt idx="81">
                  <c:v>4.9969999999999999</c:v>
                </c:pt>
                <c:pt idx="82">
                  <c:v>4.8470000000000004</c:v>
                </c:pt>
                <c:pt idx="83">
                  <c:v>4.9859999999999998</c:v>
                </c:pt>
                <c:pt idx="84">
                  <c:v>5.27</c:v>
                </c:pt>
                <c:pt idx="85">
                  <c:v>5.6150000000000002</c:v>
                </c:pt>
                <c:pt idx="86">
                  <c:v>5.4589999999999996</c:v>
                </c:pt>
                <c:pt idx="87">
                  <c:v>5.4269999999999996</c:v>
                </c:pt>
                <c:pt idx="88">
                  <c:v>5.1180000000000003</c:v>
                </c:pt>
                <c:pt idx="89">
                  <c:v>5.0750000000000002</c:v>
                </c:pt>
                <c:pt idx="90">
                  <c:v>4.8170000000000002</c:v>
                </c:pt>
                <c:pt idx="91">
                  <c:v>4.6040000000000001</c:v>
                </c:pt>
                <c:pt idx="92">
                  <c:v>4.46</c:v>
                </c:pt>
                <c:pt idx="93">
                  <c:v>5.0590000000000002</c:v>
                </c:pt>
                <c:pt idx="94">
                  <c:v>4.9050000000000002</c:v>
                </c:pt>
                <c:pt idx="95">
                  <c:v>4.7050000000000001</c:v>
                </c:pt>
                <c:pt idx="96">
                  <c:v>4.4950000000000001</c:v>
                </c:pt>
                <c:pt idx="97">
                  <c:v>4.3979999999999997</c:v>
                </c:pt>
                <c:pt idx="98">
                  <c:v>4.3440000000000003</c:v>
                </c:pt>
                <c:pt idx="99">
                  <c:v>4.516</c:v>
                </c:pt>
                <c:pt idx="100">
                  <c:v>4.319</c:v>
                </c:pt>
                <c:pt idx="101">
                  <c:v>4.407</c:v>
                </c:pt>
                <c:pt idx="102">
                  <c:v>4.5209999999999999</c:v>
                </c:pt>
                <c:pt idx="103">
                  <c:v>4.6920000000000002</c:v>
                </c:pt>
                <c:pt idx="104">
                  <c:v>4.6959999999999997</c:v>
                </c:pt>
                <c:pt idx="105">
                  <c:v>4.17</c:v>
                </c:pt>
                <c:pt idx="106">
                  <c:v>3.8620000000000001</c:v>
                </c:pt>
                <c:pt idx="107">
                  <c:v>3.6429999999999998</c:v>
                </c:pt>
                <c:pt idx="108">
                  <c:v>3.657</c:v>
                </c:pt>
                <c:pt idx="109">
                  <c:v>3.7149999999999999</c:v>
                </c:pt>
                <c:pt idx="110">
                  <c:v>3.9449999999999998</c:v>
                </c:pt>
                <c:pt idx="111">
                  <c:v>3.8130000000000002</c:v>
                </c:pt>
                <c:pt idx="112">
                  <c:v>3.8769999999999998</c:v>
                </c:pt>
                <c:pt idx="113">
                  <c:v>3.7080000000000002</c:v>
                </c:pt>
                <c:pt idx="114">
                  <c:v>3.903</c:v>
                </c:pt>
                <c:pt idx="115">
                  <c:v>3.6560000000000001</c:v>
                </c:pt>
                <c:pt idx="116">
                  <c:v>3.657</c:v>
                </c:pt>
                <c:pt idx="117">
                  <c:v>3.5859999999999999</c:v>
                </c:pt>
                <c:pt idx="118">
                  <c:v>3.5619999999999998</c:v>
                </c:pt>
                <c:pt idx="119">
                  <c:v>3.22</c:v>
                </c:pt>
                <c:pt idx="120">
                  <c:v>3.0379999999999998</c:v>
                </c:pt>
                <c:pt idx="121">
                  <c:v>3.0219999999999998</c:v>
                </c:pt>
                <c:pt idx="122">
                  <c:v>3.2290000000000001</c:v>
                </c:pt>
                <c:pt idx="123">
                  <c:v>3.3370000000000002</c:v>
                </c:pt>
                <c:pt idx="124">
                  <c:v>3.4580000000000002</c:v>
                </c:pt>
                <c:pt idx="125">
                  <c:v>3.448</c:v>
                </c:pt>
                <c:pt idx="126">
                  <c:v>3.7189999999999999</c:v>
                </c:pt>
                <c:pt idx="127">
                  <c:v>3.601</c:v>
                </c:pt>
                <c:pt idx="128">
                  <c:v>3.2280000000000002</c:v>
                </c:pt>
                <c:pt idx="129">
                  <c:v>3.8570000000000002</c:v>
                </c:pt>
                <c:pt idx="130">
                  <c:v>4.1970000000000001</c:v>
                </c:pt>
                <c:pt idx="131">
                  <c:v>4.4009999999999998</c:v>
                </c:pt>
                <c:pt idx="132">
                  <c:v>4.24</c:v>
                </c:pt>
                <c:pt idx="133">
                  <c:v>4.6050000000000004</c:v>
                </c:pt>
                <c:pt idx="134">
                  <c:v>4.8150000000000004</c:v>
                </c:pt>
                <c:pt idx="135">
                  <c:v>4.7160000000000002</c:v>
                </c:pt>
                <c:pt idx="136">
                  <c:v>4.6260000000000003</c:v>
                </c:pt>
                <c:pt idx="137">
                  <c:v>4.1970000000000001</c:v>
                </c:pt>
                <c:pt idx="138">
                  <c:v>3.9</c:v>
                </c:pt>
                <c:pt idx="139">
                  <c:v>3.76</c:v>
                </c:pt>
                <c:pt idx="140">
                  <c:v>4.0199999999999996</c:v>
                </c:pt>
                <c:pt idx="141">
                  <c:v>3.9769999999999999</c:v>
                </c:pt>
                <c:pt idx="142">
                  <c:v>3.9540000000000002</c:v>
                </c:pt>
                <c:pt idx="143">
                  <c:v>5.3209999999999997</c:v>
                </c:pt>
                <c:pt idx="144">
                  <c:v>5.6180000000000003</c:v>
                </c:pt>
                <c:pt idx="145">
                  <c:v>5.3559999999999999</c:v>
                </c:pt>
                <c:pt idx="146">
                  <c:v>5.3159999999999998</c:v>
                </c:pt>
                <c:pt idx="147">
                  <c:v>5.1989999999999998</c:v>
                </c:pt>
                <c:pt idx="148">
                  <c:v>5.3070000000000004</c:v>
                </c:pt>
                <c:pt idx="149">
                  <c:v>5.35</c:v>
                </c:pt>
                <c:pt idx="150">
                  <c:v>4.8140000000000001</c:v>
                </c:pt>
                <c:pt idx="151">
                  <c:v>5.0250000000000004</c:v>
                </c:pt>
                <c:pt idx="152">
                  <c:v>5.18</c:v>
                </c:pt>
                <c:pt idx="153">
                  <c:v>5.2569999999999997</c:v>
                </c:pt>
                <c:pt idx="154">
                  <c:v>4.9749999999999996</c:v>
                </c:pt>
                <c:pt idx="155">
                  <c:v>5.4885000000000002</c:v>
                </c:pt>
                <c:pt idx="156">
                  <c:v>5.1821000000000002</c:v>
                </c:pt>
                <c:pt idx="157">
                  <c:v>5.6759000000000004</c:v>
                </c:pt>
                <c:pt idx="158">
                  <c:v>5.2294</c:v>
                </c:pt>
                <c:pt idx="159">
                  <c:v>5.0620000000000003</c:v>
                </c:pt>
                <c:pt idx="160">
                  <c:v>5.3274999999999997</c:v>
                </c:pt>
                <c:pt idx="161">
                  <c:v>4.8314000000000004</c:v>
                </c:pt>
                <c:pt idx="162">
                  <c:v>4.5223000000000004</c:v>
                </c:pt>
                <c:pt idx="163">
                  <c:v>4.5537000000000001</c:v>
                </c:pt>
                <c:pt idx="164">
                  <c:v>4.8177000000000003</c:v>
                </c:pt>
                <c:pt idx="165">
                  <c:v>5.09</c:v>
                </c:pt>
                <c:pt idx="166">
                  <c:v>4.8445999999999998</c:v>
                </c:pt>
                <c:pt idx="167">
                  <c:v>4.8026999999999997</c:v>
                </c:pt>
                <c:pt idx="168">
                  <c:v>4.4893000000000001</c:v>
                </c:pt>
                <c:pt idx="169">
                  <c:v>4.6399999999999997</c:v>
                </c:pt>
                <c:pt idx="170">
                  <c:v>4.3879999999999999</c:v>
                </c:pt>
                <c:pt idx="171">
                  <c:v>4.0293999999999999</c:v>
                </c:pt>
                <c:pt idx="172">
                  <c:v>3.7843</c:v>
                </c:pt>
                <c:pt idx="173">
                  <c:v>4.0970000000000004</c:v>
                </c:pt>
                <c:pt idx="174">
                  <c:v>3.8826000000000001</c:v>
                </c:pt>
                <c:pt idx="175">
                  <c:v>3.9580000000000002</c:v>
                </c:pt>
                <c:pt idx="176">
                  <c:v>3.8462999999999998</c:v>
                </c:pt>
                <c:pt idx="177">
                  <c:v>3.7625000000000002</c:v>
                </c:pt>
                <c:pt idx="178">
                  <c:v>3.6600999999999999</c:v>
                </c:pt>
                <c:pt idx="179">
                  <c:v>3.4565000000000001</c:v>
                </c:pt>
                <c:pt idx="180">
                  <c:v>3.5746000000000002</c:v>
                </c:pt>
                <c:pt idx="181">
                  <c:v>3.57</c:v>
                </c:pt>
                <c:pt idx="182">
                  <c:v>3.5358000000000001</c:v>
                </c:pt>
                <c:pt idx="183">
                  <c:v>3.7191000000000001</c:v>
                </c:pt>
                <c:pt idx="184">
                  <c:v>3.7288000000000001</c:v>
                </c:pt>
                <c:pt idx="185">
                  <c:v>3.5246</c:v>
                </c:pt>
                <c:pt idx="186">
                  <c:v>3.2694000000000001</c:v>
                </c:pt>
                <c:pt idx="187">
                  <c:v>3.0888</c:v>
                </c:pt>
                <c:pt idx="188">
                  <c:v>3.1953</c:v>
                </c:pt>
                <c:pt idx="189">
                  <c:v>2.5169000000000001</c:v>
                </c:pt>
                <c:pt idx="190">
                  <c:v>2.5108000000000001</c:v>
                </c:pt>
                <c:pt idx="191">
                  <c:v>2.2822</c:v>
                </c:pt>
                <c:pt idx="192">
                  <c:v>2.7282999999999999</c:v>
                </c:pt>
                <c:pt idx="193">
                  <c:v>2.8557000000000001</c:v>
                </c:pt>
                <c:pt idx="194">
                  <c:v>2.6322000000000001</c:v>
                </c:pt>
                <c:pt idx="195">
                  <c:v>2.7589999999999999</c:v>
                </c:pt>
                <c:pt idx="196">
                  <c:v>3.2202999999999999</c:v>
                </c:pt>
                <c:pt idx="197">
                  <c:v>3.0392000000000001</c:v>
                </c:pt>
                <c:pt idx="198">
                  <c:v>2.5127000000000002</c:v>
                </c:pt>
                <c:pt idx="199">
                  <c:v>2.4971000000000001</c:v>
                </c:pt>
                <c:pt idx="200">
                  <c:v>2.5901999999999998</c:v>
                </c:pt>
                <c:pt idx="201">
                  <c:v>2.4799000000000002</c:v>
                </c:pt>
                <c:pt idx="202">
                  <c:v>2.5329000000000002</c:v>
                </c:pt>
                <c:pt idx="203">
                  <c:v>2.444</c:v>
                </c:pt>
                <c:pt idx="204">
                  <c:v>2.7067999999999999</c:v>
                </c:pt>
                <c:pt idx="205">
                  <c:v>2.8199000000000001</c:v>
                </c:pt>
                <c:pt idx="206">
                  <c:v>2.5971000000000002</c:v>
                </c:pt>
                <c:pt idx="207">
                  <c:v>2.3932000000000002</c:v>
                </c:pt>
                <c:pt idx="208">
                  <c:v>2.2863000000000002</c:v>
                </c:pt>
                <c:pt idx="209">
                  <c:v>2.2273999999999998</c:v>
                </c:pt>
                <c:pt idx="210">
                  <c:v>2.2603</c:v>
                </c:pt>
                <c:pt idx="211">
                  <c:v>2.4036</c:v>
                </c:pt>
                <c:pt idx="212">
                  <c:v>2.4260999999999999</c:v>
                </c:pt>
                <c:pt idx="213">
                  <c:v>2.3102</c:v>
                </c:pt>
                <c:pt idx="214">
                  <c:v>2.1934999999999998</c:v>
                </c:pt>
                <c:pt idx="215">
                  <c:v>2.1739000000000002</c:v>
                </c:pt>
                <c:pt idx="216">
                  <c:v>2.2404999999999999</c:v>
                </c:pt>
                <c:pt idx="217">
                  <c:v>2.4933000000000001</c:v>
                </c:pt>
                <c:pt idx="218">
                  <c:v>2.4900000000000002</c:v>
                </c:pt>
                <c:pt idx="219">
                  <c:v>2.2008000000000001</c:v>
                </c:pt>
                <c:pt idx="220">
                  <c:v>2.3548</c:v>
                </c:pt>
                <c:pt idx="221">
                  <c:v>3.0575000000000001</c:v>
                </c:pt>
                <c:pt idx="222">
                  <c:v>2.9836</c:v>
                </c:pt>
                <c:pt idx="223">
                  <c:v>3.1309</c:v>
                </c:pt>
                <c:pt idx="224">
                  <c:v>3.4832999999999998</c:v>
                </c:pt>
                <c:pt idx="225">
                  <c:v>3.2877000000000001</c:v>
                </c:pt>
                <c:pt idx="226">
                  <c:v>3.5202</c:v>
                </c:pt>
                <c:pt idx="227">
                  <c:v>3.5587</c:v>
                </c:pt>
                <c:pt idx="228">
                  <c:v>3.3452999999999999</c:v>
                </c:pt>
                <c:pt idx="229">
                  <c:v>3.1396999999999999</c:v>
                </c:pt>
                <c:pt idx="230">
                  <c:v>3.2989999999999999</c:v>
                </c:pt>
                <c:pt idx="231">
                  <c:v>3.3201000000000001</c:v>
                </c:pt>
                <c:pt idx="232">
                  <c:v>3.5</c:v>
                </c:pt>
                <c:pt idx="233">
                  <c:v>3.3780999999999999</c:v>
                </c:pt>
                <c:pt idx="234">
                  <c:v>3.5011999999999999</c:v>
                </c:pt>
                <c:pt idx="235">
                  <c:v>3.9626000000000001</c:v>
                </c:pt>
                <c:pt idx="236">
                  <c:v>3.9845999999999999</c:v>
                </c:pt>
                <c:pt idx="237">
                  <c:v>3.8576000000000001</c:v>
                </c:pt>
                <c:pt idx="238">
                  <c:v>4.0704000000000002</c:v>
                </c:pt>
                <c:pt idx="239">
                  <c:v>3.8115999999999999</c:v>
                </c:pt>
                <c:pt idx="240">
                  <c:v>3.8188</c:v>
                </c:pt>
                <c:pt idx="241">
                  <c:v>3.5808</c:v>
                </c:pt>
                <c:pt idx="242">
                  <c:v>3.1059999999999999</c:v>
                </c:pt>
                <c:pt idx="243">
                  <c:v>3.0491000000000001</c:v>
                </c:pt>
                <c:pt idx="244">
                  <c:v>3.2496999999999998</c:v>
                </c:pt>
                <c:pt idx="245">
                  <c:v>3.8344</c:v>
                </c:pt>
                <c:pt idx="246">
                  <c:v>3.746</c:v>
                </c:pt>
                <c:pt idx="247">
                  <c:v>3.2867999999999999</c:v>
                </c:pt>
                <c:pt idx="248">
                  <c:v>3.4197000000000002</c:v>
                </c:pt>
                <c:pt idx="249">
                  <c:v>2.5554000000000001</c:v>
                </c:pt>
                <c:pt idx="250">
                  <c:v>3.1053999999999999</c:v>
                </c:pt>
                <c:pt idx="251">
                  <c:v>3.5163000000000002</c:v>
                </c:pt>
                <c:pt idx="252">
                  <c:v>4.3319999999999999</c:v>
                </c:pt>
                <c:pt idx="253">
                  <c:v>3.7646999999999999</c:v>
                </c:pt>
                <c:pt idx="254">
                  <c:v>6.5834000000000001</c:v>
                </c:pt>
                <c:pt idx="255">
                  <c:v>6.4943</c:v>
                </c:pt>
                <c:pt idx="256">
                  <c:v>7.21</c:v>
                </c:pt>
                <c:pt idx="257">
                  <c:v>6.7264999999999997</c:v>
                </c:pt>
                <c:pt idx="258">
                  <c:v>7.2089999999999996</c:v>
                </c:pt>
                <c:pt idx="259">
                  <c:v>6.7390999999999996</c:v>
                </c:pt>
                <c:pt idx="260">
                  <c:v>6.5072999999999999</c:v>
                </c:pt>
                <c:pt idx="261">
                  <c:v>7.8615000000000004</c:v>
                </c:pt>
                <c:pt idx="262">
                  <c:v>7.4375999999999998</c:v>
                </c:pt>
                <c:pt idx="263">
                  <c:v>8.1936999999999998</c:v>
                </c:pt>
                <c:pt idx="264">
                  <c:v>8.5010999999999992</c:v>
                </c:pt>
                <c:pt idx="265">
                  <c:v>8.6789000000000005</c:v>
                </c:pt>
                <c:pt idx="266">
                  <c:v>8.5599000000000007</c:v>
                </c:pt>
                <c:pt idx="267">
                  <c:v>8.5513999999999992</c:v>
                </c:pt>
                <c:pt idx="268">
                  <c:v>7.9359999999999999</c:v>
                </c:pt>
                <c:pt idx="269">
                  <c:v>9.5279000000000007</c:v>
                </c:pt>
                <c:pt idx="270">
                  <c:v>9.1120000000000001</c:v>
                </c:pt>
                <c:pt idx="271">
                  <c:v>9.25</c:v>
                </c:pt>
                <c:pt idx="272">
                  <c:v>9.1556999999999995</c:v>
                </c:pt>
                <c:pt idx="273">
                  <c:v>8.4793000000000003</c:v>
                </c:pt>
                <c:pt idx="274">
                  <c:v>8.6110000000000007</c:v>
                </c:pt>
                <c:pt idx="275">
                  <c:v>8.9832999999999998</c:v>
                </c:pt>
                <c:pt idx="276">
                  <c:v>8.0439000000000007</c:v>
                </c:pt>
                <c:pt idx="277">
                  <c:v>7.2194000000000003</c:v>
                </c:pt>
                <c:pt idx="278">
                  <c:v>7.0130999999999997</c:v>
                </c:pt>
                <c:pt idx="279">
                  <c:v>7.7388000000000003</c:v>
                </c:pt>
                <c:pt idx="280">
                  <c:v>8.0503999999999998</c:v>
                </c:pt>
                <c:pt idx="281">
                  <c:v>8.8650000000000002</c:v>
                </c:pt>
                <c:pt idx="282">
                  <c:v>9.1814</c:v>
                </c:pt>
                <c:pt idx="283">
                  <c:v>8.9384999999999994</c:v>
                </c:pt>
                <c:pt idx="284">
                  <c:v>10.1822</c:v>
                </c:pt>
                <c:pt idx="285">
                  <c:v>12.510300000000001</c:v>
                </c:pt>
                <c:pt idx="286">
                  <c:v>11.266500000000001</c:v>
                </c:pt>
                <c:pt idx="287">
                  <c:v>12.361499999999999</c:v>
                </c:pt>
                <c:pt idx="288">
                  <c:v>11.436199999999999</c:v>
                </c:pt>
                <c:pt idx="289">
                  <c:v>11.488799999999999</c:v>
                </c:pt>
                <c:pt idx="290">
                  <c:v>12.7765</c:v>
                </c:pt>
                <c:pt idx="291">
                  <c:v>11.539400000000001</c:v>
                </c:pt>
                <c:pt idx="292">
                  <c:v>11.4306</c:v>
                </c:pt>
                <c:pt idx="293">
                  <c:v>12.0007</c:v>
                </c:pt>
                <c:pt idx="294">
                  <c:v>10.613300000000001</c:v>
                </c:pt>
                <c:pt idx="295">
                  <c:v>9.3355999999999995</c:v>
                </c:pt>
                <c:pt idx="296">
                  <c:v>10.4781</c:v>
                </c:pt>
                <c:pt idx="297">
                  <c:v>9.8168000000000006</c:v>
                </c:pt>
                <c:pt idx="298">
                  <c:v>9.6014999999999997</c:v>
                </c:pt>
                <c:pt idx="299">
                  <c:v>8.86</c:v>
                </c:pt>
                <c:pt idx="300">
                  <c:v>9.5258000000000003</c:v>
                </c:pt>
                <c:pt idx="301">
                  <c:v>9.1189999999999998</c:v>
                </c:pt>
                <c:pt idx="302">
                  <c:v>9.2441999999999993</c:v>
                </c:pt>
                <c:pt idx="303">
                  <c:v>9.7233999999999998</c:v>
                </c:pt>
                <c:pt idx="304">
                  <c:v>9.8301999999999996</c:v>
                </c:pt>
                <c:pt idx="305">
                  <c:v>9.1403999999999996</c:v>
                </c:pt>
                <c:pt idx="306">
                  <c:v>9.0731999999999999</c:v>
                </c:pt>
                <c:pt idx="307">
                  <c:v>8.9268000000000001</c:v>
                </c:pt>
                <c:pt idx="308">
                  <c:v>8.1232000000000006</c:v>
                </c:pt>
                <c:pt idx="309">
                  <c:v>8.1176999999999992</c:v>
                </c:pt>
                <c:pt idx="310">
                  <c:v>8.9082000000000008</c:v>
                </c:pt>
                <c:pt idx="311">
                  <c:v>9.4033999999999995</c:v>
                </c:pt>
                <c:pt idx="312">
                  <c:v>10.6</c:v>
                </c:pt>
                <c:pt idx="313">
                  <c:v>10.5311</c:v>
                </c:pt>
                <c:pt idx="314">
                  <c:v>11.680899999999999</c:v>
                </c:pt>
                <c:pt idx="315">
                  <c:v>11.0937</c:v>
                </c:pt>
                <c:pt idx="316">
                  <c:v>10.7903</c:v>
                </c:pt>
                <c:pt idx="317">
                  <c:v>11.4</c:v>
                </c:pt>
                <c:pt idx="318">
                  <c:v>10.3316</c:v>
                </c:pt>
                <c:pt idx="319">
                  <c:v>10.895899999999999</c:v>
                </c:pt>
                <c:pt idx="320">
                  <c:v>10</c:v>
                </c:pt>
                <c:pt idx="321">
                  <c:v>8.0649999999999995</c:v>
                </c:pt>
                <c:pt idx="322">
                  <c:v>8.6852</c:v>
                </c:pt>
                <c:pt idx="323">
                  <c:v>8.8450000000000006</c:v>
                </c:pt>
                <c:pt idx="324">
                  <c:v>9.8713999999999995</c:v>
                </c:pt>
                <c:pt idx="325">
                  <c:v>9.2100000000000009</c:v>
                </c:pt>
                <c:pt idx="326">
                  <c:v>9.2055000000000007</c:v>
                </c:pt>
                <c:pt idx="327">
                  <c:v>8.3030000000000008</c:v>
                </c:pt>
                <c:pt idx="328">
                  <c:v>7.7</c:v>
                </c:pt>
                <c:pt idx="329">
                  <c:v>7.7794999999999996</c:v>
                </c:pt>
                <c:pt idx="330">
                  <c:v>8.1852999999999998</c:v>
                </c:pt>
                <c:pt idx="331">
                  <c:v>8.2922999999999991</c:v>
                </c:pt>
                <c:pt idx="332">
                  <c:v>7.6123000000000003</c:v>
                </c:pt>
                <c:pt idx="333">
                  <c:v>6.9101999999999997</c:v>
                </c:pt>
                <c:pt idx="334">
                  <c:v>7.7511999999999999</c:v>
                </c:pt>
                <c:pt idx="335">
                  <c:v>7.9960000000000004</c:v>
                </c:pt>
                <c:pt idx="336">
                  <c:v>8.1631999999999998</c:v>
                </c:pt>
                <c:pt idx="337">
                  <c:v>8.4898000000000007</c:v>
                </c:pt>
                <c:pt idx="338">
                  <c:v>7.6094999999999997</c:v>
                </c:pt>
                <c:pt idx="339">
                  <c:v>9.1769999999999996</c:v>
                </c:pt>
                <c:pt idx="340">
                  <c:v>10.599</c:v>
                </c:pt>
                <c:pt idx="341">
                  <c:v>10.288600000000001</c:v>
                </c:pt>
                <c:pt idx="342">
                  <c:v>10.2395</c:v>
                </c:pt>
                <c:pt idx="343">
                  <c:v>11.260199999999999</c:v>
                </c:pt>
                <c:pt idx="344">
                  <c:v>11.2271</c:v>
                </c:pt>
                <c:pt idx="345">
                  <c:v>12.6111</c:v>
                </c:pt>
                <c:pt idx="346">
                  <c:v>13.4046</c:v>
                </c:pt>
                <c:pt idx="347">
                  <c:v>11.6995</c:v>
                </c:pt>
                <c:pt idx="348">
                  <c:v>9.7521000000000004</c:v>
                </c:pt>
                <c:pt idx="349">
                  <c:v>8.5665999999999993</c:v>
                </c:pt>
                <c:pt idx="350">
                  <c:v>7.5641999999999996</c:v>
                </c:pt>
                <c:pt idx="351">
                  <c:v>6.5006000000000004</c:v>
                </c:pt>
                <c:pt idx="352">
                  <c:v>7.1700999999999997</c:v>
                </c:pt>
                <c:pt idx="353">
                  <c:v>6.4692999999999996</c:v>
                </c:pt>
                <c:pt idx="354">
                  <c:v>7.52</c:v>
                </c:pt>
                <c:pt idx="355">
                  <c:v>7.3617999999999997</c:v>
                </c:pt>
                <c:pt idx="356">
                  <c:v>5.4999000000000002</c:v>
                </c:pt>
                <c:pt idx="357">
                  <c:v>3.0605000000000002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C1-4EFE-BB14-D3A9479397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-0.58249386374001366</c:v>
                </c:pt>
                <c:pt idx="1">
                  <c:v>-0.58116165131535613</c:v>
                </c:pt>
                <c:pt idx="2">
                  <c:v>-0.5602162832463905</c:v>
                </c:pt>
                <c:pt idx="3">
                  <c:v>-0.56543754024639059</c:v>
                </c:pt>
                <c:pt idx="4">
                  <c:v>-0.5621529928622846</c:v>
                </c:pt>
                <c:pt idx="5">
                  <c:v>-0.563538786880036</c:v>
                </c:pt>
                <c:pt idx="6">
                  <c:v>-0.54472938440417384</c:v>
                </c:pt>
                <c:pt idx="7">
                  <c:v>-0.5190341029162221</c:v>
                </c:pt>
                <c:pt idx="8">
                  <c:v>-0.51148020296559449</c:v>
                </c:pt>
                <c:pt idx="9">
                  <c:v>-0.5036354799017646</c:v>
                </c:pt>
                <c:pt idx="10">
                  <c:v>-0.50603599577583869</c:v>
                </c:pt>
                <c:pt idx="11">
                  <c:v>-0.49626919861553337</c:v>
                </c:pt>
                <c:pt idx="12">
                  <c:v>-0.49603316911913042</c:v>
                </c:pt>
                <c:pt idx="13">
                  <c:v>-0.50284445286146173</c:v>
                </c:pt>
                <c:pt idx="14">
                  <c:v>-0.49727255360220257</c:v>
                </c:pt>
                <c:pt idx="15">
                  <c:v>-0.48137647144651385</c:v>
                </c:pt>
                <c:pt idx="16">
                  <c:v>-0.49149551422928534</c:v>
                </c:pt>
                <c:pt idx="17">
                  <c:v>-0.50754923472279179</c:v>
                </c:pt>
                <c:pt idx="18">
                  <c:v>-0.48048795715136328</c:v>
                </c:pt>
                <c:pt idx="19">
                  <c:v>-0.47955938718099289</c:v>
                </c:pt>
                <c:pt idx="20">
                  <c:v>-0.47017075974873479</c:v>
                </c:pt>
                <c:pt idx="21">
                  <c:v>-0.46427108119091165</c:v>
                </c:pt>
                <c:pt idx="22">
                  <c:v>-0.46325096831818441</c:v>
                </c:pt>
                <c:pt idx="23">
                  <c:v>-0.45289722846808944</c:v>
                </c:pt>
                <c:pt idx="24">
                  <c:v>-0.44780698031570854</c:v>
                </c:pt>
                <c:pt idx="25">
                  <c:v>-0.44840099321836341</c:v>
                </c:pt>
                <c:pt idx="26">
                  <c:v>-0.45453814113560476</c:v>
                </c:pt>
                <c:pt idx="27">
                  <c:v>-0.46378956586287745</c:v>
                </c:pt>
                <c:pt idx="28">
                  <c:v>-0.46384844321843299</c:v>
                </c:pt>
                <c:pt idx="29">
                  <c:v>-0.46839593582790046</c:v>
                </c:pt>
                <c:pt idx="30">
                  <c:v>-0.44757616071155693</c:v>
                </c:pt>
                <c:pt idx="31">
                  <c:v>-0.43305206079318964</c:v>
                </c:pt>
                <c:pt idx="32">
                  <c:v>-0.41869722173366586</c:v>
                </c:pt>
                <c:pt idx="33">
                  <c:v>-0.43407551634236147</c:v>
                </c:pt>
                <c:pt idx="34">
                  <c:v>-0.45209064951854017</c:v>
                </c:pt>
                <c:pt idx="35">
                  <c:v>-0.44631965753331848</c:v>
                </c:pt>
                <c:pt idx="36">
                  <c:v>-0.46365393882891598</c:v>
                </c:pt>
                <c:pt idx="37">
                  <c:v>-0.46008114094607078</c:v>
                </c:pt>
                <c:pt idx="38">
                  <c:v>-0.46919418523178502</c:v>
                </c:pt>
                <c:pt idx="39">
                  <c:v>-0.47244042812652187</c:v>
                </c:pt>
                <c:pt idx="40">
                  <c:v>-0.46547888114964331</c:v>
                </c:pt>
                <c:pt idx="41">
                  <c:v>-0.47040801385552572</c:v>
                </c:pt>
                <c:pt idx="42">
                  <c:v>-0.46484464423470784</c:v>
                </c:pt>
                <c:pt idx="43">
                  <c:v>-0.44944128618257512</c:v>
                </c:pt>
                <c:pt idx="44">
                  <c:v>-0.46218687561653743</c:v>
                </c:pt>
                <c:pt idx="45">
                  <c:v>-0.48053990547569231</c:v>
                </c:pt>
                <c:pt idx="46">
                  <c:v>-0.44901328981157013</c:v>
                </c:pt>
                <c:pt idx="47">
                  <c:v>-0.45295636937678757</c:v>
                </c:pt>
                <c:pt idx="48">
                  <c:v>-0.4537088844537106</c:v>
                </c:pt>
                <c:pt idx="49">
                  <c:v>-0.43509091687524909</c:v>
                </c:pt>
                <c:pt idx="50">
                  <c:v>-0.41025242798636019</c:v>
                </c:pt>
                <c:pt idx="51">
                  <c:v>-0.43553973867044571</c:v>
                </c:pt>
                <c:pt idx="52">
                  <c:v>-0.4413494878507736</c:v>
                </c:pt>
                <c:pt idx="53">
                  <c:v>-0.47872011217435678</c:v>
                </c:pt>
                <c:pt idx="54">
                  <c:v>-0.44712110630479152</c:v>
                </c:pt>
                <c:pt idx="55">
                  <c:v>-0.4287168645379249</c:v>
                </c:pt>
                <c:pt idx="56">
                  <c:v>-0.41149149542855001</c:v>
                </c:pt>
                <c:pt idx="57">
                  <c:v>-0.40498106642153248</c:v>
                </c:pt>
                <c:pt idx="58">
                  <c:v>-0.38453502175274268</c:v>
                </c:pt>
                <c:pt idx="59">
                  <c:v>-0.29946466523100357</c:v>
                </c:pt>
                <c:pt idx="60">
                  <c:v>-0.33278769179049733</c:v>
                </c:pt>
                <c:pt idx="61">
                  <c:v>-0.10401773623502991</c:v>
                </c:pt>
                <c:pt idx="62">
                  <c:v>-0.35182500686261042</c:v>
                </c:pt>
                <c:pt idx="63">
                  <c:v>-0.32563054869756186</c:v>
                </c:pt>
                <c:pt idx="64">
                  <c:v>-0.32868215136422857</c:v>
                </c:pt>
                <c:pt idx="65">
                  <c:v>-0.33436161999580755</c:v>
                </c:pt>
                <c:pt idx="66">
                  <c:v>-0.33924166138042294</c:v>
                </c:pt>
                <c:pt idx="67">
                  <c:v>-0.34730986221648857</c:v>
                </c:pt>
                <c:pt idx="68">
                  <c:v>-0.34200345278791711</c:v>
                </c:pt>
                <c:pt idx="69">
                  <c:v>-0.35016205964632424</c:v>
                </c:pt>
                <c:pt idx="70">
                  <c:v>-0.35999481017823909</c:v>
                </c:pt>
                <c:pt idx="71">
                  <c:v>-0.34682244327485745</c:v>
                </c:pt>
                <c:pt idx="72">
                  <c:v>-0.36006081099637638</c:v>
                </c:pt>
                <c:pt idx="73">
                  <c:v>-0.35076401443216287</c:v>
                </c:pt>
                <c:pt idx="74">
                  <c:v>-0.33827304353075444</c:v>
                </c:pt>
                <c:pt idx="75">
                  <c:v>-0.34737602417197594</c:v>
                </c:pt>
                <c:pt idx="76">
                  <c:v>-0.35348384355553752</c:v>
                </c:pt>
                <c:pt idx="77">
                  <c:v>-0.34799653589979995</c:v>
                </c:pt>
                <c:pt idx="78">
                  <c:v>-0.36733399443603176</c:v>
                </c:pt>
                <c:pt idx="79">
                  <c:v>-0.35839137737449334</c:v>
                </c:pt>
                <c:pt idx="80">
                  <c:v>-0.36944017807014551</c:v>
                </c:pt>
                <c:pt idx="81">
                  <c:v>-0.38393169222399159</c:v>
                </c:pt>
                <c:pt idx="82">
                  <c:v>-0.39100546307330658</c:v>
                </c:pt>
                <c:pt idx="83">
                  <c:v>-0.39203450913457577</c:v>
                </c:pt>
                <c:pt idx="84">
                  <c:v>-0.37422826413457577</c:v>
                </c:pt>
                <c:pt idx="85">
                  <c:v>-0.33979227276202673</c:v>
                </c:pt>
                <c:pt idx="86">
                  <c:v>-0.37060752994032131</c:v>
                </c:pt>
                <c:pt idx="87">
                  <c:v>-0.374096626509552</c:v>
                </c:pt>
                <c:pt idx="88">
                  <c:v>-0.39675427115240908</c:v>
                </c:pt>
                <c:pt idx="89">
                  <c:v>-0.41315830651560531</c:v>
                </c:pt>
                <c:pt idx="90">
                  <c:v>-0.43538217416266412</c:v>
                </c:pt>
                <c:pt idx="91">
                  <c:v>-0.43936657411301872</c:v>
                </c:pt>
                <c:pt idx="92">
                  <c:v>-0.45091739331301872</c:v>
                </c:pt>
                <c:pt idx="93">
                  <c:v>-0.43338811963734303</c:v>
                </c:pt>
                <c:pt idx="94">
                  <c:v>-0.43419691774679586</c:v>
                </c:pt>
                <c:pt idx="95">
                  <c:v>-0.44542142722283423</c:v>
                </c:pt>
                <c:pt idx="96">
                  <c:v>-0.45472952152283419</c:v>
                </c:pt>
                <c:pt idx="97">
                  <c:v>-0.45974107464325309</c:v>
                </c:pt>
                <c:pt idx="98">
                  <c:v>-0.45870060264325302</c:v>
                </c:pt>
                <c:pt idx="99">
                  <c:v>-0.44491794948903629</c:v>
                </c:pt>
                <c:pt idx="100">
                  <c:v>-0.44838233136205213</c:v>
                </c:pt>
                <c:pt idx="101">
                  <c:v>-0.43930252373817152</c:v>
                </c:pt>
                <c:pt idx="102">
                  <c:v>-0.43640153227092265</c:v>
                </c:pt>
                <c:pt idx="103">
                  <c:v>-0.42946529830669777</c:v>
                </c:pt>
                <c:pt idx="104">
                  <c:v>-0.45056066168481673</c:v>
                </c:pt>
                <c:pt idx="105">
                  <c:v>-0.48622037077689378</c:v>
                </c:pt>
                <c:pt idx="106">
                  <c:v>-0.49819236105318609</c:v>
                </c:pt>
                <c:pt idx="107">
                  <c:v>-0.50774111696227708</c:v>
                </c:pt>
                <c:pt idx="108">
                  <c:v>-0.5192113961919067</c:v>
                </c:pt>
                <c:pt idx="109">
                  <c:v>-0.51504518478150219</c:v>
                </c:pt>
                <c:pt idx="110">
                  <c:v>-0.50145863069998031</c:v>
                </c:pt>
                <c:pt idx="111">
                  <c:v>-0.50935446152784913</c:v>
                </c:pt>
                <c:pt idx="112">
                  <c:v>-0.4962620773611825</c:v>
                </c:pt>
                <c:pt idx="113">
                  <c:v>-0.50028175736118252</c:v>
                </c:pt>
                <c:pt idx="114">
                  <c:v>-0.5035932862589928</c:v>
                </c:pt>
                <c:pt idx="115">
                  <c:v>-0.50661034699183138</c:v>
                </c:pt>
                <c:pt idx="116">
                  <c:v>-0.50727585852064494</c:v>
                </c:pt>
                <c:pt idx="117">
                  <c:v>-0.50267389965700859</c:v>
                </c:pt>
                <c:pt idx="118">
                  <c:v>-0.49573868023071377</c:v>
                </c:pt>
                <c:pt idx="119">
                  <c:v>-0.51781365580869543</c:v>
                </c:pt>
                <c:pt idx="120">
                  <c:v>-0.5382063236727731</c:v>
                </c:pt>
                <c:pt idx="121">
                  <c:v>-0.52431990134789996</c:v>
                </c:pt>
                <c:pt idx="122">
                  <c:v>-0.51397258939880253</c:v>
                </c:pt>
                <c:pt idx="123">
                  <c:v>-0.49687163793589445</c:v>
                </c:pt>
                <c:pt idx="124">
                  <c:v>-0.50135336208774628</c:v>
                </c:pt>
                <c:pt idx="125">
                  <c:v>-0.50346833810685454</c:v>
                </c:pt>
                <c:pt idx="126">
                  <c:v>-0.49469848405611805</c:v>
                </c:pt>
                <c:pt idx="127">
                  <c:v>-0.5070544212462007</c:v>
                </c:pt>
                <c:pt idx="128">
                  <c:v>-0.51946374213905777</c:v>
                </c:pt>
                <c:pt idx="129">
                  <c:v>-0.50136194364426789</c:v>
                </c:pt>
                <c:pt idx="130">
                  <c:v>-0.49100101548953351</c:v>
                </c:pt>
                <c:pt idx="131">
                  <c:v>-0.48453484457524787</c:v>
                </c:pt>
                <c:pt idx="132">
                  <c:v>-0.4938494264409195</c:v>
                </c:pt>
                <c:pt idx="133">
                  <c:v>-0.47768864499091956</c:v>
                </c:pt>
                <c:pt idx="134">
                  <c:v>-0.47548993605076995</c:v>
                </c:pt>
                <c:pt idx="135">
                  <c:v>-0.49422143328153922</c:v>
                </c:pt>
                <c:pt idx="136">
                  <c:v>-0.50487208530174144</c:v>
                </c:pt>
                <c:pt idx="137">
                  <c:v>-0.59038091035580453</c:v>
                </c:pt>
                <c:pt idx="138">
                  <c:v>-0.6119170771438841</c:v>
                </c:pt>
                <c:pt idx="139">
                  <c:v>-0.59004361812979944</c:v>
                </c:pt>
                <c:pt idx="140">
                  <c:v>-0.57787657353834643</c:v>
                </c:pt>
                <c:pt idx="141">
                  <c:v>-0.55921857023236354</c:v>
                </c:pt>
                <c:pt idx="142">
                  <c:v>-0.56896860409443717</c:v>
                </c:pt>
                <c:pt idx="143">
                  <c:v>-0.51585447484639679</c:v>
                </c:pt>
                <c:pt idx="144">
                  <c:v>-0.51729041045014834</c:v>
                </c:pt>
                <c:pt idx="145">
                  <c:v>-0.53709153103833729</c:v>
                </c:pt>
                <c:pt idx="146">
                  <c:v>-0.5302513570137759</c:v>
                </c:pt>
                <c:pt idx="147">
                  <c:v>-0.54049468255475952</c:v>
                </c:pt>
                <c:pt idx="148">
                  <c:v>-0.5303175631530973</c:v>
                </c:pt>
                <c:pt idx="149">
                  <c:v>-0.51966665028904513</c:v>
                </c:pt>
                <c:pt idx="150">
                  <c:v>-0.54384040147086332</c:v>
                </c:pt>
                <c:pt idx="151">
                  <c:v>-0.53252562449951657</c:v>
                </c:pt>
                <c:pt idx="152">
                  <c:v>-0.5297098559995167</c:v>
                </c:pt>
                <c:pt idx="153">
                  <c:v>-0.53083814741660207</c:v>
                </c:pt>
                <c:pt idx="154">
                  <c:v>-0.55177370014863869</c:v>
                </c:pt>
                <c:pt idx="155">
                  <c:v>-0.52595563332358697</c:v>
                </c:pt>
                <c:pt idx="156">
                  <c:v>-0.54581798730880848</c:v>
                </c:pt>
                <c:pt idx="157">
                  <c:v>-0.52976152018389855</c:v>
                </c:pt>
                <c:pt idx="158">
                  <c:v>-0.55302365530700004</c:v>
                </c:pt>
                <c:pt idx="159">
                  <c:v>-0.55523800038921978</c:v>
                </c:pt>
                <c:pt idx="160">
                  <c:v>-0.53423712822586578</c:v>
                </c:pt>
                <c:pt idx="161">
                  <c:v>-0.57694930552485924</c:v>
                </c:pt>
                <c:pt idx="162">
                  <c:v>-0.60316945973718972</c:v>
                </c:pt>
                <c:pt idx="163">
                  <c:v>-0.60277356242718982</c:v>
                </c:pt>
                <c:pt idx="164">
                  <c:v>-0.56607656663105632</c:v>
                </c:pt>
                <c:pt idx="165">
                  <c:v>-0.53011183313790511</c:v>
                </c:pt>
                <c:pt idx="166">
                  <c:v>-0.56915976462701645</c:v>
                </c:pt>
                <c:pt idx="167">
                  <c:v>-0.56695684757720755</c:v>
                </c:pt>
                <c:pt idx="168">
                  <c:v>-0.58319830741901146</c:v>
                </c:pt>
                <c:pt idx="169">
                  <c:v>-0.57028304534385765</c:v>
                </c:pt>
                <c:pt idx="170">
                  <c:v>-0.5616827151266145</c:v>
                </c:pt>
                <c:pt idx="171">
                  <c:v>-0.57061835248666304</c:v>
                </c:pt>
                <c:pt idx="172">
                  <c:v>-0.58604867204803701</c:v>
                </c:pt>
                <c:pt idx="173">
                  <c:v>-0.56666992764763713</c:v>
                </c:pt>
                <c:pt idx="174">
                  <c:v>-0.57125914884657425</c:v>
                </c:pt>
                <c:pt idx="175">
                  <c:v>-0.56348863866303256</c:v>
                </c:pt>
                <c:pt idx="176">
                  <c:v>-0.54872220061532939</c:v>
                </c:pt>
                <c:pt idx="177">
                  <c:v>-0.56202316959922238</c:v>
                </c:pt>
                <c:pt idx="178">
                  <c:v>-0.5678428188868937</c:v>
                </c:pt>
                <c:pt idx="179">
                  <c:v>-0.58366337258417877</c:v>
                </c:pt>
                <c:pt idx="180">
                  <c:v>-0.56665262118147608</c:v>
                </c:pt>
                <c:pt idx="181">
                  <c:v>-0.56860272078995344</c:v>
                </c:pt>
                <c:pt idx="182">
                  <c:v>-0.59559480845853741</c:v>
                </c:pt>
                <c:pt idx="183">
                  <c:v>-0.57313111519140969</c:v>
                </c:pt>
                <c:pt idx="184">
                  <c:v>-0.54807783368693552</c:v>
                </c:pt>
                <c:pt idx="185">
                  <c:v>-0.57123487255185712</c:v>
                </c:pt>
                <c:pt idx="186">
                  <c:v>-0.53189231370243117</c:v>
                </c:pt>
                <c:pt idx="187">
                  <c:v>-0.56046636510300529</c:v>
                </c:pt>
                <c:pt idx="188">
                  <c:v>-0.49841552629356439</c:v>
                </c:pt>
                <c:pt idx="189">
                  <c:v>-0.5496256846057026</c:v>
                </c:pt>
                <c:pt idx="190">
                  <c:v>-0.55106450183254829</c:v>
                </c:pt>
                <c:pt idx="191">
                  <c:v>-0.57792487664340286</c:v>
                </c:pt>
                <c:pt idx="192">
                  <c:v>-0.54348595831109736</c:v>
                </c:pt>
                <c:pt idx="193">
                  <c:v>-0.46882292763697542</c:v>
                </c:pt>
                <c:pt idx="194">
                  <c:v>-0.4873257354045421</c:v>
                </c:pt>
                <c:pt idx="195">
                  <c:v>-0.47380030039467491</c:v>
                </c:pt>
                <c:pt idx="196">
                  <c:v>-0.4354398984401765</c:v>
                </c:pt>
                <c:pt idx="197">
                  <c:v>-0.40815668582486758</c:v>
                </c:pt>
                <c:pt idx="198">
                  <c:v>-0.48012454268685095</c:v>
                </c:pt>
                <c:pt idx="199">
                  <c:v>-0.47978030733687305</c:v>
                </c:pt>
                <c:pt idx="200">
                  <c:v>-0.46954876644152427</c:v>
                </c:pt>
                <c:pt idx="201">
                  <c:v>-0.465509475135853</c:v>
                </c:pt>
                <c:pt idx="202">
                  <c:v>-0.46498569429506131</c:v>
                </c:pt>
                <c:pt idx="203">
                  <c:v>-0.46938139740497337</c:v>
                </c:pt>
                <c:pt idx="204">
                  <c:v>-0.45604761654007686</c:v>
                </c:pt>
                <c:pt idx="205">
                  <c:v>-0.4390179246589388</c:v>
                </c:pt>
                <c:pt idx="206">
                  <c:v>-0.43727317817418482</c:v>
                </c:pt>
                <c:pt idx="207">
                  <c:v>-0.45484623260589108</c:v>
                </c:pt>
                <c:pt idx="208">
                  <c:v>-0.45680591975508927</c:v>
                </c:pt>
                <c:pt idx="209">
                  <c:v>-0.45895956214884615</c:v>
                </c:pt>
                <c:pt idx="210">
                  <c:v>-0.46103925733665102</c:v>
                </c:pt>
                <c:pt idx="211">
                  <c:v>-0.45903633758401496</c:v>
                </c:pt>
                <c:pt idx="212">
                  <c:v>-0.46471856444109977</c:v>
                </c:pt>
                <c:pt idx="213">
                  <c:v>-0.46773200755950822</c:v>
                </c:pt>
                <c:pt idx="214">
                  <c:v>-0.47547631083005415</c:v>
                </c:pt>
                <c:pt idx="215">
                  <c:v>-0.48327741498031085</c:v>
                </c:pt>
                <c:pt idx="216">
                  <c:v>-0.48088762331195417</c:v>
                </c:pt>
                <c:pt idx="217">
                  <c:v>-0.47157664195907567</c:v>
                </c:pt>
                <c:pt idx="218">
                  <c:v>-0.47421977503539153</c:v>
                </c:pt>
                <c:pt idx="219">
                  <c:v>-0.48329641443395271</c:v>
                </c:pt>
                <c:pt idx="220">
                  <c:v>-0.47801425151322102</c:v>
                </c:pt>
                <c:pt idx="221">
                  <c:v>-0.46134636554372671</c:v>
                </c:pt>
                <c:pt idx="222">
                  <c:v>-0.46557696027727513</c:v>
                </c:pt>
                <c:pt idx="223">
                  <c:v>-0.46014224157727518</c:v>
                </c:pt>
                <c:pt idx="224">
                  <c:v>-0.45363342504860144</c:v>
                </c:pt>
                <c:pt idx="225">
                  <c:v>-0.45806015943847728</c:v>
                </c:pt>
                <c:pt idx="226">
                  <c:v>-0.45094724056992724</c:v>
                </c:pt>
                <c:pt idx="227">
                  <c:v>-0.45380342884695363</c:v>
                </c:pt>
                <c:pt idx="228">
                  <c:v>-0.4684157405013995</c:v>
                </c:pt>
                <c:pt idx="229">
                  <c:v>-0.47600946003674627</c:v>
                </c:pt>
                <c:pt idx="230">
                  <c:v>-0.47251632050704018</c:v>
                </c:pt>
                <c:pt idx="231">
                  <c:v>-0.46731168008535695</c:v>
                </c:pt>
                <c:pt idx="232">
                  <c:v>-0.44525383890818426</c:v>
                </c:pt>
                <c:pt idx="233">
                  <c:v>-0.45823668081392793</c:v>
                </c:pt>
                <c:pt idx="234">
                  <c:v>-0.46221214765776786</c:v>
                </c:pt>
                <c:pt idx="235">
                  <c:v>-0.44393806993418894</c:v>
                </c:pt>
                <c:pt idx="236">
                  <c:v>-0.44201446313173182</c:v>
                </c:pt>
                <c:pt idx="237">
                  <c:v>-0.40988121363011754</c:v>
                </c:pt>
                <c:pt idx="238">
                  <c:v>-0.41495971578294771</c:v>
                </c:pt>
                <c:pt idx="239">
                  <c:v>-0.41894228593709004</c:v>
                </c:pt>
                <c:pt idx="240">
                  <c:v>-0.41396685502174552</c:v>
                </c:pt>
                <c:pt idx="241">
                  <c:v>-0.41190577411811141</c:v>
                </c:pt>
                <c:pt idx="242">
                  <c:v>-0.42649300458681405</c:v>
                </c:pt>
                <c:pt idx="243">
                  <c:v>-0.43010190446209423</c:v>
                </c:pt>
                <c:pt idx="244">
                  <c:v>-0.42676969708991569</c:v>
                </c:pt>
                <c:pt idx="245">
                  <c:v>-0.41259170281432089</c:v>
                </c:pt>
                <c:pt idx="246">
                  <c:v>-0.42147254736871198</c:v>
                </c:pt>
                <c:pt idx="247">
                  <c:v>-0.43518860790160568</c:v>
                </c:pt>
                <c:pt idx="248">
                  <c:v>-0.43662869521112263</c:v>
                </c:pt>
                <c:pt idx="249">
                  <c:v>-0.45987113493103177</c:v>
                </c:pt>
                <c:pt idx="250">
                  <c:v>-0.45521059805129793</c:v>
                </c:pt>
                <c:pt idx="251">
                  <c:v>-0.43684443033526316</c:v>
                </c:pt>
                <c:pt idx="252">
                  <c:v>-0.42672218052027744</c:v>
                </c:pt>
                <c:pt idx="253">
                  <c:v>-0.43969412397382779</c:v>
                </c:pt>
                <c:pt idx="254">
                  <c:v>-0.40365536889219156</c:v>
                </c:pt>
                <c:pt idx="255">
                  <c:v>-0.39737147862865307</c:v>
                </c:pt>
                <c:pt idx="256">
                  <c:v>-0.38543231606854572</c:v>
                </c:pt>
                <c:pt idx="257">
                  <c:v>-0.38636595823153652</c:v>
                </c:pt>
                <c:pt idx="258">
                  <c:v>-0.37058179090870658</c:v>
                </c:pt>
                <c:pt idx="259">
                  <c:v>-0.37887266832177996</c:v>
                </c:pt>
                <c:pt idx="260">
                  <c:v>-0.38271339669388632</c:v>
                </c:pt>
                <c:pt idx="261">
                  <c:v>-0.36792651608098614</c:v>
                </c:pt>
                <c:pt idx="262">
                  <c:v>-0.38034906182154349</c:v>
                </c:pt>
                <c:pt idx="263">
                  <c:v>-0.36958574178749748</c:v>
                </c:pt>
                <c:pt idx="264">
                  <c:v>-0.3736752274066299</c:v>
                </c:pt>
                <c:pt idx="265">
                  <c:v>-0.36643356853180753</c:v>
                </c:pt>
                <c:pt idx="266">
                  <c:v>-0.37200175448085315</c:v>
                </c:pt>
                <c:pt idx="267">
                  <c:v>-0.36463909050818055</c:v>
                </c:pt>
                <c:pt idx="268">
                  <c:v>-0.37992555638239778</c:v>
                </c:pt>
                <c:pt idx="269">
                  <c:v>-0.33321266751617212</c:v>
                </c:pt>
                <c:pt idx="270">
                  <c:v>-0.3319243294337868</c:v>
                </c:pt>
                <c:pt idx="271">
                  <c:v>-0.33496369938822768</c:v>
                </c:pt>
                <c:pt idx="272">
                  <c:v>-0.34126625106205338</c:v>
                </c:pt>
                <c:pt idx="273">
                  <c:v>-0.35413463115686933</c:v>
                </c:pt>
                <c:pt idx="274">
                  <c:v>-0.35159808413888449</c:v>
                </c:pt>
                <c:pt idx="275">
                  <c:v>-0.34936820900092097</c:v>
                </c:pt>
                <c:pt idx="276">
                  <c:v>-0.36325946810146414</c:v>
                </c:pt>
                <c:pt idx="277">
                  <c:v>-0.37242072449410457</c:v>
                </c:pt>
                <c:pt idx="278">
                  <c:v>-0.37199902266905549</c:v>
                </c:pt>
                <c:pt idx="279">
                  <c:v>-0.36064155947921744</c:v>
                </c:pt>
                <c:pt idx="280">
                  <c:v>-0.37603719843368422</c:v>
                </c:pt>
                <c:pt idx="281">
                  <c:v>-0.35854625934892548</c:v>
                </c:pt>
                <c:pt idx="282">
                  <c:v>-0.34224069148434216</c:v>
                </c:pt>
                <c:pt idx="283">
                  <c:v>-0.36365305211799764</c:v>
                </c:pt>
                <c:pt idx="284">
                  <c:v>-0.33779763527039769</c:v>
                </c:pt>
                <c:pt idx="285">
                  <c:v>-0.33075907072904581</c:v>
                </c:pt>
                <c:pt idx="286">
                  <c:v>-0.33849242307265315</c:v>
                </c:pt>
                <c:pt idx="287">
                  <c:v>-0.327060586387937</c:v>
                </c:pt>
                <c:pt idx="288">
                  <c:v>-0.34684170390711783</c:v>
                </c:pt>
                <c:pt idx="289">
                  <c:v>-0.35866758565583678</c:v>
                </c:pt>
                <c:pt idx="290">
                  <c:v>-0.33472772173758741</c:v>
                </c:pt>
                <c:pt idx="291">
                  <c:v>-0.36750801471153915</c:v>
                </c:pt>
                <c:pt idx="292">
                  <c:v>-0.36350240448819754</c:v>
                </c:pt>
                <c:pt idx="293">
                  <c:v>-0.34647152880921173</c:v>
                </c:pt>
                <c:pt idx="294">
                  <c:v>-0.38159579011209316</c:v>
                </c:pt>
                <c:pt idx="295">
                  <c:v>-0.40019555899694648</c:v>
                </c:pt>
                <c:pt idx="296">
                  <c:v>-0.38280838760543917</c:v>
                </c:pt>
                <c:pt idx="297">
                  <c:v>-0.40118782892903759</c:v>
                </c:pt>
                <c:pt idx="298">
                  <c:v>-0.40359102567509164</c:v>
                </c:pt>
                <c:pt idx="299">
                  <c:v>-0.41243657100007575</c:v>
                </c:pt>
                <c:pt idx="300">
                  <c:v>-0.39704973282512407</c:v>
                </c:pt>
                <c:pt idx="301">
                  <c:v>-0.40193134328695013</c:v>
                </c:pt>
                <c:pt idx="302">
                  <c:v>-0.39817804355456576</c:v>
                </c:pt>
                <c:pt idx="303">
                  <c:v>-0.40013843971751639</c:v>
                </c:pt>
                <c:pt idx="304">
                  <c:v>-0.39167595789301213</c:v>
                </c:pt>
                <c:pt idx="305">
                  <c:v>-0.40319735688119152</c:v>
                </c:pt>
                <c:pt idx="306">
                  <c:v>-0.39725730835184447</c:v>
                </c:pt>
                <c:pt idx="307">
                  <c:v>-0.39390959015984445</c:v>
                </c:pt>
                <c:pt idx="308">
                  <c:v>-0.40160859377172042</c:v>
                </c:pt>
                <c:pt idx="309">
                  <c:v>-0.40544940316198025</c:v>
                </c:pt>
                <c:pt idx="310">
                  <c:v>-0.39110844126454225</c:v>
                </c:pt>
                <c:pt idx="311">
                  <c:v>-0.37441479012251883</c:v>
                </c:pt>
                <c:pt idx="312">
                  <c:v>-0.36019040546125747</c:v>
                </c:pt>
                <c:pt idx="313">
                  <c:v>-0.36499342164015069</c:v>
                </c:pt>
                <c:pt idx="314">
                  <c:v>-0.34764370188249305</c:v>
                </c:pt>
                <c:pt idx="315">
                  <c:v>-0.35156768900630203</c:v>
                </c:pt>
                <c:pt idx="316">
                  <c:v>-0.34801002558963545</c:v>
                </c:pt>
                <c:pt idx="317">
                  <c:v>-0.33385398500458863</c:v>
                </c:pt>
                <c:pt idx="318">
                  <c:v>-0.36700977320932782</c:v>
                </c:pt>
                <c:pt idx="319">
                  <c:v>-0.35759982995515044</c:v>
                </c:pt>
                <c:pt idx="320">
                  <c:v>-0.37457851125870401</c:v>
                </c:pt>
                <c:pt idx="321">
                  <c:v>-0.41189172464364604</c:v>
                </c:pt>
                <c:pt idx="322">
                  <c:v>-0.39180867900405286</c:v>
                </c:pt>
                <c:pt idx="323">
                  <c:v>-0.37986404486254927</c:v>
                </c:pt>
                <c:pt idx="324">
                  <c:v>-0.35376258161588692</c:v>
                </c:pt>
                <c:pt idx="325">
                  <c:v>-0.37019446694394492</c:v>
                </c:pt>
                <c:pt idx="326">
                  <c:v>-0.36181954223327856</c:v>
                </c:pt>
                <c:pt idx="327">
                  <c:v>-0.39068098592579348</c:v>
                </c:pt>
                <c:pt idx="328">
                  <c:v>-0.405897319483361</c:v>
                </c:pt>
                <c:pt idx="329">
                  <c:v>-0.41620491026118056</c:v>
                </c:pt>
                <c:pt idx="330">
                  <c:v>-0.40092205446077234</c:v>
                </c:pt>
                <c:pt idx="331">
                  <c:v>-0.37222012917913028</c:v>
                </c:pt>
                <c:pt idx="332">
                  <c:v>-0.40736205294543787</c:v>
                </c:pt>
                <c:pt idx="333">
                  <c:v>-0.42327618307100984</c:v>
                </c:pt>
                <c:pt idx="334">
                  <c:v>-0.41368706023470803</c:v>
                </c:pt>
                <c:pt idx="335">
                  <c:v>-0.39774607107086263</c:v>
                </c:pt>
                <c:pt idx="336">
                  <c:v>-0.39148190013534628</c:v>
                </c:pt>
                <c:pt idx="337">
                  <c:v>-0.33747968455984129</c:v>
                </c:pt>
                <c:pt idx="338">
                  <c:v>-0.3646729826191254</c:v>
                </c:pt>
                <c:pt idx="339">
                  <c:v>-0.35969215543935262</c:v>
                </c:pt>
                <c:pt idx="340">
                  <c:v>-0.35860096434396665</c:v>
                </c:pt>
                <c:pt idx="341">
                  <c:v>-0.34785093667994677</c:v>
                </c:pt>
                <c:pt idx="342">
                  <c:v>-0.29956211877054473</c:v>
                </c:pt>
                <c:pt idx="343">
                  <c:v>-0.25745183237711711</c:v>
                </c:pt>
                <c:pt idx="344">
                  <c:v>-0.20285485788623081</c:v>
                </c:pt>
                <c:pt idx="345">
                  <c:v>-0.15347169685168963</c:v>
                </c:pt>
                <c:pt idx="346">
                  <c:v>-0.10828059660475692</c:v>
                </c:pt>
                <c:pt idx="347">
                  <c:v>-0.19759556561029029</c:v>
                </c:pt>
                <c:pt idx="348">
                  <c:v>-0.29817074565965818</c:v>
                </c:pt>
                <c:pt idx="349">
                  <c:v>-0.3418663686948733</c:v>
                </c:pt>
                <c:pt idx="350">
                  <c:v>-0.39881963462894754</c:v>
                </c:pt>
                <c:pt idx="351">
                  <c:v>-0.42054676653072459</c:v>
                </c:pt>
                <c:pt idx="352">
                  <c:v>-0.37646845205934415</c:v>
                </c:pt>
                <c:pt idx="353">
                  <c:v>-0.41648343853813952</c:v>
                </c:pt>
                <c:pt idx="354">
                  <c:v>-0.29966409633091567</c:v>
                </c:pt>
                <c:pt idx="355">
                  <c:v>-0.10791741360449755</c:v>
                </c:pt>
                <c:pt idx="356">
                  <c:v>-0.23889836084165664</c:v>
                </c:pt>
                <c:pt idx="357">
                  <c:v>-0.38318758743590037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C1-4EFE-BB14-D3A947939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646288"/>
        <c:axId val="96646704"/>
      </c:lineChart>
      <c:dateAx>
        <c:axId val="96646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46704"/>
        <c:crosses val="autoZero"/>
        <c:auto val="1"/>
        <c:lblOffset val="100"/>
        <c:baseTimeUnit val="days"/>
      </c:dateAx>
      <c:valAx>
        <c:axId val="9664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4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A0F89AB-CC47-4F37-93AB-EC4C98E5F3D4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4327C8-A351-4834-9A66-6E305473896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18.8264</v>
      </c>
      <c r="D2" s="4">
        <f>MIN(D3:D1912)</f>
        <v>0.25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1.518</v>
      </c>
      <c r="C5">
        <v>1.546</v>
      </c>
      <c r="D5">
        <v>1.4730000000000001</v>
      </c>
      <c r="E5">
        <v>1.4790000000000001</v>
      </c>
      <c r="F5">
        <v>159428.70000000001</v>
      </c>
      <c r="G5">
        <v>1.4790000000000001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-0.83561643835616417</v>
      </c>
      <c r="Q5">
        <f t="shared" ref="Q5" si="1">F5*P5</f>
        <v>-133221.2424657534</v>
      </c>
      <c r="R5">
        <f t="shared" ref="R5" si="2">R6+Q5</f>
        <v>-58249386.374001369</v>
      </c>
      <c r="S5">
        <f t="shared" ref="S5" si="3">R5/100000</f>
        <v>-582.49386374001369</v>
      </c>
      <c r="T5">
        <f t="shared" ref="T5" si="4">S5/1000</f>
        <v>-0.58249386374001366</v>
      </c>
    </row>
    <row r="6" spans="1:20" x14ac:dyDescent="0.25">
      <c r="A6" s="5">
        <v>44587</v>
      </c>
      <c r="B6">
        <v>1.5189999999999999</v>
      </c>
      <c r="C6">
        <v>1.665</v>
      </c>
      <c r="D6">
        <v>1.4910000000000001</v>
      </c>
      <c r="E6">
        <v>1.5169999999999999</v>
      </c>
      <c r="F6">
        <v>2987290.2</v>
      </c>
      <c r="G6">
        <v>1.5169999999999999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-0.70114942528735846</v>
      </c>
      <c r="Q6">
        <f t="shared" ref="Q6" si="6">F6*P6</f>
        <v>-2094536.8068965583</v>
      </c>
      <c r="R6">
        <f t="shared" ref="R6" si="7">R7+Q6</f>
        <v>-58116165.131535612</v>
      </c>
      <c r="S6">
        <f t="shared" ref="S6" si="8">R6/100000</f>
        <v>-581.16165131535615</v>
      </c>
      <c r="T6">
        <f t="shared" ref="T6" si="9">S6/1000</f>
        <v>-0.58116165131535613</v>
      </c>
    </row>
    <row r="7" spans="1:20" x14ac:dyDescent="0.25">
      <c r="A7" s="5">
        <v>44586</v>
      </c>
      <c r="B7">
        <v>1.526</v>
      </c>
      <c r="C7">
        <v>1.55</v>
      </c>
      <c r="D7">
        <v>1.462</v>
      </c>
      <c r="E7">
        <v>1.518</v>
      </c>
      <c r="F7">
        <v>1914460.9</v>
      </c>
      <c r="G7">
        <v>1.518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0.27272727272727271</v>
      </c>
      <c r="Q7">
        <f t="shared" ref="Q7" si="11">F7*P7</f>
        <v>522125.69999999995</v>
      </c>
      <c r="R7">
        <f t="shared" ref="R7" si="12">R8+Q7</f>
        <v>-56021628.324639052</v>
      </c>
      <c r="S7">
        <f t="shared" ref="S7" si="13">R7/100000</f>
        <v>-560.2162832463905</v>
      </c>
      <c r="T7">
        <f t="shared" ref="T7" si="14">S7/1000</f>
        <v>-0.5602162832463905</v>
      </c>
    </row>
    <row r="8" spans="1:20" x14ac:dyDescent="0.25">
      <c r="A8" s="5">
        <v>44585</v>
      </c>
      <c r="B8">
        <v>1.6870000000000001</v>
      </c>
      <c r="C8">
        <v>1.6879999999999999</v>
      </c>
      <c r="D8">
        <v>1.3859999999999999</v>
      </c>
      <c r="E8">
        <v>1.5269999999999999</v>
      </c>
      <c r="F8">
        <v>4959666.55</v>
      </c>
      <c r="G8">
        <v>1.5269999999999999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-6.6225165562913954E-2</v>
      </c>
      <c r="Q8">
        <f t="shared" ref="Q8" si="16">F8*P8</f>
        <v>-328454.73841059627</v>
      </c>
      <c r="R8">
        <f t="shared" ref="R8" si="17">R9+Q8</f>
        <v>-56543754.024639055</v>
      </c>
      <c r="S8">
        <f t="shared" ref="S8" si="18">R8/100000</f>
        <v>-565.43754024639054</v>
      </c>
      <c r="T8">
        <f t="shared" ref="T8" si="19">S8/1000</f>
        <v>-0.56543754024639059</v>
      </c>
    </row>
    <row r="9" spans="1:20" x14ac:dyDescent="0.25">
      <c r="A9" s="5">
        <v>44584</v>
      </c>
      <c r="B9">
        <v>1.6579999999999999</v>
      </c>
      <c r="C9">
        <v>1.7689999999999999</v>
      </c>
      <c r="D9">
        <v>1.6</v>
      </c>
      <c r="E9">
        <v>1.6879999999999999</v>
      </c>
      <c r="F9">
        <v>3345702.7</v>
      </c>
      <c r="G9">
        <v>1.6879999999999999</v>
      </c>
      <c r="L9" t="s">
        <v>8</v>
      </c>
      <c r="M9" t="s">
        <v>7</v>
      </c>
      <c r="N9" t="s">
        <v>7</v>
      </c>
      <c r="P9">
        <f t="shared" ref="P9" si="20">IF(C9=D9,0,((E9-D9)-(C9-E9))/(C9-D9))</f>
        <v>4.1420118343194694E-2</v>
      </c>
      <c r="Q9">
        <f t="shared" ref="Q9" si="21">F9*P9</f>
        <v>138579.40177514602</v>
      </c>
      <c r="R9">
        <f t="shared" ref="R9" si="22">R10+Q9</f>
        <v>-56215299.286228456</v>
      </c>
      <c r="S9">
        <f t="shared" ref="S9" si="23">R9/100000</f>
        <v>-562.15299286228458</v>
      </c>
      <c r="T9">
        <f t="shared" ref="T9" si="24">S9/1000</f>
        <v>-0.5621529928622846</v>
      </c>
    </row>
    <row r="10" spans="1:20" x14ac:dyDescent="0.25">
      <c r="A10" s="5">
        <v>44583</v>
      </c>
      <c r="B10">
        <v>1.9039999999999999</v>
      </c>
      <c r="C10">
        <v>1.9490000000000001</v>
      </c>
      <c r="D10">
        <v>1.514</v>
      </c>
      <c r="E10">
        <v>1.6559999999999999</v>
      </c>
      <c r="F10">
        <v>5418602.7000000002</v>
      </c>
      <c r="G10">
        <v>1.6559999999999999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-0.3471264367816097</v>
      </c>
      <c r="Q10">
        <f t="shared" ref="Q10" si="26">F10*P10</f>
        <v>-1880940.2475862098</v>
      </c>
      <c r="R10">
        <f t="shared" ref="R10" si="27">R11+Q10</f>
        <v>-56353878.6880036</v>
      </c>
      <c r="S10">
        <f t="shared" ref="S10" si="28">R10/100000</f>
        <v>-563.53878688003601</v>
      </c>
      <c r="T10">
        <f t="shared" ref="T10" si="29">S10/1000</f>
        <v>-0.563538786880036</v>
      </c>
    </row>
    <row r="11" spans="1:20" x14ac:dyDescent="0.25">
      <c r="A11" s="5">
        <v>44582</v>
      </c>
      <c r="B11">
        <v>2.2090000000000001</v>
      </c>
      <c r="C11">
        <v>2.25</v>
      </c>
      <c r="D11">
        <v>1.835</v>
      </c>
      <c r="E11">
        <v>1.905</v>
      </c>
      <c r="F11">
        <v>3877651.57</v>
      </c>
      <c r="G11">
        <v>1.905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-0.66265060240963825</v>
      </c>
      <c r="Q11">
        <f t="shared" ref="Q11" si="31">F11*P11</f>
        <v>-2569528.1487951796</v>
      </c>
      <c r="R11">
        <f t="shared" ref="R11" si="32">R12+Q11</f>
        <v>-54472938.440417387</v>
      </c>
      <c r="S11">
        <f t="shared" ref="S11" si="33">R11/100000</f>
        <v>-544.72938440417386</v>
      </c>
      <c r="T11">
        <f t="shared" ref="T11" si="34">S11/1000</f>
        <v>-0.54472938440417384</v>
      </c>
    </row>
    <row r="12" spans="1:20" x14ac:dyDescent="0.25">
      <c r="A12" s="5">
        <v>44581</v>
      </c>
      <c r="B12">
        <v>2.323</v>
      </c>
      <c r="C12">
        <v>2.431</v>
      </c>
      <c r="D12">
        <v>2.1920000000000002</v>
      </c>
      <c r="E12">
        <v>2.2120000000000002</v>
      </c>
      <c r="F12">
        <v>907227.18</v>
      </c>
      <c r="G12">
        <v>2.2120000000000002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-0.83263598326359811</v>
      </c>
      <c r="Q12">
        <f t="shared" ref="Q12" si="36">F12*P12</f>
        <v>-755389.99506276136</v>
      </c>
      <c r="R12">
        <f t="shared" ref="R12" si="37">R13+Q12</f>
        <v>-51903410.291622207</v>
      </c>
      <c r="S12">
        <f t="shared" ref="S12" si="38">R12/100000</f>
        <v>-519.03410291622208</v>
      </c>
      <c r="T12">
        <f t="shared" ref="T12" si="39">S12/1000</f>
        <v>-0.5190341029162221</v>
      </c>
    </row>
    <row r="13" spans="1:20" x14ac:dyDescent="0.25">
      <c r="A13" s="5">
        <v>44580</v>
      </c>
      <c r="B13">
        <v>2.4390000000000001</v>
      </c>
      <c r="C13">
        <v>2.4500000000000002</v>
      </c>
      <c r="D13">
        <v>2.3090000000000002</v>
      </c>
      <c r="E13">
        <v>2.3199999999999998</v>
      </c>
      <c r="F13">
        <v>929500.8</v>
      </c>
      <c r="G13">
        <v>2.3199999999999998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-0.84397163120567831</v>
      </c>
      <c r="Q13">
        <f t="shared" ref="Q13" si="41">F13*P13</f>
        <v>-784472.30638298299</v>
      </c>
      <c r="R13">
        <f t="shared" ref="R13" si="42">R14+Q13</f>
        <v>-51148020.296559446</v>
      </c>
      <c r="S13">
        <f t="shared" ref="S13" si="43">R13/100000</f>
        <v>-511.48020296559446</v>
      </c>
      <c r="T13">
        <f t="shared" ref="T13" si="44">S13/1000</f>
        <v>-0.51148020296559449</v>
      </c>
    </row>
    <row r="14" spans="1:20" x14ac:dyDescent="0.25">
      <c r="A14" s="5">
        <v>44579</v>
      </c>
      <c r="B14">
        <v>2.468</v>
      </c>
      <c r="C14">
        <v>2.488</v>
      </c>
      <c r="D14">
        <v>2.3530000000000002</v>
      </c>
      <c r="E14">
        <v>2.4390000000000001</v>
      </c>
      <c r="F14">
        <v>875863.9</v>
      </c>
      <c r="G14">
        <v>2.4390000000000001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0.27407407407407391</v>
      </c>
      <c r="Q14">
        <f t="shared" ref="Q14" si="46">F14*P14</f>
        <v>240051.58740740726</v>
      </c>
      <c r="R14">
        <f t="shared" ref="R14" si="47">R15+Q14</f>
        <v>-50363547.990176462</v>
      </c>
      <c r="S14">
        <f t="shared" ref="S14" si="48">R14/100000</f>
        <v>-503.6354799017646</v>
      </c>
      <c r="T14">
        <f t="shared" ref="T14" si="49">S14/1000</f>
        <v>-0.5036354799017646</v>
      </c>
    </row>
    <row r="15" spans="1:20" x14ac:dyDescent="0.25">
      <c r="A15" s="5">
        <v>44578</v>
      </c>
      <c r="B15">
        <v>2.67</v>
      </c>
      <c r="C15">
        <v>2.6819999999999999</v>
      </c>
      <c r="D15">
        <v>2.42</v>
      </c>
      <c r="E15">
        <v>2.4689999999999999</v>
      </c>
      <c r="F15">
        <v>1560305.4</v>
      </c>
      <c r="G15">
        <v>2.4689999999999999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-0.62595419847328293</v>
      </c>
      <c r="Q15">
        <f t="shared" ref="Q15" si="51">F15*P15</f>
        <v>-976679.71603053506</v>
      </c>
      <c r="R15">
        <f t="shared" ref="R15" si="52">R16+Q15</f>
        <v>-50603599.577583872</v>
      </c>
      <c r="S15">
        <f t="shared" ref="S15" si="53">R15/100000</f>
        <v>-506.03599577583873</v>
      </c>
      <c r="T15">
        <f t="shared" ref="T15" si="54">S15/1000</f>
        <v>-0.50603599577583869</v>
      </c>
    </row>
    <row r="16" spans="1:20" x14ac:dyDescent="0.25">
      <c r="A16" s="5">
        <v>44577</v>
      </c>
      <c r="B16">
        <v>2.68</v>
      </c>
      <c r="C16">
        <v>2.742</v>
      </c>
      <c r="D16">
        <v>2.6030000000000002</v>
      </c>
      <c r="E16">
        <v>2.67</v>
      </c>
      <c r="F16">
        <v>656162</v>
      </c>
      <c r="G16">
        <v>2.67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-3.5971223021585216E-2</v>
      </c>
      <c r="Q16">
        <f t="shared" ref="Q16" si="56">F16*P16</f>
        <v>-23602.9496402894</v>
      </c>
      <c r="R16">
        <f t="shared" ref="R16" si="57">R17+Q16</f>
        <v>-49626919.861553334</v>
      </c>
      <c r="S16">
        <f t="shared" ref="S16" si="58">R16/100000</f>
        <v>-496.26919861553336</v>
      </c>
      <c r="T16">
        <f t="shared" ref="T16" si="59">S16/1000</f>
        <v>-0.49626919861553337</v>
      </c>
    </row>
    <row r="17" spans="1:20" x14ac:dyDescent="0.25">
      <c r="A17" s="5">
        <v>44576</v>
      </c>
      <c r="B17">
        <v>2.5720000000000001</v>
      </c>
      <c r="C17">
        <v>2.6989999999999998</v>
      </c>
      <c r="D17">
        <v>2.536</v>
      </c>
      <c r="E17">
        <v>2.68</v>
      </c>
      <c r="F17">
        <v>888191.4</v>
      </c>
      <c r="G17">
        <v>2.68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0.76687116564417535</v>
      </c>
      <c r="Q17">
        <f t="shared" ref="Q17" si="61">F17*P17</f>
        <v>681128.374233132</v>
      </c>
      <c r="R17">
        <f t="shared" ref="R17" si="62">R18+Q17</f>
        <v>-49603316.911913045</v>
      </c>
      <c r="S17">
        <f t="shared" ref="S17" si="63">R17/100000</f>
        <v>-496.03316911913043</v>
      </c>
      <c r="T17">
        <f t="shared" ref="T17" si="64">S17/1000</f>
        <v>-0.49603316911913042</v>
      </c>
    </row>
    <row r="18" spans="1:20" x14ac:dyDescent="0.25">
      <c r="A18" s="5">
        <v>44575</v>
      </c>
      <c r="B18">
        <v>2.5910000000000002</v>
      </c>
      <c r="C18">
        <v>2.6829999999999998</v>
      </c>
      <c r="D18">
        <v>2.5209999999999999</v>
      </c>
      <c r="E18">
        <v>2.5720000000000001</v>
      </c>
      <c r="F18">
        <v>1504412.8</v>
      </c>
      <c r="G18">
        <v>2.5720000000000001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-0.37037037037036813</v>
      </c>
      <c r="Q18">
        <f t="shared" ref="Q18" si="66">F18*P18</f>
        <v>-557189.92592592258</v>
      </c>
      <c r="R18">
        <f t="shared" ref="R18" si="67">R19+Q18</f>
        <v>-50284445.286146179</v>
      </c>
      <c r="S18">
        <f t="shared" ref="S18" si="68">R18/100000</f>
        <v>-502.84445286146178</v>
      </c>
      <c r="T18">
        <f t="shared" ref="T18" si="69">S18/1000</f>
        <v>-0.50284445286146173</v>
      </c>
    </row>
    <row r="19" spans="1:20" x14ac:dyDescent="0.25">
      <c r="A19" s="5">
        <v>44574</v>
      </c>
      <c r="B19">
        <v>2.6379999999999999</v>
      </c>
      <c r="C19">
        <v>2.73</v>
      </c>
      <c r="D19">
        <v>2.5630000000000002</v>
      </c>
      <c r="E19">
        <v>2.59</v>
      </c>
      <c r="F19">
        <v>2349244</v>
      </c>
      <c r="G19">
        <v>2.59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-0.67664670658682968</v>
      </c>
      <c r="Q19">
        <f t="shared" ref="Q19" si="71">F19*P19</f>
        <v>-1589608.2155688701</v>
      </c>
      <c r="R19">
        <f t="shared" ref="R19" si="72">R20+Q19</f>
        <v>-49727255.360220253</v>
      </c>
      <c r="S19">
        <f t="shared" ref="S19" si="73">R19/100000</f>
        <v>-497.27255360220255</v>
      </c>
      <c r="T19">
        <f t="shared" ref="T19" si="74">S19/1000</f>
        <v>-0.49727255360220257</v>
      </c>
    </row>
    <row r="20" spans="1:20" x14ac:dyDescent="0.25">
      <c r="A20" s="5">
        <v>44573</v>
      </c>
      <c r="B20">
        <v>2.4169999999999998</v>
      </c>
      <c r="C20">
        <v>2.6840000000000002</v>
      </c>
      <c r="D20">
        <v>2.4169999999999998</v>
      </c>
      <c r="E20">
        <v>2.637</v>
      </c>
      <c r="F20">
        <v>1561725.1</v>
      </c>
      <c r="G20">
        <v>2.637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0.6479400749063664</v>
      </c>
      <c r="Q20">
        <f t="shared" ref="Q20" si="76">F20*P20</f>
        <v>1011904.2782771526</v>
      </c>
      <c r="R20">
        <f t="shared" ref="R20" si="77">R21+Q20</f>
        <v>-48137647.144651383</v>
      </c>
      <c r="S20">
        <f t="shared" ref="S20" si="78">R20/100000</f>
        <v>-481.37647144651385</v>
      </c>
      <c r="T20">
        <f t="shared" ref="T20" si="79">S20/1000</f>
        <v>-0.48137647144651385</v>
      </c>
    </row>
    <row r="21" spans="1:20" x14ac:dyDescent="0.25">
      <c r="A21" s="5">
        <v>44572</v>
      </c>
      <c r="B21">
        <v>2.2959999999999998</v>
      </c>
      <c r="C21">
        <v>2.42</v>
      </c>
      <c r="D21">
        <v>2.266</v>
      </c>
      <c r="E21">
        <v>2.4169999999999998</v>
      </c>
      <c r="F21">
        <v>1670454.7</v>
      </c>
      <c r="G21">
        <v>2.4169999999999998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0.96103896103895958</v>
      </c>
      <c r="Q21">
        <f t="shared" ref="Q21" si="81">F21*P21</f>
        <v>1605372.0493506468</v>
      </c>
      <c r="R21">
        <f t="shared" ref="R21" si="82">R22+Q21</f>
        <v>-49149551.422928534</v>
      </c>
      <c r="S21">
        <f t="shared" ref="S21" si="83">R21/100000</f>
        <v>-491.49551422928533</v>
      </c>
      <c r="T21">
        <f t="shared" ref="T21" si="84">S21/1000</f>
        <v>-0.49149551422928534</v>
      </c>
    </row>
    <row r="22" spans="1:20" x14ac:dyDescent="0.25">
      <c r="A22" s="5">
        <v>44571</v>
      </c>
      <c r="B22">
        <v>2.4700000000000002</v>
      </c>
      <c r="C22">
        <v>2.5859999999999999</v>
      </c>
      <c r="D22">
        <v>2.2429999999999999</v>
      </c>
      <c r="E22">
        <v>2.2989999999999999</v>
      </c>
      <c r="F22">
        <v>4018189.7</v>
      </c>
      <c r="G22">
        <v>2.2989999999999999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-0.67346938775510168</v>
      </c>
      <c r="Q22">
        <f t="shared" ref="Q22" si="86">F22*P22</f>
        <v>-2706127.7571428558</v>
      </c>
      <c r="R22">
        <f t="shared" ref="R22" si="87">R23+Q22</f>
        <v>-50754923.472279184</v>
      </c>
      <c r="S22">
        <f t="shared" ref="S22" si="88">R22/100000</f>
        <v>-507.54923472279182</v>
      </c>
      <c r="T22">
        <f t="shared" ref="T22" si="89">S22/1000</f>
        <v>-0.50754923472279179</v>
      </c>
    </row>
    <row r="23" spans="1:20" x14ac:dyDescent="0.25">
      <c r="A23" s="5">
        <v>44570</v>
      </c>
      <c r="B23">
        <v>2.4350000000000001</v>
      </c>
      <c r="C23">
        <v>2.5470000000000002</v>
      </c>
      <c r="D23">
        <v>2.4119999999999999</v>
      </c>
      <c r="E23">
        <v>2.4710000000000001</v>
      </c>
      <c r="F23">
        <v>737393.8</v>
      </c>
      <c r="G23">
        <v>2.4710000000000001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-0.125925925925925</v>
      </c>
      <c r="Q23">
        <f t="shared" ref="Q23" si="91">F23*P23</f>
        <v>-92856.997037036359</v>
      </c>
      <c r="R23">
        <f t="shared" ref="R23" si="92">R24+Q23</f>
        <v>-48048795.715136327</v>
      </c>
      <c r="S23">
        <f t="shared" ref="S23" si="93">R23/100000</f>
        <v>-480.48795715136328</v>
      </c>
      <c r="T23">
        <f t="shared" ref="T23" si="94">S23/1000</f>
        <v>-0.48048795715136328</v>
      </c>
    </row>
    <row r="24" spans="1:20" x14ac:dyDescent="0.25">
      <c r="A24" s="5">
        <v>44569</v>
      </c>
      <c r="B24">
        <v>2.6080000000000001</v>
      </c>
      <c r="C24">
        <v>2.6760000000000002</v>
      </c>
      <c r="D24">
        <v>2.3660000000000001</v>
      </c>
      <c r="E24">
        <v>2.4369999999999998</v>
      </c>
      <c r="F24">
        <v>1732425.3</v>
      </c>
      <c r="G24">
        <v>2.4369999999999998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-0.54193548387096957</v>
      </c>
      <c r="Q24">
        <f t="shared" ref="Q24" si="96">F24*P24</f>
        <v>-938862.74322580965</v>
      </c>
      <c r="R24">
        <f t="shared" ref="R24" si="97">R25+Q24</f>
        <v>-47955938.718099289</v>
      </c>
      <c r="S24">
        <f t="shared" ref="S24" si="98">R24/100000</f>
        <v>-479.55938718099287</v>
      </c>
      <c r="T24">
        <f t="shared" ref="T24" si="99">S24/1000</f>
        <v>-0.47955938718099289</v>
      </c>
    </row>
    <row r="25" spans="1:20" x14ac:dyDescent="0.25">
      <c r="A25" s="5">
        <v>44568</v>
      </c>
      <c r="B25">
        <v>2.7829999999999999</v>
      </c>
      <c r="C25">
        <v>2.794</v>
      </c>
      <c r="D25">
        <v>2.5</v>
      </c>
      <c r="E25">
        <v>2.6070000000000002</v>
      </c>
      <c r="F25">
        <v>2168131.87</v>
      </c>
      <c r="G25">
        <v>2.6070000000000002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-0.27210884353741366</v>
      </c>
      <c r="Q25">
        <f t="shared" ref="Q25" si="101">F25*P25</f>
        <v>-589967.85578231013</v>
      </c>
      <c r="R25">
        <f t="shared" ref="R25" si="102">R26+Q25</f>
        <v>-47017075.974873476</v>
      </c>
      <c r="S25">
        <f t="shared" ref="S25" si="103">R25/100000</f>
        <v>-470.17075974873478</v>
      </c>
      <c r="T25">
        <f t="shared" ref="T25" si="104">S25/1000</f>
        <v>-0.47017075974873479</v>
      </c>
    </row>
    <row r="26" spans="1:20" x14ac:dyDescent="0.25">
      <c r="A26" s="5">
        <v>44567</v>
      </c>
      <c r="B26">
        <v>2.8650000000000002</v>
      </c>
      <c r="C26">
        <v>2.9</v>
      </c>
      <c r="D26">
        <v>2.68</v>
      </c>
      <c r="E26">
        <v>2.782</v>
      </c>
      <c r="F26">
        <v>1402655.2</v>
      </c>
      <c r="G26">
        <v>2.782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-7.2727272727272876E-2</v>
      </c>
      <c r="Q26">
        <f t="shared" ref="Q26" si="106">F26*P26</f>
        <v>-102011.28727272748</v>
      </c>
      <c r="R26">
        <f t="shared" ref="R26" si="107">R27+Q26</f>
        <v>-46427108.119091168</v>
      </c>
      <c r="S26">
        <f t="shared" ref="S26" si="108">R26/100000</f>
        <v>-464.27108119091167</v>
      </c>
      <c r="T26">
        <f t="shared" ref="T26" si="109">S26/1000</f>
        <v>-0.46427108119091165</v>
      </c>
    </row>
    <row r="27" spans="1:20" x14ac:dyDescent="0.25">
      <c r="A27" s="5">
        <v>44566</v>
      </c>
      <c r="B27">
        <v>3.0779999999999998</v>
      </c>
      <c r="C27">
        <v>3.2469999999999999</v>
      </c>
      <c r="D27">
        <v>2.72</v>
      </c>
      <c r="E27">
        <v>2.8620000000000001</v>
      </c>
      <c r="F27">
        <v>2245440.7000000002</v>
      </c>
      <c r="G27">
        <v>2.8620000000000001</v>
      </c>
      <c r="L27" t="s">
        <v>8</v>
      </c>
      <c r="M27" t="s">
        <v>7</v>
      </c>
      <c r="N27" t="s">
        <v>7</v>
      </c>
      <c r="P27">
        <f t="shared" ref="P27" si="110">IF(C27=D27,0,((E27-D27)-(C27-E27))/(C27-D27))</f>
        <v>-0.46110056925996212</v>
      </c>
      <c r="Q27">
        <f t="shared" ref="Q27" si="111">F27*P27</f>
        <v>-1035373.985009488</v>
      </c>
      <c r="R27">
        <f t="shared" ref="R27" si="112">R28+Q27</f>
        <v>-46325096.831818439</v>
      </c>
      <c r="S27">
        <f t="shared" ref="S27" si="113">R27/100000</f>
        <v>-463.25096831818439</v>
      </c>
      <c r="T27">
        <f t="shared" ref="T27" si="114">S27/1000</f>
        <v>-0.46325096831818441</v>
      </c>
    </row>
    <row r="28" spans="1:20" x14ac:dyDescent="0.25">
      <c r="A28" s="5">
        <v>44565</v>
      </c>
      <c r="B28">
        <v>3.0990000000000002</v>
      </c>
      <c r="C28">
        <v>3.214</v>
      </c>
      <c r="D28">
        <v>3.004</v>
      </c>
      <c r="E28">
        <v>3.0750000000000002</v>
      </c>
      <c r="F28">
        <v>1571988.4</v>
      </c>
      <c r="G28">
        <v>3.0750000000000002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-0.32380952380952205</v>
      </c>
      <c r="Q28">
        <f t="shared" ref="Q28" si="116">F28*P28</f>
        <v>-509024.81523809244</v>
      </c>
      <c r="R28">
        <f t="shared" ref="R28" si="117">R29+Q28</f>
        <v>-45289722.846808948</v>
      </c>
      <c r="S28">
        <f t="shared" ref="S28" si="118">R28/100000</f>
        <v>-452.89722846808945</v>
      </c>
      <c r="T28">
        <f t="shared" ref="T28" si="119">S28/1000</f>
        <v>-0.45289722846808944</v>
      </c>
    </row>
    <row r="29" spans="1:20" x14ac:dyDescent="0.25">
      <c r="A29" s="5">
        <v>44564</v>
      </c>
      <c r="B29">
        <v>3.18</v>
      </c>
      <c r="C29">
        <v>3.206</v>
      </c>
      <c r="D29">
        <v>2.98</v>
      </c>
      <c r="E29">
        <v>3.0990000000000002</v>
      </c>
      <c r="F29">
        <v>1118724.3</v>
      </c>
      <c r="G29">
        <v>3.0990000000000002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5.3097345132745381E-2</v>
      </c>
      <c r="Q29">
        <f t="shared" ref="Q29" si="121">F29*P29</f>
        <v>59401.290265488984</v>
      </c>
      <c r="R29">
        <f t="shared" ref="R29" si="122">R30+Q29</f>
        <v>-44780698.031570852</v>
      </c>
      <c r="S29">
        <f t="shared" ref="S29" si="123">R29/100000</f>
        <v>-447.80698031570853</v>
      </c>
      <c r="T29">
        <f t="shared" ref="T29" si="124">S29/1000</f>
        <v>-0.44780698031570854</v>
      </c>
    </row>
    <row r="30" spans="1:20" x14ac:dyDescent="0.25">
      <c r="A30" s="5">
        <v>44563</v>
      </c>
      <c r="B30">
        <v>3.1230000000000002</v>
      </c>
      <c r="C30">
        <v>3.2050000000000001</v>
      </c>
      <c r="D30">
        <v>3.06</v>
      </c>
      <c r="E30">
        <v>3.1819999999999999</v>
      </c>
      <c r="F30">
        <v>898875.2</v>
      </c>
      <c r="G30">
        <v>3.1819999999999999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0.68275862068965343</v>
      </c>
      <c r="Q30">
        <f t="shared" ref="Q30" si="126">F30*P30</f>
        <v>613714.79172413633</v>
      </c>
      <c r="R30">
        <f t="shared" ref="R30" si="127">R31+Q30</f>
        <v>-44840099.321836337</v>
      </c>
      <c r="S30">
        <f t="shared" ref="S30" si="128">R30/100000</f>
        <v>-448.4009932183634</v>
      </c>
      <c r="T30">
        <f t="shared" ref="T30" si="129">S30/1000</f>
        <v>-0.44840099321836341</v>
      </c>
    </row>
    <row r="31" spans="1:20" x14ac:dyDescent="0.25">
      <c r="A31" s="5">
        <v>44562</v>
      </c>
      <c r="B31">
        <v>2.9660000000000002</v>
      </c>
      <c r="C31">
        <v>3.1379999999999999</v>
      </c>
      <c r="D31">
        <v>2.9620000000000002</v>
      </c>
      <c r="E31">
        <v>3.1259999999999999</v>
      </c>
      <c r="F31">
        <v>1071217.6000000001</v>
      </c>
      <c r="G31">
        <v>3.1259999999999999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0.86363636363636331</v>
      </c>
      <c r="Q31">
        <f t="shared" ref="Q31" si="131">F31*P31</f>
        <v>925142.47272727243</v>
      </c>
      <c r="R31">
        <f t="shared" ref="R31" si="132">R32+Q31</f>
        <v>-45453814.113560475</v>
      </c>
      <c r="S31">
        <f t="shared" ref="S31" si="133">R31/100000</f>
        <v>-454.53814113560475</v>
      </c>
      <c r="T31">
        <f t="shared" ref="T31" si="134">S31/1000</f>
        <v>-0.45453814113560476</v>
      </c>
    </row>
    <row r="32" spans="1:20" x14ac:dyDescent="0.25">
      <c r="A32" s="5">
        <v>44561</v>
      </c>
      <c r="B32">
        <v>2.952</v>
      </c>
      <c r="C32">
        <v>3.08</v>
      </c>
      <c r="D32">
        <v>2.855</v>
      </c>
      <c r="E32">
        <v>2.968</v>
      </c>
      <c r="F32">
        <v>1324740.5</v>
      </c>
      <c r="G32">
        <v>2.968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4.4444444444439535E-3</v>
      </c>
      <c r="Q32">
        <f t="shared" ref="Q32" si="136">F32*P32</f>
        <v>5887.7355555549047</v>
      </c>
      <c r="R32">
        <f t="shared" ref="R32" si="137">R33+Q32</f>
        <v>-46378956.586287744</v>
      </c>
      <c r="S32">
        <f t="shared" ref="S32" si="138">R32/100000</f>
        <v>-463.78956586287745</v>
      </c>
      <c r="T32">
        <f t="shared" ref="T32" si="139">S32/1000</f>
        <v>-0.46378956586287745</v>
      </c>
    </row>
    <row r="33" spans="1:20" x14ac:dyDescent="0.25">
      <c r="A33" s="5">
        <v>44560</v>
      </c>
      <c r="B33">
        <v>2.952</v>
      </c>
      <c r="C33">
        <v>3.008</v>
      </c>
      <c r="D33">
        <v>2.839</v>
      </c>
      <c r="E33">
        <v>2.9540000000000002</v>
      </c>
      <c r="F33">
        <v>1259879.1000000001</v>
      </c>
      <c r="G33">
        <v>2.9540000000000002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0.36094674556213241</v>
      </c>
      <c r="Q33">
        <f t="shared" ref="Q33" si="141">F33*P33</f>
        <v>454749.26094674843</v>
      </c>
      <c r="R33">
        <f t="shared" ref="R33" si="142">R34+Q33</f>
        <v>-46384844.321843296</v>
      </c>
      <c r="S33">
        <f t="shared" ref="S33" si="143">R33/100000</f>
        <v>-463.84844321843298</v>
      </c>
      <c r="T33">
        <f t="shared" ref="T33" si="144">S33/1000</f>
        <v>-0.46384844321843299</v>
      </c>
    </row>
    <row r="34" spans="1:20" x14ac:dyDescent="0.25">
      <c r="A34" s="5">
        <v>44559</v>
      </c>
      <c r="B34">
        <v>3.08</v>
      </c>
      <c r="C34">
        <v>3.2719999999999998</v>
      </c>
      <c r="D34">
        <v>2.911</v>
      </c>
      <c r="E34">
        <v>2.9569999999999999</v>
      </c>
      <c r="F34">
        <v>2794029.3</v>
      </c>
      <c r="G34">
        <v>2.9569999999999999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-0.745152354570638</v>
      </c>
      <c r="Q34">
        <f t="shared" ref="Q34" si="146">F34*P34</f>
        <v>-2081977.5116343515</v>
      </c>
      <c r="R34">
        <f t="shared" ref="R34" si="147">R35+Q34</f>
        <v>-46839593.582790047</v>
      </c>
      <c r="S34">
        <f t="shared" ref="S34" si="148">R34/100000</f>
        <v>-468.39593582790047</v>
      </c>
      <c r="T34">
        <f t="shared" ref="T34" si="149">S34/1000</f>
        <v>-0.46839593582790046</v>
      </c>
    </row>
    <row r="35" spans="1:20" x14ac:dyDescent="0.25">
      <c r="A35" s="5">
        <v>44558</v>
      </c>
      <c r="B35">
        <v>3.323</v>
      </c>
      <c r="C35">
        <v>3.323</v>
      </c>
      <c r="D35">
        <v>3.0289999999999999</v>
      </c>
      <c r="E35">
        <v>3.08</v>
      </c>
      <c r="F35">
        <v>2224002.7999999998</v>
      </c>
      <c r="G35">
        <v>3.08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-0.65306122448979487</v>
      </c>
      <c r="Q35">
        <f t="shared" ref="Q35" si="151">F35*P35</f>
        <v>-1452409.9918367323</v>
      </c>
      <c r="R35">
        <f t="shared" ref="R35" si="152">R36+Q35</f>
        <v>-44757616.071155697</v>
      </c>
      <c r="S35">
        <f t="shared" ref="S35" si="153">R35/100000</f>
        <v>-447.57616071155695</v>
      </c>
      <c r="T35">
        <f t="shared" ref="T35" si="154">S35/1000</f>
        <v>-0.44757616071155693</v>
      </c>
    </row>
    <row r="36" spans="1:20" x14ac:dyDescent="0.25">
      <c r="A36" s="5">
        <v>44557</v>
      </c>
      <c r="B36">
        <v>3.3980000000000001</v>
      </c>
      <c r="C36">
        <v>3.4790000000000001</v>
      </c>
      <c r="D36">
        <v>3.3109999999999999</v>
      </c>
      <c r="E36">
        <v>3.3220000000000001</v>
      </c>
      <c r="F36">
        <v>1651789.7</v>
      </c>
      <c r="G36">
        <v>3.3220000000000001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-0.86904761904761774</v>
      </c>
      <c r="Q36">
        <f t="shared" ref="Q36" si="156">F36*P36</f>
        <v>-1435483.9059523786</v>
      </c>
      <c r="R36">
        <f t="shared" ref="R36" si="157">R37+Q36</f>
        <v>-43305206.079318963</v>
      </c>
      <c r="S36">
        <f t="shared" ref="S36" si="158">R36/100000</f>
        <v>-433.05206079318964</v>
      </c>
      <c r="T36">
        <f t="shared" ref="T36" si="159">S36/1000</f>
        <v>-0.43305206079318964</v>
      </c>
    </row>
    <row r="37" spans="1:20" x14ac:dyDescent="0.25">
      <c r="A37" s="5">
        <v>44556</v>
      </c>
      <c r="B37">
        <v>3.3620000000000001</v>
      </c>
      <c r="C37">
        <v>3.4609999999999999</v>
      </c>
      <c r="D37">
        <v>3.1619999999999999</v>
      </c>
      <c r="E37">
        <v>3.3959999999999999</v>
      </c>
      <c r="F37">
        <v>2720775.2</v>
      </c>
      <c r="G37">
        <v>3.3959999999999999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0.56521739130434812</v>
      </c>
      <c r="Q37">
        <f t="shared" ref="Q37" si="161">F37*P37</f>
        <v>1537829.4608695661</v>
      </c>
      <c r="R37">
        <f t="shared" ref="R37" si="162">R38+Q37</f>
        <v>-41869722.173366584</v>
      </c>
      <c r="S37">
        <f t="shared" ref="S37" si="163">R37/100000</f>
        <v>-418.69722173366586</v>
      </c>
      <c r="T37">
        <f t="shared" ref="T37" si="164">S37/1000</f>
        <v>-0.41869722173366586</v>
      </c>
    </row>
    <row r="38" spans="1:20" x14ac:dyDescent="0.25">
      <c r="A38" s="5">
        <v>44555</v>
      </c>
      <c r="B38">
        <v>3.1219999999999999</v>
      </c>
      <c r="C38">
        <v>3.4940000000000002</v>
      </c>
      <c r="D38">
        <v>3.0910000000000002</v>
      </c>
      <c r="E38">
        <v>3.3650000000000002</v>
      </c>
      <c r="F38">
        <v>5006964.5999999996</v>
      </c>
      <c r="G38">
        <v>3.3650000000000002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0.35980148883374691</v>
      </c>
      <c r="Q38">
        <f t="shared" ref="Q38" si="166">F38*P38</f>
        <v>1801513.317617866</v>
      </c>
      <c r="R38">
        <f t="shared" ref="R38" si="167">R39+Q38</f>
        <v>-43407551.634236149</v>
      </c>
      <c r="S38">
        <f t="shared" ref="S38" si="168">R38/100000</f>
        <v>-434.07551634236148</v>
      </c>
      <c r="T38">
        <f t="shared" ref="T38" si="169">S38/1000</f>
        <v>-0.43407551634236147</v>
      </c>
    </row>
    <row r="39" spans="1:20" x14ac:dyDescent="0.25">
      <c r="A39" s="5">
        <v>44554</v>
      </c>
      <c r="B39">
        <v>3.2109999999999999</v>
      </c>
      <c r="C39">
        <v>3.2589999999999999</v>
      </c>
      <c r="D39">
        <v>3.056</v>
      </c>
      <c r="E39">
        <v>3.121</v>
      </c>
      <c r="F39">
        <v>1604810.1</v>
      </c>
      <c r="G39">
        <v>3.121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-0.35960591133004932</v>
      </c>
      <c r="Q39">
        <f t="shared" ref="Q39" si="171">F39*P39</f>
        <v>-577099.19852216763</v>
      </c>
      <c r="R39">
        <f t="shared" ref="R39" si="172">R40+Q39</f>
        <v>-45209064.951854013</v>
      </c>
      <c r="S39">
        <f t="shared" ref="S39" si="173">R39/100000</f>
        <v>-452.09064951854015</v>
      </c>
      <c r="T39">
        <f t="shared" ref="T39" si="174">S39/1000</f>
        <v>-0.45209064951854017</v>
      </c>
    </row>
    <row r="40" spans="1:20" x14ac:dyDescent="0.25">
      <c r="A40" s="5">
        <v>44553</v>
      </c>
      <c r="B40">
        <v>3.032</v>
      </c>
      <c r="C40">
        <v>3.2709999999999999</v>
      </c>
      <c r="D40">
        <v>2.9529999999999998</v>
      </c>
      <c r="E40">
        <v>3.21</v>
      </c>
      <c r="F40">
        <v>2812398.7</v>
      </c>
      <c r="G40">
        <v>3.21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0.61635220125786205</v>
      </c>
      <c r="Q40">
        <f t="shared" ref="Q40" si="176">F40*P40</f>
        <v>1733428.1295597497</v>
      </c>
      <c r="R40">
        <f t="shared" ref="R40" si="177">R41+Q40</f>
        <v>-44631965.753331847</v>
      </c>
      <c r="S40">
        <f t="shared" ref="S40" si="178">R40/100000</f>
        <v>-446.31965753331849</v>
      </c>
      <c r="T40">
        <f t="shared" ref="T40" si="179">S40/1000</f>
        <v>-0.44631965753331848</v>
      </c>
    </row>
    <row r="41" spans="1:20" x14ac:dyDescent="0.25">
      <c r="A41" s="5">
        <v>44552</v>
      </c>
      <c r="B41">
        <v>2.96</v>
      </c>
      <c r="C41">
        <v>3.1680000000000001</v>
      </c>
      <c r="D41">
        <v>2.9289999999999998</v>
      </c>
      <c r="E41">
        <v>3.032</v>
      </c>
      <c r="F41">
        <v>2587571.7999999998</v>
      </c>
      <c r="G41">
        <v>3.032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-0.13807531380753085</v>
      </c>
      <c r="Q41">
        <f t="shared" ref="Q41" si="181">F41*P41</f>
        <v>-357279.78828451742</v>
      </c>
      <c r="R41">
        <f t="shared" ref="R41" si="182">R42+Q41</f>
        <v>-46365393.882891595</v>
      </c>
      <c r="S41">
        <f t="shared" ref="S41" si="183">R41/100000</f>
        <v>-463.65393882891595</v>
      </c>
      <c r="T41">
        <f t="shared" ref="T41" si="184">S41/1000</f>
        <v>-0.46365393882891598</v>
      </c>
    </row>
    <row r="42" spans="1:20" x14ac:dyDescent="0.25">
      <c r="A42" s="5">
        <v>44551</v>
      </c>
      <c r="B42">
        <v>2.7749999999999999</v>
      </c>
      <c r="C42">
        <v>2.9630000000000001</v>
      </c>
      <c r="D42">
        <v>2.7530000000000001</v>
      </c>
      <c r="E42">
        <v>2.96</v>
      </c>
      <c r="F42">
        <v>938107.5</v>
      </c>
      <c r="G42">
        <v>2.96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0.97142857142857031</v>
      </c>
      <c r="Q42">
        <f t="shared" ref="Q42" si="186">F42*P42</f>
        <v>911304.42857142747</v>
      </c>
      <c r="R42">
        <f t="shared" ref="R42" si="187">R43+Q42</f>
        <v>-46008114.094607078</v>
      </c>
      <c r="S42">
        <f t="shared" ref="S42" si="188">R42/100000</f>
        <v>-460.08114094607078</v>
      </c>
      <c r="T42">
        <f t="shared" ref="T42" si="189">S42/1000</f>
        <v>-0.46008114094607078</v>
      </c>
    </row>
    <row r="43" spans="1:20" x14ac:dyDescent="0.25">
      <c r="A43" s="5">
        <v>44550</v>
      </c>
      <c r="B43">
        <v>2.8029999999999999</v>
      </c>
      <c r="C43">
        <v>2.84</v>
      </c>
      <c r="D43">
        <v>2.65</v>
      </c>
      <c r="E43">
        <v>2.77</v>
      </c>
      <c r="F43">
        <v>1233572.3</v>
      </c>
      <c r="G43">
        <v>2.77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0.26315789473684359</v>
      </c>
      <c r="Q43">
        <f t="shared" ref="Q43" si="191">F43*P43</f>
        <v>324624.28947368608</v>
      </c>
      <c r="R43">
        <f t="shared" ref="R43" si="192">R44+Q43</f>
        <v>-46919418.523178503</v>
      </c>
      <c r="S43">
        <f t="shared" ref="S43" si="193">R43/100000</f>
        <v>-469.19418523178501</v>
      </c>
      <c r="T43">
        <f t="shared" ref="T43" si="194">S43/1000</f>
        <v>-0.46919418523178502</v>
      </c>
    </row>
    <row r="44" spans="1:20" x14ac:dyDescent="0.25">
      <c r="A44" s="5">
        <v>44549</v>
      </c>
      <c r="B44">
        <v>2.8959999999999999</v>
      </c>
      <c r="C44">
        <v>2.9649999999999999</v>
      </c>
      <c r="D44">
        <v>2.7919999999999998</v>
      </c>
      <c r="E44">
        <v>2.8050000000000002</v>
      </c>
      <c r="F44">
        <v>819284.1</v>
      </c>
      <c r="G44">
        <v>2.8050000000000002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-0.84971098265895562</v>
      </c>
      <c r="Q44">
        <f t="shared" ref="Q44" si="196">F44*P44</f>
        <v>-696154.69768785802</v>
      </c>
      <c r="R44">
        <f t="shared" ref="R44" si="197">R45+Q44</f>
        <v>-47244042.812652186</v>
      </c>
      <c r="S44">
        <f t="shared" ref="S44" si="198">R44/100000</f>
        <v>-472.44042812652185</v>
      </c>
      <c r="T44">
        <f t="shared" ref="T44" si="199">S44/1000</f>
        <v>-0.47244042812652187</v>
      </c>
    </row>
    <row r="45" spans="1:20" x14ac:dyDescent="0.25">
      <c r="A45" s="5">
        <v>44548</v>
      </c>
      <c r="B45">
        <v>2.8530000000000002</v>
      </c>
      <c r="C45">
        <v>2.9529999999999998</v>
      </c>
      <c r="D45">
        <v>2.766</v>
      </c>
      <c r="E45">
        <v>2.8940000000000001</v>
      </c>
      <c r="F45">
        <v>1335866.3999999999</v>
      </c>
      <c r="G45">
        <v>2.8940000000000001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0.36898395721925376</v>
      </c>
      <c r="Q45">
        <f t="shared" ref="Q45" si="201">F45*P45</f>
        <v>492913.27058823849</v>
      </c>
      <c r="R45">
        <f t="shared" ref="R45" si="202">R46+Q45</f>
        <v>-46547888.114964329</v>
      </c>
      <c r="S45">
        <f t="shared" ref="S45" si="203">R45/100000</f>
        <v>-465.47888114964331</v>
      </c>
      <c r="T45">
        <f t="shared" ref="T45" si="204">S45/1000</f>
        <v>-0.46547888114964331</v>
      </c>
    </row>
    <row r="46" spans="1:20" x14ac:dyDescent="0.25">
      <c r="A46" s="5">
        <v>44547</v>
      </c>
      <c r="B46">
        <v>2.915</v>
      </c>
      <c r="C46">
        <v>3.02</v>
      </c>
      <c r="D46">
        <v>2.7509999999999999</v>
      </c>
      <c r="E46">
        <v>2.855</v>
      </c>
      <c r="F46">
        <v>2453354.7999999998</v>
      </c>
      <c r="G46">
        <v>2.855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-0.22676579925650525</v>
      </c>
      <c r="Q46">
        <f t="shared" ref="Q46" si="206">F46*P46</f>
        <v>-556336.96208178357</v>
      </c>
      <c r="R46">
        <f t="shared" ref="R46" si="207">R47+Q46</f>
        <v>-47040801.38555257</v>
      </c>
      <c r="S46">
        <f t="shared" ref="S46" si="208">R46/100000</f>
        <v>-470.40801385552572</v>
      </c>
      <c r="T46">
        <f t="shared" ref="T46" si="209">S46/1000</f>
        <v>-0.47040801385552572</v>
      </c>
    </row>
    <row r="47" spans="1:20" x14ac:dyDescent="0.25">
      <c r="A47" s="5">
        <v>44546</v>
      </c>
      <c r="B47">
        <v>3.0209999999999999</v>
      </c>
      <c r="C47">
        <v>3.11</v>
      </c>
      <c r="D47">
        <v>2.899</v>
      </c>
      <c r="E47">
        <v>2.915</v>
      </c>
      <c r="F47">
        <v>1815703.1</v>
      </c>
      <c r="G47">
        <v>2.915</v>
      </c>
      <c r="L47" t="s">
        <v>7</v>
      </c>
      <c r="M47" t="s">
        <v>8</v>
      </c>
      <c r="N47" t="s">
        <v>7</v>
      </c>
      <c r="P47">
        <f t="shared" ref="P47" si="210">IF(C47=D47,0,((E47-D47)-(C47-E47))/(C47-D47))</f>
        <v>-0.84834123222748792</v>
      </c>
      <c r="Q47">
        <f t="shared" ref="Q47" si="211">F47*P47</f>
        <v>-1540335.8052132698</v>
      </c>
      <c r="R47">
        <f t="shared" ref="R47" si="212">R48+Q47</f>
        <v>-46484464.423470788</v>
      </c>
      <c r="S47">
        <f t="shared" ref="S47" si="213">R47/100000</f>
        <v>-464.84464423470786</v>
      </c>
      <c r="T47">
        <f t="shared" ref="T47" si="214">S47/1000</f>
        <v>-0.46484464423470784</v>
      </c>
    </row>
    <row r="48" spans="1:20" x14ac:dyDescent="0.25">
      <c r="A48" s="5">
        <v>44545</v>
      </c>
      <c r="B48">
        <v>2.8650000000000002</v>
      </c>
      <c r="C48">
        <v>3.0950000000000002</v>
      </c>
      <c r="D48">
        <v>2.7240000000000002</v>
      </c>
      <c r="E48">
        <v>3.0169999999999999</v>
      </c>
      <c r="F48">
        <v>2199355.2000000002</v>
      </c>
      <c r="G48">
        <v>3.0169999999999999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0.57951482479784211</v>
      </c>
      <c r="Q48">
        <f t="shared" ref="Q48" si="216">F48*P48</f>
        <v>1274558.943396223</v>
      </c>
      <c r="R48">
        <f t="shared" ref="R48" si="217">R49+Q48</f>
        <v>-44944128.618257515</v>
      </c>
      <c r="S48">
        <f t="shared" ref="S48" si="218">R48/100000</f>
        <v>-449.44128618257514</v>
      </c>
      <c r="T48">
        <f t="shared" ref="T48" si="219">S48/1000</f>
        <v>-0.44944128618257512</v>
      </c>
    </row>
    <row r="49" spans="1:20" x14ac:dyDescent="0.25">
      <c r="A49" s="5">
        <v>44544</v>
      </c>
      <c r="B49">
        <v>2.7069999999999999</v>
      </c>
      <c r="C49">
        <v>2.8730000000000002</v>
      </c>
      <c r="D49">
        <v>2.66</v>
      </c>
      <c r="E49">
        <v>2.8679999999999999</v>
      </c>
      <c r="F49">
        <v>1925712</v>
      </c>
      <c r="G49">
        <v>2.8679999999999999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0.95305164319248514</v>
      </c>
      <c r="Q49">
        <f t="shared" ref="Q49" si="221">F49*P49</f>
        <v>1835302.9859154869</v>
      </c>
      <c r="R49">
        <f t="shared" ref="R49" si="222">R50+Q49</f>
        <v>-46218687.561653741</v>
      </c>
      <c r="S49">
        <f t="shared" ref="S49" si="223">R49/100000</f>
        <v>-462.18687561653741</v>
      </c>
      <c r="T49">
        <f t="shared" ref="T49" si="224">S49/1000</f>
        <v>-0.46218687561653743</v>
      </c>
    </row>
    <row r="50" spans="1:20" x14ac:dyDescent="0.25">
      <c r="A50" s="5">
        <v>44543</v>
      </c>
      <c r="B50">
        <v>3.1850000000000001</v>
      </c>
      <c r="C50">
        <v>3.3</v>
      </c>
      <c r="D50">
        <v>2.645</v>
      </c>
      <c r="E50">
        <v>2.7109999999999999</v>
      </c>
      <c r="F50">
        <v>3948362</v>
      </c>
      <c r="G50">
        <v>2.7109999999999999</v>
      </c>
      <c r="L50" t="s">
        <v>8</v>
      </c>
      <c r="M50" t="s">
        <v>7</v>
      </c>
      <c r="N50" t="s">
        <v>7</v>
      </c>
      <c r="P50">
        <f t="shared" ref="P50" si="225">IF(C50=D50,0,((E50-D50)-(C50-E50))/(C50-D50))</f>
        <v>-0.79847328244274851</v>
      </c>
      <c r="Q50">
        <f t="shared" ref="Q50" si="226">F50*P50</f>
        <v>-3152661.5664122156</v>
      </c>
      <c r="R50">
        <f t="shared" ref="R50" si="227">R51+Q50</f>
        <v>-48053990.54756923</v>
      </c>
      <c r="S50">
        <f t="shared" ref="S50" si="228">R50/100000</f>
        <v>-480.53990547569231</v>
      </c>
      <c r="T50">
        <f t="shared" ref="T50" si="229">S50/1000</f>
        <v>-0.48053990547569231</v>
      </c>
    </row>
    <row r="51" spans="1:20" x14ac:dyDescent="0.25">
      <c r="A51" s="5">
        <v>44542</v>
      </c>
      <c r="B51">
        <v>3.1429999999999998</v>
      </c>
      <c r="C51">
        <v>3.2749999999999999</v>
      </c>
      <c r="D51">
        <v>3.0449999999999999</v>
      </c>
      <c r="E51">
        <v>3.1850000000000001</v>
      </c>
      <c r="F51">
        <v>1813816.6</v>
      </c>
      <c r="G51">
        <v>3.1850000000000001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0.21739130434782727</v>
      </c>
      <c r="Q51">
        <f t="shared" ref="Q51" si="231">F51*P51</f>
        <v>394307.95652174129</v>
      </c>
      <c r="R51">
        <f t="shared" ref="R51" si="232">R52+Q51</f>
        <v>-44901328.981157012</v>
      </c>
      <c r="S51">
        <f t="shared" ref="S51" si="233">R51/100000</f>
        <v>-449.01328981157013</v>
      </c>
      <c r="T51">
        <f t="shared" ref="T51" si="234">S51/1000</f>
        <v>-0.44901328981157013</v>
      </c>
    </row>
    <row r="52" spans="1:20" x14ac:dyDescent="0.25">
      <c r="A52" s="5">
        <v>44541</v>
      </c>
      <c r="B52">
        <v>2.9390000000000001</v>
      </c>
      <c r="C52">
        <v>3.004</v>
      </c>
      <c r="D52">
        <v>2.887</v>
      </c>
      <c r="E52">
        <v>2.984</v>
      </c>
      <c r="F52">
        <v>114343.2</v>
      </c>
      <c r="G52">
        <v>2.984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0.65811965811965778</v>
      </c>
      <c r="Q52">
        <f t="shared" ref="Q52" si="236">F52*P52</f>
        <v>75251.507692307656</v>
      </c>
      <c r="R52">
        <f t="shared" ref="R52" si="237">R53+Q52</f>
        <v>-45295636.937678754</v>
      </c>
      <c r="S52">
        <f t="shared" ref="S52" si="238">R52/100000</f>
        <v>-452.95636937678756</v>
      </c>
      <c r="T52">
        <f t="shared" ref="T52" si="239">S52/1000</f>
        <v>-0.45295636937678757</v>
      </c>
    </row>
    <row r="53" spans="1:20" x14ac:dyDescent="0.25">
      <c r="A53" s="5">
        <v>44540</v>
      </c>
      <c r="B53">
        <v>3.0920000000000001</v>
      </c>
      <c r="C53">
        <v>3.242</v>
      </c>
      <c r="D53">
        <v>2.9169999999999998</v>
      </c>
      <c r="E53">
        <v>2.9449999999999998</v>
      </c>
      <c r="F53">
        <v>2249382.7000000002</v>
      </c>
      <c r="G53">
        <v>2.9449999999999998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-0.82769230769230762</v>
      </c>
      <c r="Q53">
        <f t="shared" ref="Q53" si="241">F53*P53</f>
        <v>-1861796.7578461538</v>
      </c>
      <c r="R53">
        <f t="shared" ref="R53" si="242">R54+Q53</f>
        <v>-45370888.445371062</v>
      </c>
      <c r="S53">
        <f t="shared" ref="S53" si="243">R53/100000</f>
        <v>-453.7088844537106</v>
      </c>
      <c r="T53">
        <f t="shared" ref="T53" si="244">S53/1000</f>
        <v>-0.4537088844537106</v>
      </c>
    </row>
    <row r="54" spans="1:20" x14ac:dyDescent="0.25">
      <c r="A54" s="5">
        <v>44539</v>
      </c>
      <c r="B54">
        <v>3.4590000000000001</v>
      </c>
      <c r="C54">
        <v>3.58</v>
      </c>
      <c r="D54">
        <v>3.0579999999999998</v>
      </c>
      <c r="E54">
        <v>3.0950000000000002</v>
      </c>
      <c r="F54">
        <v>2894127.5</v>
      </c>
      <c r="G54">
        <v>3.0950000000000002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-0.858237547892719</v>
      </c>
      <c r="Q54">
        <f t="shared" ref="Q54" si="246">F54*P54</f>
        <v>-2483848.8888888853</v>
      </c>
      <c r="R54">
        <f t="shared" ref="R54" si="247">R55+Q54</f>
        <v>-43509091.687524907</v>
      </c>
      <c r="S54">
        <f t="shared" ref="S54" si="248">R54/100000</f>
        <v>-435.09091687524909</v>
      </c>
      <c r="T54">
        <f t="shared" ref="T54" si="249">S54/1000</f>
        <v>-0.43509091687524909</v>
      </c>
    </row>
    <row r="55" spans="1:20" x14ac:dyDescent="0.25">
      <c r="A55" s="5">
        <v>44538</v>
      </c>
      <c r="B55">
        <v>3.2759999999999998</v>
      </c>
      <c r="C55">
        <v>3.55</v>
      </c>
      <c r="D55">
        <v>3.129</v>
      </c>
      <c r="E55">
        <v>3.456</v>
      </c>
      <c r="F55">
        <v>4569080.5999999996</v>
      </c>
      <c r="G55">
        <v>3.456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0.55344418052256583</v>
      </c>
      <c r="Q55">
        <f t="shared" ref="Q55" si="251">F55*P55</f>
        <v>2528731.068408553</v>
      </c>
      <c r="R55">
        <f t="shared" ref="R55" si="252">R56+Q55</f>
        <v>-41025242.798636019</v>
      </c>
      <c r="S55">
        <f t="shared" ref="S55" si="253">R55/100000</f>
        <v>-410.2524279863602</v>
      </c>
      <c r="T55">
        <f t="shared" ref="T55" si="254">S55/1000</f>
        <v>-0.41025242798636019</v>
      </c>
    </row>
    <row r="56" spans="1:20" x14ac:dyDescent="0.25">
      <c r="A56" s="5">
        <v>44537</v>
      </c>
      <c r="B56">
        <v>3.2440000000000002</v>
      </c>
      <c r="C56">
        <v>3.3759999999999999</v>
      </c>
      <c r="D56">
        <v>3.1320000000000001</v>
      </c>
      <c r="E56">
        <v>3.2759999999999998</v>
      </c>
      <c r="F56">
        <v>3221770</v>
      </c>
      <c r="G56">
        <v>3.2759999999999998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0.18032786885245752</v>
      </c>
      <c r="Q56">
        <f t="shared" ref="Q56" si="256">F56*P56</f>
        <v>580974.91803278204</v>
      </c>
      <c r="R56">
        <f t="shared" ref="R56" si="257">R57+Q56</f>
        <v>-43553973.867044576</v>
      </c>
      <c r="S56">
        <f t="shared" ref="S56" si="258">R56/100000</f>
        <v>-435.53973867044573</v>
      </c>
      <c r="T56">
        <f t="shared" ref="T56" si="259">S56/1000</f>
        <v>-0.43553973867044571</v>
      </c>
    </row>
    <row r="57" spans="1:20" x14ac:dyDescent="0.25">
      <c r="A57" s="5">
        <v>44536</v>
      </c>
      <c r="B57">
        <v>3.21</v>
      </c>
      <c r="C57">
        <v>3.3220000000000001</v>
      </c>
      <c r="D57">
        <v>2.7749999999999999</v>
      </c>
      <c r="E57">
        <v>3.246</v>
      </c>
      <c r="F57">
        <v>5175121.9000000004</v>
      </c>
      <c r="G57">
        <v>3.246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0.72212065813528314</v>
      </c>
      <c r="Q57">
        <f t="shared" ref="Q57" si="261">F57*P57</f>
        <v>3737062.4323583171</v>
      </c>
      <c r="R57">
        <f t="shared" ref="R57" si="262">R58+Q57</f>
        <v>-44134948.785077356</v>
      </c>
      <c r="S57">
        <f t="shared" ref="S57" si="263">R57/100000</f>
        <v>-441.34948785077358</v>
      </c>
      <c r="T57">
        <f t="shared" ref="T57" si="264">S57/1000</f>
        <v>-0.4413494878507736</v>
      </c>
    </row>
    <row r="58" spans="1:20" x14ac:dyDescent="0.25">
      <c r="A58" s="5">
        <v>44535</v>
      </c>
      <c r="B58">
        <v>3.6280000000000001</v>
      </c>
      <c r="C58">
        <v>3.7229999999999999</v>
      </c>
      <c r="D58">
        <v>3.1019999999999999</v>
      </c>
      <c r="E58">
        <v>3.21</v>
      </c>
      <c r="F58">
        <v>4845180.9000000004</v>
      </c>
      <c r="G58">
        <v>3.21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-0.65217391304347794</v>
      </c>
      <c r="Q58">
        <f t="shared" ref="Q58" si="266">F58*P58</f>
        <v>-3159900.5869565206</v>
      </c>
      <c r="R58">
        <f t="shared" ref="R58" si="267">R59+Q58</f>
        <v>-47872011.217435673</v>
      </c>
      <c r="S58">
        <f t="shared" ref="S58" si="268">R58/100000</f>
        <v>-478.72011217435676</v>
      </c>
      <c r="T58">
        <f t="shared" ref="T58" si="269">S58/1000</f>
        <v>-0.47872011217435678</v>
      </c>
    </row>
    <row r="59" spans="1:20" x14ac:dyDescent="0.25">
      <c r="A59" s="5">
        <v>44534</v>
      </c>
      <c r="B59">
        <v>4.8099999999999996</v>
      </c>
      <c r="C59">
        <v>4.83</v>
      </c>
      <c r="D59">
        <v>2.8290000000000002</v>
      </c>
      <c r="E59">
        <v>3.6309999999999998</v>
      </c>
      <c r="F59">
        <v>9276294.1500000004</v>
      </c>
      <c r="G59">
        <v>3.6309999999999998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-0.19840079960020027</v>
      </c>
      <c r="Q59">
        <f t="shared" ref="Q59" si="271">F59*P59</f>
        <v>-1840424.1766866602</v>
      </c>
      <c r="R59">
        <f t="shared" ref="R59" si="272">R60+Q59</f>
        <v>-44712110.63047915</v>
      </c>
      <c r="S59">
        <f t="shared" ref="S59" si="273">R59/100000</f>
        <v>-447.12110630479151</v>
      </c>
      <c r="T59">
        <f t="shared" ref="T59" si="274">S59/1000</f>
        <v>-0.44712110630479152</v>
      </c>
    </row>
    <row r="60" spans="1:20" x14ac:dyDescent="0.25">
      <c r="A60" s="5">
        <v>44533</v>
      </c>
      <c r="B60">
        <v>4.883</v>
      </c>
      <c r="C60">
        <v>5.24</v>
      </c>
      <c r="D60">
        <v>4.5999999999999996</v>
      </c>
      <c r="E60">
        <v>4.8150000000000004</v>
      </c>
      <c r="F60">
        <v>5249636.3</v>
      </c>
      <c r="G60">
        <v>4.8150000000000004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-0.32812499999999828</v>
      </c>
      <c r="Q60">
        <f t="shared" ref="Q60" si="276">F60*P60</f>
        <v>-1722536.9109374909</v>
      </c>
      <c r="R60">
        <f t="shared" ref="R60" si="277">R61+Q60</f>
        <v>-42871686.45379249</v>
      </c>
      <c r="S60">
        <f t="shared" ref="S60" si="278">R60/100000</f>
        <v>-428.71686453792489</v>
      </c>
      <c r="T60">
        <f t="shared" ref="T60" si="279">S60/1000</f>
        <v>-0.4287168645379249</v>
      </c>
    </row>
    <row r="61" spans="1:20" x14ac:dyDescent="0.25">
      <c r="A61" s="5">
        <v>44532</v>
      </c>
      <c r="B61">
        <v>5.0529999999999999</v>
      </c>
      <c r="C61">
        <v>5.0650000000000004</v>
      </c>
      <c r="D61">
        <v>4.78</v>
      </c>
      <c r="E61">
        <v>4.8780000000000001</v>
      </c>
      <c r="F61">
        <v>2084800.3</v>
      </c>
      <c r="G61">
        <v>4.8780000000000001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-0.31228070175438727</v>
      </c>
      <c r="Q61">
        <f t="shared" ref="Q61" si="281">F61*P61</f>
        <v>-651042.90070175717</v>
      </c>
      <c r="R61">
        <f t="shared" ref="R61" si="282">R62+Q61</f>
        <v>-41149149.542855002</v>
      </c>
      <c r="S61">
        <f t="shared" ref="S61" si="283">R61/100000</f>
        <v>-411.49149542855002</v>
      </c>
      <c r="T61">
        <f t="shared" ref="T61" si="284">S61/1000</f>
        <v>-0.41149149542855001</v>
      </c>
    </row>
    <row r="62" spans="1:20" x14ac:dyDescent="0.25">
      <c r="A62" s="5">
        <v>44531</v>
      </c>
      <c r="B62">
        <v>5.2640000000000002</v>
      </c>
      <c r="C62">
        <v>5.4290000000000003</v>
      </c>
      <c r="D62">
        <v>4.9580000000000002</v>
      </c>
      <c r="E62">
        <v>5.0540000000000003</v>
      </c>
      <c r="F62">
        <v>3451644.1</v>
      </c>
      <c r="G62">
        <v>5.0540000000000003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-0.59235668789808893</v>
      </c>
      <c r="Q62">
        <f t="shared" ref="Q62" si="286">F62*P62</f>
        <v>-2044604.4668789802</v>
      </c>
      <c r="R62">
        <f t="shared" ref="R62" si="287">R63+Q62</f>
        <v>-40498106.642153248</v>
      </c>
      <c r="S62">
        <f t="shared" ref="S62" si="288">R62/100000</f>
        <v>-404.98106642153249</v>
      </c>
      <c r="T62">
        <f t="shared" ref="T62" si="289">S62/1000</f>
        <v>-0.40498106642153248</v>
      </c>
    </row>
    <row r="63" spans="1:20" x14ac:dyDescent="0.25">
      <c r="A63" s="5">
        <v>44530</v>
      </c>
      <c r="B63">
        <v>6.0279999999999996</v>
      </c>
      <c r="C63">
        <v>6.6</v>
      </c>
      <c r="D63">
        <v>5.1740000000000004</v>
      </c>
      <c r="E63">
        <v>5.2670000000000003</v>
      </c>
      <c r="F63">
        <v>9783091</v>
      </c>
      <c r="G63">
        <v>5.2670000000000003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-0.86956521739130432</v>
      </c>
      <c r="Q63">
        <f t="shared" ref="Q63" si="291">F63*P63</f>
        <v>-8507035.6521739122</v>
      </c>
      <c r="R63">
        <f t="shared" ref="R63" si="292">R64+Q63</f>
        <v>-38453502.175274268</v>
      </c>
      <c r="S63">
        <f t="shared" ref="S63" si="293">R63/100000</f>
        <v>-384.53502175274269</v>
      </c>
      <c r="T63">
        <f t="shared" ref="T63" si="294">S63/1000</f>
        <v>-0.38453502175274268</v>
      </c>
    </row>
    <row r="64" spans="1:20" x14ac:dyDescent="0.25">
      <c r="A64" s="5">
        <v>44529</v>
      </c>
      <c r="B64">
        <v>5.9130000000000003</v>
      </c>
      <c r="C64">
        <v>6.1349999999999998</v>
      </c>
      <c r="D64">
        <v>5.74</v>
      </c>
      <c r="E64">
        <v>6.024</v>
      </c>
      <c r="F64">
        <v>7608436.7000000002</v>
      </c>
      <c r="G64">
        <v>6.024</v>
      </c>
      <c r="L64" t="s">
        <v>7</v>
      </c>
      <c r="M64" t="s">
        <v>7</v>
      </c>
      <c r="N64" t="s">
        <v>8</v>
      </c>
      <c r="P64">
        <f t="shared" ref="P64" si="295">IF(C64=D64,0,((E64-D64)-(C64-E64))/(C64-D64))</f>
        <v>0.43797468354430436</v>
      </c>
      <c r="Q64">
        <f t="shared" ref="Q64" si="296">F64*P64</f>
        <v>3332302.6559493714</v>
      </c>
      <c r="R64">
        <f t="shared" ref="R64" si="297">R65+Q64</f>
        <v>-29946466.523100358</v>
      </c>
      <c r="S64">
        <f t="shared" ref="S64" si="298">R64/100000</f>
        <v>-299.46466523100355</v>
      </c>
      <c r="T64">
        <f t="shared" ref="T64" si="299">S64/1000</f>
        <v>-0.29946466523100357</v>
      </c>
    </row>
    <row r="65" spans="1:20" x14ac:dyDescent="0.25">
      <c r="A65" s="5">
        <v>44528</v>
      </c>
      <c r="B65">
        <v>5.9420000000000002</v>
      </c>
      <c r="C65">
        <v>7.78</v>
      </c>
      <c r="D65">
        <v>5.5119999999999996</v>
      </c>
      <c r="E65">
        <v>5.9089999999999998</v>
      </c>
      <c r="F65">
        <v>35200153.270000003</v>
      </c>
      <c r="G65">
        <v>5.9089999999999998</v>
      </c>
      <c r="L65" t="s">
        <v>8</v>
      </c>
      <c r="M65" t="s">
        <v>8</v>
      </c>
      <c r="N65" t="s">
        <v>8</v>
      </c>
      <c r="P65">
        <f t="shared" ref="P65" si="300">IF(C65=D65,0,((E65-D65)-(C65-E65))/(C65-D65))</f>
        <v>-0.64991181657848318</v>
      </c>
      <c r="Q65">
        <f t="shared" ref="Q65" si="301">F65*P65</f>
        <v>-22876995.555546738</v>
      </c>
      <c r="R65">
        <f t="shared" ref="R65" si="302">R66+Q65</f>
        <v>-33278769.17904973</v>
      </c>
      <c r="S65">
        <f t="shared" ref="S65" si="303">R65/100000</f>
        <v>-332.78769179049732</v>
      </c>
      <c r="T65">
        <f t="shared" ref="T65" si="304">S65/1000</f>
        <v>-0.33278769179049733</v>
      </c>
    </row>
    <row r="66" spans="1:20" x14ac:dyDescent="0.25">
      <c r="A66" s="5">
        <v>44527</v>
      </c>
      <c r="B66">
        <v>4.0510000000000002</v>
      </c>
      <c r="C66">
        <v>6.4480000000000004</v>
      </c>
      <c r="D66">
        <v>4.0259999999999998</v>
      </c>
      <c r="E66">
        <v>5.9420000000000002</v>
      </c>
      <c r="F66">
        <v>42566610.600000001</v>
      </c>
      <c r="G66">
        <v>5.9420000000000002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0.58216350123864569</v>
      </c>
      <c r="Q66">
        <f t="shared" ref="Q66" si="306">F66*P66</f>
        <v>24780727.062758051</v>
      </c>
      <c r="R66">
        <f t="shared" ref="R66" si="307">R67+Q66</f>
        <v>-10401773.623502992</v>
      </c>
      <c r="S66">
        <f t="shared" ref="S66" si="308">R66/100000</f>
        <v>-104.01773623502991</v>
      </c>
      <c r="T66">
        <f t="shared" ref="T66" si="309">S66/1000</f>
        <v>-0.10401773623502991</v>
      </c>
    </row>
    <row r="67" spans="1:20" x14ac:dyDescent="0.25">
      <c r="A67" s="5">
        <v>44526</v>
      </c>
      <c r="B67">
        <v>4.4749999999999996</v>
      </c>
      <c r="C67">
        <v>4.7119999999999997</v>
      </c>
      <c r="D67">
        <v>3.8879999999999999</v>
      </c>
      <c r="E67">
        <v>4.0469999999999997</v>
      </c>
      <c r="F67">
        <v>4265658.8</v>
      </c>
      <c r="G67">
        <v>4.0469999999999997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-0.61407766990291301</v>
      </c>
      <c r="Q67">
        <f t="shared" ref="Q67" si="311">F67*P67</f>
        <v>-2619445.8165048561</v>
      </c>
      <c r="R67">
        <f t="shared" ref="R67" si="312">R68+Q67</f>
        <v>-35182500.686261043</v>
      </c>
      <c r="S67">
        <f t="shared" ref="S67" si="313">R67/100000</f>
        <v>-351.82500686261045</v>
      </c>
      <c r="T67">
        <f t="shared" ref="T67" si="314">S67/1000</f>
        <v>-0.35182500686261042</v>
      </c>
    </row>
    <row r="68" spans="1:20" x14ac:dyDescent="0.25">
      <c r="A68" s="5">
        <v>44525</v>
      </c>
      <c r="B68">
        <v>4.3360000000000003</v>
      </c>
      <c r="C68">
        <v>4.5919999999999996</v>
      </c>
      <c r="D68">
        <v>4.3040000000000003</v>
      </c>
      <c r="E68">
        <v>4.4720000000000004</v>
      </c>
      <c r="F68">
        <v>1830961.6</v>
      </c>
      <c r="G68">
        <v>4.4720000000000004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0.16666666666667027</v>
      </c>
      <c r="Q68">
        <f t="shared" ref="Q68" si="316">F68*P68</f>
        <v>305160.2666666733</v>
      </c>
      <c r="R68">
        <f t="shared" ref="R68" si="317">R69+Q68</f>
        <v>-32563054.869756185</v>
      </c>
      <c r="S68">
        <f t="shared" ref="S68" si="318">R68/100000</f>
        <v>-325.63054869756184</v>
      </c>
      <c r="T68">
        <f t="shared" ref="T68" si="319">S68/1000</f>
        <v>-0.32563054869756186</v>
      </c>
    </row>
    <row r="69" spans="1:20" x14ac:dyDescent="0.25">
      <c r="A69" s="5">
        <v>44524</v>
      </c>
      <c r="B69">
        <v>4.51</v>
      </c>
      <c r="C69">
        <v>4.55</v>
      </c>
      <c r="D69">
        <v>4.3600000000000003</v>
      </c>
      <c r="E69">
        <v>4.5350000000000001</v>
      </c>
      <c r="F69">
        <v>674436.9</v>
      </c>
      <c r="G69">
        <v>4.5350000000000001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0.84210526315789769</v>
      </c>
      <c r="Q69">
        <f t="shared" ref="Q69" si="321">F69*P69</f>
        <v>567946.86315789679</v>
      </c>
      <c r="R69">
        <f t="shared" ref="R69" si="322">R70+Q69</f>
        <v>-32868215.136422858</v>
      </c>
      <c r="S69">
        <f t="shared" ref="S69" si="323">R69/100000</f>
        <v>-328.68215136422856</v>
      </c>
      <c r="T69">
        <f t="shared" ref="T69" si="324">S69/1000</f>
        <v>-0.32868215136422857</v>
      </c>
    </row>
    <row r="70" spans="1:20" x14ac:dyDescent="0.25">
      <c r="A70" s="5">
        <v>44523</v>
      </c>
      <c r="B70">
        <v>4.3470000000000004</v>
      </c>
      <c r="C70">
        <v>4.6449999999999996</v>
      </c>
      <c r="D70">
        <v>4.3330000000000002</v>
      </c>
      <c r="E70">
        <v>4.51</v>
      </c>
      <c r="F70">
        <v>3625173.6</v>
      </c>
      <c r="G70">
        <v>4.51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0.13461538461538428</v>
      </c>
      <c r="Q70">
        <f t="shared" ref="Q70" si="326">F70*P70</f>
        <v>488004.13846153725</v>
      </c>
      <c r="R70">
        <f t="shared" ref="R70" si="327">R71+Q70</f>
        <v>-33436161.999580756</v>
      </c>
      <c r="S70">
        <f t="shared" ref="S70" si="328">R70/100000</f>
        <v>-334.36161999580753</v>
      </c>
      <c r="T70">
        <f t="shared" ref="T70" si="329">S70/1000</f>
        <v>-0.33436161999580755</v>
      </c>
    </row>
    <row r="71" spans="1:20" x14ac:dyDescent="0.25">
      <c r="A71" s="5">
        <v>44522</v>
      </c>
      <c r="B71">
        <v>4.359</v>
      </c>
      <c r="C71">
        <v>4.4790000000000001</v>
      </c>
      <c r="D71">
        <v>4.1130000000000004</v>
      </c>
      <c r="E71">
        <v>4.3470000000000004</v>
      </c>
      <c r="F71">
        <v>2895060.3</v>
      </c>
      <c r="G71">
        <v>4.3470000000000004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0.27868852459016502</v>
      </c>
      <c r="Q71">
        <f t="shared" ref="Q71" si="331">F71*P71</f>
        <v>806820.08360656048</v>
      </c>
      <c r="R71">
        <f t="shared" ref="R71" si="332">R72+Q71</f>
        <v>-33924166.138042293</v>
      </c>
      <c r="S71">
        <f t="shared" ref="S71" si="333">R71/100000</f>
        <v>-339.24166138042295</v>
      </c>
      <c r="T71">
        <f t="shared" ref="T71" si="334">S71/1000</f>
        <v>-0.33924166138042294</v>
      </c>
    </row>
    <row r="72" spans="1:20" x14ac:dyDescent="0.25">
      <c r="A72" s="5">
        <v>44521</v>
      </c>
      <c r="B72">
        <v>4.335</v>
      </c>
      <c r="C72">
        <v>4.5270000000000001</v>
      </c>
      <c r="D72">
        <v>4.2750000000000004</v>
      </c>
      <c r="E72">
        <v>4.3650000000000002</v>
      </c>
      <c r="F72">
        <v>1857243.3</v>
      </c>
      <c r="G72">
        <v>4.3650000000000002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-0.2857142857142862</v>
      </c>
      <c r="Q72">
        <f t="shared" ref="Q72" si="336">F72*P72</f>
        <v>-530640.94285714382</v>
      </c>
      <c r="R72">
        <f t="shared" ref="R72" si="337">R73+Q72</f>
        <v>-34730986.221648857</v>
      </c>
      <c r="S72">
        <f t="shared" ref="S72" si="338">R72/100000</f>
        <v>-347.30986221648857</v>
      </c>
      <c r="T72">
        <f t="shared" ref="T72" si="339">S72/1000</f>
        <v>-0.34730986221648857</v>
      </c>
    </row>
    <row r="73" spans="1:20" x14ac:dyDescent="0.25">
      <c r="A73" s="5">
        <v>44520</v>
      </c>
      <c r="B73">
        <v>4.1959999999999997</v>
      </c>
      <c r="C73">
        <v>4.4210000000000003</v>
      </c>
      <c r="D73">
        <v>4.0819999999999999</v>
      </c>
      <c r="E73">
        <v>4.3390000000000004</v>
      </c>
      <c r="F73">
        <v>1580438.7</v>
      </c>
      <c r="G73">
        <v>4.3390000000000004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0.51622418879056198</v>
      </c>
      <c r="Q73">
        <f t="shared" ref="Q73" si="341">F73*P73</f>
        <v>815860.6858407103</v>
      </c>
      <c r="R73">
        <f t="shared" ref="R73" si="342">R74+Q73</f>
        <v>-34200345.278791711</v>
      </c>
      <c r="S73">
        <f t="shared" ref="S73" si="343">R73/100000</f>
        <v>-342.00345278791713</v>
      </c>
      <c r="T73">
        <f t="shared" ref="T73" si="344">S73/1000</f>
        <v>-0.34200345278791711</v>
      </c>
    </row>
    <row r="74" spans="1:20" x14ac:dyDescent="0.25">
      <c r="A74" s="5">
        <v>44519</v>
      </c>
      <c r="B74">
        <v>3.964</v>
      </c>
      <c r="C74">
        <v>4.2439999999999998</v>
      </c>
      <c r="D74">
        <v>3.8679999999999999</v>
      </c>
      <c r="E74">
        <v>4.202</v>
      </c>
      <c r="F74">
        <v>1266135</v>
      </c>
      <c r="G74">
        <v>4.202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0.77659574468085202</v>
      </c>
      <c r="Q74">
        <f t="shared" ref="Q74" si="346">F74*P74</f>
        <v>983275.05319149059</v>
      </c>
      <c r="R74">
        <f t="shared" ref="R74" si="347">R75+Q74</f>
        <v>-35016205.964632422</v>
      </c>
      <c r="S74">
        <f t="shared" ref="S74" si="348">R74/100000</f>
        <v>-350.16205964632422</v>
      </c>
      <c r="T74">
        <f t="shared" ref="T74" si="349">S74/1000</f>
        <v>-0.35016205964632424</v>
      </c>
    </row>
    <row r="75" spans="1:20" x14ac:dyDescent="0.25">
      <c r="A75" s="5">
        <v>44518</v>
      </c>
      <c r="B75">
        <v>4.4290000000000003</v>
      </c>
      <c r="C75">
        <v>4.4779999999999998</v>
      </c>
      <c r="D75">
        <v>3.8570000000000002</v>
      </c>
      <c r="E75">
        <v>3.968</v>
      </c>
      <c r="F75">
        <v>2050135.3</v>
      </c>
      <c r="G75">
        <v>3.968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-0.64251207729468651</v>
      </c>
      <c r="Q75">
        <f t="shared" ref="Q75" si="351">F75*P75</f>
        <v>-1317236.6903381653</v>
      </c>
      <c r="R75">
        <f t="shared" ref="R75" si="352">R76+Q75</f>
        <v>-35999481.017823912</v>
      </c>
      <c r="S75">
        <f t="shared" ref="S75" si="353">R75/100000</f>
        <v>-359.99481017823911</v>
      </c>
      <c r="T75">
        <f t="shared" ref="T75" si="354">S75/1000</f>
        <v>-0.35999481017823909</v>
      </c>
    </row>
    <row r="76" spans="1:20" x14ac:dyDescent="0.25">
      <c r="A76" s="5">
        <v>44517</v>
      </c>
      <c r="B76">
        <v>4.3529999999999998</v>
      </c>
      <c r="C76">
        <v>4.4790000000000001</v>
      </c>
      <c r="D76">
        <v>4.1630000000000003</v>
      </c>
      <c r="E76">
        <v>4.4390000000000001</v>
      </c>
      <c r="F76">
        <v>1772595</v>
      </c>
      <c r="G76">
        <v>4.4390000000000001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0.74683544303797433</v>
      </c>
      <c r="Q76">
        <f t="shared" ref="Q76" si="356">F76*P76</f>
        <v>1323836.7721518981</v>
      </c>
      <c r="R76">
        <f t="shared" ref="R76" si="357">R77+Q76</f>
        <v>-34682244.327485748</v>
      </c>
      <c r="S76">
        <f t="shared" ref="S76" si="358">R76/100000</f>
        <v>-346.82244327485745</v>
      </c>
      <c r="T76">
        <f t="shared" ref="T76" si="359">S76/1000</f>
        <v>-0.34682244327485745</v>
      </c>
    </row>
    <row r="77" spans="1:20" x14ac:dyDescent="0.25">
      <c r="A77" s="5">
        <v>44516</v>
      </c>
      <c r="B77">
        <v>4.7939999999999996</v>
      </c>
      <c r="C77">
        <v>4.7960000000000003</v>
      </c>
      <c r="D77">
        <v>4.1029999999999998</v>
      </c>
      <c r="E77">
        <v>4.3540000000000001</v>
      </c>
      <c r="F77">
        <v>3373130.9</v>
      </c>
      <c r="G77">
        <v>4.3540000000000001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-0.2756132756132752</v>
      </c>
      <c r="Q77">
        <f t="shared" ref="Q77" si="361">F77*P77</f>
        <v>-929679.65642135497</v>
      </c>
      <c r="R77">
        <f t="shared" ref="R77" si="362">R78+Q77</f>
        <v>-36006081.099637643</v>
      </c>
      <c r="S77">
        <f t="shared" ref="S77" si="363">R77/100000</f>
        <v>-360.0608109963764</v>
      </c>
      <c r="T77">
        <f t="shared" ref="T77" si="364">S77/1000</f>
        <v>-0.36006081099637638</v>
      </c>
    </row>
    <row r="78" spans="1:20" x14ac:dyDescent="0.25">
      <c r="A78" s="5">
        <v>44515</v>
      </c>
      <c r="B78">
        <v>4.9420000000000002</v>
      </c>
      <c r="C78">
        <v>5.1189999999999998</v>
      </c>
      <c r="D78">
        <v>4.6929999999999996</v>
      </c>
      <c r="E78">
        <v>4.7919999999999998</v>
      </c>
      <c r="F78">
        <v>2333839.2999999998</v>
      </c>
      <c r="G78">
        <v>4.7919999999999998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-0.53521126760563309</v>
      </c>
      <c r="Q78">
        <f t="shared" ref="Q78" si="366">F78*P78</f>
        <v>-1249097.0901408433</v>
      </c>
      <c r="R78">
        <f t="shared" ref="R78" si="367">R79+Q78</f>
        <v>-35076401.443216287</v>
      </c>
      <c r="S78">
        <f t="shared" ref="S78" si="368">R78/100000</f>
        <v>-350.76401443216287</v>
      </c>
      <c r="T78">
        <f t="shared" ref="T78" si="369">S78/1000</f>
        <v>-0.35076401443216287</v>
      </c>
    </row>
    <row r="79" spans="1:20" x14ac:dyDescent="0.25">
      <c r="A79" s="5">
        <v>44514</v>
      </c>
      <c r="B79">
        <v>4.8579999999999997</v>
      </c>
      <c r="C79">
        <v>5.0119999999999996</v>
      </c>
      <c r="D79">
        <v>4.75</v>
      </c>
      <c r="E79">
        <v>4.9420000000000002</v>
      </c>
      <c r="F79">
        <v>1954902.4</v>
      </c>
      <c r="G79">
        <v>4.9420000000000002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0.46564885496183578</v>
      </c>
      <c r="Q79">
        <f t="shared" ref="Q79" si="371">F79*P79</f>
        <v>910298.0641221446</v>
      </c>
      <c r="R79">
        <f t="shared" ref="R79" si="372">R80+Q79</f>
        <v>-33827304.353075445</v>
      </c>
      <c r="S79">
        <f t="shared" ref="S79" si="373">R79/100000</f>
        <v>-338.27304353075442</v>
      </c>
      <c r="T79">
        <f t="shared" ref="T79" si="374">S79/1000</f>
        <v>-0.33827304353075444</v>
      </c>
    </row>
    <row r="80" spans="1:20" x14ac:dyDescent="0.25">
      <c r="A80" s="5">
        <v>44513</v>
      </c>
      <c r="B80">
        <v>4.7089999999999996</v>
      </c>
      <c r="C80">
        <v>4.9729999999999999</v>
      </c>
      <c r="D80">
        <v>4.681</v>
      </c>
      <c r="E80">
        <v>4.8609999999999998</v>
      </c>
      <c r="F80">
        <v>2622769.5</v>
      </c>
      <c r="G80">
        <v>4.8609999999999998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0.23287671232876594</v>
      </c>
      <c r="Q80">
        <f t="shared" ref="Q80" si="376">F80*P80</f>
        <v>610781.93835616135</v>
      </c>
      <c r="R80">
        <f t="shared" ref="R80" si="377">R81+Q80</f>
        <v>-34737602.417197593</v>
      </c>
      <c r="S80">
        <f t="shared" ref="S80" si="378">R80/100000</f>
        <v>-347.37602417197593</v>
      </c>
      <c r="T80">
        <f t="shared" ref="T80" si="379">S80/1000</f>
        <v>-0.34737602417197594</v>
      </c>
    </row>
    <row r="81" spans="1:20" x14ac:dyDescent="0.25">
      <c r="A81" s="5">
        <v>44512</v>
      </c>
      <c r="B81">
        <v>4.9390000000000001</v>
      </c>
      <c r="C81">
        <v>4.9870000000000001</v>
      </c>
      <c r="D81">
        <v>4.5599999999999996</v>
      </c>
      <c r="E81">
        <v>4.7140000000000004</v>
      </c>
      <c r="F81">
        <v>1968975.1</v>
      </c>
      <c r="G81">
        <v>4.7140000000000004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-0.27868852459016102</v>
      </c>
      <c r="Q81">
        <f t="shared" ref="Q81" si="381">F81*P81</f>
        <v>-548730.7655737648</v>
      </c>
      <c r="R81">
        <f t="shared" ref="R81" si="382">R82+Q81</f>
        <v>-35348384.355553754</v>
      </c>
      <c r="S81">
        <f t="shared" ref="S81" si="383">R81/100000</f>
        <v>-353.48384355553753</v>
      </c>
      <c r="T81">
        <f t="shared" ref="T81" si="384">S81/1000</f>
        <v>-0.35348384355553752</v>
      </c>
    </row>
    <row r="82" spans="1:20" x14ac:dyDescent="0.25">
      <c r="A82" s="5">
        <v>44511</v>
      </c>
      <c r="B82">
        <v>4.6059999999999999</v>
      </c>
      <c r="C82">
        <v>5.0670000000000002</v>
      </c>
      <c r="D82">
        <v>4.5149999999999997</v>
      </c>
      <c r="E82">
        <v>4.9390000000000001</v>
      </c>
      <c r="F82">
        <v>3606174.7</v>
      </c>
      <c r="G82">
        <v>4.9390000000000001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0.53623188405797106</v>
      </c>
      <c r="Q82">
        <f t="shared" ref="Q82" si="386">F82*P82</f>
        <v>1933745.8536231888</v>
      </c>
      <c r="R82">
        <f t="shared" ref="R82" si="387">R83+Q82</f>
        <v>-34799653.589979991</v>
      </c>
      <c r="S82">
        <f t="shared" ref="S82" si="388">R82/100000</f>
        <v>-347.99653589979994</v>
      </c>
      <c r="T82">
        <f t="shared" ref="T82" si="389">S82/1000</f>
        <v>-0.34799653589979995</v>
      </c>
    </row>
    <row r="83" spans="1:20" x14ac:dyDescent="0.25">
      <c r="A83" s="5">
        <v>44510</v>
      </c>
      <c r="B83">
        <v>5.1109999999999998</v>
      </c>
      <c r="C83">
        <v>5.2519999999999998</v>
      </c>
      <c r="D83">
        <v>4.1470000000000002</v>
      </c>
      <c r="E83">
        <v>4.6040000000000001</v>
      </c>
      <c r="F83">
        <v>5173608.3</v>
      </c>
      <c r="G83">
        <v>4.6040000000000001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-0.17285067873303159</v>
      </c>
      <c r="Q83">
        <f t="shared" ref="Q83" si="391">F83*P83</f>
        <v>-894261.70615384565</v>
      </c>
      <c r="R83">
        <f t="shared" ref="R83" si="392">R84+Q83</f>
        <v>-36733399.44360318</v>
      </c>
      <c r="S83">
        <f t="shared" ref="S83" si="393">R83/100000</f>
        <v>-367.33399443603179</v>
      </c>
      <c r="T83">
        <f t="shared" ref="T83" si="394">S83/1000</f>
        <v>-0.36733399443603176</v>
      </c>
    </row>
    <row r="84" spans="1:20" x14ac:dyDescent="0.25">
      <c r="A84" s="5">
        <v>44509</v>
      </c>
      <c r="B84">
        <v>5.1529999999999996</v>
      </c>
      <c r="C84">
        <v>5.2519999999999998</v>
      </c>
      <c r="D84">
        <v>4.7919999999999998</v>
      </c>
      <c r="E84">
        <v>5.1120000000000001</v>
      </c>
      <c r="F84">
        <v>2823582.4</v>
      </c>
      <c r="G84">
        <v>5.1120000000000001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0.39130434782608831</v>
      </c>
      <c r="Q84">
        <f t="shared" ref="Q84" si="396">F84*P84</f>
        <v>1104880.0695652212</v>
      </c>
      <c r="R84">
        <f t="shared" ref="R84" si="397">R85+Q84</f>
        <v>-35839137.737449333</v>
      </c>
      <c r="S84">
        <f t="shared" ref="S84" si="398">R84/100000</f>
        <v>-358.39137737449335</v>
      </c>
      <c r="T84">
        <f t="shared" ref="T84" si="399">S84/1000</f>
        <v>-0.35839137737449334</v>
      </c>
    </row>
    <row r="85" spans="1:20" x14ac:dyDescent="0.25">
      <c r="A85" s="5">
        <v>44508</v>
      </c>
      <c r="B85">
        <v>4.9969999999999999</v>
      </c>
      <c r="C85">
        <v>5.2430000000000003</v>
      </c>
      <c r="D85">
        <v>4.8529999999999998</v>
      </c>
      <c r="E85">
        <v>5.1529999999999996</v>
      </c>
      <c r="F85">
        <v>2691281.2</v>
      </c>
      <c r="G85">
        <v>5.1529999999999996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0.53846153846153533</v>
      </c>
      <c r="Q85">
        <f t="shared" ref="Q85" si="401">F85*P85</f>
        <v>1449151.4153846072</v>
      </c>
      <c r="R85">
        <f t="shared" ref="R85" si="402">R86+Q85</f>
        <v>-36944017.807014555</v>
      </c>
      <c r="S85">
        <f t="shared" ref="S85" si="403">R85/100000</f>
        <v>-369.44017807014552</v>
      </c>
      <c r="T85">
        <f t="shared" ref="T85" si="404">S85/1000</f>
        <v>-0.36944017807014551</v>
      </c>
    </row>
    <row r="86" spans="1:20" x14ac:dyDescent="0.25">
      <c r="A86" s="5">
        <v>44507</v>
      </c>
      <c r="B86">
        <v>4.8499999999999996</v>
      </c>
      <c r="C86">
        <v>5.0910000000000002</v>
      </c>
      <c r="D86">
        <v>4.7990000000000004</v>
      </c>
      <c r="E86">
        <v>4.9969999999999999</v>
      </c>
      <c r="F86">
        <v>1986097.2</v>
      </c>
      <c r="G86">
        <v>4.9969999999999999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0.35616438356164132</v>
      </c>
      <c r="Q86">
        <f t="shared" ref="Q86" si="406">F86*P86</f>
        <v>707377.08493150189</v>
      </c>
      <c r="R86">
        <f t="shared" ref="R86" si="407">R87+Q86</f>
        <v>-38393169.22239916</v>
      </c>
      <c r="S86">
        <f t="shared" ref="S86" si="408">R86/100000</f>
        <v>-383.9316922239916</v>
      </c>
      <c r="T86">
        <f t="shared" ref="T86" si="409">S86/1000</f>
        <v>-0.38393169222399159</v>
      </c>
    </row>
    <row r="87" spans="1:20" x14ac:dyDescent="0.25">
      <c r="A87" s="5">
        <v>44506</v>
      </c>
      <c r="B87">
        <v>4.9850000000000003</v>
      </c>
      <c r="C87">
        <v>5.0629999999999997</v>
      </c>
      <c r="D87">
        <v>4.6059999999999999</v>
      </c>
      <c r="E87">
        <v>4.8470000000000004</v>
      </c>
      <c r="F87">
        <v>1881096.2</v>
      </c>
      <c r="G87">
        <v>4.8470000000000004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5.4704595185998364E-2</v>
      </c>
      <c r="Q87">
        <f t="shared" ref="Q87" si="411">F87*P87</f>
        <v>102904.60612691981</v>
      </c>
      <c r="R87">
        <f t="shared" ref="R87" si="412">R88+Q87</f>
        <v>-39100546.307330661</v>
      </c>
      <c r="S87">
        <f t="shared" ref="S87" si="413">R87/100000</f>
        <v>-391.0054630733066</v>
      </c>
      <c r="T87">
        <f t="shared" ref="T87" si="414">S87/1000</f>
        <v>-0.39100546307330658</v>
      </c>
    </row>
    <row r="88" spans="1:20" x14ac:dyDescent="0.25">
      <c r="A88" s="5">
        <v>44505</v>
      </c>
      <c r="B88">
        <v>5.2729999999999997</v>
      </c>
      <c r="C88">
        <v>5.2850000000000001</v>
      </c>
      <c r="D88">
        <v>4.9169999999999998</v>
      </c>
      <c r="E88">
        <v>4.9859999999999998</v>
      </c>
      <c r="F88">
        <v>2848999.2</v>
      </c>
      <c r="G88">
        <v>4.9859999999999998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-0.62500000000000056</v>
      </c>
      <c r="Q88">
        <f t="shared" ref="Q88" si="416">F88*P88</f>
        <v>-1780624.5000000016</v>
      </c>
      <c r="R88">
        <f t="shared" ref="R88" si="417">R89+Q88</f>
        <v>-39203450.91345758</v>
      </c>
      <c r="S88">
        <f t="shared" ref="S88" si="418">R88/100000</f>
        <v>-392.03450913457579</v>
      </c>
      <c r="T88">
        <f t="shared" ref="T88" si="419">S88/1000</f>
        <v>-0.39203450913457577</v>
      </c>
    </row>
    <row r="89" spans="1:20" x14ac:dyDescent="0.25">
      <c r="A89" s="5">
        <v>44504</v>
      </c>
      <c r="B89">
        <v>5.6180000000000003</v>
      </c>
      <c r="C89">
        <v>5.8410000000000002</v>
      </c>
      <c r="D89">
        <v>5.2290000000000001</v>
      </c>
      <c r="E89">
        <v>5.27</v>
      </c>
      <c r="F89">
        <v>3976382.4</v>
      </c>
      <c r="G89">
        <v>5.27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-0.86601307189542653</v>
      </c>
      <c r="Q89">
        <f t="shared" ref="Q89" si="421">F89*P89</f>
        <v>-3443599.1372549087</v>
      </c>
      <c r="R89">
        <f t="shared" ref="R89" si="422">R90+Q89</f>
        <v>-37422826.41345758</v>
      </c>
      <c r="S89">
        <f t="shared" ref="S89" si="423">R89/100000</f>
        <v>-374.2282641345758</v>
      </c>
      <c r="T89">
        <f t="shared" ref="T89" si="424">S89/1000</f>
        <v>-0.37422826413457577</v>
      </c>
    </row>
    <row r="90" spans="1:20" x14ac:dyDescent="0.25">
      <c r="A90" s="5">
        <v>44503</v>
      </c>
      <c r="B90">
        <v>5.46</v>
      </c>
      <c r="C90">
        <v>5.649</v>
      </c>
      <c r="D90">
        <v>5.133</v>
      </c>
      <c r="E90">
        <v>5.6150000000000002</v>
      </c>
      <c r="F90">
        <v>3549257.3</v>
      </c>
      <c r="G90">
        <v>5.6150000000000002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0.86821705426356666</v>
      </c>
      <c r="Q90">
        <f t="shared" ref="Q90" si="426">F90*P90</f>
        <v>3081525.7178294598</v>
      </c>
      <c r="R90">
        <f t="shared" ref="R90" si="427">R91+Q90</f>
        <v>-33979227.276202671</v>
      </c>
      <c r="S90">
        <f t="shared" ref="S90" si="428">R90/100000</f>
        <v>-339.7922727620267</v>
      </c>
      <c r="T90">
        <f t="shared" ref="T90" si="429">S90/1000</f>
        <v>-0.33979227276202673</v>
      </c>
    </row>
    <row r="91" spans="1:20" x14ac:dyDescent="0.25">
      <c r="A91" s="5">
        <v>44502</v>
      </c>
      <c r="B91">
        <v>5.431</v>
      </c>
      <c r="C91">
        <v>5.6349999999999998</v>
      </c>
      <c r="D91">
        <v>5.2450000000000001</v>
      </c>
      <c r="E91">
        <v>5.4589999999999996</v>
      </c>
      <c r="F91">
        <v>3580914.9</v>
      </c>
      <c r="G91">
        <v>5.4589999999999996</v>
      </c>
      <c r="L91" t="s">
        <v>7</v>
      </c>
      <c r="M91" t="s">
        <v>8</v>
      </c>
      <c r="N91" t="s">
        <v>8</v>
      </c>
      <c r="P91">
        <f t="shared" ref="P91" si="430">IF(C91=D91,0,((E91-D91)-(C91-E91))/(C91-D91))</f>
        <v>9.7435897435895896E-2</v>
      </c>
      <c r="Q91">
        <f t="shared" ref="Q91" si="431">F91*P91</f>
        <v>348909.65692307142</v>
      </c>
      <c r="R91">
        <f t="shared" ref="R91" si="432">R92+Q91</f>
        <v>-37060752.99403213</v>
      </c>
      <c r="S91">
        <f t="shared" ref="S91" si="433">R91/100000</f>
        <v>-370.60752994032129</v>
      </c>
      <c r="T91">
        <f t="shared" ref="T91" si="434">S91/1000</f>
        <v>-0.37060752994032131</v>
      </c>
    </row>
    <row r="92" spans="1:20" x14ac:dyDescent="0.25">
      <c r="A92" s="5">
        <v>44501</v>
      </c>
      <c r="B92">
        <v>5.1180000000000003</v>
      </c>
      <c r="C92">
        <v>5.7240000000000002</v>
      </c>
      <c r="D92">
        <v>4.8</v>
      </c>
      <c r="E92">
        <v>5.4269999999999996</v>
      </c>
      <c r="F92">
        <v>6344140.5</v>
      </c>
      <c r="G92">
        <v>5.4269999999999996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0.3571428571428561</v>
      </c>
      <c r="Q92">
        <f t="shared" ref="Q92" si="436">F92*P92</f>
        <v>2265764.4642857076</v>
      </c>
      <c r="R92">
        <f t="shared" ref="R92" si="437">R93+Q92</f>
        <v>-37409662.6509552</v>
      </c>
      <c r="S92">
        <f t="shared" ref="S92" si="438">R92/100000</f>
        <v>-374.09662650955198</v>
      </c>
      <c r="T92">
        <f t="shared" ref="T92" si="439">S92/1000</f>
        <v>-0.374096626509552</v>
      </c>
    </row>
    <row r="93" spans="1:20" x14ac:dyDescent="0.25">
      <c r="A93" s="5">
        <v>44500</v>
      </c>
      <c r="B93">
        <v>5.0739999999999998</v>
      </c>
      <c r="C93">
        <v>5.18</v>
      </c>
      <c r="D93">
        <v>4.7670000000000003</v>
      </c>
      <c r="E93">
        <v>5.1180000000000003</v>
      </c>
      <c r="F93">
        <v>2344244.5</v>
      </c>
      <c r="G93">
        <v>5.1180000000000003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0.6997578692493972</v>
      </c>
      <c r="Q93">
        <f t="shared" ref="Q93" si="441">F93*P93</f>
        <v>1640403.5363196186</v>
      </c>
      <c r="R93">
        <f t="shared" ref="R93" si="442">R94+Q93</f>
        <v>-39675427.115240909</v>
      </c>
      <c r="S93">
        <f t="shared" ref="S93" si="443">R93/100000</f>
        <v>-396.7542711524091</v>
      </c>
      <c r="T93">
        <f t="shared" ref="T93" si="444">S93/1000</f>
        <v>-0.39675427115240908</v>
      </c>
    </row>
    <row r="94" spans="1:20" x14ac:dyDescent="0.25">
      <c r="A94" s="5">
        <v>44499</v>
      </c>
      <c r="B94">
        <v>4.8159999999999998</v>
      </c>
      <c r="C94">
        <v>5.0990000000000002</v>
      </c>
      <c r="D94">
        <v>4.6909999999999998</v>
      </c>
      <c r="E94">
        <v>5.0750000000000002</v>
      </c>
      <c r="F94">
        <v>2518705</v>
      </c>
      <c r="G94">
        <v>5.0750000000000002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0.88235294117647056</v>
      </c>
      <c r="Q94">
        <f t="shared" ref="Q94" si="446">F94*P94</f>
        <v>2222386.7647058824</v>
      </c>
      <c r="R94">
        <f t="shared" ref="R94" si="447">R95+Q94</f>
        <v>-41315830.65156053</v>
      </c>
      <c r="S94">
        <f t="shared" ref="S94" si="448">R94/100000</f>
        <v>-413.15830651560532</v>
      </c>
      <c r="T94">
        <f t="shared" ref="T94" si="449">S94/1000</f>
        <v>-0.41315830651560531</v>
      </c>
    </row>
    <row r="95" spans="1:20" x14ac:dyDescent="0.25">
      <c r="A95" s="5">
        <v>44498</v>
      </c>
      <c r="B95">
        <v>4.6050000000000004</v>
      </c>
      <c r="C95">
        <v>4.99</v>
      </c>
      <c r="D95">
        <v>4.5670000000000002</v>
      </c>
      <c r="E95">
        <v>4.8170000000000002</v>
      </c>
      <c r="F95">
        <v>2188832.7000000002</v>
      </c>
      <c r="G95">
        <v>4.8170000000000002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0.18203309692671382</v>
      </c>
      <c r="Q95">
        <f t="shared" ref="Q95" si="451">F95*P95</f>
        <v>398439.99503546074</v>
      </c>
      <c r="R95">
        <f t="shared" ref="R95" si="452">R96+Q95</f>
        <v>-43538217.416266412</v>
      </c>
      <c r="S95">
        <f t="shared" ref="S95" si="453">R95/100000</f>
        <v>-435.38217416266411</v>
      </c>
      <c r="T95">
        <f t="shared" ref="T95" si="454">S95/1000</f>
        <v>-0.43538217416266412</v>
      </c>
    </row>
    <row r="96" spans="1:20" x14ac:dyDescent="0.25">
      <c r="A96" s="5">
        <v>44497</v>
      </c>
      <c r="B96">
        <v>4.46</v>
      </c>
      <c r="C96">
        <v>4.6779999999999999</v>
      </c>
      <c r="D96">
        <v>4.3330000000000002</v>
      </c>
      <c r="E96">
        <v>4.6040000000000001</v>
      </c>
      <c r="F96">
        <v>2022859.2</v>
      </c>
      <c r="G96">
        <v>4.6040000000000001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0.57101449275362381</v>
      </c>
      <c r="Q96">
        <f t="shared" ref="Q96" si="456">F96*P96</f>
        <v>1155081.9200000013</v>
      </c>
      <c r="R96">
        <f t="shared" ref="R96" si="457">R97+Q96</f>
        <v>-43936657.411301874</v>
      </c>
      <c r="S96">
        <f t="shared" ref="S96" si="458">R96/100000</f>
        <v>-439.36657411301871</v>
      </c>
      <c r="T96">
        <f t="shared" ref="T96" si="459">S96/1000</f>
        <v>-0.43936657411301872</v>
      </c>
    </row>
    <row r="97" spans="1:20" x14ac:dyDescent="0.25">
      <c r="A97" s="5">
        <v>44496</v>
      </c>
      <c r="B97">
        <v>5.056</v>
      </c>
      <c r="C97">
        <v>5.3</v>
      </c>
      <c r="D97">
        <v>4.1900000000000004</v>
      </c>
      <c r="E97">
        <v>4.46</v>
      </c>
      <c r="F97">
        <v>3413595.4</v>
      </c>
      <c r="G97">
        <v>4.46</v>
      </c>
      <c r="L97" t="s">
        <v>8</v>
      </c>
      <c r="M97" t="s">
        <v>7</v>
      </c>
      <c r="N97" t="s">
        <v>8</v>
      </c>
      <c r="P97">
        <f t="shared" ref="P97" si="460">IF(C97=D97,0,((E97-D97)-(C97-E97))/(C97-D97))</f>
        <v>-0.51351351351351404</v>
      </c>
      <c r="Q97">
        <f t="shared" ref="Q97" si="461">F97*P97</f>
        <v>-1752927.3675675693</v>
      </c>
      <c r="R97">
        <f t="shared" ref="R97" si="462">R98+Q97</f>
        <v>-45091739.331301875</v>
      </c>
      <c r="S97">
        <f t="shared" ref="S97" si="463">R97/100000</f>
        <v>-450.91739331301875</v>
      </c>
      <c r="T97">
        <f t="shared" ref="T97" si="464">S97/1000</f>
        <v>-0.45091739331301872</v>
      </c>
    </row>
    <row r="98" spans="1:20" x14ac:dyDescent="0.25">
      <c r="A98" s="5">
        <v>44495</v>
      </c>
      <c r="B98">
        <v>4.9059999999999997</v>
      </c>
      <c r="C98">
        <v>5.2549999999999999</v>
      </c>
      <c r="D98">
        <v>4.8529999999999998</v>
      </c>
      <c r="E98">
        <v>5.0590000000000002</v>
      </c>
      <c r="F98">
        <v>3251368.4</v>
      </c>
      <c r="G98">
        <v>5.0590000000000002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2.4875621890548934E-2</v>
      </c>
      <c r="Q98">
        <f t="shared" ref="Q98" si="466">F98*P98</f>
        <v>80879.810945279052</v>
      </c>
      <c r="R98">
        <f t="shared" ref="R98" si="467">R99+Q98</f>
        <v>-43338811.963734306</v>
      </c>
      <c r="S98">
        <f t="shared" ref="S98" si="468">R98/100000</f>
        <v>-433.38811963734304</v>
      </c>
      <c r="T98">
        <f t="shared" ref="T98" si="469">S98/1000</f>
        <v>-0.43338811963734303</v>
      </c>
    </row>
    <row r="99" spans="1:20" x14ac:dyDescent="0.25">
      <c r="A99" s="5">
        <v>44494</v>
      </c>
      <c r="B99">
        <v>4.7009999999999996</v>
      </c>
      <c r="C99">
        <v>5.0110000000000001</v>
      </c>
      <c r="D99">
        <v>4.6980000000000004</v>
      </c>
      <c r="E99">
        <v>4.9050000000000002</v>
      </c>
      <c r="F99">
        <v>3478486.6</v>
      </c>
      <c r="G99">
        <v>4.9050000000000002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0.32268370607028773</v>
      </c>
      <c r="Q99">
        <f t="shared" ref="Q99" si="471">F99*P99</f>
        <v>1122450.9476038346</v>
      </c>
      <c r="R99">
        <f t="shared" ref="R99" si="472">R100+Q99</f>
        <v>-43419691.774679586</v>
      </c>
      <c r="S99">
        <f t="shared" ref="S99" si="473">R99/100000</f>
        <v>-434.19691774679586</v>
      </c>
      <c r="T99">
        <f t="shared" ref="T99" si="474">S99/1000</f>
        <v>-0.43419691774679586</v>
      </c>
    </row>
    <row r="100" spans="1:20" x14ac:dyDescent="0.25">
      <c r="A100" s="5">
        <v>44493</v>
      </c>
      <c r="B100">
        <v>4.4960000000000004</v>
      </c>
      <c r="C100">
        <v>4.9260000000000002</v>
      </c>
      <c r="D100">
        <v>4.4059999999999997</v>
      </c>
      <c r="E100">
        <v>4.7050000000000001</v>
      </c>
      <c r="F100">
        <v>6205396.2000000002</v>
      </c>
      <c r="G100">
        <v>4.7050000000000001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0.15000000000000044</v>
      </c>
      <c r="Q100">
        <f t="shared" ref="Q100" si="476">F100*P100</f>
        <v>930809.43000000273</v>
      </c>
      <c r="R100">
        <f t="shared" ref="R100" si="477">R101+Q100</f>
        <v>-44542142.722283423</v>
      </c>
      <c r="S100">
        <f t="shared" ref="S100" si="478">R100/100000</f>
        <v>-445.42142722283421</v>
      </c>
      <c r="T100">
        <f t="shared" ref="T100" si="479">S100/1000</f>
        <v>-0.44542142722283423</v>
      </c>
    </row>
    <row r="101" spans="1:20" x14ac:dyDescent="0.25">
      <c r="A101" s="5">
        <v>44492</v>
      </c>
      <c r="B101">
        <v>4.3959999999999999</v>
      </c>
      <c r="C101">
        <v>4.5410000000000004</v>
      </c>
      <c r="D101">
        <v>4.3499999999999996</v>
      </c>
      <c r="E101">
        <v>4.4950000000000001</v>
      </c>
      <c r="F101">
        <v>966875.4</v>
      </c>
      <c r="G101">
        <v>4.4950000000000001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0.51832460732984198</v>
      </c>
      <c r="Q101">
        <f t="shared" ref="Q101" si="481">F101*P101</f>
        <v>501155.31204188388</v>
      </c>
      <c r="R101">
        <f t="shared" ref="R101" si="482">R102+Q101</f>
        <v>-45472952.152283423</v>
      </c>
      <c r="S101">
        <f t="shared" ref="S101" si="483">R101/100000</f>
        <v>-454.7295215228342</v>
      </c>
      <c r="T101">
        <f t="shared" ref="T101" si="484">S101/1000</f>
        <v>-0.45472952152283419</v>
      </c>
    </row>
    <row r="102" spans="1:20" x14ac:dyDescent="0.25">
      <c r="A102" s="5">
        <v>44491</v>
      </c>
      <c r="B102">
        <v>4.3470000000000004</v>
      </c>
      <c r="C102">
        <v>4.54</v>
      </c>
      <c r="D102">
        <v>4.28</v>
      </c>
      <c r="E102">
        <v>4.3979999999999997</v>
      </c>
      <c r="F102">
        <v>1127178</v>
      </c>
      <c r="G102">
        <v>4.3979999999999997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-9.2307692307695879E-2</v>
      </c>
      <c r="Q102">
        <f t="shared" ref="Q102" si="486">F102*P102</f>
        <v>-104047.20000000403</v>
      </c>
      <c r="R102">
        <f t="shared" ref="R102" si="487">R103+Q102</f>
        <v>-45974107.464325309</v>
      </c>
      <c r="S102">
        <f t="shared" ref="S102" si="488">R102/100000</f>
        <v>-459.74107464325311</v>
      </c>
      <c r="T102">
        <f t="shared" ref="T102" si="489">S102/1000</f>
        <v>-0.45974107464325309</v>
      </c>
    </row>
    <row r="103" spans="1:20" x14ac:dyDescent="0.25">
      <c r="A103" s="5">
        <v>44490</v>
      </c>
      <c r="B103">
        <v>4.5190000000000001</v>
      </c>
      <c r="C103">
        <v>4.6829999999999998</v>
      </c>
      <c r="D103">
        <v>4.2679999999999998</v>
      </c>
      <c r="E103">
        <v>4.3440000000000003</v>
      </c>
      <c r="F103">
        <v>2174829.2999999998</v>
      </c>
      <c r="G103">
        <v>4.3440000000000003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-0.63373493975903372</v>
      </c>
      <c r="Q103">
        <f t="shared" ref="Q103" si="491">F103*P103</f>
        <v>-1378265.3154216814</v>
      </c>
      <c r="R103">
        <f t="shared" ref="R103" si="492">R104+Q103</f>
        <v>-45870060.264325306</v>
      </c>
      <c r="S103">
        <f t="shared" ref="S103" si="493">R103/100000</f>
        <v>-458.70060264325303</v>
      </c>
      <c r="T103">
        <f t="shared" ref="T103" si="494">S103/1000</f>
        <v>-0.45870060264325302</v>
      </c>
    </row>
    <row r="104" spans="1:20" x14ac:dyDescent="0.25">
      <c r="A104" s="5">
        <v>44489</v>
      </c>
      <c r="B104">
        <v>4.3179999999999996</v>
      </c>
      <c r="C104">
        <v>4.7530000000000001</v>
      </c>
      <c r="D104">
        <v>4.1859999999999999</v>
      </c>
      <c r="E104">
        <v>4.516</v>
      </c>
      <c r="F104">
        <v>2112155.4</v>
      </c>
      <c r="G104">
        <v>4.516</v>
      </c>
      <c r="L104" t="s">
        <v>7</v>
      </c>
      <c r="M104" t="s">
        <v>8</v>
      </c>
      <c r="N104" t="s">
        <v>8</v>
      </c>
      <c r="P104">
        <f t="shared" ref="P104" si="495">IF(C104=D104,0,((E104-D104)-(C104-E104))/(C104-D104))</f>
        <v>0.16402116402116393</v>
      </c>
      <c r="Q104">
        <f t="shared" ref="Q104" si="496">F104*P104</f>
        <v>346438.18730158708</v>
      </c>
      <c r="R104">
        <f t="shared" ref="R104" si="497">R105+Q104</f>
        <v>-44491794.948903628</v>
      </c>
      <c r="S104">
        <f t="shared" ref="S104" si="498">R104/100000</f>
        <v>-444.91794948903629</v>
      </c>
      <c r="T104">
        <f t="shared" ref="T104" si="499">S104/1000</f>
        <v>-0.44491794948903629</v>
      </c>
    </row>
    <row r="105" spans="1:20" x14ac:dyDescent="0.25">
      <c r="A105" s="5">
        <v>44488</v>
      </c>
      <c r="B105">
        <v>4.4029999999999996</v>
      </c>
      <c r="C105">
        <v>4.585</v>
      </c>
      <c r="D105">
        <v>4.25</v>
      </c>
      <c r="E105">
        <v>4.319</v>
      </c>
      <c r="F105">
        <v>1544028.2</v>
      </c>
      <c r="G105">
        <v>4.319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-0.58805970149253761</v>
      </c>
      <c r="Q105">
        <f t="shared" ref="Q105" si="501">F105*P105</f>
        <v>-907980.7623880601</v>
      </c>
      <c r="R105">
        <f t="shared" ref="R105" si="502">R106+Q105</f>
        <v>-44838233.136205211</v>
      </c>
      <c r="S105">
        <f t="shared" ref="S105" si="503">R105/100000</f>
        <v>-448.38233136205213</v>
      </c>
      <c r="T105">
        <f t="shared" ref="T105" si="504">S105/1000</f>
        <v>-0.44838233136205213</v>
      </c>
    </row>
    <row r="106" spans="1:20" x14ac:dyDescent="0.25">
      <c r="A106" s="5">
        <v>44487</v>
      </c>
      <c r="B106">
        <v>4.5220000000000002</v>
      </c>
      <c r="C106">
        <v>4.5449999999999999</v>
      </c>
      <c r="D106">
        <v>4.3159999999999998</v>
      </c>
      <c r="E106">
        <v>4.407</v>
      </c>
      <c r="F106">
        <v>1413461.8</v>
      </c>
      <c r="G106">
        <v>4.407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-0.20524017467248773</v>
      </c>
      <c r="Q106">
        <f t="shared" ref="Q106" si="506">F106*P106</f>
        <v>-290099.14672488894</v>
      </c>
      <c r="R106">
        <f t="shared" ref="R106" si="507">R107+Q106</f>
        <v>-43930252.373817153</v>
      </c>
      <c r="S106">
        <f t="shared" ref="S106" si="508">R106/100000</f>
        <v>-439.30252373817154</v>
      </c>
      <c r="T106">
        <f t="shared" ref="T106" si="509">S106/1000</f>
        <v>-0.43930252373817152</v>
      </c>
    </row>
    <row r="107" spans="1:20" x14ac:dyDescent="0.25">
      <c r="A107" s="5">
        <v>44486</v>
      </c>
      <c r="B107">
        <v>4.6929999999999996</v>
      </c>
      <c r="C107">
        <v>4.9000000000000004</v>
      </c>
      <c r="D107">
        <v>4.3129999999999997</v>
      </c>
      <c r="E107">
        <v>4.5209999999999999</v>
      </c>
      <c r="F107">
        <v>2381034.7000000002</v>
      </c>
      <c r="G107">
        <v>4.5209999999999999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-0.29131175468483828</v>
      </c>
      <c r="Q107">
        <f t="shared" ref="Q107" si="511">F107*P107</f>
        <v>-693623.39642248757</v>
      </c>
      <c r="R107">
        <f t="shared" ref="R107" si="512">R108+Q107</f>
        <v>-43640153.227092266</v>
      </c>
      <c r="S107">
        <f t="shared" ref="S107" si="513">R107/100000</f>
        <v>-436.40153227092264</v>
      </c>
      <c r="T107">
        <f t="shared" ref="T107" si="514">S107/1000</f>
        <v>-0.43640153227092265</v>
      </c>
    </row>
    <row r="108" spans="1:20" x14ac:dyDescent="0.25">
      <c r="A108" s="5">
        <v>44485</v>
      </c>
      <c r="B108">
        <v>4.694</v>
      </c>
      <c r="C108">
        <v>4.78</v>
      </c>
      <c r="D108">
        <v>4.2590000000000003</v>
      </c>
      <c r="E108">
        <v>4.6920000000000002</v>
      </c>
      <c r="F108">
        <v>3185705.6</v>
      </c>
      <c r="G108">
        <v>4.6920000000000002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0.66218809980806104</v>
      </c>
      <c r="Q108">
        <f t="shared" ref="Q108" si="516">F108*P108</f>
        <v>2109536.3378118989</v>
      </c>
      <c r="R108">
        <f t="shared" ref="R108" si="517">R109+Q108</f>
        <v>-42946529.830669776</v>
      </c>
      <c r="S108">
        <f t="shared" ref="S108" si="518">R108/100000</f>
        <v>-429.46529830669778</v>
      </c>
      <c r="T108">
        <f t="shared" ref="T108" si="519">S108/1000</f>
        <v>-0.42946529830669777</v>
      </c>
    </row>
    <row r="109" spans="1:20" x14ac:dyDescent="0.25">
      <c r="A109" s="5">
        <v>44484</v>
      </c>
      <c r="B109">
        <v>4.1710000000000003</v>
      </c>
      <c r="C109">
        <v>4.99</v>
      </c>
      <c r="D109">
        <v>4.056</v>
      </c>
      <c r="E109">
        <v>4.6959999999999997</v>
      </c>
      <c r="F109">
        <v>9626060.1999999993</v>
      </c>
      <c r="G109">
        <v>4.6959999999999997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0.37044967880085561</v>
      </c>
      <c r="Q109">
        <f t="shared" ref="Q109" si="521">F109*P109</f>
        <v>3565970.9092076998</v>
      </c>
      <c r="R109">
        <f t="shared" ref="R109" si="522">R110+Q109</f>
        <v>-45056066.168481678</v>
      </c>
      <c r="S109">
        <f t="shared" ref="S109" si="523">R109/100000</f>
        <v>-450.56066168481675</v>
      </c>
      <c r="T109">
        <f t="shared" ref="T109" si="524">S109/1000</f>
        <v>-0.45056066168481673</v>
      </c>
    </row>
    <row r="110" spans="1:20" x14ac:dyDescent="0.25">
      <c r="A110" s="5">
        <v>44483</v>
      </c>
      <c r="B110">
        <v>3.8719999999999999</v>
      </c>
      <c r="C110">
        <v>4.4089999999999998</v>
      </c>
      <c r="D110">
        <v>3.8479999999999999</v>
      </c>
      <c r="E110">
        <v>4.17</v>
      </c>
      <c r="F110">
        <v>8091911.5</v>
      </c>
      <c r="G110">
        <v>4.17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0.14795008912656005</v>
      </c>
      <c r="Q110">
        <f t="shared" ref="Q110" si="526">F110*P110</f>
        <v>1197199.0276292362</v>
      </c>
      <c r="R110">
        <f t="shared" ref="R110" si="527">R111+Q110</f>
        <v>-48622037.077689379</v>
      </c>
      <c r="S110">
        <f t="shared" ref="S110" si="528">R110/100000</f>
        <v>-486.22037077689379</v>
      </c>
      <c r="T110">
        <f t="shared" ref="T110" si="529">S110/1000</f>
        <v>-0.48622037077689378</v>
      </c>
    </row>
    <row r="111" spans="1:20" x14ac:dyDescent="0.25">
      <c r="A111" s="5">
        <v>44482</v>
      </c>
      <c r="B111">
        <v>3.6419999999999999</v>
      </c>
      <c r="C111">
        <v>4.05</v>
      </c>
      <c r="D111">
        <v>3.5329999999999999</v>
      </c>
      <c r="E111">
        <v>3.8620000000000001</v>
      </c>
      <c r="F111">
        <v>3501210.5</v>
      </c>
      <c r="G111">
        <v>3.8620000000000001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0.27272727272727365</v>
      </c>
      <c r="Q111">
        <f t="shared" ref="Q111" si="531">F111*P111</f>
        <v>954875.5909090942</v>
      </c>
      <c r="R111">
        <f t="shared" ref="R111" si="532">R112+Q111</f>
        <v>-49819236.105318613</v>
      </c>
      <c r="S111">
        <f t="shared" ref="S111" si="533">R111/100000</f>
        <v>-498.19236105318612</v>
      </c>
      <c r="T111">
        <f t="shared" ref="T111" si="534">S111/1000</f>
        <v>-0.49819236105318609</v>
      </c>
    </row>
    <row r="112" spans="1:20" x14ac:dyDescent="0.25">
      <c r="A112" s="5">
        <v>44481</v>
      </c>
      <c r="B112">
        <v>3.6539999999999999</v>
      </c>
      <c r="C112">
        <v>3.6539999999999999</v>
      </c>
      <c r="D112">
        <v>3.3839999999999999</v>
      </c>
      <c r="E112">
        <v>3.6429999999999998</v>
      </c>
      <c r="F112">
        <v>1248780.3999999999</v>
      </c>
      <c r="G112">
        <v>3.6429999999999998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0.91851851851851762</v>
      </c>
      <c r="Q112">
        <f t="shared" ref="Q112" si="536">F112*P112</f>
        <v>1147027.9229629617</v>
      </c>
      <c r="R112">
        <f t="shared" ref="R112" si="537">R113+Q112</f>
        <v>-50774111.696227707</v>
      </c>
      <c r="S112">
        <f t="shared" ref="S112" si="538">R112/100000</f>
        <v>-507.74111696227709</v>
      </c>
      <c r="T112">
        <f t="shared" ref="T112" si="539">S112/1000</f>
        <v>-0.50774111696227708</v>
      </c>
    </row>
    <row r="113" spans="1:20" x14ac:dyDescent="0.25">
      <c r="A113" s="5">
        <v>44480</v>
      </c>
      <c r="B113">
        <v>3.7149999999999999</v>
      </c>
      <c r="C113">
        <v>3.8879999999999999</v>
      </c>
      <c r="D113">
        <v>3.5419999999999998</v>
      </c>
      <c r="E113">
        <v>3.657</v>
      </c>
      <c r="F113">
        <v>1242680.3</v>
      </c>
      <c r="G113">
        <v>3.657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-0.33526011560693536</v>
      </c>
      <c r="Q113">
        <f t="shared" ref="Q113" si="541">F113*P113</f>
        <v>-416621.14104046114</v>
      </c>
      <c r="R113">
        <f t="shared" ref="R113" si="542">R114+Q113</f>
        <v>-51921139.619190671</v>
      </c>
      <c r="S113">
        <f t="shared" ref="S113" si="543">R113/100000</f>
        <v>-519.21139619190672</v>
      </c>
      <c r="T113">
        <f t="shared" ref="T113" si="544">S113/1000</f>
        <v>-0.5192113961919067</v>
      </c>
    </row>
    <row r="114" spans="1:20" x14ac:dyDescent="0.25">
      <c r="A114" s="5">
        <v>44479</v>
      </c>
      <c r="B114">
        <v>3.948</v>
      </c>
      <c r="C114">
        <v>4.05</v>
      </c>
      <c r="D114">
        <v>3.6819999999999999</v>
      </c>
      <c r="E114">
        <v>3.7149999999999999</v>
      </c>
      <c r="F114">
        <v>1655580.1</v>
      </c>
      <c r="G114">
        <v>3.7149999999999999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-0.8206521739130439</v>
      </c>
      <c r="Q114">
        <f t="shared" ref="Q114" si="546">F114*P114</f>
        <v>-1358655.4081521747</v>
      </c>
      <c r="R114">
        <f t="shared" ref="R114" si="547">R115+Q114</f>
        <v>-51504518.478150211</v>
      </c>
      <c r="S114">
        <f t="shared" ref="S114" si="548">R114/100000</f>
        <v>-515.04518478150214</v>
      </c>
      <c r="T114">
        <f t="shared" ref="T114" si="549">S114/1000</f>
        <v>-0.51504518478150219</v>
      </c>
    </row>
    <row r="115" spans="1:20" x14ac:dyDescent="0.25">
      <c r="A115" s="5">
        <v>44478</v>
      </c>
      <c r="B115">
        <v>3.819</v>
      </c>
      <c r="C115">
        <v>4</v>
      </c>
      <c r="D115">
        <v>3.7559999999999998</v>
      </c>
      <c r="E115">
        <v>3.9449999999999998</v>
      </c>
      <c r="F115">
        <v>1437748.3</v>
      </c>
      <c r="G115">
        <v>3.9449999999999998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0.54918032786885151</v>
      </c>
      <c r="Q115">
        <f t="shared" ref="Q115" si="551">F115*P115</f>
        <v>789583.08278688393</v>
      </c>
      <c r="R115">
        <f t="shared" ref="R115" si="552">R116+Q115</f>
        <v>-50145863.069998033</v>
      </c>
      <c r="S115">
        <f t="shared" ref="S115" si="553">R115/100000</f>
        <v>-501.45863069998035</v>
      </c>
      <c r="T115">
        <f t="shared" ref="T115" si="554">S115/1000</f>
        <v>-0.50145863069998031</v>
      </c>
    </row>
    <row r="116" spans="1:20" x14ac:dyDescent="0.25">
      <c r="A116" s="5">
        <v>44477</v>
      </c>
      <c r="B116">
        <v>3.8820000000000001</v>
      </c>
      <c r="C116">
        <v>4.0549999999999997</v>
      </c>
      <c r="D116">
        <v>3.7909999999999999</v>
      </c>
      <c r="E116">
        <v>3.8130000000000002</v>
      </c>
      <c r="F116">
        <v>1571086.1</v>
      </c>
      <c r="G116">
        <v>3.8130000000000002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-0.83333333333333137</v>
      </c>
      <c r="Q116">
        <f t="shared" ref="Q116" si="556">F116*P116</f>
        <v>-1309238.4166666637</v>
      </c>
      <c r="R116">
        <f t="shared" ref="R116" si="557">R117+Q116</f>
        <v>-50935446.152784914</v>
      </c>
      <c r="S116">
        <f t="shared" ref="S116" si="558">R116/100000</f>
        <v>-509.35446152784914</v>
      </c>
      <c r="T116">
        <f t="shared" ref="T116" si="559">S116/1000</f>
        <v>-0.50935446152784913</v>
      </c>
    </row>
    <row r="117" spans="1:20" x14ac:dyDescent="0.25">
      <c r="A117" s="5">
        <v>44476</v>
      </c>
      <c r="B117">
        <v>3.706</v>
      </c>
      <c r="C117">
        <v>4.08</v>
      </c>
      <c r="D117">
        <v>3.6</v>
      </c>
      <c r="E117">
        <v>3.8769999999999998</v>
      </c>
      <c r="F117">
        <v>2607360</v>
      </c>
      <c r="G117">
        <v>3.8769999999999998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0.15416666666666543</v>
      </c>
      <c r="Q117">
        <f t="shared" ref="Q117" si="561">F117*P117</f>
        <v>401967.99999999674</v>
      </c>
      <c r="R117">
        <f t="shared" ref="R117" si="562">R118+Q117</f>
        <v>-49626207.73611825</v>
      </c>
      <c r="S117">
        <f t="shared" ref="S117" si="563">R117/100000</f>
        <v>-496.26207736118249</v>
      </c>
      <c r="T117">
        <f t="shared" ref="T117" si="564">S117/1000</f>
        <v>-0.4962620773611825</v>
      </c>
    </row>
    <row r="118" spans="1:20" x14ac:dyDescent="0.25">
      <c r="A118" s="5">
        <v>44475</v>
      </c>
      <c r="B118">
        <v>3.9049999999999998</v>
      </c>
      <c r="C118">
        <v>3.948</v>
      </c>
      <c r="D118">
        <v>3.4</v>
      </c>
      <c r="E118">
        <v>3.7080000000000002</v>
      </c>
      <c r="F118">
        <v>2668702.7000000002</v>
      </c>
      <c r="G118">
        <v>3.7080000000000002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0.12408759124087683</v>
      </c>
      <c r="Q118">
        <f t="shared" ref="Q118" si="566">F118*P118</f>
        <v>331152.88978102437</v>
      </c>
      <c r="R118">
        <f t="shared" ref="R118" si="567">R119+Q118</f>
        <v>-50028175.73611825</v>
      </c>
      <c r="S118">
        <f t="shared" ref="S118" si="568">R118/100000</f>
        <v>-500.28175736118249</v>
      </c>
      <c r="T118">
        <f t="shared" ref="T118" si="569">S118/1000</f>
        <v>-0.50028175736118252</v>
      </c>
    </row>
    <row r="119" spans="1:20" x14ac:dyDescent="0.25">
      <c r="A119" s="5">
        <v>44474</v>
      </c>
      <c r="B119">
        <v>3.6469999999999998</v>
      </c>
      <c r="C119">
        <v>4.1500000000000004</v>
      </c>
      <c r="D119">
        <v>3.6110000000000002</v>
      </c>
      <c r="E119">
        <v>3.903</v>
      </c>
      <c r="F119">
        <v>3613768.3</v>
      </c>
      <c r="G119">
        <v>3.903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8.34879406307968E-2</v>
      </c>
      <c r="Q119">
        <f t="shared" ref="Q119" si="571">F119*P119</f>
        <v>301706.07328385545</v>
      </c>
      <c r="R119">
        <f t="shared" ref="R119" si="572">R120+Q119</f>
        <v>-50359328.625899278</v>
      </c>
      <c r="S119">
        <f t="shared" ref="S119" si="573">R119/100000</f>
        <v>-503.59328625899275</v>
      </c>
      <c r="T119">
        <f t="shared" ref="T119" si="574">S119/1000</f>
        <v>-0.5035932862589928</v>
      </c>
    </row>
    <row r="120" spans="1:20" x14ac:dyDescent="0.25">
      <c r="A120" s="5">
        <v>44473</v>
      </c>
      <c r="B120">
        <v>3.6619999999999999</v>
      </c>
      <c r="C120">
        <v>3.7989999999999999</v>
      </c>
      <c r="D120">
        <v>3.504</v>
      </c>
      <c r="E120">
        <v>3.6560000000000001</v>
      </c>
      <c r="F120">
        <v>2181398.9</v>
      </c>
      <c r="G120">
        <v>3.6560000000000001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3.050847457627235E-2</v>
      </c>
      <c r="Q120">
        <f t="shared" ref="Q120" si="576">F120*P120</f>
        <v>66551.152881358474</v>
      </c>
      <c r="R120">
        <f t="shared" ref="R120" si="577">R121+Q120</f>
        <v>-50661034.699183136</v>
      </c>
      <c r="S120">
        <f t="shared" ref="S120" si="578">R120/100000</f>
        <v>-506.61034699183136</v>
      </c>
      <c r="T120">
        <f t="shared" ref="T120" si="579">S120/1000</f>
        <v>-0.50661034699183138</v>
      </c>
    </row>
    <row r="121" spans="1:20" x14ac:dyDescent="0.25">
      <c r="A121" s="5">
        <v>44472</v>
      </c>
      <c r="B121">
        <v>3.5859999999999999</v>
      </c>
      <c r="C121">
        <v>3.9</v>
      </c>
      <c r="D121">
        <v>3.504</v>
      </c>
      <c r="E121">
        <v>3.657</v>
      </c>
      <c r="F121">
        <v>2024861.9</v>
      </c>
      <c r="G121">
        <v>3.657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-0.22727272727272696</v>
      </c>
      <c r="Q121">
        <f t="shared" ref="Q121" si="581">F121*P121</f>
        <v>-460195.88636363571</v>
      </c>
      <c r="R121">
        <f t="shared" ref="R121" si="582">R122+Q121</f>
        <v>-50727585.852064498</v>
      </c>
      <c r="S121">
        <f t="shared" ref="S121" si="583">R121/100000</f>
        <v>-507.27585852064499</v>
      </c>
      <c r="T121">
        <f t="shared" ref="T121" si="584">S121/1000</f>
        <v>-0.50727585852064494</v>
      </c>
    </row>
    <row r="122" spans="1:20" x14ac:dyDescent="0.25">
      <c r="A122" s="5">
        <v>44471</v>
      </c>
      <c r="B122">
        <v>3.5619999999999998</v>
      </c>
      <c r="C122">
        <v>3.7530000000000001</v>
      </c>
      <c r="D122">
        <v>3.5019999999999998</v>
      </c>
      <c r="E122">
        <v>3.5859999999999999</v>
      </c>
      <c r="F122">
        <v>2097277.2000000002</v>
      </c>
      <c r="G122">
        <v>3.5859999999999999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-0.3306772908366537</v>
      </c>
      <c r="Q122">
        <f t="shared" ref="Q122" si="586">F122*P122</f>
        <v>-693521.94262948283</v>
      </c>
      <c r="R122">
        <f t="shared" ref="R122" si="587">R123+Q122</f>
        <v>-50267389.965700865</v>
      </c>
      <c r="S122">
        <f t="shared" ref="S122" si="588">R122/100000</f>
        <v>-502.67389965700863</v>
      </c>
      <c r="T122">
        <f t="shared" ref="T122" si="589">S122/1000</f>
        <v>-0.50267389965700859</v>
      </c>
    </row>
    <row r="123" spans="1:20" x14ac:dyDescent="0.25">
      <c r="A123" s="5">
        <v>44470</v>
      </c>
      <c r="B123">
        <v>3.2189999999999999</v>
      </c>
      <c r="C123">
        <v>3.6030000000000002</v>
      </c>
      <c r="D123">
        <v>3.1669999999999998</v>
      </c>
      <c r="E123">
        <v>3.5619999999999998</v>
      </c>
      <c r="F123">
        <v>2718838.8</v>
      </c>
      <c r="G123">
        <v>3.5619999999999998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0.81192660550458562</v>
      </c>
      <c r="Q123">
        <f t="shared" ref="Q123" si="591">F123*P123</f>
        <v>2207497.5577981607</v>
      </c>
      <c r="R123">
        <f t="shared" ref="R123" si="592">R124+Q123</f>
        <v>-49573868.023071378</v>
      </c>
      <c r="S123">
        <f t="shared" ref="S123" si="593">R123/100000</f>
        <v>-495.73868023071378</v>
      </c>
      <c r="T123">
        <f t="shared" ref="T123" si="594">S123/1000</f>
        <v>-0.49573868023071377</v>
      </c>
    </row>
    <row r="124" spans="1:20" x14ac:dyDescent="0.25">
      <c r="A124" s="5">
        <v>44469</v>
      </c>
      <c r="B124">
        <v>3.0409999999999999</v>
      </c>
      <c r="C124">
        <v>3.226</v>
      </c>
      <c r="D124">
        <v>3.02</v>
      </c>
      <c r="E124">
        <v>3.22</v>
      </c>
      <c r="F124">
        <v>2165407</v>
      </c>
      <c r="G124">
        <v>3.22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0.94174757281553612</v>
      </c>
      <c r="Q124">
        <f t="shared" ref="Q124" si="596">F124*P124</f>
        <v>2039266.7864077715</v>
      </c>
      <c r="R124">
        <f t="shared" ref="R124" si="597">R125+Q124</f>
        <v>-51781365.580869541</v>
      </c>
      <c r="S124">
        <f t="shared" ref="S124" si="598">R124/100000</f>
        <v>-517.81365580869544</v>
      </c>
      <c r="T124">
        <f t="shared" ref="T124" si="599">S124/1000</f>
        <v>-0.51781365580869543</v>
      </c>
    </row>
    <row r="125" spans="1:20" x14ac:dyDescent="0.25">
      <c r="A125" s="5">
        <v>44468</v>
      </c>
      <c r="B125">
        <v>3.0209999999999999</v>
      </c>
      <c r="C125">
        <v>3.3730000000000002</v>
      </c>
      <c r="D125">
        <v>2.9790000000000001</v>
      </c>
      <c r="E125">
        <v>3.0379999999999998</v>
      </c>
      <c r="F125">
        <v>1982337.1</v>
      </c>
      <c r="G125">
        <v>3.0379999999999998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-0.70050761421319951</v>
      </c>
      <c r="Q125">
        <f t="shared" ref="Q125" si="601">F125*P125</f>
        <v>-1388642.2324873128</v>
      </c>
      <c r="R125">
        <f t="shared" ref="R125" si="602">R126+Q125</f>
        <v>-53820632.367277309</v>
      </c>
      <c r="S125">
        <f t="shared" ref="S125" si="603">R125/100000</f>
        <v>-538.20632367277312</v>
      </c>
      <c r="T125">
        <f t="shared" ref="T125" si="604">S125/1000</f>
        <v>-0.5382063236727731</v>
      </c>
    </row>
    <row r="126" spans="1:20" x14ac:dyDescent="0.25">
      <c r="A126" s="5">
        <v>44467</v>
      </c>
      <c r="B126">
        <v>3.226</v>
      </c>
      <c r="C126">
        <v>3.2850000000000001</v>
      </c>
      <c r="D126">
        <v>3.008</v>
      </c>
      <c r="E126">
        <v>3.0219999999999998</v>
      </c>
      <c r="F126">
        <v>1151086.51</v>
      </c>
      <c r="G126">
        <v>3.0219999999999998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-0.89891696750902683</v>
      </c>
      <c r="Q126">
        <f t="shared" ref="Q126" si="606">F126*P126</f>
        <v>-1034731.1949097491</v>
      </c>
      <c r="R126">
        <f t="shared" ref="R126" si="607">R127+Q126</f>
        <v>-52431990.134789996</v>
      </c>
      <c r="S126">
        <f t="shared" ref="S126" si="608">R126/100000</f>
        <v>-524.31990134789999</v>
      </c>
      <c r="T126">
        <f t="shared" ref="T126" si="609">S126/1000</f>
        <v>-0.52431990134789996</v>
      </c>
    </row>
    <row r="127" spans="1:20" x14ac:dyDescent="0.25">
      <c r="A127" s="5">
        <v>44466</v>
      </c>
      <c r="B127">
        <v>3.3370000000000002</v>
      </c>
      <c r="C127">
        <v>3.5529999999999999</v>
      </c>
      <c r="D127">
        <v>3.2160000000000002</v>
      </c>
      <c r="E127">
        <v>3.2290000000000001</v>
      </c>
      <c r="F127">
        <v>1853061.3</v>
      </c>
      <c r="G127">
        <v>3.2290000000000001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-0.92284866468842786</v>
      </c>
      <c r="Q127">
        <f t="shared" ref="Q127" si="611">F127*P127</f>
        <v>-1710095.1462908022</v>
      </c>
      <c r="R127">
        <f t="shared" ref="R127" si="612">R128+Q127</f>
        <v>-51397258.939880244</v>
      </c>
      <c r="S127">
        <f t="shared" ref="S127" si="613">R127/100000</f>
        <v>-513.97258939880248</v>
      </c>
      <c r="T127">
        <f t="shared" ref="T127" si="614">S127/1000</f>
        <v>-0.51397258939880253</v>
      </c>
    </row>
    <row r="128" spans="1:20" x14ac:dyDescent="0.25">
      <c r="A128" s="5">
        <v>44465</v>
      </c>
      <c r="B128">
        <v>3.4580000000000002</v>
      </c>
      <c r="C128">
        <v>3.4670000000000001</v>
      </c>
      <c r="D128">
        <v>3.1160000000000001</v>
      </c>
      <c r="E128">
        <v>3.3370000000000002</v>
      </c>
      <c r="F128">
        <v>1728665.03</v>
      </c>
      <c r="G128">
        <v>3.3370000000000002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0.2592592592592598</v>
      </c>
      <c r="Q128">
        <f t="shared" ref="Q128" si="616">F128*P128</f>
        <v>448172.41518518614</v>
      </c>
      <c r="R128">
        <f t="shared" ref="R128" si="617">R129+Q128</f>
        <v>-49687163.793589443</v>
      </c>
      <c r="S128">
        <f t="shared" ref="S128" si="618">R128/100000</f>
        <v>-496.87163793589446</v>
      </c>
      <c r="T128">
        <f t="shared" ref="T128" si="619">S128/1000</f>
        <v>-0.49687163793589445</v>
      </c>
    </row>
    <row r="129" spans="1:20" x14ac:dyDescent="0.25">
      <c r="A129" s="5">
        <v>44464</v>
      </c>
      <c r="B129">
        <v>3.4420000000000002</v>
      </c>
      <c r="C129">
        <v>3.6</v>
      </c>
      <c r="D129">
        <v>3.286</v>
      </c>
      <c r="E129">
        <v>3.4580000000000002</v>
      </c>
      <c r="F129">
        <v>2213674.9</v>
      </c>
      <c r="G129">
        <v>3.4580000000000002</v>
      </c>
      <c r="L129" t="s">
        <v>7</v>
      </c>
      <c r="M129" t="s">
        <v>8</v>
      </c>
      <c r="N129" t="s">
        <v>7</v>
      </c>
      <c r="P129">
        <f t="shared" ref="P129" si="620">IF(C129=D129,0,((E129-D129)-(C129-E129))/(C129-D129))</f>
        <v>9.554140127388612E-2</v>
      </c>
      <c r="Q129">
        <f t="shared" ref="Q129" si="621">F129*P129</f>
        <v>211497.60191082972</v>
      </c>
      <c r="R129">
        <f t="shared" ref="R129" si="622">R130+Q129</f>
        <v>-50135336.208774626</v>
      </c>
      <c r="S129">
        <f t="shared" ref="S129" si="623">R129/100000</f>
        <v>-501.35336208774629</v>
      </c>
      <c r="T129">
        <f t="shared" ref="T129" si="624">S129/1000</f>
        <v>-0.50135336208774628</v>
      </c>
    </row>
    <row r="130" spans="1:20" x14ac:dyDescent="0.25">
      <c r="A130" s="5">
        <v>44463</v>
      </c>
      <c r="B130">
        <v>3.7160000000000002</v>
      </c>
      <c r="C130">
        <v>3.8410000000000002</v>
      </c>
      <c r="D130">
        <v>3.23</v>
      </c>
      <c r="E130">
        <v>3.448</v>
      </c>
      <c r="F130">
        <v>3061931.9</v>
      </c>
      <c r="G130">
        <v>3.448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-0.28641571194762716</v>
      </c>
      <c r="Q130">
        <f t="shared" ref="Q130" si="626">F130*P130</f>
        <v>-876985.40507365076</v>
      </c>
      <c r="R130">
        <f t="shared" ref="R130" si="627">R131+Q130</f>
        <v>-50346833.810685456</v>
      </c>
      <c r="S130">
        <f t="shared" ref="S130" si="628">R130/100000</f>
        <v>-503.46833810685456</v>
      </c>
      <c r="T130">
        <f t="shared" ref="T130" si="629">S130/1000</f>
        <v>-0.50346833810685454</v>
      </c>
    </row>
    <row r="131" spans="1:20" x14ac:dyDescent="0.25">
      <c r="A131" s="5">
        <v>44462</v>
      </c>
      <c r="B131">
        <v>3.6</v>
      </c>
      <c r="C131">
        <v>3.742</v>
      </c>
      <c r="D131">
        <v>3.5</v>
      </c>
      <c r="E131">
        <v>3.7189999999999999</v>
      </c>
      <c r="F131">
        <v>1525580</v>
      </c>
      <c r="G131">
        <v>3.7189999999999999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0.80991735537189968</v>
      </c>
      <c r="Q131">
        <f t="shared" ref="Q131" si="631">F131*P131</f>
        <v>1235593.7190082627</v>
      </c>
      <c r="R131">
        <f t="shared" ref="R131" si="632">R132+Q131</f>
        <v>-49469848.405611806</v>
      </c>
      <c r="S131">
        <f t="shared" ref="S131" si="633">R131/100000</f>
        <v>-494.69848405611805</v>
      </c>
      <c r="T131">
        <f t="shared" ref="T131" si="634">S131/1000</f>
        <v>-0.49469848405611805</v>
      </c>
    </row>
    <row r="132" spans="1:20" x14ac:dyDescent="0.25">
      <c r="A132" s="5">
        <v>44461</v>
      </c>
      <c r="B132">
        <v>3.23</v>
      </c>
      <c r="C132">
        <v>3.68</v>
      </c>
      <c r="D132">
        <v>3.1760000000000002</v>
      </c>
      <c r="E132">
        <v>3.601</v>
      </c>
      <c r="F132">
        <v>1807600.5</v>
      </c>
      <c r="G132">
        <v>3.601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0.68650793650793585</v>
      </c>
      <c r="Q132">
        <f t="shared" ref="Q132" si="636">F132*P132</f>
        <v>1240932.0892857132</v>
      </c>
      <c r="R132">
        <f t="shared" ref="R132" si="637">R133+Q132</f>
        <v>-50705442.124620065</v>
      </c>
      <c r="S132">
        <f t="shared" ref="S132" si="638">R132/100000</f>
        <v>-507.05442124620066</v>
      </c>
      <c r="T132">
        <f t="shared" ref="T132" si="639">S132/1000</f>
        <v>-0.5070544212462007</v>
      </c>
    </row>
    <row r="133" spans="1:20" x14ac:dyDescent="0.25">
      <c r="A133" s="5">
        <v>44460</v>
      </c>
      <c r="B133">
        <v>3.5979999999999999</v>
      </c>
      <c r="C133">
        <v>3.722</v>
      </c>
      <c r="D133">
        <v>3.1269999999999998</v>
      </c>
      <c r="E133">
        <v>3.2280000000000002</v>
      </c>
      <c r="F133">
        <v>2740603.08</v>
      </c>
      <c r="G133">
        <v>3.2280000000000002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-0.66050420168067092</v>
      </c>
      <c r="Q133">
        <f t="shared" ref="Q133" si="641">F133*P133</f>
        <v>-1810179.849478988</v>
      </c>
      <c r="R133">
        <f t="shared" ref="R133" si="642">R134+Q133</f>
        <v>-51946374.213905782</v>
      </c>
      <c r="S133">
        <f t="shared" ref="S133" si="643">R133/100000</f>
        <v>-519.46374213905779</v>
      </c>
      <c r="T133">
        <f t="shared" ref="T133" si="644">S133/1000</f>
        <v>-0.51946374213905777</v>
      </c>
    </row>
    <row r="134" spans="1:20" x14ac:dyDescent="0.25">
      <c r="A134" s="5">
        <v>44459</v>
      </c>
      <c r="B134">
        <v>4.1970000000000001</v>
      </c>
      <c r="C134">
        <v>4.21</v>
      </c>
      <c r="D134">
        <v>3.7770000000000001</v>
      </c>
      <c r="E134">
        <v>3.8570000000000002</v>
      </c>
      <c r="F134">
        <v>1643326.7</v>
      </c>
      <c r="G134">
        <v>3.8570000000000002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-0.63048498845265544</v>
      </c>
      <c r="Q134">
        <f t="shared" ref="Q134" si="646">F134*P134</f>
        <v>-1036092.8154734403</v>
      </c>
      <c r="R134">
        <f t="shared" ref="R134" si="647">R135+Q134</f>
        <v>-50136194.364426792</v>
      </c>
      <c r="S134">
        <f t="shared" ref="S134" si="648">R134/100000</f>
        <v>-501.36194364426791</v>
      </c>
      <c r="T134">
        <f t="shared" ref="T134" si="649">S134/1000</f>
        <v>-0.50136194364426789</v>
      </c>
    </row>
    <row r="135" spans="1:20" x14ac:dyDescent="0.25">
      <c r="A135" s="5">
        <v>44458</v>
      </c>
      <c r="B135">
        <v>4.4009999999999998</v>
      </c>
      <c r="C135">
        <v>4.4539999999999997</v>
      </c>
      <c r="D135">
        <v>4.1040000000000001</v>
      </c>
      <c r="E135">
        <v>4.1970000000000001</v>
      </c>
      <c r="F135">
        <v>1379975.5</v>
      </c>
      <c r="G135">
        <v>4.1970000000000001</v>
      </c>
      <c r="L135" t="s">
        <v>8</v>
      </c>
      <c r="M135" t="s">
        <v>7</v>
      </c>
      <c r="N135" t="s">
        <v>7</v>
      </c>
      <c r="P135">
        <f t="shared" ref="P135" si="650">IF(C135=D135,0,((E135-D135)-(C135-E135))/(C135-D135))</f>
        <v>-0.46857142857142819</v>
      </c>
      <c r="Q135">
        <f t="shared" ref="Q135" si="651">F135*P135</f>
        <v>-646617.09142857092</v>
      </c>
      <c r="R135">
        <f t="shared" ref="R135" si="652">R136+Q135</f>
        <v>-49100101.548953354</v>
      </c>
      <c r="S135">
        <f t="shared" ref="S135" si="653">R135/100000</f>
        <v>-491.00101548953353</v>
      </c>
      <c r="T135">
        <f t="shared" ref="T135" si="654">S135/1000</f>
        <v>-0.49100101548953351</v>
      </c>
    </row>
    <row r="136" spans="1:20" x14ac:dyDescent="0.25">
      <c r="A136" s="5">
        <v>44457</v>
      </c>
      <c r="B136">
        <v>4.242</v>
      </c>
      <c r="C136">
        <v>4.4809999999999999</v>
      </c>
      <c r="D136">
        <v>4.1459999999999999</v>
      </c>
      <c r="E136">
        <v>4.4009999999999998</v>
      </c>
      <c r="F136">
        <v>1783077.1</v>
      </c>
      <c r="G136">
        <v>4.4009999999999998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0.52238805970149205</v>
      </c>
      <c r="Q136">
        <f t="shared" ref="Q136" si="656">F136*P136</f>
        <v>931458.18656716333</v>
      </c>
      <c r="R136">
        <f t="shared" ref="R136" si="657">R137+Q136</f>
        <v>-48453484.457524784</v>
      </c>
      <c r="S136">
        <f t="shared" ref="S136" si="658">R136/100000</f>
        <v>-484.53484457524786</v>
      </c>
      <c r="T136">
        <f t="shared" ref="T136" si="659">S136/1000</f>
        <v>-0.48453484457524787</v>
      </c>
    </row>
    <row r="137" spans="1:20" x14ac:dyDescent="0.25">
      <c r="A137" s="5">
        <v>44456</v>
      </c>
      <c r="B137">
        <v>4.6050000000000004</v>
      </c>
      <c r="C137">
        <v>4.657</v>
      </c>
      <c r="D137">
        <v>4.1769999999999996</v>
      </c>
      <c r="E137">
        <v>4.24</v>
      </c>
      <c r="F137">
        <v>2191292.4</v>
      </c>
      <c r="G137">
        <v>4.24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-0.73749999999999771</v>
      </c>
      <c r="Q137">
        <f t="shared" ref="Q137" si="661">F137*P137</f>
        <v>-1616078.1449999949</v>
      </c>
      <c r="R137">
        <f t="shared" ref="R137" si="662">R138+Q137</f>
        <v>-49384942.644091949</v>
      </c>
      <c r="S137">
        <f t="shared" ref="S137" si="663">R137/100000</f>
        <v>-493.8494264409195</v>
      </c>
      <c r="T137">
        <f t="shared" ref="T137" si="664">S137/1000</f>
        <v>-0.4938494264409195</v>
      </c>
    </row>
    <row r="138" spans="1:20" x14ac:dyDescent="0.25">
      <c r="A138" s="5">
        <v>44455</v>
      </c>
      <c r="B138">
        <v>4.8120000000000003</v>
      </c>
      <c r="C138">
        <v>4.8220000000000001</v>
      </c>
      <c r="D138">
        <v>4.4210000000000003</v>
      </c>
      <c r="E138">
        <v>4.6050000000000004</v>
      </c>
      <c r="F138">
        <v>2671764.5</v>
      </c>
      <c r="G138">
        <v>4.6050000000000004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-8.2294264339150852E-2</v>
      </c>
      <c r="Q138">
        <f t="shared" ref="Q138" si="666">F138*P138</f>
        <v>-219870.89401495919</v>
      </c>
      <c r="R138">
        <f t="shared" ref="R138" si="667">R139+Q138</f>
        <v>-47768864.499091953</v>
      </c>
      <c r="S138">
        <f t="shared" ref="S138" si="668">R138/100000</f>
        <v>-477.68864499091956</v>
      </c>
      <c r="T138">
        <f t="shared" ref="T138" si="669">S138/1000</f>
        <v>-0.47768864499091956</v>
      </c>
    </row>
    <row r="139" spans="1:20" x14ac:dyDescent="0.25">
      <c r="A139" s="5">
        <v>44454</v>
      </c>
      <c r="B139">
        <v>4.7149999999999999</v>
      </c>
      <c r="C139">
        <v>4.84</v>
      </c>
      <c r="D139">
        <v>4.6059999999999999</v>
      </c>
      <c r="E139">
        <v>4.8150000000000004</v>
      </c>
      <c r="F139">
        <v>2382157.7999999998</v>
      </c>
      <c r="G139">
        <v>4.8150000000000004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0.78632478632479086</v>
      </c>
      <c r="Q139">
        <f t="shared" ref="Q139" si="671">F139*P139</f>
        <v>1873149.7230769338</v>
      </c>
      <c r="R139">
        <f t="shared" ref="R139" si="672">R140+Q139</f>
        <v>-47548993.605076991</v>
      </c>
      <c r="S139">
        <f t="shared" ref="S139" si="673">R139/100000</f>
        <v>-475.48993605076993</v>
      </c>
      <c r="T139">
        <f t="shared" ref="T139" si="674">S139/1000</f>
        <v>-0.47548993605076995</v>
      </c>
    </row>
    <row r="140" spans="1:20" x14ac:dyDescent="0.25">
      <c r="A140" s="5">
        <v>44453</v>
      </c>
      <c r="B140">
        <v>4.6280000000000001</v>
      </c>
      <c r="C140">
        <v>4.8789999999999996</v>
      </c>
      <c r="D140">
        <v>4.4829999999999997</v>
      </c>
      <c r="E140">
        <v>4.7160000000000002</v>
      </c>
      <c r="F140">
        <v>6025226</v>
      </c>
      <c r="G140">
        <v>4.7160000000000002</v>
      </c>
      <c r="L140" t="s">
        <v>7</v>
      </c>
      <c r="M140" t="s">
        <v>8</v>
      </c>
      <c r="N140" t="s">
        <v>7</v>
      </c>
      <c r="P140">
        <f t="shared" ref="P140" si="675">IF(C140=D140,0,((E140-D140)-(C140-E140))/(C140-D140))</f>
        <v>0.17676767676767977</v>
      </c>
      <c r="Q140">
        <f t="shared" ref="Q140" si="676">F140*P140</f>
        <v>1065065.20202022</v>
      </c>
      <c r="R140">
        <f t="shared" ref="R140" si="677">R141+Q140</f>
        <v>-49422143.328153923</v>
      </c>
      <c r="S140">
        <f t="shared" ref="S140" si="678">R140/100000</f>
        <v>-494.22143328153925</v>
      </c>
      <c r="T140">
        <f t="shared" ref="T140" si="679">S140/1000</f>
        <v>-0.49422143328153922</v>
      </c>
    </row>
    <row r="141" spans="1:20" x14ac:dyDescent="0.25">
      <c r="A141" s="5">
        <v>44452</v>
      </c>
      <c r="B141">
        <v>4.1879999999999997</v>
      </c>
      <c r="C141">
        <v>4.8869999999999996</v>
      </c>
      <c r="D141">
        <v>3.964</v>
      </c>
      <c r="E141">
        <v>4.6260000000000003</v>
      </c>
      <c r="F141">
        <v>19681956.489999998</v>
      </c>
      <c r="G141">
        <v>4.6260000000000003</v>
      </c>
      <c r="L141" t="s">
        <v>8</v>
      </c>
      <c r="M141" t="s">
        <v>8</v>
      </c>
      <c r="N141" t="s">
        <v>7</v>
      </c>
      <c r="P141">
        <f t="shared" ref="P141" si="680">IF(C141=D141,0,((E141-D141)-(C141-E141))/(C141-D141))</f>
        <v>0.43445287107259078</v>
      </c>
      <c r="Q141">
        <f t="shared" ref="Q141" si="681">F141*P141</f>
        <v>8550882.5054063108</v>
      </c>
      <c r="R141">
        <f t="shared" ref="R141" si="682">R142+Q141</f>
        <v>-50487208.530174144</v>
      </c>
      <c r="S141">
        <f t="shared" ref="S141" si="683">R141/100000</f>
        <v>-504.87208530174144</v>
      </c>
      <c r="T141">
        <f t="shared" ref="T141" si="684">S141/1000</f>
        <v>-0.50487208530174144</v>
      </c>
    </row>
    <row r="142" spans="1:20" x14ac:dyDescent="0.25">
      <c r="A142" s="5">
        <v>44451</v>
      </c>
      <c r="B142">
        <v>3.895</v>
      </c>
      <c r="C142">
        <v>4.3890000000000002</v>
      </c>
      <c r="D142">
        <v>3.7850000000000001</v>
      </c>
      <c r="E142">
        <v>4.1970000000000001</v>
      </c>
      <c r="F142">
        <v>5912656.7000000002</v>
      </c>
      <c r="G142">
        <v>4.1970000000000001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0.36423841059602602</v>
      </c>
      <c r="Q142">
        <f t="shared" ref="Q142" si="686">F142*P142</f>
        <v>2153616.6788079445</v>
      </c>
      <c r="R142">
        <f t="shared" ref="R142" si="687">R143+Q142</f>
        <v>-59038091.035580456</v>
      </c>
      <c r="S142">
        <f t="shared" ref="S142" si="688">R142/100000</f>
        <v>-590.38091035580453</v>
      </c>
      <c r="T142">
        <f t="shared" ref="T142" si="689">S142/1000</f>
        <v>-0.59038091035580453</v>
      </c>
    </row>
    <row r="143" spans="1:20" x14ac:dyDescent="0.25">
      <c r="A143" s="5">
        <v>44450</v>
      </c>
      <c r="B143">
        <v>3.7589999999999999</v>
      </c>
      <c r="C143">
        <v>4.43</v>
      </c>
      <c r="D143">
        <v>3.72</v>
      </c>
      <c r="E143">
        <v>3.9</v>
      </c>
      <c r="F143">
        <v>4437187.4000000004</v>
      </c>
      <c r="G143">
        <v>3.9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-0.49295774647887369</v>
      </c>
      <c r="Q143">
        <f t="shared" ref="Q143" si="691">F143*P143</f>
        <v>-2187345.901408453</v>
      </c>
      <c r="R143">
        <f t="shared" ref="R143" si="692">R144+Q143</f>
        <v>-61191707.7143884</v>
      </c>
      <c r="S143">
        <f t="shared" ref="S143" si="693">R143/100000</f>
        <v>-611.91707714388406</v>
      </c>
      <c r="T143">
        <f t="shared" ref="T143" si="694">S143/1000</f>
        <v>-0.6119170771438841</v>
      </c>
    </row>
    <row r="144" spans="1:20" x14ac:dyDescent="0.25">
      <c r="A144" s="5">
        <v>44449</v>
      </c>
      <c r="B144">
        <v>4.0170000000000003</v>
      </c>
      <c r="C144">
        <v>4.1609999999999996</v>
      </c>
      <c r="D144">
        <v>3.5760000000000001</v>
      </c>
      <c r="E144">
        <v>3.76</v>
      </c>
      <c r="F144">
        <v>3280055.8</v>
      </c>
      <c r="G144">
        <v>3.76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-0.3709401709401714</v>
      </c>
      <c r="Q144">
        <f t="shared" ref="Q144" si="696">F144*P144</f>
        <v>-1216704.4591453006</v>
      </c>
      <c r="R144">
        <f t="shared" ref="R144" si="697">R145+Q144</f>
        <v>-59004361.812979944</v>
      </c>
      <c r="S144">
        <f t="shared" ref="S144" si="698">R144/100000</f>
        <v>-590.04361812979948</v>
      </c>
      <c r="T144">
        <f t="shared" ref="T144" si="699">S144/1000</f>
        <v>-0.59004361812979944</v>
      </c>
    </row>
    <row r="145" spans="1:20" x14ac:dyDescent="0.25">
      <c r="A145" s="5">
        <v>44448</v>
      </c>
      <c r="B145">
        <v>3.9830000000000001</v>
      </c>
      <c r="C145">
        <v>4.4329999999999998</v>
      </c>
      <c r="D145">
        <v>3.8479999999999999</v>
      </c>
      <c r="E145">
        <v>4.0199999999999996</v>
      </c>
      <c r="F145">
        <v>4529017.4000000004</v>
      </c>
      <c r="G145">
        <v>4.0199999999999996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-0.41196581196581294</v>
      </c>
      <c r="Q145">
        <f t="shared" ref="Q145" si="701">F145*P145</f>
        <v>-1865800.3305982952</v>
      </c>
      <c r="R145">
        <f t="shared" ref="R145" si="702">R146+Q145</f>
        <v>-57787657.353834644</v>
      </c>
      <c r="S145">
        <f t="shared" ref="S145" si="703">R145/100000</f>
        <v>-577.87657353834641</v>
      </c>
      <c r="T145">
        <f t="shared" ref="T145" si="704">S145/1000</f>
        <v>-0.57787657353834643</v>
      </c>
    </row>
    <row r="146" spans="1:20" x14ac:dyDescent="0.25">
      <c r="A146" s="5">
        <v>44447</v>
      </c>
      <c r="B146">
        <v>3.9590000000000001</v>
      </c>
      <c r="C146">
        <v>4.2720000000000002</v>
      </c>
      <c r="D146">
        <v>3.5390000000000001</v>
      </c>
      <c r="E146">
        <v>3.9769999999999999</v>
      </c>
      <c r="F146">
        <v>4997744.63</v>
      </c>
      <c r="G146">
        <v>3.9769999999999999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0.19508867667121327</v>
      </c>
      <c r="Q146">
        <f t="shared" ref="Q146" si="706">F146*P146</f>
        <v>975003.3862073624</v>
      </c>
      <c r="R146">
        <f t="shared" ref="R146" si="707">R147+Q146</f>
        <v>-55921857.023236349</v>
      </c>
      <c r="S146">
        <f t="shared" ref="S146" si="708">R146/100000</f>
        <v>-559.2185702323635</v>
      </c>
      <c r="T146">
        <f t="shared" ref="T146" si="709">S146/1000</f>
        <v>-0.55921857023236354</v>
      </c>
    </row>
    <row r="147" spans="1:20" x14ac:dyDescent="0.25">
      <c r="A147" s="5">
        <v>44446</v>
      </c>
      <c r="B147">
        <v>5.3230000000000004</v>
      </c>
      <c r="C147">
        <v>5.3860000000000001</v>
      </c>
      <c r="D147">
        <v>3.6</v>
      </c>
      <c r="E147">
        <v>3.9540000000000002</v>
      </c>
      <c r="F147">
        <v>8799799.1500000004</v>
      </c>
      <c r="G147">
        <v>3.9540000000000002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-0.60358342665173559</v>
      </c>
      <c r="Q147">
        <f t="shared" ref="Q147" si="711">F147*P147</f>
        <v>-5311412.92480403</v>
      </c>
      <c r="R147">
        <f t="shared" ref="R147" si="712">R148+Q147</f>
        <v>-56896860.409443714</v>
      </c>
      <c r="S147">
        <f t="shared" ref="S147" si="713">R147/100000</f>
        <v>-568.96860409443718</v>
      </c>
      <c r="T147">
        <f t="shared" ref="T147" si="714">S147/1000</f>
        <v>-0.56896860409443717</v>
      </c>
    </row>
    <row r="148" spans="1:20" x14ac:dyDescent="0.25">
      <c r="A148" s="5">
        <v>44445</v>
      </c>
      <c r="B148">
        <v>5.6189999999999998</v>
      </c>
      <c r="C148">
        <v>5.73</v>
      </c>
      <c r="D148">
        <v>4.8769999999999998</v>
      </c>
      <c r="E148">
        <v>5.3209999999999997</v>
      </c>
      <c r="F148">
        <v>3499580.2</v>
      </c>
      <c r="G148">
        <v>5.3209999999999997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4.1031652989448095E-2</v>
      </c>
      <c r="Q148">
        <f t="shared" ref="Q148" si="716">F148*P148</f>
        <v>143593.56037514337</v>
      </c>
      <c r="R148">
        <f t="shared" ref="R148" si="717">R149+Q148</f>
        <v>-51585447.484639682</v>
      </c>
      <c r="S148">
        <f t="shared" ref="S148" si="718">R148/100000</f>
        <v>-515.85447484639678</v>
      </c>
      <c r="T148">
        <f t="shared" ref="T148" si="719">S148/1000</f>
        <v>-0.51585447484639679</v>
      </c>
    </row>
    <row r="149" spans="1:20" x14ac:dyDescent="0.25">
      <c r="A149" s="5">
        <v>44444</v>
      </c>
      <c r="B149">
        <v>5.36</v>
      </c>
      <c r="C149">
        <v>5.718</v>
      </c>
      <c r="D149">
        <v>5.21</v>
      </c>
      <c r="E149">
        <v>5.6180000000000003</v>
      </c>
      <c r="F149">
        <v>3265899.11</v>
      </c>
      <c r="G149">
        <v>5.6180000000000003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0.60629921259842656</v>
      </c>
      <c r="Q149">
        <f t="shared" ref="Q149" si="721">F149*P149</f>
        <v>1980112.0588189021</v>
      </c>
      <c r="R149">
        <f t="shared" ref="R149" si="722">R150+Q149</f>
        <v>-51729041.045014828</v>
      </c>
      <c r="S149">
        <f t="shared" ref="S149" si="723">R149/100000</f>
        <v>-517.29041045014833</v>
      </c>
      <c r="T149">
        <f t="shared" ref="T149" si="724">S149/1000</f>
        <v>-0.51729041045014834</v>
      </c>
    </row>
    <row r="150" spans="1:20" x14ac:dyDescent="0.25">
      <c r="A150" s="5">
        <v>44443</v>
      </c>
      <c r="B150">
        <v>5.3129999999999997</v>
      </c>
      <c r="C150">
        <v>5.5350000000000001</v>
      </c>
      <c r="D150">
        <v>5.25</v>
      </c>
      <c r="E150">
        <v>5.3559999999999999</v>
      </c>
      <c r="F150">
        <v>2670478.9</v>
      </c>
      <c r="G150">
        <v>5.3559999999999999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-0.25614035087719428</v>
      </c>
      <c r="Q150">
        <f t="shared" ref="Q150" si="726">F150*P150</f>
        <v>-684017.40245614375</v>
      </c>
      <c r="R150">
        <f t="shared" ref="R150" si="727">R151+Q150</f>
        <v>-53709153.103833728</v>
      </c>
      <c r="S150">
        <f t="shared" ref="S150" si="728">R150/100000</f>
        <v>-537.09153103833728</v>
      </c>
      <c r="T150">
        <f t="shared" ref="T150" si="729">S150/1000</f>
        <v>-0.53709153103833729</v>
      </c>
    </row>
    <row r="151" spans="1:20" x14ac:dyDescent="0.25">
      <c r="A151" s="5">
        <v>44442</v>
      </c>
      <c r="B151">
        <v>5.2</v>
      </c>
      <c r="C151">
        <v>5.4459999999999997</v>
      </c>
      <c r="D151">
        <v>5.0190000000000001</v>
      </c>
      <c r="E151">
        <v>5.3159999999999998</v>
      </c>
      <c r="F151">
        <v>2619101.7999999998</v>
      </c>
      <c r="G151">
        <v>5.3159999999999998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0.39110070257611235</v>
      </c>
      <c r="Q151">
        <f t="shared" ref="Q151" si="731">F151*P151</f>
        <v>1024332.5540983604</v>
      </c>
      <c r="R151">
        <f t="shared" ref="R151" si="732">R152+Q151</f>
        <v>-53025135.701377586</v>
      </c>
      <c r="S151">
        <f t="shared" ref="S151" si="733">R151/100000</f>
        <v>-530.25135701377587</v>
      </c>
      <c r="T151">
        <f t="shared" ref="T151" si="734">S151/1000</f>
        <v>-0.5302513570137759</v>
      </c>
    </row>
    <row r="152" spans="1:20" x14ac:dyDescent="0.25">
      <c r="A152" s="5">
        <v>44441</v>
      </c>
      <c r="B152">
        <v>5.3070000000000004</v>
      </c>
      <c r="C152">
        <v>5.4660000000000002</v>
      </c>
      <c r="D152">
        <v>5.1050000000000004</v>
      </c>
      <c r="E152">
        <v>5.1989999999999998</v>
      </c>
      <c r="F152">
        <v>2123664.7999999998</v>
      </c>
      <c r="G152">
        <v>5.1989999999999998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-0.4792243767313048</v>
      </c>
      <c r="Q152">
        <f t="shared" ref="Q152" si="736">F152*P152</f>
        <v>-1017711.940166211</v>
      </c>
      <c r="R152">
        <f t="shared" ref="R152" si="737">R153+Q152</f>
        <v>-54049468.255475946</v>
      </c>
      <c r="S152">
        <f t="shared" ref="S152" si="738">R152/100000</f>
        <v>-540.49468255475949</v>
      </c>
      <c r="T152">
        <f t="shared" ref="T152" si="739">S152/1000</f>
        <v>-0.54049468255475952</v>
      </c>
    </row>
    <row r="153" spans="1:20" x14ac:dyDescent="0.25">
      <c r="A153" s="5">
        <v>44440</v>
      </c>
      <c r="B153">
        <v>5.3520000000000003</v>
      </c>
      <c r="C153">
        <v>5.6070000000000002</v>
      </c>
      <c r="D153">
        <v>5.1479999999999997</v>
      </c>
      <c r="E153">
        <v>5.3070000000000004</v>
      </c>
      <c r="F153">
        <v>3467212.06</v>
      </c>
      <c r="G153">
        <v>5.3070000000000004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-0.30718954248365787</v>
      </c>
      <c r="Q153">
        <f t="shared" ref="Q153" si="741">F153*P153</f>
        <v>-1065091.2864052209</v>
      </c>
      <c r="R153">
        <f t="shared" ref="R153" si="742">R154+Q153</f>
        <v>-53031756.315309733</v>
      </c>
      <c r="S153">
        <f t="shared" ref="S153" si="743">R153/100000</f>
        <v>-530.31756315309735</v>
      </c>
      <c r="T153">
        <f t="shared" ref="T153" si="744">S153/1000</f>
        <v>-0.5303175631530973</v>
      </c>
    </row>
    <row r="154" spans="1:20" x14ac:dyDescent="0.25">
      <c r="A154" s="5">
        <v>44439</v>
      </c>
      <c r="B154">
        <v>4.8129999999999997</v>
      </c>
      <c r="C154">
        <v>5.59</v>
      </c>
      <c r="D154">
        <v>4.71</v>
      </c>
      <c r="E154">
        <v>5.35</v>
      </c>
      <c r="F154">
        <v>5318225.26</v>
      </c>
      <c r="G154">
        <v>5.35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0.45454545454545398</v>
      </c>
      <c r="Q154">
        <f t="shared" ref="Q154" si="746">F154*P154</f>
        <v>2417375.1181818149</v>
      </c>
      <c r="R154">
        <f t="shared" ref="R154" si="747">R155+Q154</f>
        <v>-51966665.028904513</v>
      </c>
      <c r="S154">
        <f t="shared" ref="S154" si="748">R154/100000</f>
        <v>-519.66665028904515</v>
      </c>
      <c r="T154">
        <f t="shared" ref="T154" si="749">S154/1000</f>
        <v>-0.51966665028904513</v>
      </c>
    </row>
    <row r="155" spans="1:20" x14ac:dyDescent="0.25">
      <c r="A155" s="5">
        <v>44438</v>
      </c>
      <c r="B155">
        <v>5.0259999999999998</v>
      </c>
      <c r="C155">
        <v>5.1100000000000003</v>
      </c>
      <c r="D155">
        <v>4.7610000000000001</v>
      </c>
      <c r="E155">
        <v>4.8140000000000001</v>
      </c>
      <c r="F155">
        <v>1625044.1</v>
      </c>
      <c r="G155">
        <v>4.8140000000000001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-0.69627507163323832</v>
      </c>
      <c r="Q155">
        <f t="shared" ref="Q155" si="751">F155*P155</f>
        <v>-1131477.6971346713</v>
      </c>
      <c r="R155">
        <f t="shared" ref="R155" si="752">R156+Q155</f>
        <v>-54384040.14708633</v>
      </c>
      <c r="S155">
        <f t="shared" ref="S155" si="753">R155/100000</f>
        <v>-543.8404014708633</v>
      </c>
      <c r="T155">
        <f t="shared" ref="T155" si="754">S155/1000</f>
        <v>-0.54384040147086332</v>
      </c>
    </row>
    <row r="156" spans="1:20" x14ac:dyDescent="0.25">
      <c r="A156" s="5">
        <v>44437</v>
      </c>
      <c r="B156">
        <v>5.18</v>
      </c>
      <c r="C156">
        <v>5.2</v>
      </c>
      <c r="D156">
        <v>4.92</v>
      </c>
      <c r="E156">
        <v>5.0250000000000004</v>
      </c>
      <c r="F156">
        <v>1126307.3999999999</v>
      </c>
      <c r="G156">
        <v>5.0250000000000004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-0.24999999999999761</v>
      </c>
      <c r="Q156">
        <f t="shared" ref="Q156" si="756">F156*P156</f>
        <v>-281576.8499999973</v>
      </c>
      <c r="R156">
        <f t="shared" ref="R156" si="757">R157+Q156</f>
        <v>-53252562.449951656</v>
      </c>
      <c r="S156">
        <f t="shared" ref="S156" si="758">R156/100000</f>
        <v>-532.52562449951654</v>
      </c>
      <c r="T156">
        <f t="shared" ref="T156" si="759">S156/1000</f>
        <v>-0.53252562449951657</v>
      </c>
    </row>
    <row r="157" spans="1:20" x14ac:dyDescent="0.25">
      <c r="A157" s="5">
        <v>44436</v>
      </c>
      <c r="B157">
        <v>5.2569999999999997</v>
      </c>
      <c r="C157">
        <v>5.27</v>
      </c>
      <c r="D157">
        <v>5.0709999999999997</v>
      </c>
      <c r="E157">
        <v>5.18</v>
      </c>
      <c r="F157">
        <v>1181736.8</v>
      </c>
      <c r="G157">
        <v>5.18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9.5477386934674086E-2</v>
      </c>
      <c r="Q157">
        <f t="shared" ref="Q157" si="761">F157*P157</f>
        <v>112829.14170854357</v>
      </c>
      <c r="R157">
        <f t="shared" ref="R157" si="762">R158+Q157</f>
        <v>-52970985.599951662</v>
      </c>
      <c r="S157">
        <f t="shared" ref="S157" si="763">R157/100000</f>
        <v>-529.70985599951666</v>
      </c>
      <c r="T157">
        <f t="shared" ref="T157" si="764">S157/1000</f>
        <v>-0.5297098559995167</v>
      </c>
    </row>
    <row r="158" spans="1:20" x14ac:dyDescent="0.25">
      <c r="A158" s="5">
        <v>44435</v>
      </c>
      <c r="B158">
        <v>4.9790000000000001</v>
      </c>
      <c r="C158">
        <v>5.29</v>
      </c>
      <c r="D158">
        <v>4.6345000000000001</v>
      </c>
      <c r="E158">
        <v>5.2569999999999997</v>
      </c>
      <c r="F158">
        <v>2327948.23</v>
      </c>
      <c r="G158">
        <v>5.2569999999999997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0.89931350114416364</v>
      </c>
      <c r="Q158">
        <f t="shared" ref="Q158" si="766">F158*P158</f>
        <v>2093555.2732036586</v>
      </c>
      <c r="R158">
        <f t="shared" ref="R158" si="767">R159+Q158</f>
        <v>-53083814.741660208</v>
      </c>
      <c r="S158">
        <f t="shared" ref="S158" si="768">R158/100000</f>
        <v>-530.83814741660206</v>
      </c>
      <c r="T158">
        <f t="shared" ref="T158" si="769">S158/1000</f>
        <v>-0.53083814741660207</v>
      </c>
    </row>
    <row r="159" spans="1:20" x14ac:dyDescent="0.25">
      <c r="A159" s="5">
        <v>44434</v>
      </c>
      <c r="B159">
        <v>5.4882</v>
      </c>
      <c r="C159">
        <v>5.6022999999999996</v>
      </c>
      <c r="D159">
        <v>4.8757999999999999</v>
      </c>
      <c r="E159">
        <v>4.9749999999999996</v>
      </c>
      <c r="F159">
        <v>3551756.4</v>
      </c>
      <c r="G159">
        <v>4.9749999999999996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-0.72690984170681416</v>
      </c>
      <c r="Q159">
        <f t="shared" ref="Q159" si="771">F159*P159</f>
        <v>-2581806.6825051638</v>
      </c>
      <c r="R159">
        <f t="shared" ref="R159" si="772">R160+Q159</f>
        <v>-55177370.014863864</v>
      </c>
      <c r="S159">
        <f t="shared" ref="S159" si="773">R159/100000</f>
        <v>-551.77370014863868</v>
      </c>
      <c r="T159">
        <f t="shared" ref="T159" si="774">S159/1000</f>
        <v>-0.55177370014863869</v>
      </c>
    </row>
    <row r="160" spans="1:20" x14ac:dyDescent="0.25">
      <c r="A160" s="5">
        <v>44433</v>
      </c>
      <c r="B160">
        <v>5.1836000000000002</v>
      </c>
      <c r="C160">
        <v>5.7</v>
      </c>
      <c r="D160">
        <v>4.8826000000000001</v>
      </c>
      <c r="E160">
        <v>5.4885000000000002</v>
      </c>
      <c r="F160">
        <v>4116503.08</v>
      </c>
      <c r="G160">
        <v>5.4885000000000002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0.48250550526058233</v>
      </c>
      <c r="Q160">
        <f t="shared" ref="Q160" si="776">F160*P160</f>
        <v>1986235.3985221435</v>
      </c>
      <c r="R160">
        <f t="shared" ref="R160" si="777">R161+Q160</f>
        <v>-52595563.332358703</v>
      </c>
      <c r="S160">
        <f t="shared" ref="S160" si="778">R160/100000</f>
        <v>-525.95563332358699</v>
      </c>
      <c r="T160">
        <f t="shared" ref="T160" si="779">S160/1000</f>
        <v>-0.52595563332358697</v>
      </c>
    </row>
    <row r="161" spans="1:20" x14ac:dyDescent="0.25">
      <c r="A161" s="5">
        <v>44432</v>
      </c>
      <c r="B161">
        <v>5.6734</v>
      </c>
      <c r="C161">
        <v>5.7445000000000004</v>
      </c>
      <c r="D161">
        <v>4.9400000000000004</v>
      </c>
      <c r="E161">
        <v>5.1821000000000002</v>
      </c>
      <c r="F161">
        <v>4032915.33</v>
      </c>
      <c r="G161">
        <v>5.1821000000000002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-0.39813548788067182</v>
      </c>
      <c r="Q161">
        <f t="shared" ref="Q161" si="781">F161*P161</f>
        <v>-1605646.7124909905</v>
      </c>
      <c r="R161">
        <f t="shared" ref="R161" si="782">R162+Q161</f>
        <v>-54581798.730880849</v>
      </c>
      <c r="S161">
        <f t="shared" ref="S161" si="783">R161/100000</f>
        <v>-545.81798730880848</v>
      </c>
      <c r="T161">
        <f t="shared" ref="T161" si="784">S161/1000</f>
        <v>-0.54581798730880848</v>
      </c>
    </row>
    <row r="162" spans="1:20" x14ac:dyDescent="0.25">
      <c r="A162" s="5">
        <v>44431</v>
      </c>
      <c r="B162">
        <v>5.1993</v>
      </c>
      <c r="C162">
        <v>5.98</v>
      </c>
      <c r="D162">
        <v>5.1635999999999997</v>
      </c>
      <c r="E162">
        <v>5.6759000000000004</v>
      </c>
      <c r="F162">
        <v>9121617.25</v>
      </c>
      <c r="G162">
        <v>5.6759000000000004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0.25502204801567913</v>
      </c>
      <c r="Q162">
        <f t="shared" ref="Q162" si="786">F162*P162</f>
        <v>2326213.5123101468</v>
      </c>
      <c r="R162">
        <f t="shared" ref="R162" si="787">R163+Q162</f>
        <v>-52976152.018389858</v>
      </c>
      <c r="S162">
        <f t="shared" ref="S162" si="788">R162/100000</f>
        <v>-529.7615201838986</v>
      </c>
      <c r="T162">
        <f t="shared" ref="T162" si="789">S162/1000</f>
        <v>-0.52976152018389855</v>
      </c>
    </row>
    <row r="163" spans="1:20" x14ac:dyDescent="0.25">
      <c r="A163" s="5">
        <v>44430</v>
      </c>
      <c r="B163">
        <v>5.0632999999999999</v>
      </c>
      <c r="C163">
        <v>5.32</v>
      </c>
      <c r="D163">
        <v>5.0551000000000004</v>
      </c>
      <c r="E163">
        <v>5.2294</v>
      </c>
      <c r="F163">
        <v>700812.44</v>
      </c>
      <c r="G163">
        <v>5.2294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0.31596828992072279</v>
      </c>
      <c r="Q163">
        <f t="shared" ref="Q163" si="791">F163*P163</f>
        <v>221434.50822196912</v>
      </c>
      <c r="R163">
        <f t="shared" ref="R163" si="792">R164+Q163</f>
        <v>-55302365.530700006</v>
      </c>
      <c r="S163">
        <f t="shared" ref="S163" si="793">R163/100000</f>
        <v>-553.02365530700001</v>
      </c>
      <c r="T163">
        <f t="shared" ref="T163" si="794">S163/1000</f>
        <v>-0.55302365530700004</v>
      </c>
    </row>
    <row r="164" spans="1:20" x14ac:dyDescent="0.25">
      <c r="A164" s="5">
        <v>44429</v>
      </c>
      <c r="B164">
        <v>5.3318000000000003</v>
      </c>
      <c r="C164">
        <v>5.35</v>
      </c>
      <c r="D164">
        <v>5.0279999999999996</v>
      </c>
      <c r="E164">
        <v>5.0620000000000003</v>
      </c>
      <c r="F164">
        <v>2662315.29</v>
      </c>
      <c r="G164">
        <v>5.0620000000000003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-0.78881987577639323</v>
      </c>
      <c r="Q164">
        <f t="shared" ref="Q164" si="796">F164*P164</f>
        <v>-2100087.2163353926</v>
      </c>
      <c r="R164">
        <f t="shared" ref="R164" si="797">R165+Q164</f>
        <v>-55523800.038921975</v>
      </c>
      <c r="S164">
        <f t="shared" ref="S164" si="798">R164/100000</f>
        <v>-555.23800038921979</v>
      </c>
      <c r="T164">
        <f t="shared" ref="T164" si="799">S164/1000</f>
        <v>-0.55523800038921978</v>
      </c>
    </row>
    <row r="165" spans="1:20" x14ac:dyDescent="0.25">
      <c r="A165" s="5">
        <v>44428</v>
      </c>
      <c r="B165">
        <v>4.8353000000000002</v>
      </c>
      <c r="C165">
        <v>5.4</v>
      </c>
      <c r="D165">
        <v>4.7045000000000003</v>
      </c>
      <c r="E165">
        <v>5.3274999999999997</v>
      </c>
      <c r="F165">
        <v>5396243.29</v>
      </c>
      <c r="G165">
        <v>5.3274999999999997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0.79151689432063066</v>
      </c>
      <c r="Q165">
        <f t="shared" ref="Q165" si="801">F165*P165</f>
        <v>4271217.7298993422</v>
      </c>
      <c r="R165">
        <f t="shared" ref="R165" si="802">R166+Q165</f>
        <v>-53423712.822586581</v>
      </c>
      <c r="S165">
        <f t="shared" ref="S165" si="803">R165/100000</f>
        <v>-534.23712822586583</v>
      </c>
      <c r="T165">
        <f t="shared" ref="T165" si="804">S165/1000</f>
        <v>-0.53423712822586578</v>
      </c>
    </row>
    <row r="166" spans="1:20" x14ac:dyDescent="0.25">
      <c r="A166" s="5">
        <v>44427</v>
      </c>
      <c r="B166">
        <v>4.5254000000000003</v>
      </c>
      <c r="C166">
        <v>4.8430999999999997</v>
      </c>
      <c r="D166">
        <v>4.3784000000000001</v>
      </c>
      <c r="E166">
        <v>4.8314000000000004</v>
      </c>
      <c r="F166">
        <v>2761048.19</v>
      </c>
      <c r="G166">
        <v>4.8314000000000004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0.94964493221433444</v>
      </c>
      <c r="Q166">
        <f t="shared" ref="Q166" si="806">F166*P166</f>
        <v>2622015.4212330608</v>
      </c>
      <c r="R166">
        <f t="shared" ref="R166" si="807">R167+Q166</f>
        <v>-57694930.55248592</v>
      </c>
      <c r="S166">
        <f t="shared" ref="S166" si="808">R166/100000</f>
        <v>-576.94930552485926</v>
      </c>
      <c r="T166">
        <f t="shared" ref="T166" si="809">S166/1000</f>
        <v>-0.57694930552485924</v>
      </c>
    </row>
    <row r="167" spans="1:20" x14ac:dyDescent="0.25">
      <c r="A167" s="5">
        <v>44426</v>
      </c>
      <c r="B167">
        <v>4.5445000000000002</v>
      </c>
      <c r="C167">
        <v>4.75</v>
      </c>
      <c r="D167">
        <v>4.3</v>
      </c>
      <c r="E167">
        <v>4.5223000000000004</v>
      </c>
      <c r="F167">
        <v>3299144.25</v>
      </c>
      <c r="G167">
        <v>4.5223000000000004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-1.1999999999997686E-2</v>
      </c>
      <c r="Q167">
        <f t="shared" ref="Q167" si="811">F167*P167</f>
        <v>-39589.730999992367</v>
      </c>
      <c r="R167">
        <f t="shared" ref="R167" si="812">R168+Q167</f>
        <v>-60316945.973718978</v>
      </c>
      <c r="S167">
        <f t="shared" ref="S167" si="813">R167/100000</f>
        <v>-603.16945973718975</v>
      </c>
      <c r="T167">
        <f t="shared" ref="T167" si="814">S167/1000</f>
        <v>-0.60316945973718972</v>
      </c>
    </row>
    <row r="168" spans="1:20" x14ac:dyDescent="0.25">
      <c r="A168" s="5">
        <v>44425</v>
      </c>
      <c r="B168">
        <v>4.8175999999999997</v>
      </c>
      <c r="C168">
        <v>5.25</v>
      </c>
      <c r="D168">
        <v>4.4534000000000002</v>
      </c>
      <c r="E168">
        <v>4.5537000000000001</v>
      </c>
      <c r="F168">
        <v>4904836.72</v>
      </c>
      <c r="G168">
        <v>4.5537000000000001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-0.74817976399698749</v>
      </c>
      <c r="Q168">
        <f t="shared" ref="Q168" si="816">F168*P168</f>
        <v>-3669699.5796133582</v>
      </c>
      <c r="R168">
        <f t="shared" ref="R168" si="817">R169+Q168</f>
        <v>-60277356.242718987</v>
      </c>
      <c r="S168">
        <f t="shared" ref="S168" si="818">R168/100000</f>
        <v>-602.77356242718986</v>
      </c>
      <c r="T168">
        <f t="shared" ref="T168" si="819">S168/1000</f>
        <v>-0.60277356242718982</v>
      </c>
    </row>
    <row r="169" spans="1:20" x14ac:dyDescent="0.25">
      <c r="A169" s="5">
        <v>44424</v>
      </c>
      <c r="B169">
        <v>5.0971000000000002</v>
      </c>
      <c r="C169">
        <v>5.3</v>
      </c>
      <c r="D169">
        <v>4.7583000000000002</v>
      </c>
      <c r="E169">
        <v>4.8177000000000003</v>
      </c>
      <c r="F169">
        <v>4606785.5599999996</v>
      </c>
      <c r="G169">
        <v>4.8177000000000003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-0.78069041905113468</v>
      </c>
      <c r="Q169">
        <f t="shared" ref="Q169" si="821">F169*P169</f>
        <v>-3596473.3493151157</v>
      </c>
      <c r="R169">
        <f t="shared" ref="R169" si="822">R170+Q169</f>
        <v>-56607656.663105629</v>
      </c>
      <c r="S169">
        <f t="shared" ref="S169" si="823">R169/100000</f>
        <v>-566.07656663105627</v>
      </c>
      <c r="T169">
        <f t="shared" ref="T169" si="824">S169/1000</f>
        <v>-0.56607656663105632</v>
      </c>
    </row>
    <row r="170" spans="1:20" x14ac:dyDescent="0.25">
      <c r="A170" s="5">
        <v>44423</v>
      </c>
      <c r="B170">
        <v>4.8494000000000002</v>
      </c>
      <c r="C170">
        <v>5.1929999999999996</v>
      </c>
      <c r="D170">
        <v>4.5133999999999999</v>
      </c>
      <c r="E170">
        <v>5.09</v>
      </c>
      <c r="F170">
        <v>5603246.25</v>
      </c>
      <c r="G170">
        <v>5.09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0.69688051795173689</v>
      </c>
      <c r="Q170">
        <f t="shared" ref="Q170" si="826">F170*P170</f>
        <v>3904793.1489111274</v>
      </c>
      <c r="R170">
        <f t="shared" ref="R170" si="827">R171+Q170</f>
        <v>-53011183.313790515</v>
      </c>
      <c r="S170">
        <f t="shared" ref="S170" si="828">R170/100000</f>
        <v>-530.11183313790514</v>
      </c>
      <c r="T170">
        <f t="shared" ref="T170" si="829">S170/1000</f>
        <v>-0.53011183313790511</v>
      </c>
    </row>
    <row r="171" spans="1:20" x14ac:dyDescent="0.25">
      <c r="A171" s="5">
        <v>44422</v>
      </c>
      <c r="B171">
        <v>4.8055000000000003</v>
      </c>
      <c r="C171">
        <v>5.07</v>
      </c>
      <c r="D171">
        <v>4.6516000000000002</v>
      </c>
      <c r="E171">
        <v>4.8445999999999998</v>
      </c>
      <c r="F171">
        <v>2844754.61</v>
      </c>
      <c r="G171">
        <v>4.8445999999999998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-7.7437858508606267E-2</v>
      </c>
      <c r="Q171">
        <f t="shared" ref="Q171" si="831">F171*P171</f>
        <v>-220291.70498088538</v>
      </c>
      <c r="R171">
        <f t="shared" ref="R171" si="832">R172+Q171</f>
        <v>-56915976.462701641</v>
      </c>
      <c r="S171">
        <f t="shared" ref="S171" si="833">R171/100000</f>
        <v>-569.15976462701644</v>
      </c>
      <c r="T171">
        <f t="shared" ref="T171" si="834">S171/1000</f>
        <v>-0.56915976462701645</v>
      </c>
    </row>
    <row r="172" spans="1:20" x14ac:dyDescent="0.25">
      <c r="A172" s="5">
        <v>44421</v>
      </c>
      <c r="B172">
        <v>4.4848999999999997</v>
      </c>
      <c r="C172">
        <v>4.88</v>
      </c>
      <c r="D172">
        <v>4.4188000000000001</v>
      </c>
      <c r="E172">
        <v>4.8026999999999997</v>
      </c>
      <c r="F172">
        <v>2443105.44</v>
      </c>
      <c r="G172">
        <v>4.8026999999999997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0.66478751084128285</v>
      </c>
      <c r="Q172">
        <f t="shared" ref="Q172" si="836">F172*P172</f>
        <v>1624145.9841803971</v>
      </c>
      <c r="R172">
        <f t="shared" ref="R172" si="837">R173+Q172</f>
        <v>-56695684.757720754</v>
      </c>
      <c r="S172">
        <f t="shared" ref="S172" si="838">R172/100000</f>
        <v>-566.95684757720755</v>
      </c>
      <c r="T172">
        <f t="shared" ref="T172" si="839">S172/1000</f>
        <v>-0.56695684757720755</v>
      </c>
    </row>
    <row r="173" spans="1:20" x14ac:dyDescent="0.25">
      <c r="A173" s="5">
        <v>44420</v>
      </c>
      <c r="B173">
        <v>4.6391</v>
      </c>
      <c r="C173">
        <v>4.99</v>
      </c>
      <c r="D173">
        <v>4.21</v>
      </c>
      <c r="E173">
        <v>4.4893000000000001</v>
      </c>
      <c r="F173">
        <v>4550092.33</v>
      </c>
      <c r="G173">
        <v>4.4893000000000001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-0.2838461538461538</v>
      </c>
      <c r="Q173">
        <f t="shared" ref="Q173" si="841">F173*P173</f>
        <v>-1291526.2075153845</v>
      </c>
      <c r="R173">
        <f t="shared" ref="R173" si="842">R174+Q173</f>
        <v>-58319830.741901152</v>
      </c>
      <c r="S173">
        <f t="shared" ref="S173" si="843">R173/100000</f>
        <v>-583.19830741901148</v>
      </c>
      <c r="T173">
        <f t="shared" ref="T173" si="844">S173/1000</f>
        <v>-0.58319830741901146</v>
      </c>
    </row>
    <row r="174" spans="1:20" x14ac:dyDescent="0.25">
      <c r="A174" s="5">
        <v>44419</v>
      </c>
      <c r="B174">
        <v>4.3970000000000002</v>
      </c>
      <c r="C174">
        <v>5.0999999999999996</v>
      </c>
      <c r="D174">
        <v>4.2961999999999998</v>
      </c>
      <c r="E174">
        <v>4.6399999999999997</v>
      </c>
      <c r="F174">
        <v>5949178.5099999998</v>
      </c>
      <c r="G174">
        <v>4.6399999999999997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-0.14456332421000262</v>
      </c>
      <c r="Q174">
        <f t="shared" ref="Q174" si="846">F174*P174</f>
        <v>-860033.02172431024</v>
      </c>
      <c r="R174">
        <f t="shared" ref="R174" si="847">R175+Q174</f>
        <v>-57028304.534385771</v>
      </c>
      <c r="S174">
        <f t="shared" ref="S174" si="848">R174/100000</f>
        <v>-570.28304534385768</v>
      </c>
      <c r="T174">
        <f t="shared" ref="T174" si="849">S174/1000</f>
        <v>-0.57028304534385765</v>
      </c>
    </row>
    <row r="175" spans="1:20" x14ac:dyDescent="0.25">
      <c r="A175" s="5">
        <v>44418</v>
      </c>
      <c r="B175">
        <v>4.0263999999999998</v>
      </c>
      <c r="C175">
        <v>4.6939000000000002</v>
      </c>
      <c r="D175">
        <v>3.9937999999999998</v>
      </c>
      <c r="E175">
        <v>4.3879999999999999</v>
      </c>
      <c r="F175">
        <v>7084756.1900000004</v>
      </c>
      <c r="G175">
        <v>4.3879999999999999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0.12612483930866986</v>
      </c>
      <c r="Q175">
        <f t="shared" ref="Q175" si="851">F175*P175</f>
        <v>893563.73600485409</v>
      </c>
      <c r="R175">
        <f t="shared" ref="R175" si="852">R176+Q175</f>
        <v>-56168271.512661457</v>
      </c>
      <c r="S175">
        <f t="shared" ref="S175" si="853">R175/100000</f>
        <v>-561.68271512661454</v>
      </c>
      <c r="T175">
        <f t="shared" ref="T175" si="854">S175/1000</f>
        <v>-0.5616827151266145</v>
      </c>
    </row>
    <row r="176" spans="1:20" x14ac:dyDescent="0.25">
      <c r="A176" s="5">
        <v>44417</v>
      </c>
      <c r="B176">
        <v>3.7877999999999998</v>
      </c>
      <c r="C176">
        <v>4.2371999999999996</v>
      </c>
      <c r="D176">
        <v>3.62</v>
      </c>
      <c r="E176">
        <v>4.0293999999999999</v>
      </c>
      <c r="F176">
        <v>4724004.58</v>
      </c>
      <c r="G176">
        <v>4.0293999999999999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0.32663642255346753</v>
      </c>
      <c r="Q176">
        <f t="shared" ref="Q176" si="856">F176*P176</f>
        <v>1543031.9561373959</v>
      </c>
      <c r="R176">
        <f t="shared" ref="R176" si="857">R177+Q176</f>
        <v>-57061835.248666309</v>
      </c>
      <c r="S176">
        <f t="shared" ref="S176" si="858">R176/100000</f>
        <v>-570.61835248666307</v>
      </c>
      <c r="T176">
        <f t="shared" ref="T176" si="859">S176/1000</f>
        <v>-0.57061835248666304</v>
      </c>
    </row>
    <row r="177" spans="1:20" x14ac:dyDescent="0.25">
      <c r="A177" s="5">
        <v>44416</v>
      </c>
      <c r="B177">
        <v>4.1026999999999996</v>
      </c>
      <c r="C177">
        <v>4.1524000000000001</v>
      </c>
      <c r="D177">
        <v>3.7023999999999999</v>
      </c>
      <c r="E177">
        <v>3.7843</v>
      </c>
      <c r="F177">
        <v>3046972.39</v>
      </c>
      <c r="G177">
        <v>3.7843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-0.63599999999999979</v>
      </c>
      <c r="Q177">
        <f t="shared" ref="Q177" si="861">F177*P177</f>
        <v>-1937874.4400399996</v>
      </c>
      <c r="R177">
        <f t="shared" ref="R177" si="862">R178+Q177</f>
        <v>-58604867.204803705</v>
      </c>
      <c r="S177">
        <f t="shared" ref="S177" si="863">R177/100000</f>
        <v>-586.04867204803702</v>
      </c>
      <c r="T177">
        <f t="shared" ref="T177" si="864">S177/1000</f>
        <v>-0.58604867204803701</v>
      </c>
    </row>
    <row r="178" spans="1:20" x14ac:dyDescent="0.25">
      <c r="A178" s="5">
        <v>44415</v>
      </c>
      <c r="B178">
        <v>3.8896000000000002</v>
      </c>
      <c r="C178">
        <v>4.3</v>
      </c>
      <c r="D178">
        <v>3.8483999999999998</v>
      </c>
      <c r="E178">
        <v>4.0970000000000004</v>
      </c>
      <c r="F178">
        <v>4544939.24</v>
      </c>
      <c r="G178">
        <v>4.0970000000000004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0.10097431355181841</v>
      </c>
      <c r="Q178">
        <f t="shared" ref="Q178" si="866">F178*P178</f>
        <v>458922.11989372328</v>
      </c>
      <c r="R178">
        <f t="shared" ref="R178" si="867">R179+Q178</f>
        <v>-56666992.764763705</v>
      </c>
      <c r="S178">
        <f t="shared" ref="S178" si="868">R178/100000</f>
        <v>-566.66992764763711</v>
      </c>
      <c r="T178">
        <f t="shared" ref="T178" si="869">S178/1000</f>
        <v>-0.56666992764763713</v>
      </c>
    </row>
    <row r="179" spans="1:20" x14ac:dyDescent="0.25">
      <c r="A179" s="5">
        <v>44414</v>
      </c>
      <c r="B179">
        <v>3.9584999999999999</v>
      </c>
      <c r="C179">
        <v>4.0347999999999997</v>
      </c>
      <c r="D179">
        <v>3.7869000000000002</v>
      </c>
      <c r="E179">
        <v>3.8826000000000001</v>
      </c>
      <c r="F179">
        <v>3409397.3</v>
      </c>
      <c r="G179">
        <v>3.8826000000000001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-0.22791448164582442</v>
      </c>
      <c r="Q179">
        <f t="shared" ref="Q179" si="871">F179*P179</f>
        <v>-777051.01835417328</v>
      </c>
      <c r="R179">
        <f t="shared" ref="R179" si="872">R180+Q179</f>
        <v>-57125914.884657428</v>
      </c>
      <c r="S179">
        <f t="shared" ref="S179" si="873">R179/100000</f>
        <v>-571.25914884657425</v>
      </c>
      <c r="T179">
        <f t="shared" ref="T179" si="874">S179/1000</f>
        <v>-0.57125914884657425</v>
      </c>
    </row>
    <row r="180" spans="1:20" x14ac:dyDescent="0.25">
      <c r="A180" s="5">
        <v>44413</v>
      </c>
      <c r="B180">
        <v>3.8469000000000002</v>
      </c>
      <c r="C180">
        <v>4.2712000000000003</v>
      </c>
      <c r="D180">
        <v>3.7618</v>
      </c>
      <c r="E180">
        <v>3.9580000000000002</v>
      </c>
      <c r="F180">
        <v>6429079.9500000002</v>
      </c>
      <c r="G180">
        <v>3.9580000000000002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-0.22968197879858643</v>
      </c>
      <c r="Q180">
        <f t="shared" ref="Q180" si="876">F180*P180</f>
        <v>-1476643.8047703172</v>
      </c>
      <c r="R180">
        <f t="shared" ref="R180" si="877">R181+Q180</f>
        <v>-56348863.866303258</v>
      </c>
      <c r="S180">
        <f t="shared" ref="S180" si="878">R180/100000</f>
        <v>-563.48863866303259</v>
      </c>
      <c r="T180">
        <f t="shared" ref="T180" si="879">S180/1000</f>
        <v>-0.56348863866303256</v>
      </c>
    </row>
    <row r="181" spans="1:20" x14ac:dyDescent="0.25">
      <c r="A181" s="5">
        <v>44412</v>
      </c>
      <c r="B181">
        <v>3.7629999999999999</v>
      </c>
      <c r="C181">
        <v>3.94</v>
      </c>
      <c r="D181">
        <v>3.6034999999999999</v>
      </c>
      <c r="E181">
        <v>3.8462999999999998</v>
      </c>
      <c r="F181">
        <v>3001861.88</v>
      </c>
      <c r="G181">
        <v>3.8462999999999998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0.44309063893016282</v>
      </c>
      <c r="Q181">
        <f t="shared" ref="Q181" si="881">F181*P181</f>
        <v>1330096.8983892996</v>
      </c>
      <c r="R181">
        <f t="shared" ref="R181" si="882">R182+Q181</f>
        <v>-54872220.061532937</v>
      </c>
      <c r="S181">
        <f t="shared" ref="S181" si="883">R181/100000</f>
        <v>-548.72220061532937</v>
      </c>
      <c r="T181">
        <f t="shared" ref="T181" si="884">S181/1000</f>
        <v>-0.54872220061532939</v>
      </c>
    </row>
    <row r="182" spans="1:20" x14ac:dyDescent="0.25">
      <c r="A182" s="5">
        <v>44411</v>
      </c>
      <c r="B182">
        <v>3.6600999999999999</v>
      </c>
      <c r="C182">
        <v>4</v>
      </c>
      <c r="D182">
        <v>3.4598</v>
      </c>
      <c r="E182">
        <v>3.7625000000000002</v>
      </c>
      <c r="F182">
        <v>4821740.0999999996</v>
      </c>
      <c r="G182">
        <v>3.7625000000000002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0.12069603850425836</v>
      </c>
      <c r="Q182">
        <f t="shared" ref="Q182" si="886">F182*P182</f>
        <v>581964.92876712652</v>
      </c>
      <c r="R182">
        <f t="shared" ref="R182" si="887">R183+Q182</f>
        <v>-56202316.959922239</v>
      </c>
      <c r="S182">
        <f t="shared" ref="S182" si="888">R182/100000</f>
        <v>-562.02316959922234</v>
      </c>
      <c r="T182">
        <f t="shared" ref="T182" si="889">S182/1000</f>
        <v>-0.56202316959922238</v>
      </c>
    </row>
    <row r="183" spans="1:20" x14ac:dyDescent="0.25">
      <c r="A183" s="5">
        <v>44410</v>
      </c>
      <c r="B183">
        <v>3.4535999999999998</v>
      </c>
      <c r="C183">
        <v>3.6795</v>
      </c>
      <c r="D183">
        <v>3.3700999999999999</v>
      </c>
      <c r="E183">
        <v>3.6600999999999999</v>
      </c>
      <c r="F183">
        <v>1808898.49</v>
      </c>
      <c r="G183">
        <v>3.6600999999999999</v>
      </c>
      <c r="L183" t="s">
        <v>8</v>
      </c>
      <c r="M183" t="s">
        <v>7</v>
      </c>
      <c r="N183" t="s">
        <v>8</v>
      </c>
      <c r="P183">
        <f t="shared" ref="P183" si="890">IF(C183=D183,0,((E183-D183)-(C183-E183))/(C183-D183))</f>
        <v>0.87459599224305062</v>
      </c>
      <c r="Q183">
        <f t="shared" ref="Q183" si="891">F183*P183</f>
        <v>1582055.3697285061</v>
      </c>
      <c r="R183">
        <f t="shared" ref="R183" si="892">R184+Q183</f>
        <v>-56784281.888689369</v>
      </c>
      <c r="S183">
        <f t="shared" ref="S183" si="893">R183/100000</f>
        <v>-567.84281888689372</v>
      </c>
      <c r="T183">
        <f t="shared" ref="T183" si="894">S183/1000</f>
        <v>-0.5678428188868937</v>
      </c>
    </row>
    <row r="184" spans="1:20" x14ac:dyDescent="0.25">
      <c r="A184" s="5">
        <v>44409</v>
      </c>
      <c r="B184">
        <v>3.5689000000000002</v>
      </c>
      <c r="C184">
        <v>3.74</v>
      </c>
      <c r="D184">
        <v>3.37</v>
      </c>
      <c r="E184">
        <v>3.4565000000000001</v>
      </c>
      <c r="F184">
        <v>3194912.7</v>
      </c>
      <c r="G184">
        <v>3.4565000000000001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-0.53243243243243243</v>
      </c>
      <c r="Q184">
        <f t="shared" ref="Q184" si="896">F184*P184</f>
        <v>-1701075.1402702704</v>
      </c>
      <c r="R184">
        <f t="shared" ref="R184" si="897">R185+Q184</f>
        <v>-58366337.258417875</v>
      </c>
      <c r="S184">
        <f t="shared" ref="S184" si="898">R184/100000</f>
        <v>-583.66337258417877</v>
      </c>
      <c r="T184">
        <f t="shared" ref="T184" si="899">S184/1000</f>
        <v>-0.58366337258417877</v>
      </c>
    </row>
    <row r="185" spans="1:20" x14ac:dyDescent="0.25">
      <c r="A185" s="5">
        <v>44408</v>
      </c>
      <c r="B185">
        <v>3.5714000000000001</v>
      </c>
      <c r="C185">
        <v>3.74</v>
      </c>
      <c r="D185">
        <v>3.3814000000000002</v>
      </c>
      <c r="E185">
        <v>3.5746000000000002</v>
      </c>
      <c r="F185">
        <v>2515488.2000000002</v>
      </c>
      <c r="G185">
        <v>3.5746000000000002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7.7523703290574578E-2</v>
      </c>
      <c r="Q185">
        <f t="shared" ref="Q185" si="901">F185*P185</f>
        <v>195009.96084774155</v>
      </c>
      <c r="R185">
        <f t="shared" ref="R185" si="902">R186+Q185</f>
        <v>-56665262.118147604</v>
      </c>
      <c r="S185">
        <f t="shared" ref="S185" si="903">R185/100000</f>
        <v>-566.65262118147609</v>
      </c>
      <c r="T185">
        <f t="shared" ref="T185" si="904">S185/1000</f>
        <v>-0.56665262118147608</v>
      </c>
    </row>
    <row r="186" spans="1:20" x14ac:dyDescent="0.25">
      <c r="A186" s="5">
        <v>44407</v>
      </c>
      <c r="B186">
        <v>3.5369000000000002</v>
      </c>
      <c r="C186">
        <v>3.6160999999999999</v>
      </c>
      <c r="D186">
        <v>3.2736000000000001</v>
      </c>
      <c r="E186">
        <v>3.57</v>
      </c>
      <c r="F186">
        <v>3693483.83</v>
      </c>
      <c r="G186">
        <v>3.57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0.73080291970802891</v>
      </c>
      <c r="Q186">
        <f t="shared" ref="Q186" si="906">F186*P186</f>
        <v>2699208.7668583933</v>
      </c>
      <c r="R186">
        <f t="shared" ref="R186" si="907">R187+Q186</f>
        <v>-56860272.078995347</v>
      </c>
      <c r="S186">
        <f t="shared" ref="S186" si="908">R186/100000</f>
        <v>-568.60272078995342</v>
      </c>
      <c r="T186">
        <f t="shared" ref="T186" si="909">S186/1000</f>
        <v>-0.56860272078995344</v>
      </c>
    </row>
    <row r="187" spans="1:20" x14ac:dyDescent="0.25">
      <c r="A187" s="5">
        <v>44406</v>
      </c>
      <c r="B187">
        <v>3.7231000000000001</v>
      </c>
      <c r="C187">
        <v>3.8698000000000001</v>
      </c>
      <c r="D187">
        <v>3.4359999999999999</v>
      </c>
      <c r="E187">
        <v>3.5358000000000001</v>
      </c>
      <c r="F187">
        <v>4160866.84</v>
      </c>
      <c r="G187">
        <v>3.5358000000000001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-0.53988012909174699</v>
      </c>
      <c r="Q187">
        <f t="shared" ref="Q187" si="911">F187*P187</f>
        <v>-2246369.3267127695</v>
      </c>
      <c r="R187">
        <f t="shared" ref="R187" si="912">R188+Q187</f>
        <v>-59559480.845853738</v>
      </c>
      <c r="S187">
        <f t="shared" ref="S187" si="913">R187/100000</f>
        <v>-595.59480845853739</v>
      </c>
      <c r="T187">
        <f t="shared" ref="T187" si="914">S187/1000</f>
        <v>-0.59559480845853741</v>
      </c>
    </row>
    <row r="188" spans="1:20" x14ac:dyDescent="0.25">
      <c r="A188" s="5">
        <v>44405</v>
      </c>
      <c r="B188">
        <v>3.7277999999999998</v>
      </c>
      <c r="C188">
        <v>4.1162000000000001</v>
      </c>
      <c r="D188">
        <v>3.6244999999999998</v>
      </c>
      <c r="E188">
        <v>3.7191000000000001</v>
      </c>
      <c r="F188">
        <v>4072297.03</v>
      </c>
      <c r="G188">
        <v>3.7191000000000001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-0.615212527964205</v>
      </c>
      <c r="Q188">
        <f t="shared" ref="Q188" si="916">F188*P188</f>
        <v>-2505328.150447424</v>
      </c>
      <c r="R188">
        <f t="shared" ref="R188" si="917">R189+Q188</f>
        <v>-57313111.519140966</v>
      </c>
      <c r="S188">
        <f t="shared" ref="S188" si="918">R188/100000</f>
        <v>-573.13111519140966</v>
      </c>
      <c r="T188">
        <f t="shared" ref="T188" si="919">S188/1000</f>
        <v>-0.57313111519140969</v>
      </c>
    </row>
    <row r="189" spans="1:20" x14ac:dyDescent="0.25">
      <c r="A189" s="5">
        <v>44404</v>
      </c>
      <c r="B189">
        <v>3.5272000000000001</v>
      </c>
      <c r="C189">
        <v>3.98</v>
      </c>
      <c r="D189">
        <v>3.1949000000000001</v>
      </c>
      <c r="E189">
        <v>3.7288000000000001</v>
      </c>
      <c r="F189">
        <v>6431054.5499999998</v>
      </c>
      <c r="G189">
        <v>3.7288000000000001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0.36008151827792662</v>
      </c>
      <c r="Q189">
        <f t="shared" ref="Q189" si="921">F189*P189</f>
        <v>2315703.8864921681</v>
      </c>
      <c r="R189">
        <f t="shared" ref="R189" si="922">R190+Q189</f>
        <v>-54807783.368693545</v>
      </c>
      <c r="S189">
        <f t="shared" ref="S189" si="923">R189/100000</f>
        <v>-548.07783368693549</v>
      </c>
      <c r="T189">
        <f t="shared" ref="T189" si="924">S189/1000</f>
        <v>-0.54807783368693552</v>
      </c>
    </row>
    <row r="190" spans="1:20" x14ac:dyDescent="0.25">
      <c r="A190" s="5">
        <v>44403</v>
      </c>
      <c r="B190">
        <v>3.2713000000000001</v>
      </c>
      <c r="C190">
        <v>4.22</v>
      </c>
      <c r="D190">
        <v>3.2269999999999999</v>
      </c>
      <c r="E190">
        <v>3.5246</v>
      </c>
      <c r="F190">
        <v>9820804.6600000001</v>
      </c>
      <c r="G190">
        <v>3.5246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-0.40060422960725051</v>
      </c>
      <c r="Q190">
        <f t="shared" ref="Q190" si="926">F190*P190</f>
        <v>-3934255.8849425958</v>
      </c>
      <c r="R190">
        <f t="shared" ref="R190" si="927">R191+Q190</f>
        <v>-57123487.255185716</v>
      </c>
      <c r="S190">
        <f t="shared" ref="S190" si="928">R190/100000</f>
        <v>-571.23487255185717</v>
      </c>
      <c r="T190">
        <f t="shared" ref="T190" si="929">S190/1000</f>
        <v>-0.57123487255185712</v>
      </c>
    </row>
    <row r="191" spans="1:20" x14ac:dyDescent="0.25">
      <c r="A191" s="5">
        <v>44402</v>
      </c>
      <c r="B191">
        <v>3.0851999999999999</v>
      </c>
      <c r="C191">
        <v>3.2780999999999998</v>
      </c>
      <c r="D191">
        <v>2.9645000000000001</v>
      </c>
      <c r="E191">
        <v>3.2694000000000001</v>
      </c>
      <c r="F191">
        <v>3025260.81</v>
      </c>
      <c r="G191">
        <v>3.2694000000000001</v>
      </c>
      <c r="L191" t="s">
        <v>7</v>
      </c>
      <c r="M191" t="s">
        <v>7</v>
      </c>
      <c r="N191" t="s">
        <v>8</v>
      </c>
      <c r="P191">
        <f t="shared" ref="P191" si="930">IF(C191=D191,0,((E191-D191)-(C191-E191))/(C191-D191))</f>
        <v>0.94451530612245083</v>
      </c>
      <c r="Q191">
        <f t="shared" ref="Q191" si="931">F191*P191</f>
        <v>2857405.1400574036</v>
      </c>
      <c r="R191">
        <f t="shared" ref="R191" si="932">R192+Q191</f>
        <v>-53189231.370243117</v>
      </c>
      <c r="S191">
        <f t="shared" ref="S191" si="933">R191/100000</f>
        <v>-531.89231370243112</v>
      </c>
      <c r="T191">
        <f t="shared" ref="T191:T197" si="934">S191/1000</f>
        <v>-0.53189231370243117</v>
      </c>
    </row>
    <row r="192" spans="1:20" x14ac:dyDescent="0.25">
      <c r="A192" s="5">
        <v>44401</v>
      </c>
      <c r="B192">
        <v>3.1953</v>
      </c>
      <c r="C192">
        <v>3.59</v>
      </c>
      <c r="D192">
        <v>3.0497999999999998</v>
      </c>
      <c r="E192">
        <v>3.0888</v>
      </c>
      <c r="F192">
        <v>7252242.1299999999</v>
      </c>
      <c r="G192">
        <v>3.0888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-0.85560903369122498</v>
      </c>
      <c r="Q192">
        <f t="shared" ref="Q192" si="936">F192*P192</f>
        <v>-6205083.8809440909</v>
      </c>
      <c r="R192">
        <f t="shared" ref="R192" si="937">R193+Q192</f>
        <v>-56046636.510300525</v>
      </c>
      <c r="S192">
        <f t="shared" ref="S192" si="938">R192/100000</f>
        <v>-560.46636510300527</v>
      </c>
      <c r="T192">
        <f t="shared" si="934"/>
        <v>-0.56046636510300529</v>
      </c>
    </row>
    <row r="193" spans="1:20" x14ac:dyDescent="0.25">
      <c r="A193" s="5">
        <v>44400</v>
      </c>
      <c r="B193">
        <v>2.5169999999999999</v>
      </c>
      <c r="C193">
        <v>3.2399</v>
      </c>
      <c r="D193">
        <v>2.4556</v>
      </c>
      <c r="E193">
        <v>3.1953</v>
      </c>
      <c r="F193">
        <v>5778179.71</v>
      </c>
      <c r="G193">
        <v>3.1953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0.88626800969016961</v>
      </c>
      <c r="Q193">
        <f t="shared" ref="Q193" si="940">F193*P193</f>
        <v>5121015.8312138217</v>
      </c>
      <c r="R193">
        <f t="shared" ref="R193" si="941">R194+Q193</f>
        <v>-49841552.629356436</v>
      </c>
      <c r="S193">
        <f t="shared" ref="S193" si="942">R193/100000</f>
        <v>-498.41552629356437</v>
      </c>
      <c r="T193">
        <f t="shared" si="934"/>
        <v>-0.49841552629356439</v>
      </c>
    </row>
    <row r="194" spans="1:20" x14ac:dyDescent="0.25">
      <c r="A194" s="5">
        <v>44399</v>
      </c>
      <c r="B194">
        <v>2.5131999999999999</v>
      </c>
      <c r="C194">
        <v>2.6</v>
      </c>
      <c r="D194">
        <v>2.4211999999999998</v>
      </c>
      <c r="E194">
        <v>2.5169000000000001</v>
      </c>
      <c r="F194">
        <v>2041750.16</v>
      </c>
      <c r="G194">
        <v>2.5169000000000001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7.0469798657720184E-2</v>
      </c>
      <c r="Q194">
        <f t="shared" ref="Q194" si="944">F194*P194</f>
        <v>143881.72268456797</v>
      </c>
      <c r="R194">
        <f t="shared" ref="R194" si="945">R195+Q194</f>
        <v>-54962568.460570261</v>
      </c>
      <c r="S194">
        <f t="shared" ref="S194" si="946">R194/100000</f>
        <v>-549.62568460570265</v>
      </c>
      <c r="T194">
        <f t="shared" si="934"/>
        <v>-0.5496256846057026</v>
      </c>
    </row>
    <row r="195" spans="1:20" x14ac:dyDescent="0.25">
      <c r="A195" s="5">
        <v>44398</v>
      </c>
      <c r="B195">
        <v>2.2833000000000001</v>
      </c>
      <c r="C195">
        <v>2.5535000000000001</v>
      </c>
      <c r="D195">
        <v>2.2504</v>
      </c>
      <c r="E195">
        <v>2.5108000000000001</v>
      </c>
      <c r="F195">
        <v>3739724.21</v>
      </c>
      <c r="G195">
        <v>2.5108000000000001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0.71824480369515054</v>
      </c>
      <c r="Q195">
        <f t="shared" ref="Q195" si="948">F195*P195</f>
        <v>2686037.4810854518</v>
      </c>
      <c r="R195">
        <f t="shared" ref="R195" si="949">R196+Q195</f>
        <v>-55106450.183254831</v>
      </c>
      <c r="S195">
        <f t="shared" ref="S195" si="950">R195/100000</f>
        <v>-551.06450183254833</v>
      </c>
      <c r="T195">
        <f t="shared" si="934"/>
        <v>-0.55106450183254829</v>
      </c>
    </row>
    <row r="196" spans="1:20" x14ac:dyDescent="0.25">
      <c r="A196" s="5">
        <v>44397</v>
      </c>
      <c r="B196">
        <v>2.7315999999999998</v>
      </c>
      <c r="C196">
        <v>2.7778999999999998</v>
      </c>
      <c r="D196">
        <v>2.2201</v>
      </c>
      <c r="E196">
        <v>2.2822</v>
      </c>
      <c r="F196">
        <v>4430357.16</v>
      </c>
      <c r="G196">
        <v>2.2822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-0.77733954822517004</v>
      </c>
      <c r="Q196">
        <f t="shared" ref="Q196" si="952">F196*P196</f>
        <v>-3443891.8332305476</v>
      </c>
      <c r="R196">
        <f t="shared" ref="R196" si="953">R197+Q196</f>
        <v>-57792487.66434028</v>
      </c>
      <c r="S196">
        <f t="shared" ref="S196" si="954">R196/100000</f>
        <v>-577.92487664340285</v>
      </c>
      <c r="T196">
        <f t="shared" si="934"/>
        <v>-0.57792487664340286</v>
      </c>
    </row>
    <row r="197" spans="1:20" x14ac:dyDescent="0.25">
      <c r="A197" s="5">
        <v>44396</v>
      </c>
      <c r="B197">
        <v>2.8557000000000001</v>
      </c>
      <c r="C197">
        <v>3.1395</v>
      </c>
      <c r="D197">
        <v>2.6981999999999999</v>
      </c>
      <c r="E197">
        <v>2.7282999999999999</v>
      </c>
      <c r="F197">
        <v>8645708.5899999999</v>
      </c>
      <c r="G197">
        <v>0</v>
      </c>
      <c r="L197" t="s">
        <v>8</v>
      </c>
      <c r="M197" t="s">
        <v>8</v>
      </c>
      <c r="N197" t="s">
        <v>8</v>
      </c>
      <c r="P197">
        <f t="shared" ref="P197" si="955">IF(C197=D197,0,((E197-D197)-(C197-E197))/(C197-D197))</f>
        <v>-0.86358486290505321</v>
      </c>
      <c r="Q197">
        <f t="shared" ref="Q197" si="956">F197*P197</f>
        <v>-7466303.0674121911</v>
      </c>
      <c r="R197">
        <f t="shared" ref="R197" si="957">R198+Q197</f>
        <v>-54348595.831109732</v>
      </c>
      <c r="S197">
        <f t="shared" ref="S197" si="958">R197/100000</f>
        <v>-543.48595831109731</v>
      </c>
      <c r="T197">
        <f t="shared" si="934"/>
        <v>-0.54348595831109736</v>
      </c>
    </row>
    <row r="198" spans="1:20" x14ac:dyDescent="0.25">
      <c r="A198" s="5">
        <v>44395</v>
      </c>
      <c r="B198">
        <v>2.6326999999999998</v>
      </c>
      <c r="C198">
        <v>2.9011</v>
      </c>
      <c r="D198">
        <v>2.6122000000000001</v>
      </c>
      <c r="E198">
        <v>2.8557000000000001</v>
      </c>
      <c r="F198">
        <v>2698365.05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0.68570439598477051</v>
      </c>
      <c r="Q198">
        <f t="shared" ref="Q198:Q261" si="960">F198*P198</f>
        <v>1850280.776756665</v>
      </c>
      <c r="R198">
        <f t="shared" ref="R198:R261" si="961">R199+Q198</f>
        <v>-46882292.763697542</v>
      </c>
      <c r="S198">
        <f t="shared" ref="S198:S261" si="962">R198/100000</f>
        <v>-468.82292763697541</v>
      </c>
      <c r="T198">
        <f t="shared" ref="T198:T261" si="963">S198/1000</f>
        <v>-0.46882292763697542</v>
      </c>
    </row>
    <row r="199" spans="1:20" x14ac:dyDescent="0.25">
      <c r="A199" s="5">
        <v>44394</v>
      </c>
      <c r="B199">
        <v>2.7589999999999999</v>
      </c>
      <c r="C199">
        <v>2.8180000000000001</v>
      </c>
      <c r="D199">
        <v>2.6072000000000002</v>
      </c>
      <c r="E199">
        <v>2.6322000000000001</v>
      </c>
      <c r="F199">
        <v>1773110.51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-0.76280834914611073</v>
      </c>
      <c r="Q199">
        <f t="shared" si="960"/>
        <v>-1352543.5009867186</v>
      </c>
      <c r="R199">
        <f t="shared" si="961"/>
        <v>-48732573.540454209</v>
      </c>
      <c r="S199">
        <f t="shared" si="962"/>
        <v>-487.32573540454212</v>
      </c>
      <c r="T199">
        <f t="shared" si="963"/>
        <v>-0.4873257354045421</v>
      </c>
    </row>
    <row r="200" spans="1:20" x14ac:dyDescent="0.25">
      <c r="A200" s="5">
        <v>44393</v>
      </c>
      <c r="B200">
        <v>3.2212000000000001</v>
      </c>
      <c r="C200">
        <v>3.2238000000000002</v>
      </c>
      <c r="D200">
        <v>2.7403</v>
      </c>
      <c r="E200">
        <v>2.7589999999999999</v>
      </c>
      <c r="F200">
        <v>4157645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-0.92264736297828365</v>
      </c>
      <c r="Q200">
        <f t="shared" si="960"/>
        <v>-3836040.1954498463</v>
      </c>
      <c r="R200">
        <f t="shared" si="961"/>
        <v>-47380030.039467491</v>
      </c>
      <c r="S200">
        <f t="shared" si="962"/>
        <v>-473.80030039467493</v>
      </c>
      <c r="T200">
        <f t="shared" si="963"/>
        <v>-0.47380030039467491</v>
      </c>
    </row>
    <row r="201" spans="1:20" x14ac:dyDescent="0.25">
      <c r="A201" s="5">
        <v>44392</v>
      </c>
      <c r="B201">
        <v>3.0392000000000001</v>
      </c>
      <c r="C201">
        <v>3.6720000000000002</v>
      </c>
      <c r="D201">
        <v>2.9403999999999999</v>
      </c>
      <c r="E201">
        <v>3.2202999999999999</v>
      </c>
      <c r="F201">
        <v>11618392.52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-0.2348277747402954</v>
      </c>
      <c r="Q201">
        <f t="shared" si="960"/>
        <v>-2728321.2615308929</v>
      </c>
      <c r="R201">
        <f t="shared" si="961"/>
        <v>-43543989.844017647</v>
      </c>
      <c r="S201">
        <f t="shared" si="962"/>
        <v>-435.43989844017648</v>
      </c>
      <c r="T201">
        <f t="shared" si="963"/>
        <v>-0.4354398984401765</v>
      </c>
    </row>
    <row r="202" spans="1:20" x14ac:dyDescent="0.25">
      <c r="A202" s="5">
        <v>44391</v>
      </c>
      <c r="B202">
        <v>2.5127000000000002</v>
      </c>
      <c r="C202">
        <v>3.17</v>
      </c>
      <c r="D202">
        <v>2.4127000000000001</v>
      </c>
      <c r="E202">
        <v>3.0392000000000001</v>
      </c>
      <c r="F202">
        <v>10994806.939999999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0.6545622606628817</v>
      </c>
      <c r="Q202">
        <f t="shared" si="960"/>
        <v>7196785.6861983407</v>
      </c>
      <c r="R202">
        <f t="shared" si="961"/>
        <v>-40815668.582486756</v>
      </c>
      <c r="S202">
        <f t="shared" si="962"/>
        <v>-408.15668582486757</v>
      </c>
      <c r="T202">
        <f t="shared" si="963"/>
        <v>-0.40815668582486758</v>
      </c>
    </row>
    <row r="203" spans="1:20" x14ac:dyDescent="0.25">
      <c r="A203" s="5">
        <v>44390</v>
      </c>
      <c r="B203">
        <v>2.4950999999999999</v>
      </c>
      <c r="C203">
        <v>2.6282999999999999</v>
      </c>
      <c r="D203">
        <v>2.4020000000000001</v>
      </c>
      <c r="E203">
        <v>2.5127000000000002</v>
      </c>
      <c r="F203">
        <v>1589805.3</v>
      </c>
      <c r="G203">
        <v>0</v>
      </c>
      <c r="L203" t="s">
        <v>8</v>
      </c>
      <c r="M203" t="s">
        <v>7</v>
      </c>
      <c r="N203" t="s">
        <v>8</v>
      </c>
      <c r="P203">
        <f t="shared" si="959"/>
        <v>-2.1652673442331807E-2</v>
      </c>
      <c r="Q203">
        <f t="shared" si="960"/>
        <v>-34423.534997788352</v>
      </c>
      <c r="R203">
        <f t="shared" si="961"/>
        <v>-48012454.268685095</v>
      </c>
      <c r="S203">
        <f t="shared" si="962"/>
        <v>-480.12454268685093</v>
      </c>
      <c r="T203">
        <f t="shared" si="963"/>
        <v>-0.48012454268685095</v>
      </c>
    </row>
    <row r="204" spans="1:20" x14ac:dyDescent="0.25">
      <c r="A204" s="5">
        <v>44389</v>
      </c>
      <c r="B204">
        <v>2.5926</v>
      </c>
      <c r="C204">
        <v>2.6810999999999998</v>
      </c>
      <c r="D204">
        <v>2.4230999999999998</v>
      </c>
      <c r="E204">
        <v>2.4971000000000001</v>
      </c>
      <c r="F204">
        <v>2399761.41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-0.42635658914728458</v>
      </c>
      <c r="Q204">
        <f t="shared" si="960"/>
        <v>-1023154.0895348784</v>
      </c>
      <c r="R204">
        <f t="shared" si="961"/>
        <v>-47978030.733687304</v>
      </c>
      <c r="S204">
        <f t="shared" si="962"/>
        <v>-479.78030733687302</v>
      </c>
      <c r="T204">
        <f t="shared" si="963"/>
        <v>-0.47978030733687305</v>
      </c>
    </row>
    <row r="205" spans="1:20" x14ac:dyDescent="0.25">
      <c r="A205" s="5">
        <v>44388</v>
      </c>
      <c r="B205">
        <v>2.4821</v>
      </c>
      <c r="C205">
        <v>2.7692999999999999</v>
      </c>
      <c r="D205">
        <v>2.4571999999999998</v>
      </c>
      <c r="E205">
        <v>2.5901999999999998</v>
      </c>
      <c r="F205">
        <v>2734626.5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-0.14770906760653643</v>
      </c>
      <c r="Q205">
        <f t="shared" si="960"/>
        <v>-403929.13056712609</v>
      </c>
      <c r="R205">
        <f t="shared" si="961"/>
        <v>-46954876.644152425</v>
      </c>
      <c r="S205">
        <f t="shared" si="962"/>
        <v>-469.54876644152426</v>
      </c>
      <c r="T205">
        <f t="shared" si="963"/>
        <v>-0.46954876644152427</v>
      </c>
    </row>
    <row r="206" spans="1:20" x14ac:dyDescent="0.25">
      <c r="A206" s="5">
        <v>44387</v>
      </c>
      <c r="B206">
        <v>2.5331999999999999</v>
      </c>
      <c r="C206">
        <v>2.6025999999999998</v>
      </c>
      <c r="D206">
        <v>2.3702000000000001</v>
      </c>
      <c r="E206">
        <v>2.4799000000000002</v>
      </c>
      <c r="F206">
        <v>936358.98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-5.5938037865746436E-2</v>
      </c>
      <c r="Q206">
        <f t="shared" si="960"/>
        <v>-52378.084079171706</v>
      </c>
      <c r="R206">
        <f t="shared" si="961"/>
        <v>-46550947.513585299</v>
      </c>
      <c r="S206">
        <f t="shared" si="962"/>
        <v>-465.50947513585299</v>
      </c>
      <c r="T206">
        <f t="shared" si="963"/>
        <v>-0.465509475135853</v>
      </c>
    </row>
    <row r="207" spans="1:20" x14ac:dyDescent="0.25">
      <c r="A207" s="5">
        <v>44386</v>
      </c>
      <c r="B207">
        <v>2.4424000000000001</v>
      </c>
      <c r="C207">
        <v>2.6509999999999998</v>
      </c>
      <c r="D207">
        <v>2.31</v>
      </c>
      <c r="E207">
        <v>2.5329000000000002</v>
      </c>
      <c r="F207">
        <v>1430281.26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0.30733137829912177</v>
      </c>
      <c r="Q207">
        <f t="shared" si="960"/>
        <v>439570.31099120452</v>
      </c>
      <c r="R207">
        <f t="shared" si="961"/>
        <v>-46498569.429506131</v>
      </c>
      <c r="S207">
        <f t="shared" si="962"/>
        <v>-464.98569429506131</v>
      </c>
      <c r="T207">
        <f t="shared" si="963"/>
        <v>-0.46498569429506131</v>
      </c>
    </row>
    <row r="208" spans="1:20" x14ac:dyDescent="0.25">
      <c r="A208" s="5">
        <v>44385</v>
      </c>
      <c r="B208">
        <v>2.7031000000000001</v>
      </c>
      <c r="C208">
        <v>2.7462</v>
      </c>
      <c r="D208">
        <v>2.3696000000000002</v>
      </c>
      <c r="E208">
        <v>2.444</v>
      </c>
      <c r="F208">
        <v>2204346.7400000002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-0.60488582049920425</v>
      </c>
      <c r="Q208">
        <f t="shared" si="960"/>
        <v>-1333378.0864896462</v>
      </c>
      <c r="R208">
        <f t="shared" si="961"/>
        <v>-46938139.740497336</v>
      </c>
      <c r="S208">
        <f t="shared" si="962"/>
        <v>-469.38139740497337</v>
      </c>
      <c r="T208">
        <f t="shared" si="963"/>
        <v>-0.46938139740497337</v>
      </c>
    </row>
    <row r="209" spans="1:20" x14ac:dyDescent="0.25">
      <c r="A209" s="5">
        <v>44384</v>
      </c>
      <c r="B209">
        <v>2.8199000000000001</v>
      </c>
      <c r="C209">
        <v>2.8765000000000001</v>
      </c>
      <c r="D209">
        <v>2.6867000000000001</v>
      </c>
      <c r="E209">
        <v>2.7067999999999999</v>
      </c>
      <c r="F209">
        <v>2160585.2400000002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-0.78819810326659867</v>
      </c>
      <c r="Q209">
        <f t="shared" si="960"/>
        <v>-1702969.1881138091</v>
      </c>
      <c r="R209">
        <f t="shared" si="961"/>
        <v>-45604761.654007688</v>
      </c>
      <c r="S209">
        <f t="shared" si="962"/>
        <v>-456.04761654007689</v>
      </c>
      <c r="T209">
        <f t="shared" si="963"/>
        <v>-0.45604761654007686</v>
      </c>
    </row>
    <row r="210" spans="1:20" x14ac:dyDescent="0.25">
      <c r="A210" s="5">
        <v>44383</v>
      </c>
      <c r="B210">
        <v>2.5998000000000001</v>
      </c>
      <c r="C210">
        <v>3.0583999999999998</v>
      </c>
      <c r="D210">
        <v>2.5926999999999998</v>
      </c>
      <c r="E210">
        <v>2.8199000000000001</v>
      </c>
      <c r="F210">
        <v>7190517.1500000004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-2.4264547992268459E-2</v>
      </c>
      <c r="Q210">
        <f t="shared" si="960"/>
        <v>-174474.64847540442</v>
      </c>
      <c r="R210">
        <f t="shared" si="961"/>
        <v>-43901792.46589388</v>
      </c>
      <c r="S210">
        <f t="shared" si="962"/>
        <v>-439.0179246589388</v>
      </c>
      <c r="T210">
        <f t="shared" si="963"/>
        <v>-0.4390179246589388</v>
      </c>
    </row>
    <row r="211" spans="1:20" x14ac:dyDescent="0.25">
      <c r="A211" s="5">
        <v>44382</v>
      </c>
      <c r="B211">
        <v>2.3932000000000002</v>
      </c>
      <c r="C211">
        <v>2.6655000000000002</v>
      </c>
      <c r="D211">
        <v>2.2025000000000001</v>
      </c>
      <c r="E211">
        <v>2.5971000000000002</v>
      </c>
      <c r="F211">
        <v>2494274.7400000002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0.704535637149028</v>
      </c>
      <c r="Q211">
        <f t="shared" si="960"/>
        <v>1757305.4431706264</v>
      </c>
      <c r="R211">
        <f t="shared" si="961"/>
        <v>-43727317.817418478</v>
      </c>
      <c r="S211">
        <f t="shared" si="962"/>
        <v>-437.27317817418481</v>
      </c>
      <c r="T211">
        <f t="shared" si="963"/>
        <v>-0.43727317817418482</v>
      </c>
    </row>
    <row r="212" spans="1:20" x14ac:dyDescent="0.25">
      <c r="A212" s="5">
        <v>44381</v>
      </c>
      <c r="B212">
        <v>2.2848999999999999</v>
      </c>
      <c r="C212">
        <v>2.5299999999999998</v>
      </c>
      <c r="D212">
        <v>2.2181999999999999</v>
      </c>
      <c r="E212">
        <v>2.3932000000000002</v>
      </c>
      <c r="F212">
        <v>1599556.16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0.12251443232841788</v>
      </c>
      <c r="Q212">
        <f t="shared" si="960"/>
        <v>195968.71491982395</v>
      </c>
      <c r="R212">
        <f t="shared" si="961"/>
        <v>-45484623.260589108</v>
      </c>
      <c r="S212">
        <f t="shared" si="962"/>
        <v>-454.84623260589109</v>
      </c>
      <c r="T212">
        <f t="shared" si="963"/>
        <v>-0.45484623260589108</v>
      </c>
    </row>
    <row r="213" spans="1:20" x14ac:dyDescent="0.25">
      <c r="A213" s="5">
        <v>44380</v>
      </c>
      <c r="B213">
        <v>2.2267000000000001</v>
      </c>
      <c r="C213">
        <v>2.3491</v>
      </c>
      <c r="D213">
        <v>2.1665000000000001</v>
      </c>
      <c r="E213">
        <v>2.2863000000000002</v>
      </c>
      <c r="F213">
        <v>689921.23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0.31215772179627832</v>
      </c>
      <c r="Q213">
        <f t="shared" si="960"/>
        <v>215364.23937568616</v>
      </c>
      <c r="R213">
        <f t="shared" si="961"/>
        <v>-45680591.975508928</v>
      </c>
      <c r="S213">
        <f t="shared" si="962"/>
        <v>-456.80591975508929</v>
      </c>
      <c r="T213">
        <f t="shared" si="963"/>
        <v>-0.45680591975508927</v>
      </c>
    </row>
    <row r="214" spans="1:20" x14ac:dyDescent="0.25">
      <c r="A214" s="5">
        <v>44379</v>
      </c>
      <c r="B214">
        <v>2.2603</v>
      </c>
      <c r="C214">
        <v>2.2953999999999999</v>
      </c>
      <c r="D214">
        <v>2.1150000000000002</v>
      </c>
      <c r="E214">
        <v>2.2273999999999998</v>
      </c>
      <c r="F214">
        <v>844993.27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0.24611973392460992</v>
      </c>
      <c r="Q214">
        <f t="shared" si="960"/>
        <v>207969.51878048608</v>
      </c>
      <c r="R214">
        <f t="shared" si="961"/>
        <v>-45895956.214884616</v>
      </c>
      <c r="S214">
        <f t="shared" si="962"/>
        <v>-458.95956214884615</v>
      </c>
      <c r="T214">
        <f t="shared" si="963"/>
        <v>-0.45895956214884615</v>
      </c>
    </row>
    <row r="215" spans="1:20" x14ac:dyDescent="0.25">
      <c r="A215" s="5">
        <v>44378</v>
      </c>
      <c r="B215">
        <v>2.4036</v>
      </c>
      <c r="C215">
        <v>2.4036</v>
      </c>
      <c r="D215">
        <v>2.1665000000000001</v>
      </c>
      <c r="E215">
        <v>2.2603</v>
      </c>
      <c r="F215">
        <v>959378.33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-0.20877266975959566</v>
      </c>
      <c r="Q215">
        <f t="shared" si="960"/>
        <v>-200291.97526360236</v>
      </c>
      <c r="R215">
        <f t="shared" si="961"/>
        <v>-46103925.733665101</v>
      </c>
      <c r="S215">
        <f t="shared" si="962"/>
        <v>-461.03925733665102</v>
      </c>
      <c r="T215">
        <f t="shared" si="963"/>
        <v>-0.46103925733665102</v>
      </c>
    </row>
    <row r="216" spans="1:20" x14ac:dyDescent="0.25">
      <c r="A216" s="5">
        <v>44377</v>
      </c>
      <c r="B216">
        <v>2.4260999999999999</v>
      </c>
      <c r="C216">
        <v>2.4529000000000001</v>
      </c>
      <c r="D216">
        <v>2.2559999999999998</v>
      </c>
      <c r="E216">
        <v>2.4036</v>
      </c>
      <c r="F216">
        <v>1138179.52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0.49923819197562164</v>
      </c>
      <c r="Q216">
        <f t="shared" si="960"/>
        <v>568222.68570848089</v>
      </c>
      <c r="R216">
        <f t="shared" si="961"/>
        <v>-45903633.758401498</v>
      </c>
      <c r="S216">
        <f t="shared" si="962"/>
        <v>-459.03633758401497</v>
      </c>
      <c r="T216">
        <f t="shared" si="963"/>
        <v>-0.45903633758401496</v>
      </c>
    </row>
    <row r="217" spans="1:20" x14ac:dyDescent="0.25">
      <c r="A217" s="5">
        <v>44376</v>
      </c>
      <c r="B217">
        <v>2.3109999999999999</v>
      </c>
      <c r="C217">
        <v>2.4983</v>
      </c>
      <c r="D217">
        <v>2.3098000000000001</v>
      </c>
      <c r="E217">
        <v>2.4260999999999999</v>
      </c>
      <c r="F217">
        <v>1288059.02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0.23395225464190891</v>
      </c>
      <c r="Q217">
        <f t="shared" si="960"/>
        <v>301344.31184084766</v>
      </c>
      <c r="R217">
        <f t="shared" si="961"/>
        <v>-46471856.444109976</v>
      </c>
      <c r="S217">
        <f t="shared" si="962"/>
        <v>-464.71856444109977</v>
      </c>
      <c r="T217">
        <f t="shared" si="963"/>
        <v>-0.46471856444109977</v>
      </c>
    </row>
    <row r="218" spans="1:20" x14ac:dyDescent="0.25">
      <c r="A218" s="5">
        <v>44375</v>
      </c>
      <c r="B218">
        <v>2.1987999999999999</v>
      </c>
      <c r="C218">
        <v>2.3159000000000001</v>
      </c>
      <c r="D218">
        <v>2.1492</v>
      </c>
      <c r="E218">
        <v>2.3102</v>
      </c>
      <c r="F218">
        <v>831278.4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0.93161367726454669</v>
      </c>
      <c r="Q218">
        <f t="shared" si="960"/>
        <v>774430.32705458882</v>
      </c>
      <c r="R218">
        <f t="shared" si="961"/>
        <v>-46773200.755950823</v>
      </c>
      <c r="S218">
        <f t="shared" si="962"/>
        <v>-467.73200755950825</v>
      </c>
      <c r="T218">
        <f t="shared" si="963"/>
        <v>-0.46773200755950822</v>
      </c>
    </row>
    <row r="219" spans="1:20" x14ac:dyDescent="0.25">
      <c r="A219" s="5">
        <v>44374</v>
      </c>
      <c r="B219">
        <v>2.1768999999999998</v>
      </c>
      <c r="C219">
        <v>2.2067999999999999</v>
      </c>
      <c r="D219">
        <v>2.0314999999999999</v>
      </c>
      <c r="E219">
        <v>2.1934999999999998</v>
      </c>
      <c r="F219">
        <v>919659.42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0.84826012549914331</v>
      </c>
      <c r="Q219">
        <f t="shared" si="960"/>
        <v>780110.41502566938</v>
      </c>
      <c r="R219">
        <f t="shared" si="961"/>
        <v>-47547631.083005413</v>
      </c>
      <c r="S219">
        <f t="shared" si="962"/>
        <v>-475.47631083005416</v>
      </c>
      <c r="T219">
        <f t="shared" si="963"/>
        <v>-0.47547631083005415</v>
      </c>
    </row>
    <row r="220" spans="1:20" x14ac:dyDescent="0.25">
      <c r="A220" s="5">
        <v>44373</v>
      </c>
      <c r="B220">
        <v>2.2383999999999999</v>
      </c>
      <c r="C220">
        <v>2.3776000000000002</v>
      </c>
      <c r="D220">
        <v>2.0344000000000002</v>
      </c>
      <c r="E220">
        <v>2.1739000000000002</v>
      </c>
      <c r="F220">
        <v>1277533.49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-0.1870629370629372</v>
      </c>
      <c r="Q220">
        <f t="shared" si="960"/>
        <v>-238979.16683566451</v>
      </c>
      <c r="R220">
        <f t="shared" si="961"/>
        <v>-48327741.49803108</v>
      </c>
      <c r="S220">
        <f t="shared" si="962"/>
        <v>-483.27741498031082</v>
      </c>
      <c r="T220">
        <f t="shared" si="963"/>
        <v>-0.48327741498031085</v>
      </c>
    </row>
    <row r="221" spans="1:20" x14ac:dyDescent="0.25">
      <c r="A221" s="5">
        <v>44372</v>
      </c>
      <c r="B221">
        <v>2.5</v>
      </c>
      <c r="C221">
        <v>2.6293000000000002</v>
      </c>
      <c r="D221">
        <v>2.2071999999999998</v>
      </c>
      <c r="E221">
        <v>2.2404999999999999</v>
      </c>
      <c r="F221">
        <v>1105531.71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-0.84221748400852836</v>
      </c>
      <c r="Q221">
        <f t="shared" si="960"/>
        <v>-931098.13528784597</v>
      </c>
      <c r="R221">
        <f t="shared" si="961"/>
        <v>-48088762.331195414</v>
      </c>
      <c r="S221">
        <f t="shared" si="962"/>
        <v>-480.88762331195414</v>
      </c>
      <c r="T221">
        <f t="shared" si="963"/>
        <v>-0.48088762331195417</v>
      </c>
    </row>
    <row r="222" spans="1:20" x14ac:dyDescent="0.25">
      <c r="A222" s="5">
        <v>44371</v>
      </c>
      <c r="B222">
        <v>2.4927000000000001</v>
      </c>
      <c r="C222">
        <v>2.5708000000000002</v>
      </c>
      <c r="D222">
        <v>2.3351999999999999</v>
      </c>
      <c r="E222">
        <v>2.4933000000000001</v>
      </c>
      <c r="F222">
        <v>772608.13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0.34210526315789441</v>
      </c>
      <c r="Q222">
        <f t="shared" si="960"/>
        <v>264313.3076315787</v>
      </c>
      <c r="R222">
        <f t="shared" si="961"/>
        <v>-47157664.19590757</v>
      </c>
      <c r="S222">
        <f t="shared" si="962"/>
        <v>-471.57664195907569</v>
      </c>
      <c r="T222">
        <f t="shared" si="963"/>
        <v>-0.47157664195907567</v>
      </c>
    </row>
    <row r="223" spans="1:20" x14ac:dyDescent="0.25">
      <c r="A223" s="5">
        <v>44370</v>
      </c>
      <c r="B223">
        <v>2.2000999999999999</v>
      </c>
      <c r="C223">
        <v>2.5499999999999998</v>
      </c>
      <c r="D223">
        <v>2.1052</v>
      </c>
      <c r="E223">
        <v>2.4900000000000002</v>
      </c>
      <c r="F223">
        <v>1243007.76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0.73021582733813117</v>
      </c>
      <c r="Q223">
        <f t="shared" si="960"/>
        <v>907663.93985611724</v>
      </c>
      <c r="R223">
        <f t="shared" si="961"/>
        <v>-47421977.503539152</v>
      </c>
      <c r="S223">
        <f t="shared" si="962"/>
        <v>-474.21977503539154</v>
      </c>
      <c r="T223">
        <f t="shared" si="963"/>
        <v>-0.47421977503539153</v>
      </c>
    </row>
    <row r="224" spans="1:20" x14ac:dyDescent="0.25">
      <c r="A224" s="5">
        <v>44369</v>
      </c>
      <c r="B224">
        <v>2.3540999999999999</v>
      </c>
      <c r="C224">
        <v>2.6156999999999999</v>
      </c>
      <c r="D224">
        <v>1.9269000000000001</v>
      </c>
      <c r="E224">
        <v>2.2008000000000001</v>
      </c>
      <c r="F224">
        <v>2580392.7799999998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-0.20470383275261297</v>
      </c>
      <c r="Q224">
        <f t="shared" si="960"/>
        <v>-528216.29207316996</v>
      </c>
      <c r="R224">
        <f t="shared" si="961"/>
        <v>-48329641.443395272</v>
      </c>
      <c r="S224">
        <f t="shared" si="962"/>
        <v>-483.29641443395269</v>
      </c>
      <c r="T224">
        <f t="shared" si="963"/>
        <v>-0.48329641443395271</v>
      </c>
    </row>
    <row r="225" spans="1:20" x14ac:dyDescent="0.25">
      <c r="A225" s="5">
        <v>44368</v>
      </c>
      <c r="B225">
        <v>3.0647000000000002</v>
      </c>
      <c r="C225">
        <v>3.0777000000000001</v>
      </c>
      <c r="D225">
        <v>2.3420999999999998</v>
      </c>
      <c r="E225">
        <v>2.3548</v>
      </c>
      <c r="F225">
        <v>1726400.58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-0.96547036432843891</v>
      </c>
      <c r="Q225">
        <f t="shared" si="960"/>
        <v>-1666788.5969494283</v>
      </c>
      <c r="R225">
        <f t="shared" si="961"/>
        <v>-47801425.151322104</v>
      </c>
      <c r="S225">
        <f t="shared" si="962"/>
        <v>-478.01425151322104</v>
      </c>
      <c r="T225">
        <f t="shared" si="963"/>
        <v>-0.47801425151322102</v>
      </c>
    </row>
    <row r="226" spans="1:20" x14ac:dyDescent="0.25">
      <c r="A226" s="5">
        <v>44367</v>
      </c>
      <c r="B226">
        <v>2.9874000000000001</v>
      </c>
      <c r="C226">
        <v>3.1684000000000001</v>
      </c>
      <c r="D226">
        <v>2.7964000000000002</v>
      </c>
      <c r="E226">
        <v>3.0575000000000001</v>
      </c>
      <c r="F226">
        <v>1047790.44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0.40376344086021487</v>
      </c>
      <c r="Q226">
        <f t="shared" si="960"/>
        <v>423059.4733548385</v>
      </c>
      <c r="R226">
        <f t="shared" si="961"/>
        <v>-46134636.554372676</v>
      </c>
      <c r="S226">
        <f t="shared" si="962"/>
        <v>-461.34636554372673</v>
      </c>
      <c r="T226">
        <f t="shared" si="963"/>
        <v>-0.46134636554372671</v>
      </c>
    </row>
    <row r="227" spans="1:20" x14ac:dyDescent="0.25">
      <c r="A227" s="5">
        <v>44366</v>
      </c>
      <c r="B227">
        <v>3.1345000000000001</v>
      </c>
      <c r="C227">
        <v>3.1859999999999999</v>
      </c>
      <c r="D227">
        <v>2.9836</v>
      </c>
      <c r="E227">
        <v>2.9836</v>
      </c>
      <c r="F227">
        <v>543471.87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-1</v>
      </c>
      <c r="Q227">
        <f t="shared" si="960"/>
        <v>-543471.87</v>
      </c>
      <c r="R227">
        <f t="shared" si="961"/>
        <v>-46557696.027727515</v>
      </c>
      <c r="S227">
        <f t="shared" si="962"/>
        <v>-465.57696027727513</v>
      </c>
      <c r="T227">
        <f t="shared" si="963"/>
        <v>-0.46557696027727513</v>
      </c>
    </row>
    <row r="228" spans="1:20" x14ac:dyDescent="0.25">
      <c r="A228" s="5">
        <v>44365</v>
      </c>
      <c r="B228">
        <v>3.4794999999999998</v>
      </c>
      <c r="C228">
        <v>3.4849999999999999</v>
      </c>
      <c r="D228">
        <v>3.01</v>
      </c>
      <c r="E228">
        <v>3.1309</v>
      </c>
      <c r="F228">
        <v>1325766.6599999999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-0.49094736842105174</v>
      </c>
      <c r="Q228">
        <f t="shared" si="960"/>
        <v>-650881.65286736726</v>
      </c>
      <c r="R228">
        <f t="shared" si="961"/>
        <v>-46014224.157727517</v>
      </c>
      <c r="S228">
        <f t="shared" si="962"/>
        <v>-460.14224157727517</v>
      </c>
      <c r="T228">
        <f t="shared" si="963"/>
        <v>-0.46014224157727518</v>
      </c>
    </row>
    <row r="229" spans="1:20" x14ac:dyDescent="0.25">
      <c r="A229" s="5">
        <v>44364</v>
      </c>
      <c r="B229">
        <v>3.2871999999999999</v>
      </c>
      <c r="C229">
        <v>3.5893000000000002</v>
      </c>
      <c r="D229">
        <v>3.2751999999999999</v>
      </c>
      <c r="E229">
        <v>3.4832999999999998</v>
      </c>
      <c r="F229">
        <v>1361838.66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0.32505571474052708</v>
      </c>
      <c r="Q229">
        <f t="shared" si="960"/>
        <v>442673.43898758164</v>
      </c>
      <c r="R229">
        <f t="shared" si="961"/>
        <v>-45363342.504860148</v>
      </c>
      <c r="S229">
        <f t="shared" si="962"/>
        <v>-453.63342504860145</v>
      </c>
      <c r="T229">
        <f t="shared" si="963"/>
        <v>-0.45363342504860144</v>
      </c>
    </row>
    <row r="230" spans="1:20" x14ac:dyDescent="0.25">
      <c r="A230" s="5">
        <v>44363</v>
      </c>
      <c r="B230">
        <v>3.5211000000000001</v>
      </c>
      <c r="C230">
        <v>3.5638000000000001</v>
      </c>
      <c r="D230">
        <v>3.2292999999999998</v>
      </c>
      <c r="E230">
        <v>3.2877000000000001</v>
      </c>
      <c r="F230">
        <v>1092912.8899999999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-0.65082212257100036</v>
      </c>
      <c r="Q230">
        <f t="shared" si="960"/>
        <v>-711291.88685500622</v>
      </c>
      <c r="R230">
        <f t="shared" si="961"/>
        <v>-45806015.943847731</v>
      </c>
      <c r="S230">
        <f t="shared" si="962"/>
        <v>-458.06015943847729</v>
      </c>
      <c r="T230">
        <f t="shared" si="963"/>
        <v>-0.45806015943847728</v>
      </c>
    </row>
    <row r="231" spans="1:20" x14ac:dyDescent="0.25">
      <c r="A231" s="5">
        <v>44362</v>
      </c>
      <c r="B231">
        <v>3.5636000000000001</v>
      </c>
      <c r="C231">
        <v>3.5983000000000001</v>
      </c>
      <c r="D231">
        <v>3.3824000000000001</v>
      </c>
      <c r="E231">
        <v>3.5202</v>
      </c>
      <c r="F231">
        <v>1032916.33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0.27651690597498779</v>
      </c>
      <c r="Q231">
        <f t="shared" si="960"/>
        <v>285618.82770263945</v>
      </c>
      <c r="R231">
        <f t="shared" si="961"/>
        <v>-45094724.056992725</v>
      </c>
      <c r="S231">
        <f t="shared" si="962"/>
        <v>-450.94724056992726</v>
      </c>
      <c r="T231">
        <f t="shared" si="963"/>
        <v>-0.45094724056992724</v>
      </c>
    </row>
    <row r="232" spans="1:20" x14ac:dyDescent="0.25">
      <c r="A232" s="5">
        <v>44361</v>
      </c>
      <c r="B232">
        <v>3.3494000000000002</v>
      </c>
      <c r="C232">
        <v>3.5798000000000001</v>
      </c>
      <c r="D232">
        <v>3.2694000000000001</v>
      </c>
      <c r="E232">
        <v>3.5587</v>
      </c>
      <c r="F232">
        <v>1691148.97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0.86404639175257658</v>
      </c>
      <c r="Q232">
        <f t="shared" si="960"/>
        <v>1461231.1654445864</v>
      </c>
      <c r="R232">
        <f t="shared" si="961"/>
        <v>-45380342.884695366</v>
      </c>
      <c r="S232">
        <f t="shared" si="962"/>
        <v>-453.80342884695364</v>
      </c>
      <c r="T232">
        <f t="shared" si="963"/>
        <v>-0.45380342884695363</v>
      </c>
    </row>
    <row r="233" spans="1:20" x14ac:dyDescent="0.25">
      <c r="A233" s="5">
        <v>44360</v>
      </c>
      <c r="B233">
        <v>3.1434000000000002</v>
      </c>
      <c r="C233">
        <v>3.4222000000000001</v>
      </c>
      <c r="D233">
        <v>3.0646</v>
      </c>
      <c r="E233">
        <v>3.3452999999999999</v>
      </c>
      <c r="F233">
        <v>1332440.68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0.56991051454138608</v>
      </c>
      <c r="Q233">
        <f t="shared" si="960"/>
        <v>759371.95353467437</v>
      </c>
      <c r="R233">
        <f t="shared" si="961"/>
        <v>-46841574.050139949</v>
      </c>
      <c r="S233">
        <f t="shared" si="962"/>
        <v>-468.41574050139951</v>
      </c>
      <c r="T233">
        <f t="shared" si="963"/>
        <v>-0.4684157405013995</v>
      </c>
    </row>
    <row r="234" spans="1:20" x14ac:dyDescent="0.25">
      <c r="A234" s="5">
        <v>44359</v>
      </c>
      <c r="B234">
        <v>3.2984</v>
      </c>
      <c r="C234">
        <v>3.3498000000000001</v>
      </c>
      <c r="D234">
        <v>3.03</v>
      </c>
      <c r="E234">
        <v>3.1396999999999999</v>
      </c>
      <c r="F234">
        <v>1112655.3999999999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-0.31394621638524062</v>
      </c>
      <c r="Q234">
        <f t="shared" si="960"/>
        <v>-349313.95297060645</v>
      </c>
      <c r="R234">
        <f t="shared" si="961"/>
        <v>-47600946.003674626</v>
      </c>
      <c r="S234">
        <f t="shared" si="962"/>
        <v>-476.00946003674625</v>
      </c>
      <c r="T234">
        <f t="shared" si="963"/>
        <v>-0.47600946003674627</v>
      </c>
    </row>
    <row r="235" spans="1:20" x14ac:dyDescent="0.25">
      <c r="A235" s="5">
        <v>44358</v>
      </c>
      <c r="B235">
        <v>3.3216999999999999</v>
      </c>
      <c r="C235">
        <v>3.52</v>
      </c>
      <c r="D235">
        <v>3.1861000000000002</v>
      </c>
      <c r="E235">
        <v>3.2989999999999999</v>
      </c>
      <c r="F235">
        <v>1607612.8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-0.32374962563641912</v>
      </c>
      <c r="Q235">
        <f t="shared" si="960"/>
        <v>-520464.04216831556</v>
      </c>
      <c r="R235">
        <f t="shared" si="961"/>
        <v>-47251632.050704017</v>
      </c>
      <c r="S235">
        <f t="shared" si="962"/>
        <v>-472.51632050704018</v>
      </c>
      <c r="T235">
        <f t="shared" si="963"/>
        <v>-0.47251632050704018</v>
      </c>
    </row>
    <row r="236" spans="1:20" x14ac:dyDescent="0.25">
      <c r="A236" s="5">
        <v>44357</v>
      </c>
      <c r="B236">
        <v>3.5</v>
      </c>
      <c r="C236">
        <v>3.7894000000000001</v>
      </c>
      <c r="D236">
        <v>3.2532000000000001</v>
      </c>
      <c r="E236">
        <v>3.3201000000000001</v>
      </c>
      <c r="F236">
        <v>2939218.3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-0.75046624393882899</v>
      </c>
      <c r="Q236">
        <f t="shared" si="960"/>
        <v>-2205784.1177172703</v>
      </c>
      <c r="R236">
        <f t="shared" si="961"/>
        <v>-46731168.008535698</v>
      </c>
      <c r="S236">
        <f t="shared" si="962"/>
        <v>-467.31168008535695</v>
      </c>
      <c r="T236">
        <f t="shared" si="963"/>
        <v>-0.46731168008535695</v>
      </c>
    </row>
    <row r="237" spans="1:20" x14ac:dyDescent="0.25">
      <c r="A237" s="5">
        <v>44356</v>
      </c>
      <c r="B237">
        <v>3.3794</v>
      </c>
      <c r="C237">
        <v>3.5110000000000001</v>
      </c>
      <c r="D237">
        <v>3.1715</v>
      </c>
      <c r="E237">
        <v>3.5</v>
      </c>
      <c r="F237">
        <v>1388244.04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0.93519882179675928</v>
      </c>
      <c r="Q237">
        <f t="shared" si="960"/>
        <v>1298284.1905743731</v>
      </c>
      <c r="R237">
        <f t="shared" si="961"/>
        <v>-44525383.890818425</v>
      </c>
      <c r="S237">
        <f t="shared" si="962"/>
        <v>-445.25383890818426</v>
      </c>
      <c r="T237">
        <f t="shared" si="963"/>
        <v>-0.44525383890818426</v>
      </c>
    </row>
    <row r="238" spans="1:20" x14ac:dyDescent="0.25">
      <c r="A238" s="5">
        <v>44355</v>
      </c>
      <c r="B238">
        <v>3.5047000000000001</v>
      </c>
      <c r="C238">
        <v>3.5790000000000002</v>
      </c>
      <c r="D238">
        <v>3.0644</v>
      </c>
      <c r="E238">
        <v>3.3780999999999999</v>
      </c>
      <c r="F238">
        <v>1813630.53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0.21919937815779156</v>
      </c>
      <c r="Q238">
        <f t="shared" si="960"/>
        <v>397546.68438398594</v>
      </c>
      <c r="R238">
        <f t="shared" si="961"/>
        <v>-45823668.081392795</v>
      </c>
      <c r="S238">
        <f t="shared" si="962"/>
        <v>-458.23668081392793</v>
      </c>
      <c r="T238">
        <f t="shared" si="963"/>
        <v>-0.45823668081392793</v>
      </c>
    </row>
    <row r="239" spans="1:20" x14ac:dyDescent="0.25">
      <c r="A239" s="5">
        <v>44354</v>
      </c>
      <c r="B239">
        <v>3.9626000000000001</v>
      </c>
      <c r="C239">
        <v>4.2854999999999999</v>
      </c>
      <c r="D239">
        <v>3.4763000000000002</v>
      </c>
      <c r="E239">
        <v>3.5011999999999999</v>
      </c>
      <c r="F239">
        <v>1947245.68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-0.93845773603559146</v>
      </c>
      <c r="Q239">
        <f t="shared" si="960"/>
        <v>-1827407.7723578857</v>
      </c>
      <c r="R239">
        <f t="shared" si="961"/>
        <v>-46221214.765776783</v>
      </c>
      <c r="S239">
        <f t="shared" si="962"/>
        <v>-462.21214765776784</v>
      </c>
      <c r="T239">
        <f t="shared" si="963"/>
        <v>-0.46221214765776786</v>
      </c>
    </row>
    <row r="240" spans="1:20" x14ac:dyDescent="0.25">
      <c r="A240" s="5">
        <v>44353</v>
      </c>
      <c r="B240">
        <v>3.9843999999999999</v>
      </c>
      <c r="C240">
        <v>4.1132</v>
      </c>
      <c r="D240">
        <v>3.8445999999999998</v>
      </c>
      <c r="E240">
        <v>3.9626000000000001</v>
      </c>
      <c r="F240">
        <v>1584910.39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-0.12137006701414556</v>
      </c>
      <c r="Q240">
        <f t="shared" si="960"/>
        <v>-192360.68024571557</v>
      </c>
      <c r="R240">
        <f t="shared" si="961"/>
        <v>-44393806.993418895</v>
      </c>
      <c r="S240">
        <f t="shared" si="962"/>
        <v>-443.93806993418895</v>
      </c>
      <c r="T240">
        <f t="shared" si="963"/>
        <v>-0.44393806993418894</v>
      </c>
    </row>
    <row r="241" spans="1:20" x14ac:dyDescent="0.25">
      <c r="A241" s="5">
        <v>44352</v>
      </c>
      <c r="B241">
        <v>3.8561000000000001</v>
      </c>
      <c r="C241">
        <v>4.6139000000000001</v>
      </c>
      <c r="D241">
        <v>3.79</v>
      </c>
      <c r="E241">
        <v>3.9845999999999999</v>
      </c>
      <c r="F241">
        <v>6090311.54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-0.52761257434154663</v>
      </c>
      <c r="Q241">
        <f t="shared" si="960"/>
        <v>-3213324.9501614291</v>
      </c>
      <c r="R241">
        <f t="shared" si="961"/>
        <v>-44201446.313173182</v>
      </c>
      <c r="S241">
        <f t="shared" si="962"/>
        <v>-442.01446313173182</v>
      </c>
      <c r="T241">
        <f t="shared" si="963"/>
        <v>-0.44201446313173182</v>
      </c>
    </row>
    <row r="242" spans="1:20" x14ac:dyDescent="0.25">
      <c r="A242" s="5">
        <v>44351</v>
      </c>
      <c r="B242">
        <v>4.0709999999999997</v>
      </c>
      <c r="C242">
        <v>4.0999999999999996</v>
      </c>
      <c r="D242">
        <v>3.464</v>
      </c>
      <c r="E242">
        <v>3.8576000000000001</v>
      </c>
      <c r="F242">
        <v>2136195.35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0.23773584905660494</v>
      </c>
      <c r="Q242">
        <f t="shared" si="960"/>
        <v>507850.21528302139</v>
      </c>
      <c r="R242">
        <f t="shared" si="961"/>
        <v>-40988121.363011755</v>
      </c>
      <c r="S242">
        <f t="shared" si="962"/>
        <v>-409.88121363011754</v>
      </c>
      <c r="T242">
        <f t="shared" si="963"/>
        <v>-0.40988121363011754</v>
      </c>
    </row>
    <row r="243" spans="1:20" x14ac:dyDescent="0.25">
      <c r="A243" s="5">
        <v>44350</v>
      </c>
      <c r="B243">
        <v>3.8117000000000001</v>
      </c>
      <c r="C243">
        <v>4.2763999999999998</v>
      </c>
      <c r="D243">
        <v>3.7465000000000002</v>
      </c>
      <c r="E243">
        <v>4.0704000000000002</v>
      </c>
      <c r="F243">
        <v>1789960.92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0.22249481034157512</v>
      </c>
      <c r="Q243">
        <f t="shared" si="960"/>
        <v>398257.01541423128</v>
      </c>
      <c r="R243">
        <f t="shared" si="961"/>
        <v>-41495971.578294776</v>
      </c>
      <c r="S243">
        <f t="shared" si="962"/>
        <v>-414.95971578294774</v>
      </c>
      <c r="T243">
        <f t="shared" si="963"/>
        <v>-0.41495971578294771</v>
      </c>
    </row>
    <row r="244" spans="1:20" x14ac:dyDescent="0.25">
      <c r="A244" s="5">
        <v>44349</v>
      </c>
      <c r="B244">
        <v>3.8188</v>
      </c>
      <c r="C244">
        <v>3.9971999999999999</v>
      </c>
      <c r="D244">
        <v>3.6896</v>
      </c>
      <c r="E244">
        <v>3.8115999999999999</v>
      </c>
      <c r="F244">
        <v>2406356.21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-0.20676202860858298</v>
      </c>
      <c r="Q244">
        <f t="shared" si="960"/>
        <v>-497543.0915344613</v>
      </c>
      <c r="R244">
        <f t="shared" si="961"/>
        <v>-41894228.593709007</v>
      </c>
      <c r="S244">
        <f t="shared" si="962"/>
        <v>-418.94228593709005</v>
      </c>
      <c r="T244">
        <f t="shared" si="963"/>
        <v>-0.41894228593709004</v>
      </c>
    </row>
    <row r="245" spans="1:20" x14ac:dyDescent="0.25">
      <c r="A245" s="5">
        <v>44348</v>
      </c>
      <c r="B245">
        <v>3.5804</v>
      </c>
      <c r="C245">
        <v>4.2201000000000004</v>
      </c>
      <c r="D245">
        <v>3.4496000000000002</v>
      </c>
      <c r="E245">
        <v>3.8188</v>
      </c>
      <c r="F245">
        <v>4947236.25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-4.1661258922778298E-2</v>
      </c>
      <c r="Q245">
        <f t="shared" si="960"/>
        <v>-206108.09036340474</v>
      </c>
      <c r="R245">
        <f t="shared" si="961"/>
        <v>-41396685.502174549</v>
      </c>
      <c r="S245">
        <f t="shared" si="962"/>
        <v>-413.96685502174552</v>
      </c>
      <c r="T245">
        <f t="shared" si="963"/>
        <v>-0.41396685502174552</v>
      </c>
    </row>
    <row r="246" spans="1:20" x14ac:dyDescent="0.25">
      <c r="A246" s="5">
        <v>44347</v>
      </c>
      <c r="B246">
        <v>3.0916999999999999</v>
      </c>
      <c r="C246">
        <v>3.5956999999999999</v>
      </c>
      <c r="D246">
        <v>2.9489999999999998</v>
      </c>
      <c r="E246">
        <v>3.5808</v>
      </c>
      <c r="F246">
        <v>1529188.19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0.95391990103602931</v>
      </c>
      <c r="Q246">
        <f t="shared" si="960"/>
        <v>1458723.0468702647</v>
      </c>
      <c r="R246">
        <f t="shared" si="961"/>
        <v>-41190577.411811143</v>
      </c>
      <c r="S246">
        <f t="shared" si="962"/>
        <v>-411.90577411811142</v>
      </c>
      <c r="T246">
        <f t="shared" si="963"/>
        <v>-0.41190577411811141</v>
      </c>
    </row>
    <row r="247" spans="1:20" x14ac:dyDescent="0.25">
      <c r="A247" s="5">
        <v>44346</v>
      </c>
      <c r="B247">
        <v>3.0430000000000001</v>
      </c>
      <c r="C247">
        <v>3.2198000000000002</v>
      </c>
      <c r="D247">
        <v>2.8807999999999998</v>
      </c>
      <c r="E247">
        <v>3.1059999999999999</v>
      </c>
      <c r="F247">
        <v>1098219.98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0.32861356932153268</v>
      </c>
      <c r="Q247">
        <f t="shared" si="960"/>
        <v>360889.9875280222</v>
      </c>
      <c r="R247">
        <f t="shared" si="961"/>
        <v>-42649300.458681405</v>
      </c>
      <c r="S247">
        <f t="shared" si="962"/>
        <v>-426.49300458681404</v>
      </c>
      <c r="T247">
        <f t="shared" si="963"/>
        <v>-0.42649300458681405</v>
      </c>
    </row>
    <row r="248" spans="1:20" x14ac:dyDescent="0.25">
      <c r="A248" s="5">
        <v>44345</v>
      </c>
      <c r="B248">
        <v>3.2366000000000001</v>
      </c>
      <c r="C248">
        <v>3.3719000000000001</v>
      </c>
      <c r="D248">
        <v>2.85</v>
      </c>
      <c r="E248">
        <v>3.0491000000000001</v>
      </c>
      <c r="F248">
        <v>1405884.42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-0.23701858593600289</v>
      </c>
      <c r="Q248">
        <f t="shared" si="960"/>
        <v>-333220.73721785756</v>
      </c>
      <c r="R248">
        <f t="shared" si="961"/>
        <v>-43010190.446209423</v>
      </c>
      <c r="S248">
        <f t="shared" si="962"/>
        <v>-430.10190446209424</v>
      </c>
      <c r="T248">
        <f t="shared" si="963"/>
        <v>-0.43010190446209423</v>
      </c>
    </row>
    <row r="249" spans="1:20" x14ac:dyDescent="0.25">
      <c r="A249" s="5">
        <v>44344</v>
      </c>
      <c r="B249">
        <v>3.8428</v>
      </c>
      <c r="C249">
        <v>3.9971999999999999</v>
      </c>
      <c r="D249">
        <v>3.0556000000000001</v>
      </c>
      <c r="E249">
        <v>3.2496999999999998</v>
      </c>
      <c r="F249">
        <v>2412359.85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-0.58772302463891302</v>
      </c>
      <c r="Q249">
        <f t="shared" si="960"/>
        <v>-1417799.4275594745</v>
      </c>
      <c r="R249">
        <f t="shared" si="961"/>
        <v>-42676969.708991565</v>
      </c>
      <c r="S249">
        <f t="shared" si="962"/>
        <v>-426.76969708991567</v>
      </c>
      <c r="T249">
        <f t="shared" si="963"/>
        <v>-0.42676969708991569</v>
      </c>
    </row>
    <row r="250" spans="1:20" x14ac:dyDescent="0.25">
      <c r="A250" s="5">
        <v>44343</v>
      </c>
      <c r="B250">
        <v>3.7427999999999999</v>
      </c>
      <c r="C250">
        <v>4.0999999999999996</v>
      </c>
      <c r="D250">
        <v>3.2755999999999998</v>
      </c>
      <c r="E250">
        <v>3.8344</v>
      </c>
      <c r="F250">
        <v>2497056.02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0.3556525958272691</v>
      </c>
      <c r="Q250">
        <f t="shared" si="960"/>
        <v>888084.45543910924</v>
      </c>
      <c r="R250">
        <f t="shared" si="961"/>
        <v>-41259170.281432092</v>
      </c>
      <c r="S250">
        <f t="shared" si="962"/>
        <v>-412.59170281432091</v>
      </c>
      <c r="T250">
        <f t="shared" si="963"/>
        <v>-0.41259170281432089</v>
      </c>
    </row>
    <row r="251" spans="1:20" x14ac:dyDescent="0.25">
      <c r="A251" s="5">
        <v>44342</v>
      </c>
      <c r="B251">
        <v>3.3</v>
      </c>
      <c r="C251">
        <v>3.8881000000000001</v>
      </c>
      <c r="D251">
        <v>3.2511999999999999</v>
      </c>
      <c r="E251">
        <v>3.746</v>
      </c>
      <c r="F251">
        <v>2476824.2000000002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0.55377610299890079</v>
      </c>
      <c r="Q251">
        <f t="shared" si="960"/>
        <v>1371606.0532893701</v>
      </c>
      <c r="R251">
        <f t="shared" si="961"/>
        <v>-42147254.736871198</v>
      </c>
      <c r="S251">
        <f t="shared" si="962"/>
        <v>-421.47254736871196</v>
      </c>
      <c r="T251">
        <f t="shared" si="963"/>
        <v>-0.42147254736871198</v>
      </c>
    </row>
    <row r="252" spans="1:20" x14ac:dyDescent="0.25">
      <c r="A252" s="5">
        <v>44341</v>
      </c>
      <c r="B252">
        <v>3.4197000000000002</v>
      </c>
      <c r="C252">
        <v>3.6156999999999999</v>
      </c>
      <c r="D252">
        <v>2.9159000000000002</v>
      </c>
      <c r="E252">
        <v>3.2867999999999999</v>
      </c>
      <c r="F252">
        <v>2399459.7599999998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6.0017147756501611E-2</v>
      </c>
      <c r="Q252">
        <f t="shared" si="960"/>
        <v>144008.73095169989</v>
      </c>
      <c r="R252">
        <f t="shared" si="961"/>
        <v>-43518860.790160567</v>
      </c>
      <c r="S252">
        <f t="shared" si="962"/>
        <v>-435.18860790160568</v>
      </c>
      <c r="T252">
        <f t="shared" si="963"/>
        <v>-0.43518860790160568</v>
      </c>
    </row>
    <row r="253" spans="1:20" x14ac:dyDescent="0.25">
      <c r="A253" s="5">
        <v>44340</v>
      </c>
      <c r="B253">
        <v>2.56</v>
      </c>
      <c r="C253">
        <v>3.5</v>
      </c>
      <c r="D253">
        <v>2.4653</v>
      </c>
      <c r="E253">
        <v>3.4197000000000002</v>
      </c>
      <c r="F253">
        <v>2751281.59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0.84478592828839316</v>
      </c>
      <c r="Q253">
        <f t="shared" si="960"/>
        <v>2324243.9719909164</v>
      </c>
      <c r="R253">
        <f t="shared" si="961"/>
        <v>-43662869.521112263</v>
      </c>
      <c r="S253">
        <f t="shared" si="962"/>
        <v>-436.62869521112265</v>
      </c>
      <c r="T253">
        <f t="shared" si="963"/>
        <v>-0.43662869521112263</v>
      </c>
    </row>
    <row r="254" spans="1:20" x14ac:dyDescent="0.25">
      <c r="A254" s="5">
        <v>44339</v>
      </c>
      <c r="B254">
        <v>3.1038999999999999</v>
      </c>
      <c r="C254">
        <v>3.2473999999999998</v>
      </c>
      <c r="D254">
        <v>2</v>
      </c>
      <c r="E254">
        <v>2.5554000000000001</v>
      </c>
      <c r="F254">
        <v>4255895.83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-0.10950777617444254</v>
      </c>
      <c r="Q254">
        <f t="shared" si="960"/>
        <v>-466053.68797338341</v>
      </c>
      <c r="R254">
        <f t="shared" si="961"/>
        <v>-45987113.493103176</v>
      </c>
      <c r="S254">
        <f t="shared" si="962"/>
        <v>-459.87113493103175</v>
      </c>
      <c r="T254">
        <f t="shared" si="963"/>
        <v>-0.45987113493103177</v>
      </c>
    </row>
    <row r="255" spans="1:20" x14ac:dyDescent="0.25">
      <c r="A255" s="5">
        <v>44338</v>
      </c>
      <c r="B255">
        <v>3.5173999999999999</v>
      </c>
      <c r="C255">
        <v>3.5847000000000002</v>
      </c>
      <c r="D255">
        <v>3.0097</v>
      </c>
      <c r="E255">
        <v>3.1053999999999999</v>
      </c>
      <c r="F255">
        <v>2753010.02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-0.66713043478260914</v>
      </c>
      <c r="Q255">
        <f t="shared" si="960"/>
        <v>-1836616.7716034795</v>
      </c>
      <c r="R255">
        <f t="shared" si="961"/>
        <v>-45521059.805129796</v>
      </c>
      <c r="S255">
        <f t="shared" si="962"/>
        <v>-455.21059805129795</v>
      </c>
      <c r="T255">
        <f t="shared" si="963"/>
        <v>-0.45521059805129793</v>
      </c>
    </row>
    <row r="256" spans="1:20" x14ac:dyDescent="0.25">
      <c r="A256" s="5">
        <v>44337</v>
      </c>
      <c r="B256">
        <v>4.34</v>
      </c>
      <c r="C256">
        <v>4.5888999999999998</v>
      </c>
      <c r="D256">
        <v>2.95</v>
      </c>
      <c r="E256">
        <v>3.5163000000000002</v>
      </c>
      <c r="F256">
        <v>3276586.06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-0.30892671914088699</v>
      </c>
      <c r="Q256">
        <f t="shared" si="960"/>
        <v>-1012224.9814985655</v>
      </c>
      <c r="R256">
        <f t="shared" si="961"/>
        <v>-43684443.033526316</v>
      </c>
      <c r="S256">
        <f t="shared" si="962"/>
        <v>-436.84443033526316</v>
      </c>
      <c r="T256">
        <f t="shared" si="963"/>
        <v>-0.43684443033526316</v>
      </c>
    </row>
    <row r="257" spans="1:20" x14ac:dyDescent="0.25">
      <c r="A257" s="5">
        <v>44336</v>
      </c>
      <c r="B257">
        <v>3.7646999999999999</v>
      </c>
      <c r="C257">
        <v>4.7462</v>
      </c>
      <c r="D257">
        <v>3.29</v>
      </c>
      <c r="E257">
        <v>4.3319999999999999</v>
      </c>
      <c r="F257">
        <v>3008879.27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0.43112209861282774</v>
      </c>
      <c r="Q257">
        <f t="shared" si="960"/>
        <v>1297194.3453550332</v>
      </c>
      <c r="R257">
        <f t="shared" si="961"/>
        <v>-42672218.052027747</v>
      </c>
      <c r="S257">
        <f t="shared" si="962"/>
        <v>-426.72218052027745</v>
      </c>
      <c r="T257">
        <f t="shared" si="963"/>
        <v>-0.42672218052027744</v>
      </c>
    </row>
    <row r="258" spans="1:20" x14ac:dyDescent="0.25">
      <c r="A258" s="5">
        <v>44335</v>
      </c>
      <c r="B258">
        <v>6.5800999999999998</v>
      </c>
      <c r="C258">
        <v>6.7023000000000001</v>
      </c>
      <c r="D258">
        <v>3.05</v>
      </c>
      <c r="E258">
        <v>3.7646999999999999</v>
      </c>
      <c r="F258">
        <v>5921289.54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-0.60863017824384635</v>
      </c>
      <c r="Q258">
        <f t="shared" si="960"/>
        <v>-3603875.508163623</v>
      </c>
      <c r="R258">
        <f t="shared" si="961"/>
        <v>-43969412.397382781</v>
      </c>
      <c r="S258">
        <f t="shared" si="962"/>
        <v>-439.6941239738278</v>
      </c>
      <c r="T258">
        <f t="shared" si="963"/>
        <v>-0.43969412397382779</v>
      </c>
    </row>
    <row r="259" spans="1:20" x14ac:dyDescent="0.25">
      <c r="A259" s="5">
        <v>44334</v>
      </c>
      <c r="B259">
        <v>6.4993999999999996</v>
      </c>
      <c r="C259">
        <v>6.99</v>
      </c>
      <c r="D259">
        <v>6.4230999999999998</v>
      </c>
      <c r="E259">
        <v>6.5834000000000001</v>
      </c>
      <c r="F259">
        <v>1446340.8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-0.43446816016934126</v>
      </c>
      <c r="Q259">
        <f t="shared" si="960"/>
        <v>-628389.02635385317</v>
      </c>
      <c r="R259">
        <f t="shared" si="961"/>
        <v>-40365536.889219157</v>
      </c>
      <c r="S259">
        <f t="shared" si="962"/>
        <v>-403.65536889219158</v>
      </c>
      <c r="T259">
        <f t="shared" si="963"/>
        <v>-0.40365536889219156</v>
      </c>
    </row>
    <row r="260" spans="1:20" x14ac:dyDescent="0.25">
      <c r="A260" s="5">
        <v>44333</v>
      </c>
      <c r="B260">
        <v>7.21</v>
      </c>
      <c r="C260">
        <v>7.2398999999999996</v>
      </c>
      <c r="D260">
        <v>6.2708000000000004</v>
      </c>
      <c r="E260">
        <v>6.4943</v>
      </c>
      <c r="F260">
        <v>2216097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-0.5387472913012078</v>
      </c>
      <c r="Q260">
        <f t="shared" si="960"/>
        <v>-1193916.2560107326</v>
      </c>
      <c r="R260">
        <f t="shared" si="961"/>
        <v>-39737147.862865306</v>
      </c>
      <c r="S260">
        <f t="shared" si="962"/>
        <v>-397.37147862865305</v>
      </c>
      <c r="T260">
        <f t="shared" si="963"/>
        <v>-0.39737147862865307</v>
      </c>
    </row>
    <row r="261" spans="1:20" x14ac:dyDescent="0.25">
      <c r="A261" s="5">
        <v>44332</v>
      </c>
      <c r="B261">
        <v>6.7382</v>
      </c>
      <c r="C261">
        <v>7.7172000000000001</v>
      </c>
      <c r="D261">
        <v>6.6653000000000002</v>
      </c>
      <c r="E261">
        <v>7.21</v>
      </c>
      <c r="F261">
        <v>2618928.5099999998</v>
      </c>
      <c r="G261">
        <v>0</v>
      </c>
      <c r="L261" t="s">
        <v>8</v>
      </c>
      <c r="M261" t="s">
        <v>8</v>
      </c>
      <c r="N261" t="s">
        <v>7</v>
      </c>
      <c r="P261">
        <f t="shared" si="959"/>
        <v>3.5649776594733007E-2</v>
      </c>
      <c r="Q261">
        <f t="shared" si="960"/>
        <v>93364.216299076987</v>
      </c>
      <c r="R261">
        <f t="shared" si="961"/>
        <v>-38543231.606854573</v>
      </c>
      <c r="S261">
        <f t="shared" si="962"/>
        <v>-385.43231606854573</v>
      </c>
      <c r="T261">
        <f t="shared" si="963"/>
        <v>-0.38543231606854572</v>
      </c>
    </row>
    <row r="262" spans="1:20" x14ac:dyDescent="0.25">
      <c r="A262" s="5">
        <v>44331</v>
      </c>
      <c r="B262">
        <v>7.2076000000000002</v>
      </c>
      <c r="C262">
        <v>7.6144999999999996</v>
      </c>
      <c r="D262">
        <v>6.6052999999999997</v>
      </c>
      <c r="E262">
        <v>6.7264999999999997</v>
      </c>
      <c r="F262">
        <v>2077384.15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-0.75980975029726516</v>
      </c>
      <c r="Q262">
        <f t="shared" ref="Q262:Q325" si="965">F262*P262</f>
        <v>-1578416.7322829964</v>
      </c>
      <c r="R262">
        <f t="shared" ref="R262:R325" si="966">R263+Q262</f>
        <v>-38636595.823153652</v>
      </c>
      <c r="S262">
        <f t="shared" ref="S262:S325" si="967">R262/100000</f>
        <v>-386.36595823153652</v>
      </c>
      <c r="T262">
        <f t="shared" ref="T262:T325" si="968">S262/1000</f>
        <v>-0.38636595823153652</v>
      </c>
    </row>
    <row r="263" spans="1:20" x14ac:dyDescent="0.25">
      <c r="A263" s="5">
        <v>44330</v>
      </c>
      <c r="B263">
        <v>6.7389999999999999</v>
      </c>
      <c r="C263">
        <v>7.4619999999999997</v>
      </c>
      <c r="D263">
        <v>6.59</v>
      </c>
      <c r="E263">
        <v>7.2089999999999996</v>
      </c>
      <c r="F263">
        <v>1975312.87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0.41972477064220148</v>
      </c>
      <c r="Q263">
        <f t="shared" si="965"/>
        <v>829087.74130733882</v>
      </c>
      <c r="R263">
        <f t="shared" si="966"/>
        <v>-37058179.090870656</v>
      </c>
      <c r="S263">
        <f t="shared" si="967"/>
        <v>-370.58179090870658</v>
      </c>
      <c r="T263">
        <f t="shared" si="968"/>
        <v>-0.37058179090870658</v>
      </c>
    </row>
    <row r="264" spans="1:20" x14ac:dyDescent="0.25">
      <c r="A264" s="5">
        <v>44329</v>
      </c>
      <c r="B264">
        <v>6.5072999999999999</v>
      </c>
      <c r="C264">
        <v>7.2830000000000004</v>
      </c>
      <c r="D264">
        <v>6.0311000000000003</v>
      </c>
      <c r="E264">
        <v>6.7390999999999996</v>
      </c>
      <c r="F264">
        <v>2930047.44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0.13108075724898041</v>
      </c>
      <c r="Q264">
        <f t="shared" si="965"/>
        <v>384072.83721063647</v>
      </c>
      <c r="R264">
        <f t="shared" si="966"/>
        <v>-37887266.832177997</v>
      </c>
      <c r="S264">
        <f t="shared" si="967"/>
        <v>-378.87266832177994</v>
      </c>
      <c r="T264">
        <f t="shared" si="968"/>
        <v>-0.37887266832177996</v>
      </c>
    </row>
    <row r="265" spans="1:20" x14ac:dyDescent="0.25">
      <c r="A265" s="5">
        <v>44328</v>
      </c>
      <c r="B265">
        <v>7.8666999999999998</v>
      </c>
      <c r="C265">
        <v>8.18</v>
      </c>
      <c r="D265">
        <v>6.2777000000000003</v>
      </c>
      <c r="E265">
        <v>6.5072999999999999</v>
      </c>
      <c r="F265">
        <v>1949212.32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-0.75860800084108748</v>
      </c>
      <c r="Q265">
        <f t="shared" si="965"/>
        <v>-1478688.061290018</v>
      </c>
      <c r="R265">
        <f t="shared" si="966"/>
        <v>-38271339.669388629</v>
      </c>
      <c r="S265">
        <f t="shared" si="967"/>
        <v>-382.7133966938863</v>
      </c>
      <c r="T265">
        <f t="shared" si="968"/>
        <v>-0.38271339669388632</v>
      </c>
    </row>
    <row r="266" spans="1:20" x14ac:dyDescent="0.25">
      <c r="A266" s="5">
        <v>44327</v>
      </c>
      <c r="B266">
        <v>7.4341999999999997</v>
      </c>
      <c r="C266">
        <v>7.9999000000000002</v>
      </c>
      <c r="D266">
        <v>7.1638000000000002</v>
      </c>
      <c r="E266">
        <v>7.8615000000000004</v>
      </c>
      <c r="F266">
        <v>1857051.76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0.66893912211457995</v>
      </c>
      <c r="Q266">
        <f t="shared" si="965"/>
        <v>1242254.5740557357</v>
      </c>
      <c r="R266">
        <f t="shared" si="966"/>
        <v>-36792651.608098611</v>
      </c>
      <c r="S266">
        <f t="shared" si="967"/>
        <v>-367.92651608098612</v>
      </c>
      <c r="T266">
        <f t="shared" si="968"/>
        <v>-0.36792651608098614</v>
      </c>
    </row>
    <row r="267" spans="1:20" x14ac:dyDescent="0.25">
      <c r="A267" s="5">
        <v>44326</v>
      </c>
      <c r="B267">
        <v>8.2010000000000005</v>
      </c>
      <c r="C267">
        <v>8.4779999999999998</v>
      </c>
      <c r="D267">
        <v>7</v>
      </c>
      <c r="E267">
        <v>7.4375999999999998</v>
      </c>
      <c r="F267">
        <v>2639048.94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-0.40784844384303132</v>
      </c>
      <c r="Q267">
        <f t="shared" si="965"/>
        <v>-1076332.0034046012</v>
      </c>
      <c r="R267">
        <f t="shared" si="966"/>
        <v>-38034906.18215435</v>
      </c>
      <c r="S267">
        <f t="shared" si="967"/>
        <v>-380.3490618215435</v>
      </c>
      <c r="T267">
        <f t="shared" si="968"/>
        <v>-0.38034906182154349</v>
      </c>
    </row>
    <row r="268" spans="1:20" x14ac:dyDescent="0.25">
      <c r="A268" s="5">
        <v>44325</v>
      </c>
      <c r="B268">
        <v>8.5114999999999998</v>
      </c>
      <c r="C268">
        <v>8.58</v>
      </c>
      <c r="D268">
        <v>7.6140999999999996</v>
      </c>
      <c r="E268">
        <v>8.1936999999999998</v>
      </c>
      <c r="F268">
        <v>2043473.44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0.20012423646340172</v>
      </c>
      <c r="Q268">
        <f t="shared" si="965"/>
        <v>408948.56191324093</v>
      </c>
      <c r="R268">
        <f t="shared" si="966"/>
        <v>-36958574.178749748</v>
      </c>
      <c r="S268">
        <f t="shared" si="967"/>
        <v>-369.58574178749745</v>
      </c>
      <c r="T268">
        <f t="shared" si="968"/>
        <v>-0.36958574178749748</v>
      </c>
    </row>
    <row r="269" spans="1:20" x14ac:dyDescent="0.25">
      <c r="A269" s="5">
        <v>44324</v>
      </c>
      <c r="B269">
        <v>8.6791999999999998</v>
      </c>
      <c r="C269">
        <v>8.8767999999999994</v>
      </c>
      <c r="D269">
        <v>8.3699999999999992</v>
      </c>
      <c r="E269">
        <v>8.5010999999999992</v>
      </c>
      <c r="F269">
        <v>1500438.56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-0.48263614838200491</v>
      </c>
      <c r="Q269">
        <f t="shared" si="965"/>
        <v>-724165.88748224184</v>
      </c>
      <c r="R269">
        <f t="shared" si="966"/>
        <v>-37367522.740662992</v>
      </c>
      <c r="S269">
        <f t="shared" si="967"/>
        <v>-373.67522740662992</v>
      </c>
      <c r="T269">
        <f t="shared" si="968"/>
        <v>-0.3736752274066299</v>
      </c>
    </row>
    <row r="270" spans="1:20" x14ac:dyDescent="0.25">
      <c r="A270" s="5">
        <v>44323</v>
      </c>
      <c r="B270">
        <v>8.5729000000000006</v>
      </c>
      <c r="C270">
        <v>9.0897000000000006</v>
      </c>
      <c r="D270">
        <v>8.11</v>
      </c>
      <c r="E270">
        <v>8.6789000000000005</v>
      </c>
      <c r="F270">
        <v>3450443.88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0.16137593140757461</v>
      </c>
      <c r="Q270">
        <f t="shared" si="965"/>
        <v>556818.5949045656</v>
      </c>
      <c r="R270">
        <f t="shared" si="966"/>
        <v>-36643356.853180751</v>
      </c>
      <c r="S270">
        <f t="shared" si="967"/>
        <v>-366.43356853180751</v>
      </c>
      <c r="T270">
        <f t="shared" si="968"/>
        <v>-0.36643356853180753</v>
      </c>
    </row>
    <row r="271" spans="1:20" x14ac:dyDescent="0.25">
      <c r="A271" s="5">
        <v>44322</v>
      </c>
      <c r="B271">
        <v>8.5527999999999995</v>
      </c>
      <c r="C271">
        <v>9.1999999999999993</v>
      </c>
      <c r="D271">
        <v>8.1</v>
      </c>
      <c r="E271">
        <v>8.5599000000000007</v>
      </c>
      <c r="F271">
        <v>4494411.97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-0.16381818181817959</v>
      </c>
      <c r="Q271">
        <f t="shared" si="965"/>
        <v>-736266.39726726268</v>
      </c>
      <c r="R271">
        <f t="shared" si="966"/>
        <v>-37200175.448085316</v>
      </c>
      <c r="S271">
        <f t="shared" si="967"/>
        <v>-372.00175448085315</v>
      </c>
      <c r="T271">
        <f t="shared" si="968"/>
        <v>-0.37200175448085315</v>
      </c>
    </row>
    <row r="272" spans="1:20" x14ac:dyDescent="0.25">
      <c r="A272" s="5">
        <v>44321</v>
      </c>
      <c r="B272">
        <v>7.9353999999999996</v>
      </c>
      <c r="C272">
        <v>8.7231000000000005</v>
      </c>
      <c r="D272">
        <v>7.8</v>
      </c>
      <c r="E272">
        <v>8.5513999999999992</v>
      </c>
      <c r="F272">
        <v>2434179.17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0.6279926335174929</v>
      </c>
      <c r="Q272">
        <f t="shared" si="965"/>
        <v>1528646.587421725</v>
      </c>
      <c r="R272">
        <f t="shared" si="966"/>
        <v>-36463909.050818056</v>
      </c>
      <c r="S272">
        <f t="shared" si="967"/>
        <v>-364.63909050818057</v>
      </c>
      <c r="T272">
        <f t="shared" si="968"/>
        <v>-0.36463909050818055</v>
      </c>
    </row>
    <row r="273" spans="1:20" x14ac:dyDescent="0.25">
      <c r="A273" s="5">
        <v>44320</v>
      </c>
      <c r="B273">
        <v>9.5236999999999998</v>
      </c>
      <c r="C273">
        <v>9.5309000000000008</v>
      </c>
      <c r="D273">
        <v>7.8154000000000003</v>
      </c>
      <c r="E273">
        <v>7.9359999999999999</v>
      </c>
      <c r="F273">
        <v>5435526.0700000003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-0.85939959195569859</v>
      </c>
      <c r="Q273">
        <f t="shared" si="965"/>
        <v>-4671288.8866225621</v>
      </c>
      <c r="R273">
        <f t="shared" si="966"/>
        <v>-37992555.638239779</v>
      </c>
      <c r="S273">
        <f t="shared" si="967"/>
        <v>-379.92555638239776</v>
      </c>
      <c r="T273">
        <f t="shared" si="968"/>
        <v>-0.37992555638239778</v>
      </c>
    </row>
    <row r="274" spans="1:20" x14ac:dyDescent="0.25">
      <c r="A274" s="5">
        <v>44319</v>
      </c>
      <c r="B274">
        <v>9.1264000000000003</v>
      </c>
      <c r="C274">
        <v>9.9830000000000005</v>
      </c>
      <c r="D274">
        <v>9.1127000000000002</v>
      </c>
      <c r="E274">
        <v>9.5279000000000007</v>
      </c>
      <c r="F274">
        <v>2810126.9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-4.5846259910375005E-2</v>
      </c>
      <c r="Q274">
        <f t="shared" si="965"/>
        <v>-128833.80823853638</v>
      </c>
      <c r="R274">
        <f t="shared" si="966"/>
        <v>-33321266.751617216</v>
      </c>
      <c r="S274">
        <f t="shared" si="967"/>
        <v>-333.21266751617213</v>
      </c>
      <c r="T274">
        <f t="shared" si="968"/>
        <v>-0.33321266751617212</v>
      </c>
    </row>
    <row r="275" spans="1:20" x14ac:dyDescent="0.25">
      <c r="A275" s="5">
        <v>44318</v>
      </c>
      <c r="B275">
        <v>9.2420000000000009</v>
      </c>
      <c r="C275">
        <v>9.3833000000000002</v>
      </c>
      <c r="D275">
        <v>8.7224000000000004</v>
      </c>
      <c r="E275">
        <v>9.1120000000000001</v>
      </c>
      <c r="F275">
        <v>1697987.83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0.17899833560296513</v>
      </c>
      <c r="Q275">
        <f t="shared" si="965"/>
        <v>303936.99544409051</v>
      </c>
      <c r="R275">
        <f t="shared" si="966"/>
        <v>-33192432.943378679</v>
      </c>
      <c r="S275">
        <f t="shared" si="967"/>
        <v>-331.9243294337868</v>
      </c>
      <c r="T275">
        <f t="shared" si="968"/>
        <v>-0.3319243294337868</v>
      </c>
    </row>
    <row r="276" spans="1:20" x14ac:dyDescent="0.25">
      <c r="A276" s="5">
        <v>44317</v>
      </c>
      <c r="B276">
        <v>9.1342999999999996</v>
      </c>
      <c r="C276">
        <v>9.49</v>
      </c>
      <c r="D276">
        <v>8.7087000000000003</v>
      </c>
      <c r="E276">
        <v>9.25</v>
      </c>
      <c r="F276">
        <v>1634312.52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0.38563931908357801</v>
      </c>
      <c r="Q276">
        <f t="shared" si="965"/>
        <v>630255.16738256649</v>
      </c>
      <c r="R276">
        <f t="shared" si="966"/>
        <v>-33496369.938822769</v>
      </c>
      <c r="S276">
        <f t="shared" si="967"/>
        <v>-334.96369938822767</v>
      </c>
      <c r="T276">
        <f t="shared" si="968"/>
        <v>-0.33496369938822768</v>
      </c>
    </row>
    <row r="277" spans="1:20" x14ac:dyDescent="0.25">
      <c r="A277" s="5">
        <v>44316</v>
      </c>
      <c r="B277">
        <v>8.4663000000000004</v>
      </c>
      <c r="C277">
        <v>9.35</v>
      </c>
      <c r="D277">
        <v>8.3122000000000007</v>
      </c>
      <c r="E277">
        <v>9.1556999999999995</v>
      </c>
      <c r="F277">
        <v>2057117.2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0.62555405665831498</v>
      </c>
      <c r="Q277">
        <f t="shared" si="965"/>
        <v>1286838.0094815942</v>
      </c>
      <c r="R277">
        <f t="shared" si="966"/>
        <v>-34126625.106205337</v>
      </c>
      <c r="S277">
        <f t="shared" si="967"/>
        <v>-341.26625106205336</v>
      </c>
      <c r="T277">
        <f t="shared" si="968"/>
        <v>-0.34126625106205338</v>
      </c>
    </row>
    <row r="278" spans="1:20" x14ac:dyDescent="0.25">
      <c r="A278" s="5">
        <v>44315</v>
      </c>
      <c r="B278">
        <v>8.6113999999999997</v>
      </c>
      <c r="C278">
        <v>9</v>
      </c>
      <c r="D278">
        <v>8.077</v>
      </c>
      <c r="E278">
        <v>8.4793000000000003</v>
      </c>
      <c r="F278">
        <v>1977392.65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-0.12827735644636987</v>
      </c>
      <c r="Q278">
        <f t="shared" si="965"/>
        <v>-253654.7017984819</v>
      </c>
      <c r="R278">
        <f t="shared" si="966"/>
        <v>-35413463.115686931</v>
      </c>
      <c r="S278">
        <f t="shared" si="967"/>
        <v>-354.13463115686932</v>
      </c>
      <c r="T278">
        <f t="shared" si="968"/>
        <v>-0.35413463115686933</v>
      </c>
    </row>
    <row r="279" spans="1:20" x14ac:dyDescent="0.25">
      <c r="A279" s="5">
        <v>44314</v>
      </c>
      <c r="B279">
        <v>8.9832999999999998</v>
      </c>
      <c r="C279">
        <v>9.1499000000000006</v>
      </c>
      <c r="D279">
        <v>8.1737000000000002</v>
      </c>
      <c r="E279">
        <v>8.6110000000000007</v>
      </c>
      <c r="F279">
        <v>2142523.73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-0.10407703339479556</v>
      </c>
      <c r="Q279">
        <f t="shared" si="965"/>
        <v>-222987.51379635194</v>
      </c>
      <c r="R279">
        <f t="shared" si="966"/>
        <v>-35159808.413888447</v>
      </c>
      <c r="S279">
        <f t="shared" si="967"/>
        <v>-351.59808413888447</v>
      </c>
      <c r="T279">
        <f t="shared" si="968"/>
        <v>-0.35159808413888449</v>
      </c>
    </row>
    <row r="280" spans="1:20" x14ac:dyDescent="0.25">
      <c r="A280" s="5">
        <v>44313</v>
      </c>
      <c r="B280">
        <v>8.0271000000000008</v>
      </c>
      <c r="C280">
        <v>9.3543000000000003</v>
      </c>
      <c r="D280">
        <v>7.9184000000000001</v>
      </c>
      <c r="E280">
        <v>8.9832999999999998</v>
      </c>
      <c r="F280">
        <v>2874543.73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0.48325092276620879</v>
      </c>
      <c r="Q280">
        <f t="shared" si="965"/>
        <v>1389125.9100543198</v>
      </c>
      <c r="R280">
        <f t="shared" si="966"/>
        <v>-34936820.900092095</v>
      </c>
      <c r="S280">
        <f t="shared" si="967"/>
        <v>-349.36820900092096</v>
      </c>
      <c r="T280">
        <f t="shared" si="968"/>
        <v>-0.34936820900092097</v>
      </c>
    </row>
    <row r="281" spans="1:20" x14ac:dyDescent="0.25">
      <c r="A281" s="5">
        <v>44312</v>
      </c>
      <c r="B281">
        <v>7.2196999999999996</v>
      </c>
      <c r="C281">
        <v>8.4</v>
      </c>
      <c r="D281">
        <v>7.1281999999999996</v>
      </c>
      <c r="E281">
        <v>8.0439000000000007</v>
      </c>
      <c r="F281">
        <v>2082073.96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0.44000629029721744</v>
      </c>
      <c r="Q281">
        <f t="shared" si="965"/>
        <v>916125.63926403702</v>
      </c>
      <c r="R281">
        <f t="shared" si="966"/>
        <v>-36325946.810146414</v>
      </c>
      <c r="S281">
        <f t="shared" si="967"/>
        <v>-363.25946810146417</v>
      </c>
      <c r="T281">
        <f t="shared" si="968"/>
        <v>-0.36325946810146414</v>
      </c>
    </row>
    <row r="282" spans="1:20" x14ac:dyDescent="0.25">
      <c r="A282" s="5">
        <v>44311</v>
      </c>
      <c r="B282">
        <v>7.0392000000000001</v>
      </c>
      <c r="C282">
        <v>7.7702999999999998</v>
      </c>
      <c r="D282">
        <v>6.7</v>
      </c>
      <c r="E282">
        <v>7.2194000000000003</v>
      </c>
      <c r="F282">
        <v>1432849.09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-2.9431000654021704E-2</v>
      </c>
      <c r="Q282">
        <f t="shared" si="965"/>
        <v>-42170.182504904406</v>
      </c>
      <c r="R282">
        <f t="shared" si="966"/>
        <v>-37242072.449410453</v>
      </c>
      <c r="S282">
        <f t="shared" si="967"/>
        <v>-372.42072449410455</v>
      </c>
      <c r="T282">
        <f t="shared" si="968"/>
        <v>-0.37242072449410457</v>
      </c>
    </row>
    <row r="283" spans="1:20" x14ac:dyDescent="0.25">
      <c r="A283" s="5">
        <v>44310</v>
      </c>
      <c r="B283">
        <v>7.7375999999999996</v>
      </c>
      <c r="C283">
        <v>7.7582000000000004</v>
      </c>
      <c r="D283">
        <v>6.9001000000000001</v>
      </c>
      <c r="E283">
        <v>7.0130999999999997</v>
      </c>
      <c r="F283">
        <v>1541819.2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-0.73662743270015263</v>
      </c>
      <c r="Q283">
        <f t="shared" si="965"/>
        <v>-1135746.318983803</v>
      </c>
      <c r="R283">
        <f t="shared" si="966"/>
        <v>-37199902.266905546</v>
      </c>
      <c r="S283">
        <f t="shared" si="967"/>
        <v>-371.99902266905548</v>
      </c>
      <c r="T283">
        <f t="shared" si="968"/>
        <v>-0.37199902266905549</v>
      </c>
    </row>
    <row r="284" spans="1:20" x14ac:dyDescent="0.25">
      <c r="A284" s="5">
        <v>44309</v>
      </c>
      <c r="B284">
        <v>8.0548999999999999</v>
      </c>
      <c r="C284">
        <v>8.1762999999999995</v>
      </c>
      <c r="D284">
        <v>6.6047000000000002</v>
      </c>
      <c r="E284">
        <v>7.7388000000000003</v>
      </c>
      <c r="F284">
        <v>3473411.74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0.44324255535759821</v>
      </c>
      <c r="Q284">
        <f t="shared" si="965"/>
        <v>1539563.8954466817</v>
      </c>
      <c r="R284">
        <f t="shared" si="966"/>
        <v>-36064155.947921745</v>
      </c>
      <c r="S284">
        <f t="shared" si="967"/>
        <v>-360.64155947921745</v>
      </c>
      <c r="T284">
        <f t="shared" si="968"/>
        <v>-0.36064155947921744</v>
      </c>
    </row>
    <row r="285" spans="1:20" x14ac:dyDescent="0.25">
      <c r="A285" s="5">
        <v>44308</v>
      </c>
      <c r="B285">
        <v>8.8629999999999995</v>
      </c>
      <c r="C285">
        <v>9.5382999999999996</v>
      </c>
      <c r="D285">
        <v>7.65</v>
      </c>
      <c r="E285">
        <v>8.0503999999999998</v>
      </c>
      <c r="F285">
        <v>3037070.37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-0.57591484403961279</v>
      </c>
      <c r="Q285">
        <f t="shared" si="965"/>
        <v>-1749093.9084758791</v>
      </c>
      <c r="R285">
        <f t="shared" si="966"/>
        <v>-37603719.843368426</v>
      </c>
      <c r="S285">
        <f t="shared" si="967"/>
        <v>-376.03719843368424</v>
      </c>
      <c r="T285">
        <f t="shared" si="968"/>
        <v>-0.37603719843368422</v>
      </c>
    </row>
    <row r="286" spans="1:20" x14ac:dyDescent="0.25">
      <c r="A286" s="5">
        <v>44307</v>
      </c>
      <c r="B286">
        <v>9.1797000000000004</v>
      </c>
      <c r="C286">
        <v>9.6999999999999993</v>
      </c>
      <c r="D286">
        <v>8.74</v>
      </c>
      <c r="E286">
        <v>8.8650000000000002</v>
      </c>
      <c r="F286">
        <v>2204696.5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-0.73958333333333304</v>
      </c>
      <c r="Q286">
        <f t="shared" si="965"/>
        <v>-1630556.7864583328</v>
      </c>
      <c r="R286">
        <f t="shared" si="966"/>
        <v>-35854625.93489255</v>
      </c>
      <c r="S286">
        <f t="shared" si="967"/>
        <v>-358.5462593489255</v>
      </c>
      <c r="T286">
        <f t="shared" si="968"/>
        <v>-0.35854625934892548</v>
      </c>
    </row>
    <row r="287" spans="1:20" x14ac:dyDescent="0.25">
      <c r="A287" s="5">
        <v>44306</v>
      </c>
      <c r="B287">
        <v>8.9252000000000002</v>
      </c>
      <c r="C287">
        <v>9.3589000000000002</v>
      </c>
      <c r="D287">
        <v>7.9</v>
      </c>
      <c r="E287">
        <v>9.1814</v>
      </c>
      <c r="F287">
        <v>2829829.96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0.75666598121872608</v>
      </c>
      <c r="Q287">
        <f t="shared" si="965"/>
        <v>2141236.0633655484</v>
      </c>
      <c r="R287">
        <f t="shared" si="966"/>
        <v>-34224069.148434214</v>
      </c>
      <c r="S287">
        <f t="shared" si="967"/>
        <v>-342.24069148434216</v>
      </c>
      <c r="T287">
        <f t="shared" si="968"/>
        <v>-0.34224069148434216</v>
      </c>
    </row>
    <row r="288" spans="1:20" x14ac:dyDescent="0.25">
      <c r="A288" s="5">
        <v>44305</v>
      </c>
      <c r="B288">
        <v>10.18</v>
      </c>
      <c r="C288">
        <v>10.95</v>
      </c>
      <c r="D288">
        <v>8.6999999999999993</v>
      </c>
      <c r="E288">
        <v>8.9384999999999994</v>
      </c>
      <c r="F288">
        <v>3281144.27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-0.78799999999999981</v>
      </c>
      <c r="Q288">
        <f t="shared" si="965"/>
        <v>-2585541.6847599996</v>
      </c>
      <c r="R288">
        <f t="shared" si="966"/>
        <v>-36365305.211799763</v>
      </c>
      <c r="S288">
        <f t="shared" si="967"/>
        <v>-363.65305211799762</v>
      </c>
      <c r="T288">
        <f t="shared" si="968"/>
        <v>-0.36365305211799764</v>
      </c>
    </row>
    <row r="289" spans="1:20" x14ac:dyDescent="0.25">
      <c r="A289" s="5">
        <v>44304</v>
      </c>
      <c r="B289">
        <v>12.510400000000001</v>
      </c>
      <c r="C289">
        <v>13.1935</v>
      </c>
      <c r="D289">
        <v>7.7934999999999999</v>
      </c>
      <c r="E289">
        <v>10.1822</v>
      </c>
      <c r="F289">
        <v>6104762.0499999998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-0.11529629629629634</v>
      </c>
      <c r="Q289">
        <f t="shared" si="965"/>
        <v>-703856.45413518546</v>
      </c>
      <c r="R289">
        <f t="shared" si="966"/>
        <v>-33779763.527039766</v>
      </c>
      <c r="S289">
        <f t="shared" si="967"/>
        <v>-337.79763527039768</v>
      </c>
      <c r="T289">
        <f t="shared" si="968"/>
        <v>-0.33779763527039769</v>
      </c>
    </row>
    <row r="290" spans="1:20" x14ac:dyDescent="0.25">
      <c r="A290" s="5">
        <v>44303</v>
      </c>
      <c r="B290">
        <v>11.263500000000001</v>
      </c>
      <c r="C290">
        <v>13.39</v>
      </c>
      <c r="D290">
        <v>11.2</v>
      </c>
      <c r="E290">
        <v>12.510300000000001</v>
      </c>
      <c r="F290">
        <v>3933126.25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0.19662100456621079</v>
      </c>
      <c r="Q290">
        <f t="shared" si="965"/>
        <v>773335.23436073354</v>
      </c>
      <c r="R290">
        <f t="shared" si="966"/>
        <v>-33075907.072904579</v>
      </c>
      <c r="S290">
        <f t="shared" si="967"/>
        <v>-330.75907072904579</v>
      </c>
      <c r="T290">
        <f t="shared" si="968"/>
        <v>-0.33075907072904581</v>
      </c>
    </row>
    <row r="291" spans="1:20" x14ac:dyDescent="0.25">
      <c r="A291" s="5">
        <v>44302</v>
      </c>
      <c r="B291">
        <v>12.386100000000001</v>
      </c>
      <c r="C291">
        <v>12.48</v>
      </c>
      <c r="D291">
        <v>10.877000000000001</v>
      </c>
      <c r="E291">
        <v>11.266500000000001</v>
      </c>
      <c r="F291">
        <v>2223936.19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-0.51403618215845293</v>
      </c>
      <c r="Q291">
        <f t="shared" si="965"/>
        <v>-1143183.6684716158</v>
      </c>
      <c r="R291">
        <f t="shared" si="966"/>
        <v>-33849242.307265311</v>
      </c>
      <c r="S291">
        <f t="shared" si="967"/>
        <v>-338.49242307265314</v>
      </c>
      <c r="T291">
        <f t="shared" si="968"/>
        <v>-0.33849242307265315</v>
      </c>
    </row>
    <row r="292" spans="1:20" x14ac:dyDescent="0.25">
      <c r="A292" s="5">
        <v>44301</v>
      </c>
      <c r="B292">
        <v>11.4373</v>
      </c>
      <c r="C292">
        <v>12.65</v>
      </c>
      <c r="D292">
        <v>11.185</v>
      </c>
      <c r="E292">
        <v>12.361499999999999</v>
      </c>
      <c r="F292">
        <v>3263438.87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0.60614334470989639</v>
      </c>
      <c r="Q292">
        <f t="shared" si="965"/>
        <v>1978111.7519180849</v>
      </c>
      <c r="R292">
        <f t="shared" si="966"/>
        <v>-32706058.638793699</v>
      </c>
      <c r="S292">
        <f t="shared" si="967"/>
        <v>-327.06058638793701</v>
      </c>
      <c r="T292">
        <f t="shared" si="968"/>
        <v>-0.327060586387937</v>
      </c>
    </row>
    <row r="293" spans="1:20" x14ac:dyDescent="0.25">
      <c r="A293" s="5">
        <v>44300</v>
      </c>
      <c r="B293">
        <v>11.488</v>
      </c>
      <c r="C293">
        <v>11.92</v>
      </c>
      <c r="D293">
        <v>10.386100000000001</v>
      </c>
      <c r="E293">
        <v>11.436199999999999</v>
      </c>
      <c r="F293">
        <v>3203199.72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0.36918964730425619</v>
      </c>
      <c r="Q293">
        <f t="shared" si="965"/>
        <v>1182588.1748718922</v>
      </c>
      <c r="R293">
        <f t="shared" si="966"/>
        <v>-34684170.390711784</v>
      </c>
      <c r="S293">
        <f t="shared" si="967"/>
        <v>-346.84170390711785</v>
      </c>
      <c r="T293">
        <f t="shared" si="968"/>
        <v>-0.34684170390711783</v>
      </c>
    </row>
    <row r="294" spans="1:20" x14ac:dyDescent="0.25">
      <c r="A294" s="5">
        <v>44299</v>
      </c>
      <c r="B294">
        <v>12.7766</v>
      </c>
      <c r="C294">
        <v>13.2972</v>
      </c>
      <c r="D294">
        <v>11.196300000000001</v>
      </c>
      <c r="E294">
        <v>11.488799999999999</v>
      </c>
      <c r="F294">
        <v>3317848.15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-0.72154790803941282</v>
      </c>
      <c r="Q294">
        <f t="shared" si="965"/>
        <v>-2393986.391824936</v>
      </c>
      <c r="R294">
        <f t="shared" si="966"/>
        <v>-35866758.565583676</v>
      </c>
      <c r="S294">
        <f t="shared" si="967"/>
        <v>-358.66758565583677</v>
      </c>
      <c r="T294">
        <f t="shared" si="968"/>
        <v>-0.35866758565583678</v>
      </c>
    </row>
    <row r="295" spans="1:20" x14ac:dyDescent="0.25">
      <c r="A295" s="5">
        <v>44298</v>
      </c>
      <c r="B295">
        <v>11.5342</v>
      </c>
      <c r="C295">
        <v>13.1</v>
      </c>
      <c r="D295">
        <v>11.3233</v>
      </c>
      <c r="E295">
        <v>12.7765</v>
      </c>
      <c r="F295">
        <v>5155417.0599999996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0.63584172904823633</v>
      </c>
      <c r="Q295">
        <f t="shared" si="965"/>
        <v>3278029.2973951749</v>
      </c>
      <c r="R295">
        <f t="shared" si="966"/>
        <v>-33472772.173758741</v>
      </c>
      <c r="S295">
        <f t="shared" si="967"/>
        <v>-334.72772173758739</v>
      </c>
      <c r="T295">
        <f t="shared" si="968"/>
        <v>-0.33472772173758741</v>
      </c>
    </row>
    <row r="296" spans="1:20" x14ac:dyDescent="0.25">
      <c r="A296" s="5">
        <v>44297</v>
      </c>
      <c r="B296">
        <v>11.433299999999999</v>
      </c>
      <c r="C296">
        <v>12.186299999999999</v>
      </c>
      <c r="D296">
        <v>11.03</v>
      </c>
      <c r="E296">
        <v>11.539400000000001</v>
      </c>
      <c r="F296">
        <v>3368499.71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-0.1189137767015459</v>
      </c>
      <c r="Q296">
        <f t="shared" si="965"/>
        <v>-400561.02233416215</v>
      </c>
      <c r="R296">
        <f t="shared" si="966"/>
        <v>-36750801.471153915</v>
      </c>
      <c r="S296">
        <f t="shared" si="967"/>
        <v>-367.50801471153915</v>
      </c>
      <c r="T296">
        <f t="shared" si="968"/>
        <v>-0.36750801471153915</v>
      </c>
    </row>
    <row r="297" spans="1:20" x14ac:dyDescent="0.25">
      <c r="A297" s="5">
        <v>44296</v>
      </c>
      <c r="B297">
        <v>11.996700000000001</v>
      </c>
      <c r="C297">
        <v>12.43</v>
      </c>
      <c r="D297">
        <v>11.033799999999999</v>
      </c>
      <c r="E297">
        <v>11.4306</v>
      </c>
      <c r="F297">
        <v>3945985.5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-0.43160005729838047</v>
      </c>
      <c r="Q297">
        <f t="shared" si="965"/>
        <v>-1703087.5678985785</v>
      </c>
      <c r="R297">
        <f t="shared" si="966"/>
        <v>-36350240.448819757</v>
      </c>
      <c r="S297">
        <f t="shared" si="967"/>
        <v>-363.50240448819756</v>
      </c>
      <c r="T297">
        <f t="shared" si="968"/>
        <v>-0.36350240448819754</v>
      </c>
    </row>
    <row r="298" spans="1:20" x14ac:dyDescent="0.25">
      <c r="A298" s="5">
        <v>44295</v>
      </c>
      <c r="B298">
        <v>10.6075</v>
      </c>
      <c r="C298">
        <v>12.6</v>
      </c>
      <c r="D298">
        <v>10.593999999999999</v>
      </c>
      <c r="E298">
        <v>12.0007</v>
      </c>
      <c r="F298">
        <v>8726686.6699999999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0.40249252243270245</v>
      </c>
      <c r="Q298">
        <f t="shared" si="965"/>
        <v>3512426.1302881404</v>
      </c>
      <c r="R298">
        <f t="shared" si="966"/>
        <v>-34647152.880921178</v>
      </c>
      <c r="S298">
        <f t="shared" si="967"/>
        <v>-346.47152880921175</v>
      </c>
      <c r="T298">
        <f t="shared" si="968"/>
        <v>-0.34647152880921173</v>
      </c>
    </row>
    <row r="299" spans="1:20" x14ac:dyDescent="0.25">
      <c r="A299" s="5">
        <v>44294</v>
      </c>
      <c r="B299">
        <v>9.3696999999999999</v>
      </c>
      <c r="C299">
        <v>10.777200000000001</v>
      </c>
      <c r="D299">
        <v>9.2904</v>
      </c>
      <c r="E299">
        <v>10.613300000000001</v>
      </c>
      <c r="F299">
        <v>2386034.2000000002</v>
      </c>
      <c r="G299">
        <v>0</v>
      </c>
      <c r="L299" t="s">
        <v>7</v>
      </c>
      <c r="M299" t="s">
        <v>8</v>
      </c>
      <c r="N299" t="s">
        <v>8</v>
      </c>
      <c r="P299">
        <f t="shared" si="964"/>
        <v>0.77952649986548306</v>
      </c>
      <c r="Q299">
        <f t="shared" si="965"/>
        <v>1859976.8884853381</v>
      </c>
      <c r="R299">
        <f t="shared" si="966"/>
        <v>-38159579.011209317</v>
      </c>
      <c r="S299">
        <f t="shared" si="967"/>
        <v>-381.59579011209314</v>
      </c>
      <c r="T299">
        <f t="shared" si="968"/>
        <v>-0.38159579011209316</v>
      </c>
    </row>
    <row r="300" spans="1:20" x14ac:dyDescent="0.25">
      <c r="A300" s="5">
        <v>44293</v>
      </c>
      <c r="B300">
        <v>10.4757</v>
      </c>
      <c r="C300">
        <v>10.887</v>
      </c>
      <c r="D300">
        <v>9.0147999999999993</v>
      </c>
      <c r="E300">
        <v>9.3355999999999995</v>
      </c>
      <c r="F300">
        <v>2645235.0299999998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-0.65730157034504866</v>
      </c>
      <c r="Q300">
        <f t="shared" si="965"/>
        <v>-1738717.1391507317</v>
      </c>
      <c r="R300">
        <f t="shared" si="966"/>
        <v>-40019555.899694651</v>
      </c>
      <c r="S300">
        <f t="shared" si="967"/>
        <v>-400.19555899694649</v>
      </c>
      <c r="T300">
        <f t="shared" si="968"/>
        <v>-0.40019555899694648</v>
      </c>
    </row>
    <row r="301" spans="1:20" x14ac:dyDescent="0.25">
      <c r="A301" s="5">
        <v>44292</v>
      </c>
      <c r="B301">
        <v>9.8364999999999991</v>
      </c>
      <c r="C301">
        <v>10.660500000000001</v>
      </c>
      <c r="D301">
        <v>9.51</v>
      </c>
      <c r="E301">
        <v>10.4781</v>
      </c>
      <c r="F301">
        <v>2691300.4</v>
      </c>
      <c r="G301">
        <v>0</v>
      </c>
      <c r="L301" t="s">
        <v>8</v>
      </c>
      <c r="M301" t="s">
        <v>8</v>
      </c>
      <c r="N301" t="s">
        <v>7</v>
      </c>
      <c r="P301">
        <f t="shared" si="964"/>
        <v>0.68292046936114548</v>
      </c>
      <c r="Q301">
        <f t="shared" si="965"/>
        <v>1837944.1323598386</v>
      </c>
      <c r="R301">
        <f t="shared" si="966"/>
        <v>-38280838.76054392</v>
      </c>
      <c r="S301">
        <f t="shared" si="967"/>
        <v>-382.80838760543918</v>
      </c>
      <c r="T301">
        <f t="shared" si="968"/>
        <v>-0.38280838760543917</v>
      </c>
    </row>
    <row r="302" spans="1:20" x14ac:dyDescent="0.25">
      <c r="A302" s="5">
        <v>44291</v>
      </c>
      <c r="B302">
        <v>9.6090999999999998</v>
      </c>
      <c r="C302">
        <v>10.31</v>
      </c>
      <c r="D302">
        <v>9.1999999999999993</v>
      </c>
      <c r="E302">
        <v>9.8168000000000006</v>
      </c>
      <c r="F302">
        <v>2158210.67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0.11135135135135257</v>
      </c>
      <c r="Q302">
        <f t="shared" si="965"/>
        <v>240319.67460540804</v>
      </c>
      <c r="R302">
        <f t="shared" si="966"/>
        <v>-40118782.89290376</v>
      </c>
      <c r="S302">
        <f t="shared" si="967"/>
        <v>-401.18782892903761</v>
      </c>
      <c r="T302">
        <f t="shared" si="968"/>
        <v>-0.40118782892903759</v>
      </c>
    </row>
    <row r="303" spans="1:20" x14ac:dyDescent="0.25">
      <c r="A303" s="5">
        <v>44290</v>
      </c>
      <c r="B303">
        <v>8.8574999999999999</v>
      </c>
      <c r="C303">
        <v>9.8000000000000007</v>
      </c>
      <c r="D303">
        <v>8.7001000000000008</v>
      </c>
      <c r="E303">
        <v>9.6014999999999997</v>
      </c>
      <c r="F303">
        <v>1384153.55</v>
      </c>
      <c r="G303">
        <v>0</v>
      </c>
      <c r="L303" t="s">
        <v>7</v>
      </c>
      <c r="M303" t="s">
        <v>8</v>
      </c>
      <c r="N303" t="s">
        <v>7</v>
      </c>
      <c r="P303">
        <f t="shared" si="964"/>
        <v>0.63905809619056086</v>
      </c>
      <c r="Q303">
        <f t="shared" si="965"/>
        <v>884554.53249840636</v>
      </c>
      <c r="R303">
        <f t="shared" si="966"/>
        <v>-40359102.567509167</v>
      </c>
      <c r="S303">
        <f t="shared" si="967"/>
        <v>-403.59102567509166</v>
      </c>
      <c r="T303">
        <f t="shared" si="968"/>
        <v>-0.40359102567509164</v>
      </c>
    </row>
    <row r="304" spans="1:20" x14ac:dyDescent="0.25">
      <c r="A304" s="5">
        <v>44289</v>
      </c>
      <c r="B304">
        <v>9.5259</v>
      </c>
      <c r="C304">
        <v>10.1568</v>
      </c>
      <c r="D304">
        <v>8.7100000000000009</v>
      </c>
      <c r="E304">
        <v>8.86</v>
      </c>
      <c r="F304">
        <v>1941199.64</v>
      </c>
      <c r="G304">
        <v>0</v>
      </c>
      <c r="L304" t="s">
        <v>8</v>
      </c>
      <c r="M304" t="s">
        <v>8</v>
      </c>
      <c r="N304" t="s">
        <v>7</v>
      </c>
      <c r="P304">
        <f t="shared" si="964"/>
        <v>-0.7926458390931731</v>
      </c>
      <c r="Q304">
        <f t="shared" si="965"/>
        <v>-1538683.8174951654</v>
      </c>
      <c r="R304">
        <f t="shared" si="966"/>
        <v>-41243657.100007571</v>
      </c>
      <c r="S304">
        <f t="shared" si="967"/>
        <v>-412.43657100007573</v>
      </c>
      <c r="T304">
        <f t="shared" si="968"/>
        <v>-0.41243657100007575</v>
      </c>
    </row>
    <row r="305" spans="1:20" x14ac:dyDescent="0.25">
      <c r="A305" s="5">
        <v>44288</v>
      </c>
      <c r="B305">
        <v>9.0931999999999995</v>
      </c>
      <c r="C305">
        <v>9.7811000000000003</v>
      </c>
      <c r="D305">
        <v>9.0428999999999995</v>
      </c>
      <c r="E305">
        <v>9.5258000000000003</v>
      </c>
      <c r="F305">
        <v>1583306.17</v>
      </c>
      <c r="G305">
        <v>0</v>
      </c>
      <c r="L305" t="s">
        <v>8</v>
      </c>
      <c r="M305" t="s">
        <v>8</v>
      </c>
      <c r="N305" t="s">
        <v>7</v>
      </c>
      <c r="P305">
        <f t="shared" si="964"/>
        <v>0.30831752912489896</v>
      </c>
      <c r="Q305">
        <f t="shared" si="965"/>
        <v>488161.04618260718</v>
      </c>
      <c r="R305">
        <f t="shared" si="966"/>
        <v>-39704973.282512404</v>
      </c>
      <c r="S305">
        <f t="shared" si="967"/>
        <v>-397.04973282512407</v>
      </c>
      <c r="T305">
        <f t="shared" si="968"/>
        <v>-0.39704973282512407</v>
      </c>
    </row>
    <row r="306" spans="1:20" x14ac:dyDescent="0.25">
      <c r="A306" s="5">
        <v>44287</v>
      </c>
      <c r="B306">
        <v>9.2708999999999993</v>
      </c>
      <c r="C306">
        <v>9.4358000000000004</v>
      </c>
      <c r="D306">
        <v>8.93</v>
      </c>
      <c r="E306">
        <v>9.1189999999999998</v>
      </c>
      <c r="F306">
        <v>1485460.88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-0.25266903914590827</v>
      </c>
      <c r="Q306">
        <f t="shared" si="965"/>
        <v>-375329.97323843534</v>
      </c>
      <c r="R306">
        <f t="shared" si="966"/>
        <v>-40193134.328695014</v>
      </c>
      <c r="S306">
        <f t="shared" si="967"/>
        <v>-401.93134328695015</v>
      </c>
      <c r="T306">
        <f t="shared" si="968"/>
        <v>-0.40193134328695013</v>
      </c>
    </row>
    <row r="307" spans="1:20" x14ac:dyDescent="0.25">
      <c r="A307" s="5">
        <v>44286</v>
      </c>
      <c r="B307">
        <v>9.7467000000000006</v>
      </c>
      <c r="C307">
        <v>9.7906999999999993</v>
      </c>
      <c r="D307">
        <v>8.5869</v>
      </c>
      <c r="E307">
        <v>9.2441999999999993</v>
      </c>
      <c r="F307">
        <v>2129896.12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9.2041867419836693E-2</v>
      </c>
      <c r="Q307">
        <f t="shared" si="965"/>
        <v>196039.6162950646</v>
      </c>
      <c r="R307">
        <f t="shared" si="966"/>
        <v>-39817804.355456576</v>
      </c>
      <c r="S307">
        <f t="shared" si="967"/>
        <v>-398.17804355456576</v>
      </c>
      <c r="T307">
        <f t="shared" si="968"/>
        <v>-0.39817804355456576</v>
      </c>
    </row>
    <row r="308" spans="1:20" x14ac:dyDescent="0.25">
      <c r="A308" s="5">
        <v>44285</v>
      </c>
      <c r="B308">
        <v>9.8306000000000004</v>
      </c>
      <c r="C308">
        <v>10.19</v>
      </c>
      <c r="D308">
        <v>9.6100999999999992</v>
      </c>
      <c r="E308">
        <v>9.7233999999999998</v>
      </c>
      <c r="F308">
        <v>1389015.91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-0.60924297292636465</v>
      </c>
      <c r="Q308">
        <f t="shared" si="965"/>
        <v>-846248.18245041976</v>
      </c>
      <c r="R308">
        <f t="shared" si="966"/>
        <v>-40013843.971751638</v>
      </c>
      <c r="S308">
        <f t="shared" si="967"/>
        <v>-400.13843971751641</v>
      </c>
      <c r="T308">
        <f t="shared" si="968"/>
        <v>-0.40013843971751639</v>
      </c>
    </row>
    <row r="309" spans="1:20" x14ac:dyDescent="0.25">
      <c r="A309" s="5">
        <v>44284</v>
      </c>
      <c r="B309">
        <v>9.1539000000000001</v>
      </c>
      <c r="C309">
        <v>10.151400000000001</v>
      </c>
      <c r="D309">
        <v>8.7622999999999998</v>
      </c>
      <c r="E309">
        <v>9.8301999999999996</v>
      </c>
      <c r="F309">
        <v>2143347.44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0.53754229357137595</v>
      </c>
      <c r="Q309">
        <f t="shared" si="965"/>
        <v>1152139.8988179371</v>
      </c>
      <c r="R309">
        <f t="shared" si="966"/>
        <v>-39167595.789301217</v>
      </c>
      <c r="S309">
        <f t="shared" si="967"/>
        <v>-391.67595789301214</v>
      </c>
      <c r="T309">
        <f t="shared" si="968"/>
        <v>-0.39167595789301213</v>
      </c>
    </row>
    <row r="310" spans="1:20" x14ac:dyDescent="0.25">
      <c r="A310" s="5">
        <v>44283</v>
      </c>
      <c r="B310">
        <v>9.0667000000000009</v>
      </c>
      <c r="C310">
        <v>9.6609999999999996</v>
      </c>
      <c r="D310">
        <v>8.8800000000000008</v>
      </c>
      <c r="E310">
        <v>9.1403999999999996</v>
      </c>
      <c r="F310">
        <v>1782927.71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-0.3331626120358534</v>
      </c>
      <c r="Q310">
        <f t="shared" si="965"/>
        <v>-594004.85293470253</v>
      </c>
      <c r="R310">
        <f t="shared" si="966"/>
        <v>-40319735.688119151</v>
      </c>
      <c r="S310">
        <f t="shared" si="967"/>
        <v>-403.19735688119152</v>
      </c>
      <c r="T310">
        <f t="shared" si="968"/>
        <v>-0.40319735688119152</v>
      </c>
    </row>
    <row r="311" spans="1:20" x14ac:dyDescent="0.25">
      <c r="A311" s="5">
        <v>44282</v>
      </c>
      <c r="B311">
        <v>8.9449000000000005</v>
      </c>
      <c r="C311">
        <v>9.5449000000000002</v>
      </c>
      <c r="D311">
        <v>8.7499000000000002</v>
      </c>
      <c r="E311">
        <v>9.0731999999999999</v>
      </c>
      <c r="F311">
        <v>1793420.46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-0.18666666666666734</v>
      </c>
      <c r="Q311">
        <f t="shared" si="965"/>
        <v>-334771.81920000119</v>
      </c>
      <c r="R311">
        <f t="shared" si="966"/>
        <v>-39725730.835184447</v>
      </c>
      <c r="S311">
        <f t="shared" si="967"/>
        <v>-397.25730835184447</v>
      </c>
      <c r="T311">
        <f t="shared" si="968"/>
        <v>-0.39725730835184447</v>
      </c>
    </row>
    <row r="312" spans="1:20" x14ac:dyDescent="0.25">
      <c r="A312" s="5">
        <v>44281</v>
      </c>
      <c r="B312">
        <v>8.1310000000000002</v>
      </c>
      <c r="C312">
        <v>9.2200000000000006</v>
      </c>
      <c r="D312">
        <v>8.1102000000000007</v>
      </c>
      <c r="E312">
        <v>8.9268000000000001</v>
      </c>
      <c r="F312">
        <v>1632471.19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0.47161650747882394</v>
      </c>
      <c r="Q312">
        <f t="shared" si="965"/>
        <v>769900.3611875996</v>
      </c>
      <c r="R312">
        <f t="shared" si="966"/>
        <v>-39390959.015984446</v>
      </c>
      <c r="S312">
        <f t="shared" si="967"/>
        <v>-393.90959015984447</v>
      </c>
      <c r="T312">
        <f t="shared" si="968"/>
        <v>-0.39390959015984445</v>
      </c>
    </row>
    <row r="313" spans="1:20" x14ac:dyDescent="0.25">
      <c r="A313" s="5">
        <v>44280</v>
      </c>
      <c r="B313">
        <v>8.1178000000000008</v>
      </c>
      <c r="C313">
        <v>8.5051000000000005</v>
      </c>
      <c r="D313">
        <v>7.5811000000000002</v>
      </c>
      <c r="E313">
        <v>8.1232000000000006</v>
      </c>
      <c r="F313">
        <v>2215298.2999999998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0.17337662337662391</v>
      </c>
      <c r="Q313">
        <f t="shared" si="965"/>
        <v>384080.93902597518</v>
      </c>
      <c r="R313">
        <f t="shared" si="966"/>
        <v>-40160859.377172045</v>
      </c>
      <c r="S313">
        <f t="shared" si="967"/>
        <v>-401.60859377172045</v>
      </c>
      <c r="T313">
        <f t="shared" si="968"/>
        <v>-0.40160859377172042</v>
      </c>
    </row>
    <row r="314" spans="1:20" x14ac:dyDescent="0.25">
      <c r="A314" s="5">
        <v>44279</v>
      </c>
      <c r="B314">
        <v>8.9297000000000004</v>
      </c>
      <c r="C314">
        <v>9.76</v>
      </c>
      <c r="D314">
        <v>7.7148000000000003</v>
      </c>
      <c r="E314">
        <v>8.1176999999999992</v>
      </c>
      <c r="F314">
        <v>2366478.56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-0.60600430275767747</v>
      </c>
      <c r="Q314">
        <f t="shared" si="965"/>
        <v>-1434096.1897437926</v>
      </c>
      <c r="R314">
        <f t="shared" si="966"/>
        <v>-40544940.316198021</v>
      </c>
      <c r="S314">
        <f t="shared" si="967"/>
        <v>-405.44940316198023</v>
      </c>
      <c r="T314">
        <f t="shared" si="968"/>
        <v>-0.40544940316198025</v>
      </c>
    </row>
    <row r="315" spans="1:20" x14ac:dyDescent="0.25">
      <c r="A315" s="5">
        <v>44278</v>
      </c>
      <c r="B315">
        <v>9.4105000000000008</v>
      </c>
      <c r="C315">
        <v>9.8417999999999992</v>
      </c>
      <c r="D315">
        <v>8.8000000000000007</v>
      </c>
      <c r="E315">
        <v>8.9082000000000008</v>
      </c>
      <c r="F315">
        <v>2107032.44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-0.79228258782875749</v>
      </c>
      <c r="Q315">
        <f t="shared" si="965"/>
        <v>-1669365.1142023411</v>
      </c>
      <c r="R315">
        <f t="shared" si="966"/>
        <v>-39110844.126454227</v>
      </c>
      <c r="S315">
        <f t="shared" si="967"/>
        <v>-391.10844126454225</v>
      </c>
      <c r="T315">
        <f t="shared" si="968"/>
        <v>-0.39110844126454225</v>
      </c>
    </row>
    <row r="316" spans="1:20" x14ac:dyDescent="0.25">
      <c r="A316" s="5">
        <v>44277</v>
      </c>
      <c r="B316">
        <v>10.619899999999999</v>
      </c>
      <c r="C316">
        <v>10.8079</v>
      </c>
      <c r="D316">
        <v>9.17</v>
      </c>
      <c r="E316">
        <v>9.4033999999999995</v>
      </c>
      <c r="F316">
        <v>1989421.88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-0.71500091580682634</v>
      </c>
      <c r="Q316">
        <f t="shared" si="965"/>
        <v>-1422438.4661261381</v>
      </c>
      <c r="R316">
        <f t="shared" si="966"/>
        <v>-37441479.012251884</v>
      </c>
      <c r="S316">
        <f t="shared" si="967"/>
        <v>-374.41479012251881</v>
      </c>
      <c r="T316">
        <f t="shared" si="968"/>
        <v>-0.37441479012251883</v>
      </c>
    </row>
    <row r="317" spans="1:20" x14ac:dyDescent="0.25">
      <c r="A317" s="5">
        <v>44276</v>
      </c>
      <c r="B317">
        <v>10.5114</v>
      </c>
      <c r="C317">
        <v>10.972200000000001</v>
      </c>
      <c r="D317">
        <v>10</v>
      </c>
      <c r="E317">
        <v>10.6</v>
      </c>
      <c r="F317">
        <v>2049821.04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0.2343139271754765</v>
      </c>
      <c r="Q317">
        <f t="shared" si="965"/>
        <v>480301.61788931949</v>
      </c>
      <c r="R317">
        <f t="shared" si="966"/>
        <v>-36019040.546125747</v>
      </c>
      <c r="S317">
        <f t="shared" si="967"/>
        <v>-360.19040546125746</v>
      </c>
      <c r="T317">
        <f t="shared" si="968"/>
        <v>-0.36019040546125747</v>
      </c>
    </row>
    <row r="318" spans="1:20" x14ac:dyDescent="0.25">
      <c r="A318" s="5">
        <v>44275</v>
      </c>
      <c r="B318">
        <v>11.678800000000001</v>
      </c>
      <c r="C318">
        <v>12.1</v>
      </c>
      <c r="D318">
        <v>10.490500000000001</v>
      </c>
      <c r="E318">
        <v>10.5311</v>
      </c>
      <c r="F318">
        <v>1827152.65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-0.94954954954955006</v>
      </c>
      <c r="Q318">
        <f t="shared" si="965"/>
        <v>-1734971.9757657666</v>
      </c>
      <c r="R318">
        <f t="shared" si="966"/>
        <v>-36499342.16401507</v>
      </c>
      <c r="S318">
        <f t="shared" si="967"/>
        <v>-364.9934216401507</v>
      </c>
      <c r="T318">
        <f t="shared" si="968"/>
        <v>-0.36499342164015069</v>
      </c>
    </row>
    <row r="319" spans="1:20" x14ac:dyDescent="0.25">
      <c r="A319" s="5">
        <v>44274</v>
      </c>
      <c r="B319">
        <v>11.0914</v>
      </c>
      <c r="C319">
        <v>12.5</v>
      </c>
      <c r="D319">
        <v>10.600300000000001</v>
      </c>
      <c r="E319">
        <v>11.680899999999999</v>
      </c>
      <c r="F319">
        <v>2850630.34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0.13765331368110659</v>
      </c>
      <c r="Q319">
        <f t="shared" si="965"/>
        <v>392398.71238089952</v>
      </c>
      <c r="R319">
        <f t="shared" si="966"/>
        <v>-34764370.188249305</v>
      </c>
      <c r="S319">
        <f t="shared" si="967"/>
        <v>-347.64370188249308</v>
      </c>
      <c r="T319">
        <f t="shared" si="968"/>
        <v>-0.34764370188249305</v>
      </c>
    </row>
    <row r="320" spans="1:20" x14ac:dyDescent="0.25">
      <c r="A320" s="5">
        <v>44273</v>
      </c>
      <c r="B320">
        <v>10.7902</v>
      </c>
      <c r="C320">
        <v>11.68</v>
      </c>
      <c r="D320">
        <v>10.650399999999999</v>
      </c>
      <c r="E320">
        <v>11.0937</v>
      </c>
      <c r="F320">
        <v>2561517.66</v>
      </c>
      <c r="G320">
        <v>0</v>
      </c>
      <c r="L320" t="s">
        <v>7</v>
      </c>
      <c r="M320" t="s">
        <v>8</v>
      </c>
      <c r="N320" t="s">
        <v>8</v>
      </c>
      <c r="P320">
        <f t="shared" si="964"/>
        <v>-0.13888888888888778</v>
      </c>
      <c r="Q320">
        <f t="shared" si="965"/>
        <v>-355766.34166666388</v>
      </c>
      <c r="R320">
        <f t="shared" si="966"/>
        <v>-35156768.900630206</v>
      </c>
      <c r="S320">
        <f t="shared" si="967"/>
        <v>-351.56768900630203</v>
      </c>
      <c r="T320">
        <f t="shared" si="968"/>
        <v>-0.35156768900630203</v>
      </c>
    </row>
    <row r="321" spans="1:20" x14ac:dyDescent="0.25">
      <c r="A321" s="5">
        <v>44272</v>
      </c>
      <c r="B321">
        <v>11.413</v>
      </c>
      <c r="C321">
        <v>11.9</v>
      </c>
      <c r="D321">
        <v>10.423400000000001</v>
      </c>
      <c r="E321">
        <v>10.7903</v>
      </c>
      <c r="F321">
        <v>2814056.21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-0.50304754164973664</v>
      </c>
      <c r="Q321">
        <f t="shared" si="965"/>
        <v>-1415604.058504675</v>
      </c>
      <c r="R321">
        <f t="shared" si="966"/>
        <v>-34801002.558963545</v>
      </c>
      <c r="S321">
        <f t="shared" si="967"/>
        <v>-348.01002558963546</v>
      </c>
      <c r="T321">
        <f t="shared" si="968"/>
        <v>-0.34801002558963545</v>
      </c>
    </row>
    <row r="322" spans="1:20" x14ac:dyDescent="0.25">
      <c r="A322" s="5">
        <v>44271</v>
      </c>
      <c r="B322">
        <v>10.347200000000001</v>
      </c>
      <c r="C322">
        <v>11.511100000000001</v>
      </c>
      <c r="D322">
        <v>9.7492000000000001</v>
      </c>
      <c r="E322">
        <v>11.4</v>
      </c>
      <c r="F322">
        <v>3794062.69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0.87388614563823097</v>
      </c>
      <c r="Q322">
        <f t="shared" si="965"/>
        <v>3315578.8204739182</v>
      </c>
      <c r="R322">
        <f t="shared" si="966"/>
        <v>-33385398.500458866</v>
      </c>
      <c r="S322">
        <f t="shared" si="967"/>
        <v>-333.85398500458865</v>
      </c>
      <c r="T322">
        <f t="shared" si="968"/>
        <v>-0.33385398500458863</v>
      </c>
    </row>
    <row r="323" spans="1:20" x14ac:dyDescent="0.25">
      <c r="A323" s="5">
        <v>44270</v>
      </c>
      <c r="B323">
        <v>10.876799999999999</v>
      </c>
      <c r="C323">
        <v>11.631399999999999</v>
      </c>
      <c r="D323">
        <v>9.3835999999999995</v>
      </c>
      <c r="E323">
        <v>10.3316</v>
      </c>
      <c r="F323">
        <v>6012413.4299999997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-0.15650858617314664</v>
      </c>
      <c r="Q323">
        <f t="shared" si="965"/>
        <v>-940994.32541773911</v>
      </c>
      <c r="R323">
        <f t="shared" si="966"/>
        <v>-36700977.320932783</v>
      </c>
      <c r="S323">
        <f t="shared" si="967"/>
        <v>-367.00977320932782</v>
      </c>
      <c r="T323">
        <f t="shared" si="968"/>
        <v>-0.36700977320932782</v>
      </c>
    </row>
    <row r="324" spans="1:20" x14ac:dyDescent="0.25">
      <c r="A324" s="5">
        <v>44269</v>
      </c>
      <c r="B324">
        <v>9.99</v>
      </c>
      <c r="C324">
        <v>11.9367</v>
      </c>
      <c r="D324">
        <v>9.2914999999999992</v>
      </c>
      <c r="E324">
        <v>10.895899999999999</v>
      </c>
      <c r="F324">
        <v>7968773.5599999996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0.21306517465598027</v>
      </c>
      <c r="Q324">
        <f t="shared" si="965"/>
        <v>1697868.1303553577</v>
      </c>
      <c r="R324">
        <f t="shared" si="966"/>
        <v>-35759982.995515041</v>
      </c>
      <c r="S324">
        <f t="shared" si="967"/>
        <v>-357.59982995515043</v>
      </c>
      <c r="T324">
        <f t="shared" si="968"/>
        <v>-0.35759982995515044</v>
      </c>
    </row>
    <row r="325" spans="1:20" x14ac:dyDescent="0.25">
      <c r="A325" s="5">
        <v>44268</v>
      </c>
      <c r="B325">
        <v>8.1095000000000006</v>
      </c>
      <c r="C325">
        <v>10.39</v>
      </c>
      <c r="D325">
        <v>7.8</v>
      </c>
      <c r="E325">
        <v>10</v>
      </c>
      <c r="F325">
        <v>5339294.07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0.69884169884169844</v>
      </c>
      <c r="Q325">
        <f t="shared" si="965"/>
        <v>3731321.3384942068</v>
      </c>
      <c r="R325">
        <f t="shared" si="966"/>
        <v>-37457851.125870399</v>
      </c>
      <c r="S325">
        <f t="shared" si="967"/>
        <v>-374.578511258704</v>
      </c>
      <c r="T325">
        <f t="shared" si="968"/>
        <v>-0.37457851125870401</v>
      </c>
    </row>
    <row r="326" spans="1:20" x14ac:dyDescent="0.25">
      <c r="A326" s="5">
        <v>44267</v>
      </c>
      <c r="B326">
        <v>8.7133000000000003</v>
      </c>
      <c r="C326">
        <v>9.24</v>
      </c>
      <c r="D326">
        <v>7.7309000000000001</v>
      </c>
      <c r="E326">
        <v>8.0649999999999995</v>
      </c>
      <c r="F326">
        <v>3604153.19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-0.5572195348220802</v>
      </c>
      <c r="Q326">
        <f t="shared" ref="Q326:Q389" si="970">F326*P326</f>
        <v>-2008304.5639593164</v>
      </c>
      <c r="R326">
        <f t="shared" ref="R326:R389" si="971">R327+Q326</f>
        <v>-41189172.464364603</v>
      </c>
      <c r="S326">
        <f t="shared" ref="S326:S389" si="972">R326/100000</f>
        <v>-411.89172464364606</v>
      </c>
      <c r="T326">
        <f t="shared" ref="T326:T389" si="973">S326/1000</f>
        <v>-0.41189172464364604</v>
      </c>
    </row>
    <row r="327" spans="1:20" x14ac:dyDescent="0.25">
      <c r="A327" s="5">
        <v>44266</v>
      </c>
      <c r="B327">
        <v>8.843</v>
      </c>
      <c r="C327">
        <v>9.2050000000000001</v>
      </c>
      <c r="D327">
        <v>8.5</v>
      </c>
      <c r="E327">
        <v>8.6852</v>
      </c>
      <c r="F327">
        <v>2516726.56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-0.47460992907801414</v>
      </c>
      <c r="Q327">
        <f t="shared" si="970"/>
        <v>-1194463.4141503545</v>
      </c>
      <c r="R327">
        <f t="shared" si="971"/>
        <v>-39180867.900405288</v>
      </c>
      <c r="S327">
        <f t="shared" si="972"/>
        <v>-391.80867900405286</v>
      </c>
      <c r="T327">
        <f t="shared" si="973"/>
        <v>-0.39180867900405286</v>
      </c>
    </row>
    <row r="328" spans="1:20" x14ac:dyDescent="0.25">
      <c r="A328" s="5">
        <v>44265</v>
      </c>
      <c r="B328">
        <v>9.8665000000000003</v>
      </c>
      <c r="C328">
        <v>9.9718999999999998</v>
      </c>
      <c r="D328">
        <v>8.6999999999999993</v>
      </c>
      <c r="E328">
        <v>8.8450000000000006</v>
      </c>
      <c r="F328">
        <v>3381041.97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-0.77199465366773912</v>
      </c>
      <c r="Q328">
        <f t="shared" si="970"/>
        <v>-2610146.3246662407</v>
      </c>
      <c r="R328">
        <f t="shared" si="971"/>
        <v>-37986404.48625493</v>
      </c>
      <c r="S328">
        <f t="shared" si="972"/>
        <v>-379.86404486254929</v>
      </c>
      <c r="T328">
        <f t="shared" si="973"/>
        <v>-0.37986404486254927</v>
      </c>
    </row>
    <row r="329" spans="1:20" x14ac:dyDescent="0.25">
      <c r="A329" s="5">
        <v>44264</v>
      </c>
      <c r="B329">
        <v>9.2096</v>
      </c>
      <c r="C329">
        <v>10.3</v>
      </c>
      <c r="D329">
        <v>8.9224999999999994</v>
      </c>
      <c r="E329">
        <v>9.8713999999999995</v>
      </c>
      <c r="F329">
        <v>4350359.8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0.37771324863883732</v>
      </c>
      <c r="Q329">
        <f t="shared" si="970"/>
        <v>1643188.5328058025</v>
      </c>
      <c r="R329">
        <f t="shared" si="971"/>
        <v>-35376258.161588691</v>
      </c>
      <c r="S329">
        <f t="shared" si="972"/>
        <v>-353.76258161588692</v>
      </c>
      <c r="T329">
        <f t="shared" si="973"/>
        <v>-0.35376258161588692</v>
      </c>
    </row>
    <row r="330" spans="1:20" x14ac:dyDescent="0.25">
      <c r="A330" s="5">
        <v>44263</v>
      </c>
      <c r="B330">
        <v>9.2051999999999996</v>
      </c>
      <c r="C330">
        <v>9.7720000000000002</v>
      </c>
      <c r="D330">
        <v>8.8701000000000008</v>
      </c>
      <c r="E330">
        <v>9.2100000000000009</v>
      </c>
      <c r="F330">
        <v>3400875.55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-0.24625789998891165</v>
      </c>
      <c r="Q330">
        <f t="shared" si="970"/>
        <v>-837492.47106663487</v>
      </c>
      <c r="R330">
        <f t="shared" si="971"/>
        <v>-37019446.694394492</v>
      </c>
      <c r="S330">
        <f t="shared" si="972"/>
        <v>-370.19446694394492</v>
      </c>
      <c r="T330">
        <f t="shared" si="973"/>
        <v>-0.37019446694394492</v>
      </c>
    </row>
    <row r="331" spans="1:20" x14ac:dyDescent="0.25">
      <c r="A331" s="5">
        <v>44262</v>
      </c>
      <c r="B331">
        <v>8.3168000000000006</v>
      </c>
      <c r="C331">
        <v>9.48</v>
      </c>
      <c r="D331">
        <v>8.1212999999999997</v>
      </c>
      <c r="E331">
        <v>9.2055000000000007</v>
      </c>
      <c r="F331">
        <v>4843033.66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0.595937293000663</v>
      </c>
      <c r="Q331">
        <f t="shared" si="970"/>
        <v>2886144.3692514934</v>
      </c>
      <c r="R331">
        <f t="shared" si="971"/>
        <v>-36181954.22332786</v>
      </c>
      <c r="S331">
        <f t="shared" si="972"/>
        <v>-361.81954223327858</v>
      </c>
      <c r="T331">
        <f t="shared" si="973"/>
        <v>-0.36181954223327856</v>
      </c>
    </row>
    <row r="332" spans="1:20" x14ac:dyDescent="0.25">
      <c r="A332" s="5">
        <v>44261</v>
      </c>
      <c r="B332">
        <v>7.6994999999999996</v>
      </c>
      <c r="C332">
        <v>8.5</v>
      </c>
      <c r="D332">
        <v>7.6252000000000004</v>
      </c>
      <c r="E332">
        <v>8.3030000000000008</v>
      </c>
      <c r="F332">
        <v>2768562.52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0.54961133973479814</v>
      </c>
      <c r="Q332">
        <f t="shared" si="970"/>
        <v>1521633.3557567489</v>
      </c>
      <c r="R332">
        <f t="shared" si="971"/>
        <v>-39068098.59257935</v>
      </c>
      <c r="S332">
        <f t="shared" si="972"/>
        <v>-390.68098592579349</v>
      </c>
      <c r="T332">
        <f t="shared" si="973"/>
        <v>-0.39068098592579348</v>
      </c>
    </row>
    <row r="333" spans="1:20" x14ac:dyDescent="0.25">
      <c r="A333" s="5">
        <v>44260</v>
      </c>
      <c r="B333">
        <v>7.7805999999999997</v>
      </c>
      <c r="C333">
        <v>7.9512</v>
      </c>
      <c r="D333">
        <v>7.1</v>
      </c>
      <c r="E333">
        <v>7.7</v>
      </c>
      <c r="F333">
        <v>2515430.41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0.40977443609022618</v>
      </c>
      <c r="Q333">
        <f t="shared" si="970"/>
        <v>1030759.0777819565</v>
      </c>
      <c r="R333">
        <f t="shared" si="971"/>
        <v>-40589731.948336102</v>
      </c>
      <c r="S333">
        <f t="shared" si="972"/>
        <v>-405.897319483361</v>
      </c>
      <c r="T333">
        <f t="shared" si="973"/>
        <v>-0.405897319483361</v>
      </c>
    </row>
    <row r="334" spans="1:20" x14ac:dyDescent="0.25">
      <c r="A334" s="5">
        <v>44259</v>
      </c>
      <c r="B334">
        <v>8.1853999999999996</v>
      </c>
      <c r="C334">
        <v>8.5</v>
      </c>
      <c r="D334">
        <v>7.52</v>
      </c>
      <c r="E334">
        <v>7.7794999999999996</v>
      </c>
      <c r="F334">
        <v>3248850.04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-0.47040816326530621</v>
      </c>
      <c r="Q334">
        <f t="shared" si="970"/>
        <v>-1528285.5800408167</v>
      </c>
      <c r="R334">
        <f t="shared" si="971"/>
        <v>-41620491.026118055</v>
      </c>
      <c r="S334">
        <f t="shared" si="972"/>
        <v>-416.20491026118054</v>
      </c>
      <c r="T334">
        <f t="shared" si="973"/>
        <v>-0.41620491026118056</v>
      </c>
    </row>
    <row r="335" spans="1:20" x14ac:dyDescent="0.25">
      <c r="A335" s="5">
        <v>44258</v>
      </c>
      <c r="B335">
        <v>8.2810000000000006</v>
      </c>
      <c r="C335">
        <v>8.9499999999999993</v>
      </c>
      <c r="D335">
        <v>8</v>
      </c>
      <c r="E335">
        <v>8.1852999999999998</v>
      </c>
      <c r="F335">
        <v>4706045.74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-0.60989473684210538</v>
      </c>
      <c r="Q335">
        <f t="shared" si="970"/>
        <v>-2870192.5281642112</v>
      </c>
      <c r="R335">
        <f t="shared" si="971"/>
        <v>-40092205.446077235</v>
      </c>
      <c r="S335">
        <f t="shared" si="972"/>
        <v>-400.92205446077236</v>
      </c>
      <c r="T335">
        <f t="shared" si="973"/>
        <v>-0.40092205446077234</v>
      </c>
    </row>
    <row r="336" spans="1:20" x14ac:dyDescent="0.25">
      <c r="A336" s="5">
        <v>44257</v>
      </c>
      <c r="B336">
        <v>7.6086999999999998</v>
      </c>
      <c r="C336">
        <v>8.5</v>
      </c>
      <c r="D336">
        <v>7.2</v>
      </c>
      <c r="E336">
        <v>8.2922999999999991</v>
      </c>
      <c r="F336">
        <v>5164424.7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0.68046153846153701</v>
      </c>
      <c r="Q336">
        <f t="shared" si="970"/>
        <v>3514192.3766307617</v>
      </c>
      <c r="R336">
        <f t="shared" si="971"/>
        <v>-37222012.917913027</v>
      </c>
      <c r="S336">
        <f t="shared" si="972"/>
        <v>-372.22012917913025</v>
      </c>
      <c r="T336">
        <f t="shared" si="973"/>
        <v>-0.37222012917913028</v>
      </c>
    </row>
    <row r="337" spans="1:20" x14ac:dyDescent="0.25">
      <c r="A337" s="5">
        <v>44256</v>
      </c>
      <c r="B337">
        <v>6.8798000000000004</v>
      </c>
      <c r="C337">
        <v>7.8484999999999996</v>
      </c>
      <c r="D337">
        <v>6.8212000000000002</v>
      </c>
      <c r="E337">
        <v>7.6123000000000003</v>
      </c>
      <c r="F337">
        <v>2946222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0.54015380122651724</v>
      </c>
      <c r="Q337">
        <f t="shared" si="970"/>
        <v>1591413.012557192</v>
      </c>
      <c r="R337">
        <f t="shared" si="971"/>
        <v>-40736205.294543788</v>
      </c>
      <c r="S337">
        <f t="shared" si="972"/>
        <v>-407.36205294543788</v>
      </c>
      <c r="T337">
        <f t="shared" si="973"/>
        <v>-0.40736205294543787</v>
      </c>
    </row>
    <row r="338" spans="1:20" x14ac:dyDescent="0.25">
      <c r="A338" s="5">
        <v>44255</v>
      </c>
      <c r="B338">
        <v>7.7606000000000002</v>
      </c>
      <c r="C338">
        <v>7.8647</v>
      </c>
      <c r="D338">
        <v>6.3655999999999997</v>
      </c>
      <c r="E338">
        <v>6.9101999999999997</v>
      </c>
      <c r="F338">
        <v>3506966.1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-0.27343072510172789</v>
      </c>
      <c r="Q338">
        <f t="shared" si="970"/>
        <v>-958912.28363017878</v>
      </c>
      <c r="R338">
        <f t="shared" si="971"/>
        <v>-42327618.307100981</v>
      </c>
      <c r="S338">
        <f t="shared" si="972"/>
        <v>-423.27618307100983</v>
      </c>
      <c r="T338">
        <f t="shared" si="973"/>
        <v>-0.42327618307100984</v>
      </c>
    </row>
    <row r="339" spans="1:20" x14ac:dyDescent="0.25">
      <c r="A339" s="5">
        <v>44254</v>
      </c>
      <c r="B339">
        <v>7.9957000000000003</v>
      </c>
      <c r="C339">
        <v>8.6519999999999992</v>
      </c>
      <c r="D339">
        <v>7.4823000000000004</v>
      </c>
      <c r="E339">
        <v>7.7511999999999999</v>
      </c>
      <c r="F339">
        <v>2950811.05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-0.54022398905702362</v>
      </c>
      <c r="Q339">
        <f t="shared" si="970"/>
        <v>-1594098.9163845442</v>
      </c>
      <c r="R339">
        <f t="shared" si="971"/>
        <v>-41368706.023470804</v>
      </c>
      <c r="S339">
        <f t="shared" si="972"/>
        <v>-413.68706023470804</v>
      </c>
      <c r="T339">
        <f t="shared" si="973"/>
        <v>-0.41368706023470803</v>
      </c>
    </row>
    <row r="340" spans="1:20" x14ac:dyDescent="0.25">
      <c r="A340" s="5">
        <v>44253</v>
      </c>
      <c r="B340">
        <v>8.1617999999999995</v>
      </c>
      <c r="C340">
        <v>8.8879999999999999</v>
      </c>
      <c r="D340">
        <v>7.3</v>
      </c>
      <c r="E340">
        <v>7.9960000000000004</v>
      </c>
      <c r="F340">
        <v>5075256.8600000003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-0.12342569269521338</v>
      </c>
      <c r="Q340">
        <f t="shared" si="970"/>
        <v>-626417.09355163365</v>
      </c>
      <c r="R340">
        <f t="shared" si="971"/>
        <v>-39774607.107086264</v>
      </c>
      <c r="S340">
        <f t="shared" si="972"/>
        <v>-397.74607107086263</v>
      </c>
      <c r="T340">
        <f t="shared" si="973"/>
        <v>-0.39774607107086263</v>
      </c>
    </row>
    <row r="341" spans="1:20" x14ac:dyDescent="0.25">
      <c r="A341" s="5">
        <v>44252</v>
      </c>
      <c r="B341">
        <v>8.4962999999999997</v>
      </c>
      <c r="C341">
        <v>9.9557000000000002</v>
      </c>
      <c r="D341">
        <v>8.01</v>
      </c>
      <c r="E341">
        <v>8.1631999999999998</v>
      </c>
      <c r="F341">
        <v>6409571.8200000003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-0.84252454129619159</v>
      </c>
      <c r="Q341">
        <f t="shared" si="970"/>
        <v>-5400221.5575504964</v>
      </c>
      <c r="R341">
        <f t="shared" si="971"/>
        <v>-39148190.013534628</v>
      </c>
      <c r="S341">
        <f t="shared" si="972"/>
        <v>-391.48190013534628</v>
      </c>
      <c r="T341">
        <f t="shared" si="973"/>
        <v>-0.39148190013534628</v>
      </c>
    </row>
    <row r="342" spans="1:20" x14ac:dyDescent="0.25">
      <c r="A342" s="5">
        <v>44251</v>
      </c>
      <c r="B342">
        <v>7.6105</v>
      </c>
      <c r="C342">
        <v>9.0875000000000004</v>
      </c>
      <c r="D342">
        <v>7.0538999999999996</v>
      </c>
      <c r="E342">
        <v>8.4898000000000007</v>
      </c>
      <c r="F342">
        <v>6597505.4800000004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0.41217545239968584</v>
      </c>
      <c r="Q342">
        <f t="shared" si="970"/>
        <v>2719329.8059284068</v>
      </c>
      <c r="R342">
        <f t="shared" si="971"/>
        <v>-33747968.455984131</v>
      </c>
      <c r="S342">
        <f t="shared" si="972"/>
        <v>-337.4796845598413</v>
      </c>
      <c r="T342">
        <f t="shared" si="973"/>
        <v>-0.33747968455984129</v>
      </c>
    </row>
    <row r="343" spans="1:20" x14ac:dyDescent="0.25">
      <c r="A343" s="5">
        <v>44250</v>
      </c>
      <c r="B343">
        <v>9.18</v>
      </c>
      <c r="C343">
        <v>9.2543000000000006</v>
      </c>
      <c r="D343">
        <v>6.2</v>
      </c>
      <c r="E343">
        <v>7.6094999999999997</v>
      </c>
      <c r="F343">
        <v>6465338.0599999996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-7.7038928723439537E-2</v>
      </c>
      <c r="Q343">
        <f t="shared" si="970"/>
        <v>-498082.71797728084</v>
      </c>
      <c r="R343">
        <f t="shared" si="971"/>
        <v>-36467298.26191254</v>
      </c>
      <c r="S343">
        <f t="shared" si="972"/>
        <v>-364.67298261912538</v>
      </c>
      <c r="T343">
        <f t="shared" si="973"/>
        <v>-0.3646729826191254</v>
      </c>
    </row>
    <row r="344" spans="1:20" x14ac:dyDescent="0.25">
      <c r="A344" s="5">
        <v>44249</v>
      </c>
      <c r="B344">
        <v>10.6235</v>
      </c>
      <c r="C344">
        <v>11.107699999999999</v>
      </c>
      <c r="D344">
        <v>7.3063000000000002</v>
      </c>
      <c r="E344">
        <v>9.1769999999999996</v>
      </c>
      <c r="F344">
        <v>6913423.0499999998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-1.5783658652075684E-2</v>
      </c>
      <c r="Q344">
        <f t="shared" si="970"/>
        <v>-109119.10953859196</v>
      </c>
      <c r="R344">
        <f t="shared" si="971"/>
        <v>-35969215.543935262</v>
      </c>
      <c r="S344">
        <f t="shared" si="972"/>
        <v>-359.69215543935263</v>
      </c>
      <c r="T344">
        <f t="shared" si="973"/>
        <v>-0.35969215543935262</v>
      </c>
    </row>
    <row r="345" spans="1:20" x14ac:dyDescent="0.25">
      <c r="A345" s="5">
        <v>44248</v>
      </c>
      <c r="B345">
        <v>10.296099999999999</v>
      </c>
      <c r="C345">
        <v>11.49</v>
      </c>
      <c r="D345">
        <v>10.0253</v>
      </c>
      <c r="E345">
        <v>10.599</v>
      </c>
      <c r="F345">
        <v>4962359.13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-0.21663139209394372</v>
      </c>
      <c r="Q345">
        <f t="shared" si="970"/>
        <v>-1075002.7664019915</v>
      </c>
      <c r="R345">
        <f t="shared" si="971"/>
        <v>-35860096.434396669</v>
      </c>
      <c r="S345">
        <f t="shared" si="972"/>
        <v>-358.60096434396667</v>
      </c>
      <c r="T345">
        <f t="shared" si="973"/>
        <v>-0.35860096434396665</v>
      </c>
    </row>
    <row r="346" spans="1:20" x14ac:dyDescent="0.25">
      <c r="A346" s="5">
        <v>44247</v>
      </c>
      <c r="B346">
        <v>10.1957</v>
      </c>
      <c r="C346">
        <v>12.4</v>
      </c>
      <c r="D346">
        <v>9.5665999999999993</v>
      </c>
      <c r="E346">
        <v>10.288600000000001</v>
      </c>
      <c r="F346">
        <v>9847526.75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-0.49036493258982067</v>
      </c>
      <c r="Q346">
        <f t="shared" si="970"/>
        <v>-4828881.7909402056</v>
      </c>
      <c r="R346">
        <f t="shared" si="971"/>
        <v>-34785093.667994678</v>
      </c>
      <c r="S346">
        <f t="shared" si="972"/>
        <v>-347.85093667994676</v>
      </c>
      <c r="T346">
        <f t="shared" si="973"/>
        <v>-0.34785093667994677</v>
      </c>
    </row>
    <row r="347" spans="1:20" x14ac:dyDescent="0.25">
      <c r="A347" s="5">
        <v>44246</v>
      </c>
      <c r="B347">
        <v>11.2601</v>
      </c>
      <c r="C347">
        <v>11.436299999999999</v>
      </c>
      <c r="D347">
        <v>10</v>
      </c>
      <c r="E347">
        <v>10.2395</v>
      </c>
      <c r="F347">
        <v>6318082.5599999996</v>
      </c>
      <c r="G347">
        <v>0</v>
      </c>
      <c r="L347" t="s">
        <v>7</v>
      </c>
      <c r="M347" t="s">
        <v>7</v>
      </c>
      <c r="N347" t="s">
        <v>7</v>
      </c>
      <c r="P347">
        <f t="shared" si="969"/>
        <v>-0.66650421221193379</v>
      </c>
      <c r="Q347">
        <f t="shared" si="970"/>
        <v>-4211028.6393427579</v>
      </c>
      <c r="R347">
        <f t="shared" si="971"/>
        <v>-29956211.877054472</v>
      </c>
      <c r="S347">
        <f t="shared" si="972"/>
        <v>-299.56211877054471</v>
      </c>
      <c r="T347">
        <f t="shared" si="973"/>
        <v>-0.29956211877054473</v>
      </c>
    </row>
    <row r="348" spans="1:20" x14ac:dyDescent="0.25">
      <c r="A348" s="5">
        <v>44245</v>
      </c>
      <c r="B348">
        <v>11.2271</v>
      </c>
      <c r="C348">
        <v>12.79</v>
      </c>
      <c r="D348">
        <v>11.200100000000001</v>
      </c>
      <c r="E348">
        <v>11.260199999999999</v>
      </c>
      <c r="F348">
        <v>5906220.9800000004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-0.9243977608654651</v>
      </c>
      <c r="Q348">
        <f t="shared" si="970"/>
        <v>-5459697.4490886331</v>
      </c>
      <c r="R348">
        <f t="shared" si="971"/>
        <v>-25745183.237711713</v>
      </c>
      <c r="S348">
        <f t="shared" si="972"/>
        <v>-257.45183237711711</v>
      </c>
      <c r="T348">
        <f t="shared" si="973"/>
        <v>-0.25745183237711711</v>
      </c>
    </row>
    <row r="349" spans="1:20" x14ac:dyDescent="0.25">
      <c r="A349" s="5">
        <v>44244</v>
      </c>
      <c r="B349">
        <v>12.610099999999999</v>
      </c>
      <c r="C349">
        <v>12.9825</v>
      </c>
      <c r="D349">
        <v>10.8575</v>
      </c>
      <c r="E349">
        <v>11.2271</v>
      </c>
      <c r="F349">
        <v>7572464.7999999998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-0.65214117647058811</v>
      </c>
      <c r="Q349">
        <f t="shared" si="970"/>
        <v>-4938316.1034541167</v>
      </c>
      <c r="R349">
        <f t="shared" si="971"/>
        <v>-20285485.78862308</v>
      </c>
      <c r="S349">
        <f t="shared" si="972"/>
        <v>-202.8548578862308</v>
      </c>
      <c r="T349">
        <f t="shared" si="973"/>
        <v>-0.20285485788623081</v>
      </c>
    </row>
    <row r="350" spans="1:20" x14ac:dyDescent="0.25">
      <c r="A350" s="5">
        <v>44243</v>
      </c>
      <c r="B350">
        <v>13.4</v>
      </c>
      <c r="C350">
        <v>14.78</v>
      </c>
      <c r="D350">
        <v>11.8132</v>
      </c>
      <c r="E350">
        <v>12.6111</v>
      </c>
      <c r="F350">
        <v>9779209.0600000005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-0.46211406228933499</v>
      </c>
      <c r="Q350">
        <f t="shared" si="970"/>
        <v>-4519110.0246932693</v>
      </c>
      <c r="R350">
        <f t="shared" si="971"/>
        <v>-15347169.685168961</v>
      </c>
      <c r="S350">
        <f t="shared" si="972"/>
        <v>-153.47169685168961</v>
      </c>
      <c r="T350">
        <f t="shared" si="973"/>
        <v>-0.15347169685168963</v>
      </c>
    </row>
    <row r="351" spans="1:20" x14ac:dyDescent="0.25">
      <c r="A351" s="5">
        <v>44242</v>
      </c>
      <c r="B351">
        <v>11.698499999999999</v>
      </c>
      <c r="C351">
        <v>14.5</v>
      </c>
      <c r="D351">
        <v>9.6999999999999993</v>
      </c>
      <c r="E351">
        <v>13.4046</v>
      </c>
      <c r="F351">
        <v>16430777.68</v>
      </c>
      <c r="G351">
        <v>0</v>
      </c>
      <c r="L351" t="s">
        <v>8</v>
      </c>
      <c r="M351" t="s">
        <v>8</v>
      </c>
      <c r="N351" t="s">
        <v>8</v>
      </c>
      <c r="P351">
        <f t="shared" si="969"/>
        <v>0.54358333333333353</v>
      </c>
      <c r="Q351">
        <f t="shared" si="970"/>
        <v>8931496.9005533364</v>
      </c>
      <c r="R351">
        <f t="shared" si="971"/>
        <v>-10828059.660475692</v>
      </c>
      <c r="S351">
        <f t="shared" si="972"/>
        <v>-108.28059660475692</v>
      </c>
      <c r="T351">
        <f t="shared" si="973"/>
        <v>-0.10828059660475692</v>
      </c>
    </row>
    <row r="352" spans="1:20" x14ac:dyDescent="0.25">
      <c r="A352" s="5">
        <v>44241</v>
      </c>
      <c r="B352">
        <v>9.7521000000000004</v>
      </c>
      <c r="C352">
        <v>12.148300000000001</v>
      </c>
      <c r="D352">
        <v>9.3481000000000005</v>
      </c>
      <c r="E352">
        <v>11.6995</v>
      </c>
      <c r="F352">
        <v>14802408.24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0.67945146775230325</v>
      </c>
      <c r="Q352">
        <f t="shared" si="970"/>
        <v>10057518.004936788</v>
      </c>
      <c r="R352">
        <f t="shared" si="971"/>
        <v>-19759556.561029028</v>
      </c>
      <c r="S352">
        <f t="shared" si="972"/>
        <v>-197.59556561029029</v>
      </c>
      <c r="T352">
        <f t="shared" si="973"/>
        <v>-0.19759556561029029</v>
      </c>
    </row>
    <row r="353" spans="1:20" x14ac:dyDescent="0.25">
      <c r="A353" s="5">
        <v>44240</v>
      </c>
      <c r="B353">
        <v>8.5664999999999996</v>
      </c>
      <c r="C353">
        <v>10.35</v>
      </c>
      <c r="D353">
        <v>7.7</v>
      </c>
      <c r="E353">
        <v>9.7521000000000004</v>
      </c>
      <c r="F353">
        <v>7962687.46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0.54875471698113254</v>
      </c>
      <c r="Q353">
        <f t="shared" si="970"/>
        <v>4369562.303521513</v>
      </c>
      <c r="R353">
        <f t="shared" si="971"/>
        <v>-29817074.565965816</v>
      </c>
      <c r="S353">
        <f t="shared" si="972"/>
        <v>-298.17074565965817</v>
      </c>
      <c r="T353">
        <f t="shared" si="973"/>
        <v>-0.29817074565965818</v>
      </c>
    </row>
    <row r="354" spans="1:20" x14ac:dyDescent="0.25">
      <c r="A354" s="5">
        <v>44239</v>
      </c>
      <c r="B354">
        <v>7.5895999999999999</v>
      </c>
      <c r="C354">
        <v>8.7653999999999996</v>
      </c>
      <c r="D354">
        <v>7.1818</v>
      </c>
      <c r="E354">
        <v>8.5665999999999993</v>
      </c>
      <c r="F354">
        <v>7604653.6200000001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0.74892649659004751</v>
      </c>
      <c r="Q354">
        <f t="shared" si="970"/>
        <v>5695326.5934074223</v>
      </c>
      <c r="R354">
        <f t="shared" si="971"/>
        <v>-34186636.86948733</v>
      </c>
      <c r="S354">
        <f t="shared" si="972"/>
        <v>-341.8663686948733</v>
      </c>
      <c r="T354">
        <f t="shared" si="973"/>
        <v>-0.3418663686948733</v>
      </c>
    </row>
    <row r="355" spans="1:20" x14ac:dyDescent="0.25">
      <c r="A355" s="5">
        <v>44238</v>
      </c>
      <c r="B355">
        <v>6.5228999999999999</v>
      </c>
      <c r="C355">
        <v>8.4</v>
      </c>
      <c r="D355">
        <v>6.2729999999999997</v>
      </c>
      <c r="E355">
        <v>7.5641999999999996</v>
      </c>
      <c r="F355">
        <v>10147916.02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0.2141043723554297</v>
      </c>
      <c r="Q355">
        <f t="shared" si="970"/>
        <v>2172713.1901777103</v>
      </c>
      <c r="R355">
        <f t="shared" si="971"/>
        <v>-39881963.462894753</v>
      </c>
      <c r="S355">
        <f t="shared" si="972"/>
        <v>-398.81963462894754</v>
      </c>
      <c r="T355">
        <f t="shared" si="973"/>
        <v>-0.39881963462894754</v>
      </c>
    </row>
    <row r="356" spans="1:20" x14ac:dyDescent="0.25">
      <c r="A356" s="5">
        <v>44237</v>
      </c>
      <c r="B356">
        <v>7.1702000000000004</v>
      </c>
      <c r="C356">
        <v>7.7</v>
      </c>
      <c r="D356">
        <v>6.1231</v>
      </c>
      <c r="E356">
        <v>6.5006000000000004</v>
      </c>
      <c r="F356">
        <v>8456879.6799999997</v>
      </c>
      <c r="G356">
        <v>0</v>
      </c>
      <c r="L356" t="s">
        <v>8</v>
      </c>
      <c r="M356" t="s">
        <v>8</v>
      </c>
      <c r="N356" t="s">
        <v>7</v>
      </c>
      <c r="P356">
        <f t="shared" si="969"/>
        <v>-0.52121250554886123</v>
      </c>
      <c r="Q356">
        <f t="shared" si="970"/>
        <v>-4407831.4471380515</v>
      </c>
      <c r="R356">
        <f t="shared" si="971"/>
        <v>-42054676.653072461</v>
      </c>
      <c r="S356">
        <f t="shared" si="972"/>
        <v>-420.5467665307246</v>
      </c>
      <c r="T356">
        <f t="shared" si="973"/>
        <v>-0.42054676653072459</v>
      </c>
    </row>
    <row r="357" spans="1:20" x14ac:dyDescent="0.25">
      <c r="A357" s="5">
        <v>44236</v>
      </c>
      <c r="B357">
        <v>6.4612999999999996</v>
      </c>
      <c r="C357">
        <v>7.8010999999999999</v>
      </c>
      <c r="D357">
        <v>6.0444000000000004</v>
      </c>
      <c r="E357">
        <v>7.1700999999999997</v>
      </c>
      <c r="F357">
        <v>14209485.9</v>
      </c>
      <c r="G357">
        <v>0</v>
      </c>
      <c r="L357" t="s">
        <v>7</v>
      </c>
      <c r="M357" t="s">
        <v>7</v>
      </c>
      <c r="N357" t="s">
        <v>7</v>
      </c>
      <c r="P357">
        <f t="shared" si="969"/>
        <v>0.28160755962884909</v>
      </c>
      <c r="Q357">
        <f t="shared" si="970"/>
        <v>4001498.6478795405</v>
      </c>
      <c r="R357">
        <f t="shared" si="971"/>
        <v>-37646845.205934413</v>
      </c>
      <c r="S357">
        <f t="shared" si="972"/>
        <v>-376.46845205934414</v>
      </c>
      <c r="T357">
        <f t="shared" si="973"/>
        <v>-0.37646845205934415</v>
      </c>
    </row>
    <row r="358" spans="1:20" x14ac:dyDescent="0.25">
      <c r="A358" s="5">
        <v>44235</v>
      </c>
      <c r="B358">
        <v>7.5212000000000003</v>
      </c>
      <c r="C358">
        <v>8.5398999999999994</v>
      </c>
      <c r="D358">
        <v>6.343</v>
      </c>
      <c r="E358">
        <v>6.4692999999999996</v>
      </c>
      <c r="F358">
        <v>13199630.35</v>
      </c>
      <c r="G358">
        <v>0</v>
      </c>
      <c r="L358" t="s">
        <v>7</v>
      </c>
      <c r="M358" t="s">
        <v>7</v>
      </c>
      <c r="N358" t="s">
        <v>7</v>
      </c>
      <c r="P358">
        <f t="shared" si="969"/>
        <v>-0.88501980062815822</v>
      </c>
      <c r="Q358">
        <f t="shared" si="970"/>
        <v>-11681934.220722387</v>
      </c>
      <c r="R358">
        <f t="shared" si="971"/>
        <v>-41648343.853813954</v>
      </c>
      <c r="S358">
        <f t="shared" si="972"/>
        <v>-416.48343853813952</v>
      </c>
      <c r="T358">
        <f t="shared" si="973"/>
        <v>-0.41648343853813952</v>
      </c>
    </row>
    <row r="359" spans="1:20" x14ac:dyDescent="0.25">
      <c r="A359" s="5">
        <v>44234</v>
      </c>
      <c r="B359">
        <v>7.3788</v>
      </c>
      <c r="C359">
        <v>9.6685999999999996</v>
      </c>
      <c r="D359">
        <v>6.95</v>
      </c>
      <c r="E359">
        <v>7.52</v>
      </c>
      <c r="F359">
        <v>33021825.140000001</v>
      </c>
      <c r="G359">
        <v>0</v>
      </c>
      <c r="L359" t="s">
        <v>8</v>
      </c>
      <c r="M359" t="s">
        <v>7</v>
      </c>
      <c r="N359" t="s">
        <v>8</v>
      </c>
      <c r="P359">
        <f t="shared" si="969"/>
        <v>-0.58066651953211246</v>
      </c>
      <c r="Q359">
        <f t="shared" si="970"/>
        <v>-19174668.272641812</v>
      </c>
      <c r="R359">
        <f t="shared" si="971"/>
        <v>-29966409.633091569</v>
      </c>
      <c r="S359">
        <f t="shared" si="972"/>
        <v>-299.6640963309157</v>
      </c>
      <c r="T359">
        <f t="shared" si="973"/>
        <v>-0.29966409633091567</v>
      </c>
    </row>
    <row r="360" spans="1:20" x14ac:dyDescent="0.25">
      <c r="A360" s="5">
        <v>44233</v>
      </c>
      <c r="B360">
        <v>5.5</v>
      </c>
      <c r="C360">
        <v>9.5000999999999998</v>
      </c>
      <c r="D360">
        <v>4.1102999999999996</v>
      </c>
      <c r="E360">
        <v>7.3617999999999997</v>
      </c>
      <c r="F360">
        <v>63417275.369999997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0.20653827600282013</v>
      </c>
      <c r="Q360">
        <f t="shared" si="970"/>
        <v>13098094.723715907</v>
      </c>
      <c r="R360">
        <f t="shared" si="971"/>
        <v>-10791741.360449756</v>
      </c>
      <c r="S360">
        <f t="shared" si="972"/>
        <v>-107.91741360449755</v>
      </c>
      <c r="T360">
        <f t="shared" si="973"/>
        <v>-0.10791741360449755</v>
      </c>
    </row>
    <row r="361" spans="1:20" x14ac:dyDescent="0.25">
      <c r="A361" s="5">
        <v>44232</v>
      </c>
      <c r="B361">
        <v>3.0606</v>
      </c>
      <c r="C361">
        <v>5.9362000000000004</v>
      </c>
      <c r="D361">
        <v>3.0524</v>
      </c>
      <c r="E361">
        <v>5.4999000000000002</v>
      </c>
      <c r="F361">
        <v>20689204.039999999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0.69741313544628614</v>
      </c>
      <c r="Q361">
        <f t="shared" si="970"/>
        <v>14428922.65942437</v>
      </c>
      <c r="R361">
        <f t="shared" si="971"/>
        <v>-23889836.084165663</v>
      </c>
      <c r="S361">
        <f t="shared" si="972"/>
        <v>-238.89836084165663</v>
      </c>
      <c r="T361">
        <f t="shared" si="973"/>
        <v>-0.23889836084165664</v>
      </c>
    </row>
    <row r="362" spans="1:20" x14ac:dyDescent="0.25">
      <c r="A362" s="5">
        <v>44231</v>
      </c>
      <c r="B362">
        <v>0.25</v>
      </c>
      <c r="C362">
        <v>18.8264</v>
      </c>
      <c r="D362">
        <v>0.25</v>
      </c>
      <c r="E362">
        <v>3.0605000000000002</v>
      </c>
      <c r="F362">
        <v>54944238.689999998</v>
      </c>
      <c r="G362">
        <v>0</v>
      </c>
      <c r="P362">
        <f t="shared" si="969"/>
        <v>-0.69741176977239927</v>
      </c>
      <c r="Q362">
        <f t="shared" si="970"/>
        <v>-38318758.743590035</v>
      </c>
      <c r="R362">
        <f t="shared" si="971"/>
        <v>-38318758.743590035</v>
      </c>
      <c r="S362">
        <f t="shared" si="972"/>
        <v>-383.18758743590035</v>
      </c>
      <c r="T362">
        <f t="shared" si="973"/>
        <v>-0.38318758743590037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L567" sqref="GL56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$A$566</v>
      </c>
      <c r="D111" s="1" t="str">
        <f>ADDRESS(C121-1,D121,1,1)</f>
        <v>$GL$566</v>
      </c>
      <c r="E111"/>
    </row>
    <row r="112" spans="1:5" x14ac:dyDescent="0.25">
      <c r="A112" s="7">
        <v>12164.144957890772</v>
      </c>
      <c r="C112" s="1" t="str">
        <f>ADDRESS(C121,1,1,1)</f>
        <v>$A$567</v>
      </c>
      <c r="D112" s="1" t="str">
        <f>ADDRESS(C121,D121-1,1,1)</f>
        <v>$GK$567</v>
      </c>
      <c r="E112"/>
    </row>
    <row r="113" spans="1:5" x14ac:dyDescent="0.25">
      <c r="A113" s="7">
        <v>11925.63231165762</v>
      </c>
      <c r="C113" s="1" t="str">
        <f>ADDRESS(C121+1,1,1,1)</f>
        <v>$A$568</v>
      </c>
      <c r="D113" s="1" t="str">
        <f>ADDRESS(C121-1,D121+1,1,1)</f>
        <v>$GM$566</v>
      </c>
    </row>
    <row r="114" spans="1:5" x14ac:dyDescent="0.25">
      <c r="A114" s="7">
        <v>11691.796383978059</v>
      </c>
      <c r="C114" s="1" t="str">
        <f>ADDRESS(C121,D121,1,1)</f>
        <v>$GL$567</v>
      </c>
      <c r="D114" s="1" t="str">
        <f>ADDRESS(C121+1,D121+1,1,1)</f>
        <v>$GM$568</v>
      </c>
    </row>
    <row r="115" spans="1:5" x14ac:dyDescent="0.25">
      <c r="A115" s="7">
        <v>11462.545474488292</v>
      </c>
      <c r="C115" s="1" t="str">
        <f>ADDRESS(C121+1,D121,1,1)</f>
        <v>$GL$568</v>
      </c>
    </row>
    <row r="116" spans="1:5" x14ac:dyDescent="0.25">
      <c r="A116" s="7">
        <v>11237.789680870874</v>
      </c>
      <c r="C116" s="1">
        <f>C117-1</f>
        <v>566</v>
      </c>
    </row>
    <row r="117" spans="1:5" x14ac:dyDescent="0.25">
      <c r="A117" s="7">
        <v>11017.440863598895</v>
      </c>
      <c r="C117" s="1">
        <f>C121</f>
        <v>567</v>
      </c>
      <c r="D117" s="1">
        <f>D121</f>
        <v>194</v>
      </c>
    </row>
    <row r="118" spans="1:5" x14ac:dyDescent="0.25">
      <c r="A118" s="7">
        <v>10801.412611371465</v>
      </c>
      <c r="C118" s="1">
        <f>C117+1</f>
        <v>568</v>
      </c>
      <c r="D118" s="1">
        <f>D117+1</f>
        <v>195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567</v>
      </c>
      <c r="D121" s="19">
        <v>194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R567</v>
      </c>
      <c r="D123" s="1" t="str">
        <f>"C"&amp;D121</f>
        <v>C194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1.4859473959783549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40" x14ac:dyDescent="0.25">
      <c r="A449" s="7">
        <v>15.375303708145482</v>
      </c>
      <c r="B449"/>
      <c r="C449"/>
      <c r="D449"/>
      <c r="E449"/>
    </row>
    <row r="450" spans="1:40" x14ac:dyDescent="0.25">
      <c r="A450" s="7">
        <v>15.073827164848511</v>
      </c>
      <c r="B450"/>
      <c r="C450"/>
      <c r="D450"/>
      <c r="E450"/>
    </row>
    <row r="451" spans="1:40" x14ac:dyDescent="0.25">
      <c r="A451" s="7">
        <v>14.77826192632207</v>
      </c>
      <c r="B451"/>
      <c r="C451"/>
      <c r="D451"/>
      <c r="E451"/>
      <c r="G451" s="27" t="s">
        <v>8</v>
      </c>
    </row>
    <row r="452" spans="1:40" x14ac:dyDescent="0.25">
      <c r="A452" s="7">
        <v>14.488492084629481</v>
      </c>
      <c r="B452"/>
      <c r="C452"/>
      <c r="D452"/>
      <c r="E452"/>
      <c r="G452" s="27" t="s">
        <v>8</v>
      </c>
      <c r="H452" s="27" t="s">
        <v>7</v>
      </c>
    </row>
    <row r="453" spans="1:40" x14ac:dyDescent="0.25">
      <c r="A453" s="7">
        <v>14.204404004538707</v>
      </c>
      <c r="B453"/>
      <c r="C453"/>
      <c r="D453"/>
      <c r="E453"/>
      <c r="G453" s="27" t="s">
        <v>8</v>
      </c>
      <c r="H453" s="27" t="s">
        <v>7</v>
      </c>
    </row>
    <row r="454" spans="1:40" x14ac:dyDescent="0.25">
      <c r="A454" s="7">
        <v>13.925886278959517</v>
      </c>
      <c r="B454"/>
      <c r="C454"/>
      <c r="D454"/>
      <c r="E454"/>
      <c r="G454" s="27" t="s">
        <v>8</v>
      </c>
      <c r="H454" s="27" t="s">
        <v>7</v>
      </c>
    </row>
    <row r="455" spans="1:40" x14ac:dyDescent="0.25">
      <c r="A455" s="7">
        <v>13.652829685254428</v>
      </c>
      <c r="B455"/>
      <c r="C455"/>
      <c r="D455"/>
      <c r="E455"/>
      <c r="G455" s="27" t="s">
        <v>8</v>
      </c>
      <c r="H455" s="27" t="s">
        <v>7</v>
      </c>
    </row>
    <row r="456" spans="1:40" x14ac:dyDescent="0.25">
      <c r="A456" s="7">
        <v>13.385127142406303</v>
      </c>
      <c r="B456"/>
      <c r="C456"/>
      <c r="D456"/>
      <c r="E456"/>
      <c r="G456" s="27" t="s">
        <v>8</v>
      </c>
      <c r="H456" s="27" t="s">
        <v>7</v>
      </c>
      <c r="AM456" s="27" t="s">
        <v>8</v>
      </c>
    </row>
    <row r="457" spans="1:40" x14ac:dyDescent="0.25">
      <c r="A457" s="7">
        <v>13.122673669025787</v>
      </c>
      <c r="B457"/>
      <c r="C457"/>
      <c r="D457"/>
      <c r="E457"/>
      <c r="G457" s="27" t="s">
        <v>8</v>
      </c>
      <c r="H457" s="27" t="s">
        <v>7</v>
      </c>
      <c r="AI457" s="27" t="s">
        <v>8</v>
      </c>
      <c r="AM457" s="27" t="s">
        <v>8</v>
      </c>
      <c r="AN457" s="27" t="s">
        <v>7</v>
      </c>
    </row>
    <row r="458" spans="1:40" x14ac:dyDescent="0.25">
      <c r="A458" s="7">
        <v>12.865366342182144</v>
      </c>
      <c r="B458"/>
      <c r="C458"/>
      <c r="D458"/>
      <c r="E458"/>
      <c r="G458" s="27" t="s">
        <v>8</v>
      </c>
      <c r="H458" s="27" t="s">
        <v>7</v>
      </c>
      <c r="AI458" s="27" t="s">
        <v>8</v>
      </c>
      <c r="AJ458" s="27" t="s">
        <v>7</v>
      </c>
      <c r="AM458" s="27" t="s">
        <v>8</v>
      </c>
      <c r="AN458" s="27" t="s">
        <v>7</v>
      </c>
    </row>
    <row r="459" spans="1:40" x14ac:dyDescent="0.25">
      <c r="A459" s="7">
        <v>12.613104257041318</v>
      </c>
      <c r="B459"/>
      <c r="C459"/>
      <c r="D459"/>
      <c r="E459"/>
      <c r="G459" s="27" t="s">
        <v>8</v>
      </c>
      <c r="H459" s="27" t="s">
        <v>7</v>
      </c>
      <c r="I459" s="27" t="s">
        <v>8</v>
      </c>
      <c r="AI459" s="27" t="s">
        <v>8</v>
      </c>
      <c r="AJ459" s="27" t="s">
        <v>7</v>
      </c>
      <c r="AK459" s="27" t="s">
        <v>8</v>
      </c>
      <c r="AM459" s="27" t="s">
        <v>8</v>
      </c>
      <c r="AN459" s="27" t="s">
        <v>7</v>
      </c>
    </row>
    <row r="460" spans="1:40" x14ac:dyDescent="0.25">
      <c r="A460" s="7">
        <v>12.36578848729541</v>
      </c>
      <c r="B460"/>
      <c r="C460"/>
      <c r="D460"/>
      <c r="E460"/>
      <c r="G460" s="27" t="s">
        <v>8</v>
      </c>
      <c r="H460" s="27" t="s">
        <v>7</v>
      </c>
      <c r="I460" s="27" t="s">
        <v>8</v>
      </c>
      <c r="J460" s="27" t="s">
        <v>7</v>
      </c>
      <c r="Y460" s="27" t="s">
        <v>8</v>
      </c>
      <c r="AG460" s="27" t="s">
        <v>8</v>
      </c>
      <c r="AI460" s="27" t="s">
        <v>8</v>
      </c>
      <c r="AJ460" s="27" t="s">
        <v>7</v>
      </c>
      <c r="AK460" s="27" t="s">
        <v>8</v>
      </c>
      <c r="AL460" s="27" t="s">
        <v>7</v>
      </c>
      <c r="AM460" s="27" t="s">
        <v>8</v>
      </c>
      <c r="AN460" s="27" t="s">
        <v>7</v>
      </c>
    </row>
    <row r="461" spans="1:40" x14ac:dyDescent="0.25">
      <c r="A461" s="7">
        <v>12.123322046368049</v>
      </c>
      <c r="B461"/>
      <c r="C461"/>
      <c r="D461"/>
      <c r="E461"/>
      <c r="G461" s="27" t="s">
        <v>8</v>
      </c>
      <c r="H461" s="27" t="s">
        <v>7</v>
      </c>
      <c r="I461" s="27" t="s">
        <v>8</v>
      </c>
      <c r="J461" s="27" t="s">
        <v>7</v>
      </c>
      <c r="Y461" s="27" t="s">
        <v>8</v>
      </c>
      <c r="Z461" s="27" t="s">
        <v>7</v>
      </c>
      <c r="AG461" s="27" t="s">
        <v>8</v>
      </c>
      <c r="AH461" s="27" t="s">
        <v>7</v>
      </c>
      <c r="AI461" s="27" t="s">
        <v>8</v>
      </c>
      <c r="AJ461" s="27" t="s">
        <v>7</v>
      </c>
      <c r="AK461" s="27" t="s">
        <v>8</v>
      </c>
      <c r="AL461" s="27" t="s">
        <v>7</v>
      </c>
      <c r="AM461" s="27" t="s">
        <v>8</v>
      </c>
      <c r="AN461" s="27" t="s">
        <v>7</v>
      </c>
    </row>
    <row r="462" spans="1:40" x14ac:dyDescent="0.25">
      <c r="A462" s="7">
        <v>11.88560984938044</v>
      </c>
      <c r="B462"/>
      <c r="C462"/>
      <c r="D462"/>
      <c r="E462"/>
      <c r="G462" s="27" t="s">
        <v>8</v>
      </c>
      <c r="H462" s="27" t="s">
        <v>7</v>
      </c>
      <c r="I462" s="27" t="s">
        <v>8</v>
      </c>
      <c r="J462" s="27" t="s">
        <v>7</v>
      </c>
      <c r="U462" s="27" t="s">
        <v>8</v>
      </c>
      <c r="W462" s="27" t="s">
        <v>8</v>
      </c>
      <c r="Y462" s="27" t="s">
        <v>8</v>
      </c>
      <c r="Z462" s="27" t="s">
        <v>7</v>
      </c>
      <c r="AG462" s="27" t="s">
        <v>8</v>
      </c>
      <c r="AH462" s="27" t="s">
        <v>7</v>
      </c>
      <c r="AI462" s="27" t="s">
        <v>8</v>
      </c>
      <c r="AJ462" s="27" t="s">
        <v>7</v>
      </c>
      <c r="AK462" s="27" t="s">
        <v>8</v>
      </c>
      <c r="AL462" s="27" t="s">
        <v>7</v>
      </c>
      <c r="AM462" s="27" t="s">
        <v>8</v>
      </c>
      <c r="AN462" s="27" t="s">
        <v>7</v>
      </c>
    </row>
    <row r="463" spans="1:40" x14ac:dyDescent="0.25">
      <c r="A463" s="7">
        <v>11.652558675863176</v>
      </c>
      <c r="B463"/>
      <c r="C463"/>
      <c r="D463"/>
      <c r="E463"/>
      <c r="G463" s="27" t="s">
        <v>8</v>
      </c>
      <c r="H463" s="27" t="s">
        <v>7</v>
      </c>
      <c r="I463" s="27" t="s">
        <v>8</v>
      </c>
      <c r="J463" s="27" t="s">
        <v>7</v>
      </c>
      <c r="U463" s="27" t="s">
        <v>8</v>
      </c>
      <c r="V463" s="27" t="s">
        <v>7</v>
      </c>
      <c r="W463" s="27" t="s">
        <v>8</v>
      </c>
      <c r="X463" s="27" t="s">
        <v>7</v>
      </c>
      <c r="Y463" s="27" t="s">
        <v>8</v>
      </c>
      <c r="Z463" s="27" t="s">
        <v>7</v>
      </c>
      <c r="AG463" s="27" t="s">
        <v>8</v>
      </c>
      <c r="AH463" s="27" t="s">
        <v>7</v>
      </c>
      <c r="AI463" s="27" t="s">
        <v>8</v>
      </c>
      <c r="AJ463" s="27" t="s">
        <v>7</v>
      </c>
      <c r="AK463" s="27" t="s">
        <v>8</v>
      </c>
      <c r="AL463" s="27" t="s">
        <v>7</v>
      </c>
      <c r="AM463" s="27" t="s">
        <v>8</v>
      </c>
      <c r="AN463" s="27" t="s">
        <v>7</v>
      </c>
    </row>
    <row r="464" spans="1:40" x14ac:dyDescent="0.25">
      <c r="A464" s="7">
        <v>11.424077133199193</v>
      </c>
      <c r="B464"/>
      <c r="C464"/>
      <c r="D464"/>
      <c r="E464"/>
      <c r="G464" s="27" t="s">
        <v>8</v>
      </c>
      <c r="H464" s="27" t="s">
        <v>7</v>
      </c>
      <c r="I464" s="27" t="s">
        <v>8</v>
      </c>
      <c r="J464" s="27" t="s">
        <v>7</v>
      </c>
      <c r="K464" s="27" t="s">
        <v>8</v>
      </c>
      <c r="U464" s="27" t="s">
        <v>8</v>
      </c>
      <c r="V464" s="27" t="s">
        <v>7</v>
      </c>
      <c r="W464" s="27" t="s">
        <v>8</v>
      </c>
      <c r="X464" s="27" t="s">
        <v>7</v>
      </c>
      <c r="Y464" s="27" t="s">
        <v>8</v>
      </c>
      <c r="Z464" s="27" t="s">
        <v>7</v>
      </c>
      <c r="AG464" s="27" t="s">
        <v>8</v>
      </c>
      <c r="AH464" s="27" t="s">
        <v>7</v>
      </c>
      <c r="AI464" s="27" t="s">
        <v>8</v>
      </c>
      <c r="AJ464" s="27" t="s">
        <v>7</v>
      </c>
      <c r="AK464" s="27" t="s">
        <v>8</v>
      </c>
      <c r="AL464" s="27" t="s">
        <v>7</v>
      </c>
      <c r="AM464" s="27" t="s">
        <v>8</v>
      </c>
      <c r="AN464" s="27" t="s">
        <v>7</v>
      </c>
    </row>
    <row r="465" spans="1:56" x14ac:dyDescent="0.25">
      <c r="A465" s="7">
        <v>11.200075620783522</v>
      </c>
      <c r="B465"/>
      <c r="C465"/>
      <c r="D465"/>
      <c r="E465"/>
      <c r="G465" s="27" t="s">
        <v>8</v>
      </c>
      <c r="H465" s="27" t="s">
        <v>7</v>
      </c>
      <c r="I465" s="27" t="s">
        <v>8</v>
      </c>
      <c r="J465" s="27" t="s">
        <v>7</v>
      </c>
      <c r="K465" s="27" t="s">
        <v>8</v>
      </c>
      <c r="L465" s="27" t="s">
        <v>7</v>
      </c>
      <c r="U465" s="27" t="s">
        <v>8</v>
      </c>
      <c r="V465" s="27" t="s">
        <v>7</v>
      </c>
      <c r="W465" s="27" t="s">
        <v>8</v>
      </c>
      <c r="X465" s="27" t="s">
        <v>7</v>
      </c>
      <c r="Y465" s="27" t="s">
        <v>8</v>
      </c>
      <c r="Z465" s="27" t="s">
        <v>7</v>
      </c>
      <c r="AG465" s="27" t="s">
        <v>8</v>
      </c>
      <c r="AH465" s="27" t="s">
        <v>7</v>
      </c>
      <c r="AJ465" s="27" t="s">
        <v>7</v>
      </c>
      <c r="AK465" s="27" t="s">
        <v>8</v>
      </c>
      <c r="AL465" s="27" t="s">
        <v>7</v>
      </c>
      <c r="AM465" s="27" t="s">
        <v>8</v>
      </c>
      <c r="AN465" s="27" t="s">
        <v>7</v>
      </c>
    </row>
    <row r="466" spans="1:56" x14ac:dyDescent="0.25">
      <c r="A466" s="7">
        <v>10.980466294885806</v>
      </c>
      <c r="B466"/>
      <c r="C466"/>
      <c r="D466"/>
      <c r="E466"/>
      <c r="G466" s="27" t="s">
        <v>8</v>
      </c>
      <c r="H466" s="27" t="s">
        <v>7</v>
      </c>
      <c r="J466" s="27" t="s">
        <v>7</v>
      </c>
      <c r="K466" s="27" t="s">
        <v>8</v>
      </c>
      <c r="L466" s="27" t="s">
        <v>7</v>
      </c>
      <c r="U466" s="27" t="s">
        <v>8</v>
      </c>
      <c r="V466" s="27" t="s">
        <v>7</v>
      </c>
      <c r="W466" s="27" t="s">
        <v>8</v>
      </c>
      <c r="X466" s="27" t="s">
        <v>7</v>
      </c>
      <c r="Y466" s="27" t="s">
        <v>8</v>
      </c>
      <c r="Z466" s="27" t="s">
        <v>7</v>
      </c>
      <c r="AG466" s="27" t="s">
        <v>8</v>
      </c>
      <c r="AJ466" s="27" t="s">
        <v>7</v>
      </c>
      <c r="AK466" s="27" t="s">
        <v>8</v>
      </c>
      <c r="AL466" s="27" t="s">
        <v>7</v>
      </c>
      <c r="AN466" s="27" t="s">
        <v>7</v>
      </c>
    </row>
    <row r="467" spans="1:56" x14ac:dyDescent="0.25">
      <c r="A467" s="7">
        <v>10.765163034201771</v>
      </c>
      <c r="B467"/>
      <c r="C467"/>
      <c r="D467"/>
      <c r="E467"/>
      <c r="G467" s="27" t="s">
        <v>8</v>
      </c>
      <c r="J467" s="27" t="s">
        <v>7</v>
      </c>
      <c r="K467" s="27" t="s">
        <v>8</v>
      </c>
      <c r="L467" s="27" t="s">
        <v>7</v>
      </c>
      <c r="U467" s="27" t="s">
        <v>8</v>
      </c>
      <c r="V467" s="27" t="s">
        <v>7</v>
      </c>
      <c r="W467" s="27" t="s">
        <v>8</v>
      </c>
      <c r="X467" s="27" t="s">
        <v>7</v>
      </c>
      <c r="Z467" s="27" t="s">
        <v>7</v>
      </c>
      <c r="AE467" s="27" t="s">
        <v>8</v>
      </c>
      <c r="AG467" s="27" t="s">
        <v>8</v>
      </c>
      <c r="AJ467" s="27" t="s">
        <v>7</v>
      </c>
      <c r="AK467" s="27" t="s">
        <v>8</v>
      </c>
      <c r="AN467" s="27" t="s">
        <v>7</v>
      </c>
      <c r="AO467" s="27" t="s">
        <v>8</v>
      </c>
    </row>
    <row r="468" spans="1:56" x14ac:dyDescent="0.25">
      <c r="A468" s="7">
        <v>10.554081406080169</v>
      </c>
      <c r="B468"/>
      <c r="C468"/>
      <c r="D468"/>
      <c r="E468"/>
      <c r="G468" s="27" t="s">
        <v>8</v>
      </c>
      <c r="J468" s="27" t="s">
        <v>7</v>
      </c>
      <c r="K468" s="27" t="s">
        <v>8</v>
      </c>
      <c r="L468" s="27" t="s">
        <v>7</v>
      </c>
      <c r="U468" s="27" t="s">
        <v>8</v>
      </c>
      <c r="V468" s="27" t="s">
        <v>7</v>
      </c>
      <c r="W468" s="27" t="s">
        <v>8</v>
      </c>
      <c r="Z468" s="27" t="s">
        <v>7</v>
      </c>
      <c r="AE468" s="27" t="s">
        <v>8</v>
      </c>
      <c r="AF468" s="27" t="s">
        <v>7</v>
      </c>
      <c r="AG468" s="27" t="s">
        <v>8</v>
      </c>
      <c r="AJ468" s="27" t="s">
        <v>7</v>
      </c>
      <c r="AN468" s="27" t="s">
        <v>7</v>
      </c>
      <c r="AO468" s="27" t="s">
        <v>8</v>
      </c>
      <c r="AP468" s="27" t="s">
        <v>7</v>
      </c>
    </row>
    <row r="469" spans="1:56" x14ac:dyDescent="0.25">
      <c r="A469" s="7">
        <v>10.34713863341193</v>
      </c>
      <c r="B469"/>
      <c r="C469"/>
      <c r="D469"/>
      <c r="E469"/>
      <c r="G469" s="27" t="s">
        <v>8</v>
      </c>
      <c r="J469" s="27" t="s">
        <v>7</v>
      </c>
      <c r="K469" s="27" t="s">
        <v>8</v>
      </c>
      <c r="L469" s="27" t="s">
        <v>7</v>
      </c>
      <c r="U469" s="27" t="s">
        <v>8</v>
      </c>
      <c r="V469" s="27" t="s">
        <v>7</v>
      </c>
      <c r="W469" s="27" t="s">
        <v>8</v>
      </c>
      <c r="Z469" s="27" t="s">
        <v>7</v>
      </c>
      <c r="AE469" s="27" t="s">
        <v>8</v>
      </c>
      <c r="AF469" s="27" t="s">
        <v>7</v>
      </c>
      <c r="AG469" s="27" t="s">
        <v>8</v>
      </c>
      <c r="AN469" s="27" t="s">
        <v>7</v>
      </c>
      <c r="AO469" s="27" t="s">
        <v>8</v>
      </c>
      <c r="AP469" s="27" t="s">
        <v>7</v>
      </c>
    </row>
    <row r="470" spans="1:56" x14ac:dyDescent="0.25">
      <c r="A470" s="7">
        <v>10.14425356216856</v>
      </c>
      <c r="B470"/>
      <c r="C470"/>
      <c r="D470"/>
      <c r="E470"/>
      <c r="G470" s="27" t="s">
        <v>8</v>
      </c>
      <c r="J470" s="27" t="s">
        <v>7</v>
      </c>
      <c r="K470" s="27" t="s">
        <v>8</v>
      </c>
      <c r="L470" s="27" t="s">
        <v>7</v>
      </c>
      <c r="S470" s="27" t="s">
        <v>8</v>
      </c>
      <c r="U470" s="27" t="s">
        <v>8</v>
      </c>
      <c r="V470" s="27" t="s">
        <v>7</v>
      </c>
      <c r="W470" s="27" t="s">
        <v>8</v>
      </c>
      <c r="Z470" s="27" t="s">
        <v>7</v>
      </c>
      <c r="AA470" s="27" t="s">
        <v>8</v>
      </c>
      <c r="AC470" s="27" t="s">
        <v>8</v>
      </c>
      <c r="AE470" s="27" t="s">
        <v>8</v>
      </c>
      <c r="AF470" s="27" t="s">
        <v>7</v>
      </c>
      <c r="AG470" s="27" t="s">
        <v>8</v>
      </c>
      <c r="AN470" s="27" t="s">
        <v>7</v>
      </c>
      <c r="AO470" s="27" t="s">
        <v>8</v>
      </c>
      <c r="AP470" s="27" t="s">
        <v>7</v>
      </c>
    </row>
    <row r="471" spans="1:56" x14ac:dyDescent="0.25">
      <c r="A471" s="7">
        <v>9.9453466295770188</v>
      </c>
      <c r="B471"/>
      <c r="C471"/>
      <c r="D471"/>
      <c r="E471"/>
      <c r="G471" s="27" t="s">
        <v>8</v>
      </c>
      <c r="J471" s="27" t="s">
        <v>7</v>
      </c>
      <c r="K471" s="27" t="s">
        <v>8</v>
      </c>
      <c r="L471" s="27" t="s">
        <v>7</v>
      </c>
      <c r="M471" s="27" t="s">
        <v>8</v>
      </c>
      <c r="S471" s="27" t="s">
        <v>8</v>
      </c>
      <c r="T471" s="27" t="s">
        <v>7</v>
      </c>
      <c r="U471" s="27" t="s">
        <v>8</v>
      </c>
      <c r="V471" s="27" t="s">
        <v>7</v>
      </c>
      <c r="W471" s="27" t="s">
        <v>8</v>
      </c>
      <c r="Z471" s="27" t="s">
        <v>7</v>
      </c>
      <c r="AA471" s="27" t="s">
        <v>8</v>
      </c>
      <c r="AB471" s="27" t="s">
        <v>7</v>
      </c>
      <c r="AC471" s="27" t="s">
        <v>8</v>
      </c>
      <c r="AD471" s="27" t="s">
        <v>7</v>
      </c>
      <c r="AE471" s="27" t="s">
        <v>8</v>
      </c>
      <c r="AF471" s="27" t="s">
        <v>7</v>
      </c>
      <c r="AG471" s="27" t="s">
        <v>8</v>
      </c>
      <c r="AN471" s="27" t="s">
        <v>7</v>
      </c>
      <c r="AO471" s="27" t="s">
        <v>8</v>
      </c>
      <c r="AP471" s="27" t="s">
        <v>7</v>
      </c>
      <c r="AY471" s="27" t="s">
        <v>8</v>
      </c>
    </row>
    <row r="472" spans="1:56" x14ac:dyDescent="0.25">
      <c r="A472" s="7">
        <v>9.7503398329186464</v>
      </c>
      <c r="B472"/>
      <c r="C472"/>
      <c r="D472"/>
      <c r="E472"/>
      <c r="G472" s="27" t="s">
        <v>8</v>
      </c>
      <c r="J472" s="27" t="s">
        <v>7</v>
      </c>
      <c r="L472" s="27" t="s">
        <v>7</v>
      </c>
      <c r="M472" s="27" t="s">
        <v>8</v>
      </c>
      <c r="N472" s="27" t="s">
        <v>7</v>
      </c>
      <c r="S472" s="27" t="s">
        <v>8</v>
      </c>
      <c r="T472" s="27" t="s">
        <v>7</v>
      </c>
      <c r="U472" s="27" t="s">
        <v>8</v>
      </c>
      <c r="V472" s="27" t="s">
        <v>7</v>
      </c>
      <c r="W472" s="27" t="s">
        <v>8</v>
      </c>
      <c r="Z472" s="27" t="s">
        <v>7</v>
      </c>
      <c r="AA472" s="27" t="s">
        <v>8</v>
      </c>
      <c r="AB472" s="27" t="s">
        <v>7</v>
      </c>
      <c r="AC472" s="27" t="s">
        <v>8</v>
      </c>
      <c r="AD472" s="27" t="s">
        <v>7</v>
      </c>
      <c r="AE472" s="27" t="s">
        <v>8</v>
      </c>
      <c r="AF472" s="27" t="s">
        <v>7</v>
      </c>
      <c r="AG472" s="27" t="s">
        <v>8</v>
      </c>
      <c r="AN472" s="27" t="s">
        <v>7</v>
      </c>
      <c r="AO472" s="27" t="s">
        <v>8</v>
      </c>
      <c r="AP472" s="27" t="s">
        <v>7</v>
      </c>
      <c r="AY472" s="27" t="s">
        <v>8</v>
      </c>
      <c r="AZ472" s="27" t="s">
        <v>7</v>
      </c>
    </row>
    <row r="473" spans="1:56" x14ac:dyDescent="0.25">
      <c r="A473" s="7">
        <v>9.5591566989398498</v>
      </c>
      <c r="B473"/>
      <c r="C473"/>
      <c r="D473"/>
      <c r="E473" t="s">
        <v>8</v>
      </c>
      <c r="G473" s="27" t="s">
        <v>8</v>
      </c>
      <c r="L473" s="27" t="s">
        <v>7</v>
      </c>
      <c r="M473" s="27" t="s">
        <v>8</v>
      </c>
      <c r="N473" s="27" t="s">
        <v>7</v>
      </c>
      <c r="S473" s="27" t="s">
        <v>8</v>
      </c>
      <c r="T473" s="27" t="s">
        <v>7</v>
      </c>
      <c r="U473" s="27" t="s">
        <v>8</v>
      </c>
      <c r="V473" s="27" t="s">
        <v>7</v>
      </c>
      <c r="Z473" s="27" t="s">
        <v>7</v>
      </c>
      <c r="AA473" s="27" t="s">
        <v>8</v>
      </c>
      <c r="AB473" s="27" t="s">
        <v>7</v>
      </c>
      <c r="AC473" s="27" t="s">
        <v>8</v>
      </c>
      <c r="AD473" s="27" t="s">
        <v>7</v>
      </c>
      <c r="AE473" s="27" t="s">
        <v>8</v>
      </c>
      <c r="AF473" s="27" t="s">
        <v>7</v>
      </c>
      <c r="AG473" s="27" t="s">
        <v>8</v>
      </c>
      <c r="AN473" s="27" t="s">
        <v>7</v>
      </c>
      <c r="AO473" s="27" t="s">
        <v>8</v>
      </c>
      <c r="AP473" s="27" t="s">
        <v>7</v>
      </c>
      <c r="AQ473" s="27" t="s">
        <v>8</v>
      </c>
      <c r="AY473" s="27" t="s">
        <v>8</v>
      </c>
      <c r="AZ473" s="27" t="s">
        <v>7</v>
      </c>
    </row>
    <row r="474" spans="1:56" x14ac:dyDescent="0.25">
      <c r="A474" s="7">
        <v>9.3717222538625968</v>
      </c>
      <c r="B474"/>
      <c r="C474"/>
      <c r="D474"/>
      <c r="E474" t="s">
        <v>8</v>
      </c>
      <c r="F474" s="27" t="s">
        <v>7</v>
      </c>
      <c r="G474" s="27" t="s">
        <v>8</v>
      </c>
      <c r="L474" s="27" t="s">
        <v>7</v>
      </c>
      <c r="M474" s="27" t="s">
        <v>8</v>
      </c>
      <c r="N474" s="27" t="s">
        <v>7</v>
      </c>
      <c r="S474" s="27" t="s">
        <v>8</v>
      </c>
      <c r="T474" s="27" t="s">
        <v>7</v>
      </c>
      <c r="U474" s="27" t="s">
        <v>8</v>
      </c>
      <c r="Z474" s="27" t="s">
        <v>7</v>
      </c>
      <c r="AA474" s="27" t="s">
        <v>8</v>
      </c>
      <c r="AB474" s="27" t="s">
        <v>7</v>
      </c>
      <c r="AC474" s="27" t="s">
        <v>8</v>
      </c>
      <c r="AD474" s="27" t="s">
        <v>7</v>
      </c>
      <c r="AE474" s="27" t="s">
        <v>8</v>
      </c>
      <c r="AF474" s="27" t="s">
        <v>7</v>
      </c>
      <c r="AN474" s="27" t="s">
        <v>7</v>
      </c>
      <c r="AO474" s="27" t="s">
        <v>8</v>
      </c>
      <c r="AP474" s="27" t="s">
        <v>7</v>
      </c>
      <c r="AQ474" s="27" t="s">
        <v>8</v>
      </c>
      <c r="AR474" s="27" t="s">
        <v>7</v>
      </c>
      <c r="AW474" s="27" t="s">
        <v>8</v>
      </c>
      <c r="AY474" s="27" t="s">
        <v>8</v>
      </c>
      <c r="AZ474" s="27" t="s">
        <v>7</v>
      </c>
    </row>
    <row r="475" spans="1:56" x14ac:dyDescent="0.25">
      <c r="A475" s="7">
        <v>9.1879629939829375</v>
      </c>
      <c r="B475"/>
      <c r="C475"/>
      <c r="D475"/>
      <c r="E475" t="s">
        <v>8</v>
      </c>
      <c r="F475" s="27" t="s">
        <v>7</v>
      </c>
      <c r="G475" s="27" t="s">
        <v>8</v>
      </c>
      <c r="L475" s="27" t="s">
        <v>7</v>
      </c>
      <c r="M475" s="27" t="s">
        <v>8</v>
      </c>
      <c r="N475" s="27" t="s">
        <v>7</v>
      </c>
      <c r="S475" s="27" t="s">
        <v>8</v>
      </c>
      <c r="T475" s="27" t="s">
        <v>7</v>
      </c>
      <c r="U475" s="27" t="s">
        <v>8</v>
      </c>
      <c r="Z475" s="27" t="s">
        <v>7</v>
      </c>
      <c r="AA475" s="27" t="s">
        <v>8</v>
      </c>
      <c r="AB475" s="27" t="s">
        <v>7</v>
      </c>
      <c r="AC475" s="27" t="s">
        <v>8</v>
      </c>
      <c r="AD475" s="27" t="s">
        <v>7</v>
      </c>
      <c r="AE475" s="27" t="s">
        <v>8</v>
      </c>
      <c r="AN475" s="27" t="s">
        <v>7</v>
      </c>
      <c r="AO475" s="27" t="s">
        <v>8</v>
      </c>
      <c r="AP475" s="27" t="s">
        <v>7</v>
      </c>
      <c r="AQ475" s="27" t="s">
        <v>8</v>
      </c>
      <c r="AR475" s="27" t="s">
        <v>7</v>
      </c>
      <c r="AU475" s="27" t="s">
        <v>8</v>
      </c>
      <c r="AW475" s="27" t="s">
        <v>8</v>
      </c>
      <c r="AX475" s="27" t="s">
        <v>7</v>
      </c>
      <c r="AY475" s="27" t="s">
        <v>8</v>
      </c>
      <c r="AZ475" s="27" t="s">
        <v>7</v>
      </c>
      <c r="BA475" s="27" t="s">
        <v>8</v>
      </c>
    </row>
    <row r="476" spans="1:56" x14ac:dyDescent="0.25">
      <c r="A476" s="7">
        <v>9.0078068568460168</v>
      </c>
      <c r="B476"/>
      <c r="C476"/>
      <c r="D476"/>
      <c r="E476" t="s">
        <v>8</v>
      </c>
      <c r="F476" s="27" t="s">
        <v>7</v>
      </c>
      <c r="G476" s="27" t="s">
        <v>8</v>
      </c>
      <c r="L476" s="27" t="s">
        <v>7</v>
      </c>
      <c r="M476" s="27" t="s">
        <v>8</v>
      </c>
      <c r="N476" s="27" t="s">
        <v>7</v>
      </c>
      <c r="S476" s="27" t="s">
        <v>8</v>
      </c>
      <c r="T476" s="27" t="s">
        <v>7</v>
      </c>
      <c r="U476" s="27" t="s">
        <v>8</v>
      </c>
      <c r="Z476" s="27" t="s">
        <v>7</v>
      </c>
      <c r="AA476" s="27" t="s">
        <v>8</v>
      </c>
      <c r="AB476" s="27" t="s">
        <v>7</v>
      </c>
      <c r="AC476" s="27" t="s">
        <v>8</v>
      </c>
      <c r="AD476" s="27" t="s">
        <v>7</v>
      </c>
      <c r="AE476" s="27" t="s">
        <v>8</v>
      </c>
      <c r="AN476" s="27" t="s">
        <v>7</v>
      </c>
      <c r="AO476" s="27" t="s">
        <v>8</v>
      </c>
      <c r="AP476" s="27" t="s">
        <v>7</v>
      </c>
      <c r="AQ476" s="27" t="s">
        <v>8</v>
      </c>
      <c r="AR476" s="27" t="s">
        <v>7</v>
      </c>
      <c r="AU476" s="27" t="s">
        <v>8</v>
      </c>
      <c r="AV476" s="27" t="s">
        <v>7</v>
      </c>
      <c r="AW476" s="27" t="s">
        <v>8</v>
      </c>
      <c r="AX476" s="27" t="s">
        <v>7</v>
      </c>
      <c r="AY476" s="27" t="s">
        <v>8</v>
      </c>
      <c r="AZ476" s="27" t="s">
        <v>7</v>
      </c>
      <c r="BA476" s="27" t="s">
        <v>8</v>
      </c>
      <c r="BB476" s="27" t="s">
        <v>7</v>
      </c>
    </row>
    <row r="477" spans="1:56" x14ac:dyDescent="0.25">
      <c r="A477" s="7">
        <v>8.8311831929862912</v>
      </c>
      <c r="B477"/>
      <c r="C477"/>
      <c r="D477"/>
      <c r="E477" t="s">
        <v>8</v>
      </c>
      <c r="F477" s="27" t="s">
        <v>7</v>
      </c>
      <c r="G477" s="27" t="s">
        <v>8</v>
      </c>
      <c r="L477" s="27" t="s">
        <v>7</v>
      </c>
      <c r="M477" s="27" t="s">
        <v>8</v>
      </c>
      <c r="N477" s="27" t="s">
        <v>7</v>
      </c>
      <c r="Q477" s="27" t="s">
        <v>8</v>
      </c>
      <c r="S477" s="27" t="s">
        <v>8</v>
      </c>
      <c r="T477" s="27" t="s">
        <v>7</v>
      </c>
      <c r="U477" s="27" t="s">
        <v>8</v>
      </c>
      <c r="Z477" s="27" t="s">
        <v>7</v>
      </c>
      <c r="AA477" s="27" t="s">
        <v>8</v>
      </c>
      <c r="AB477" s="27" t="s">
        <v>7</v>
      </c>
      <c r="AC477" s="27" t="s">
        <v>8</v>
      </c>
      <c r="AD477" s="27" t="s">
        <v>7</v>
      </c>
      <c r="AN477" s="27" t="s">
        <v>7</v>
      </c>
      <c r="AO477" s="27" t="s">
        <v>8</v>
      </c>
      <c r="AP477" s="27" t="s">
        <v>7</v>
      </c>
      <c r="AQ477" s="27" t="s">
        <v>8</v>
      </c>
      <c r="AR477" s="27" t="s">
        <v>7</v>
      </c>
      <c r="AU477" s="27" t="s">
        <v>8</v>
      </c>
      <c r="AV477" s="27" t="s">
        <v>7</v>
      </c>
      <c r="AW477" s="27" t="s">
        <v>8</v>
      </c>
      <c r="AX477" s="27" t="s">
        <v>7</v>
      </c>
      <c r="AZ477" s="27" t="s">
        <v>7</v>
      </c>
      <c r="BA477" s="27" t="s">
        <v>8</v>
      </c>
      <c r="BB477" s="27" t="s">
        <v>7</v>
      </c>
      <c r="BC477" s="27" t="s">
        <v>8</v>
      </c>
    </row>
    <row r="478" spans="1:56" x14ac:dyDescent="0.25">
      <c r="A478" s="7">
        <v>8.6580227382218542</v>
      </c>
      <c r="B478"/>
      <c r="C478"/>
      <c r="D478"/>
      <c r="E478" t="s">
        <v>8</v>
      </c>
      <c r="F478" s="27" t="s">
        <v>7</v>
      </c>
      <c r="G478" s="27" t="s">
        <v>8</v>
      </c>
      <c r="L478" s="27" t="s">
        <v>7</v>
      </c>
      <c r="M478" s="27" t="s">
        <v>8</v>
      </c>
      <c r="N478" s="27" t="s">
        <v>7</v>
      </c>
      <c r="Q478" s="27" t="s">
        <v>8</v>
      </c>
      <c r="R478" s="27" t="s">
        <v>7</v>
      </c>
      <c r="S478" s="27" t="s">
        <v>8</v>
      </c>
      <c r="T478" s="27" t="s">
        <v>7</v>
      </c>
      <c r="U478" s="27" t="s">
        <v>8</v>
      </c>
      <c r="Z478" s="27" t="s">
        <v>7</v>
      </c>
      <c r="AA478" s="27" t="s">
        <v>8</v>
      </c>
      <c r="AB478" s="27" t="s">
        <v>7</v>
      </c>
      <c r="AN478" s="27" t="s">
        <v>7</v>
      </c>
      <c r="AO478" s="27" t="s">
        <v>8</v>
      </c>
      <c r="AP478" s="27" t="s">
        <v>7</v>
      </c>
      <c r="AQ478" s="27" t="s">
        <v>8</v>
      </c>
      <c r="AR478" s="27" t="s">
        <v>7</v>
      </c>
      <c r="AU478" s="27" t="s">
        <v>8</v>
      </c>
      <c r="AV478" s="27" t="s">
        <v>7</v>
      </c>
      <c r="AW478" s="27" t="s">
        <v>8</v>
      </c>
      <c r="AZ478" s="27" t="s">
        <v>7</v>
      </c>
      <c r="BA478" s="27" t="s">
        <v>8</v>
      </c>
      <c r="BB478" s="27" t="s">
        <v>7</v>
      </c>
      <c r="BC478" s="27" t="s">
        <v>8</v>
      </c>
      <c r="BD478" s="27" t="s">
        <v>7</v>
      </c>
    </row>
    <row r="479" spans="1:56" x14ac:dyDescent="0.25">
      <c r="A479" s="7">
        <v>8.4882575864920131</v>
      </c>
      <c r="B479"/>
      <c r="C479"/>
      <c r="D479"/>
      <c r="E479" t="s">
        <v>8</v>
      </c>
      <c r="F479" s="27" t="s">
        <v>7</v>
      </c>
      <c r="G479" s="27" t="s">
        <v>8</v>
      </c>
      <c r="L479" s="27" t="s">
        <v>7</v>
      </c>
      <c r="M479" s="27" t="s">
        <v>8</v>
      </c>
      <c r="N479" s="27" t="s">
        <v>7</v>
      </c>
      <c r="O479" s="27" t="s">
        <v>8</v>
      </c>
      <c r="Q479" s="27" t="s">
        <v>8</v>
      </c>
      <c r="R479" s="27" t="s">
        <v>7</v>
      </c>
      <c r="S479" s="27" t="s">
        <v>8</v>
      </c>
      <c r="T479" s="27" t="s">
        <v>7</v>
      </c>
      <c r="U479" s="27" t="s">
        <v>8</v>
      </c>
      <c r="Z479" s="27" t="s">
        <v>7</v>
      </c>
      <c r="AA479" s="27" t="s">
        <v>8</v>
      </c>
      <c r="AN479" s="27" t="s">
        <v>7</v>
      </c>
      <c r="AO479" s="27" t="s">
        <v>8</v>
      </c>
      <c r="AP479" s="27" t="s">
        <v>7</v>
      </c>
      <c r="AQ479" s="27" t="s">
        <v>8</v>
      </c>
      <c r="AR479" s="27" t="s">
        <v>7</v>
      </c>
      <c r="AU479" s="27" t="s">
        <v>8</v>
      </c>
      <c r="AV479" s="27" t="s">
        <v>7</v>
      </c>
      <c r="AW479" s="27" t="s">
        <v>8</v>
      </c>
      <c r="AZ479" s="27" t="s">
        <v>7</v>
      </c>
      <c r="BA479" s="27" t="s">
        <v>8</v>
      </c>
      <c r="BB479" s="27" t="s">
        <v>7</v>
      </c>
      <c r="BC479" s="27" t="s">
        <v>8</v>
      </c>
      <c r="BD479" s="27" t="s">
        <v>7</v>
      </c>
    </row>
    <row r="480" spans="1:56" x14ac:dyDescent="0.25">
      <c r="A480" s="7">
        <v>8.3218211632274635</v>
      </c>
      <c r="B480"/>
      <c r="C480"/>
      <c r="D480"/>
      <c r="E480" t="s">
        <v>8</v>
      </c>
      <c r="F480" s="27" t="s">
        <v>7</v>
      </c>
      <c r="G480" s="27" t="s">
        <v>8</v>
      </c>
      <c r="L480" s="27" t="s">
        <v>7</v>
      </c>
      <c r="M480" s="27" t="s">
        <v>8</v>
      </c>
      <c r="N480" s="27" t="s">
        <v>7</v>
      </c>
      <c r="O480" s="27" t="s">
        <v>8</v>
      </c>
      <c r="P480" s="27" t="s">
        <v>7</v>
      </c>
      <c r="Q480" s="27" t="s">
        <v>8</v>
      </c>
      <c r="R480" s="27" t="s">
        <v>7</v>
      </c>
      <c r="S480" s="27" t="s">
        <v>8</v>
      </c>
      <c r="T480" s="27" t="s">
        <v>7</v>
      </c>
      <c r="U480" s="27" t="s">
        <v>8</v>
      </c>
      <c r="Z480" s="27" t="s">
        <v>7</v>
      </c>
      <c r="AA480" s="27" t="s">
        <v>8</v>
      </c>
      <c r="AN480" s="27" t="s">
        <v>7</v>
      </c>
      <c r="AO480" s="27" t="s">
        <v>8</v>
      </c>
      <c r="AP480" s="27" t="s">
        <v>7</v>
      </c>
      <c r="AQ480" s="27" t="s">
        <v>8</v>
      </c>
      <c r="AR480" s="27" t="s">
        <v>7</v>
      </c>
      <c r="AU480" s="27" t="s">
        <v>8</v>
      </c>
      <c r="AV480" s="27" t="s">
        <v>7</v>
      </c>
      <c r="AW480" s="27" t="s">
        <v>8</v>
      </c>
      <c r="AZ480" s="27" t="s">
        <v>7</v>
      </c>
      <c r="BA480" s="27" t="s">
        <v>8</v>
      </c>
      <c r="BB480" s="27" t="s">
        <v>7</v>
      </c>
      <c r="BC480" s="27" t="s">
        <v>8</v>
      </c>
      <c r="BD480" s="27" t="s">
        <v>7</v>
      </c>
    </row>
    <row r="481" spans="1:170" x14ac:dyDescent="0.25">
      <c r="A481" s="7">
        <v>8.1586481992426112</v>
      </c>
      <c r="B481"/>
      <c r="C481"/>
      <c r="D481"/>
      <c r="E481" t="s">
        <v>8</v>
      </c>
      <c r="F481" s="27" t="s">
        <v>7</v>
      </c>
      <c r="G481" s="27" t="s">
        <v>8</v>
      </c>
      <c r="L481" s="27" t="s">
        <v>7</v>
      </c>
      <c r="M481" s="27" t="s">
        <v>8</v>
      </c>
      <c r="N481" s="27" t="s">
        <v>7</v>
      </c>
      <c r="O481" s="27" t="s">
        <v>8</v>
      </c>
      <c r="P481" s="27" t="s">
        <v>7</v>
      </c>
      <c r="Q481" s="27" t="s">
        <v>8</v>
      </c>
      <c r="R481" s="27" t="s">
        <v>7</v>
      </c>
      <c r="S481" s="27" t="s">
        <v>8</v>
      </c>
      <c r="T481" s="27" t="s">
        <v>7</v>
      </c>
      <c r="U481" s="27" t="s">
        <v>8</v>
      </c>
      <c r="Z481" s="27" t="s">
        <v>7</v>
      </c>
      <c r="AA481" s="27" t="s">
        <v>8</v>
      </c>
      <c r="AN481" s="27" t="s">
        <v>7</v>
      </c>
      <c r="AO481" s="27" t="s">
        <v>8</v>
      </c>
      <c r="AP481" s="27" t="s">
        <v>7</v>
      </c>
      <c r="AQ481" s="27" t="s">
        <v>8</v>
      </c>
      <c r="AR481" s="27" t="s">
        <v>7</v>
      </c>
      <c r="AU481" s="27" t="s">
        <v>8</v>
      </c>
      <c r="AV481" s="27" t="s">
        <v>7</v>
      </c>
      <c r="AZ481" s="27" t="s">
        <v>7</v>
      </c>
      <c r="BA481" s="27" t="s">
        <v>8</v>
      </c>
      <c r="BB481" s="27" t="s">
        <v>7</v>
      </c>
      <c r="BD481" s="27" t="s">
        <v>7</v>
      </c>
      <c r="BE481" s="27" t="s">
        <v>8</v>
      </c>
    </row>
    <row r="482" spans="1:170" x14ac:dyDescent="0.25">
      <c r="A482" s="7">
        <v>7.9986747051398144</v>
      </c>
      <c r="B482"/>
      <c r="C482"/>
      <c r="D482"/>
      <c r="E482" t="s">
        <v>8</v>
      </c>
      <c r="F482" s="27" t="s">
        <v>7</v>
      </c>
      <c r="G482" s="27" t="s">
        <v>8</v>
      </c>
      <c r="L482" s="27" t="s">
        <v>7</v>
      </c>
      <c r="M482" s="27" t="s">
        <v>8</v>
      </c>
      <c r="N482" s="27" t="s">
        <v>7</v>
      </c>
      <c r="O482" s="27" t="s">
        <v>8</v>
      </c>
      <c r="P482" s="27" t="s">
        <v>7</v>
      </c>
      <c r="Q482" s="27" t="s">
        <v>8</v>
      </c>
      <c r="R482" s="27" t="s">
        <v>7</v>
      </c>
      <c r="S482" s="27" t="s">
        <v>8</v>
      </c>
      <c r="T482" s="27" t="s">
        <v>7</v>
      </c>
      <c r="U482" s="27" t="s">
        <v>8</v>
      </c>
      <c r="Z482" s="27" t="s">
        <v>7</v>
      </c>
      <c r="AA482" s="27" t="s">
        <v>8</v>
      </c>
      <c r="AN482" s="27" t="s">
        <v>7</v>
      </c>
      <c r="AO482" s="27" t="s">
        <v>8</v>
      </c>
      <c r="AP482" s="27" t="s">
        <v>7</v>
      </c>
      <c r="AR482" s="27" t="s">
        <v>7</v>
      </c>
      <c r="AU482" s="27" t="s">
        <v>8</v>
      </c>
      <c r="AZ482" s="27" t="s">
        <v>7</v>
      </c>
      <c r="BA482" s="27" t="s">
        <v>8</v>
      </c>
      <c r="BD482" s="27" t="s">
        <v>7</v>
      </c>
      <c r="BE482" s="27" t="s">
        <v>8</v>
      </c>
      <c r="BF482" s="27" t="s">
        <v>7</v>
      </c>
    </row>
    <row r="483" spans="1:170" x14ac:dyDescent="0.25">
      <c r="A483" s="7">
        <v>7.8418379462155041</v>
      </c>
      <c r="B483"/>
      <c r="C483"/>
      <c r="D483"/>
      <c r="E483" t="s">
        <v>8</v>
      </c>
      <c r="F483" s="27" t="s">
        <v>7</v>
      </c>
      <c r="G483" s="27" t="s">
        <v>8</v>
      </c>
      <c r="L483" s="27" t="s">
        <v>7</v>
      </c>
      <c r="M483" s="27" t="s">
        <v>8</v>
      </c>
      <c r="N483" s="27" t="s">
        <v>7</v>
      </c>
      <c r="O483" s="27" t="s">
        <v>8</v>
      </c>
      <c r="P483" s="27" t="s">
        <v>7</v>
      </c>
      <c r="Q483" s="27" t="s">
        <v>8</v>
      </c>
      <c r="R483" s="27" t="s">
        <v>7</v>
      </c>
      <c r="S483" s="27" t="s">
        <v>8</v>
      </c>
      <c r="T483" s="27" t="s">
        <v>7</v>
      </c>
      <c r="Z483" s="27" t="s">
        <v>7</v>
      </c>
      <c r="AA483" s="27" t="s">
        <v>8</v>
      </c>
      <c r="AN483" s="27" t="s">
        <v>7</v>
      </c>
      <c r="AR483" s="27" t="s">
        <v>7</v>
      </c>
      <c r="AU483" s="27" t="s">
        <v>8</v>
      </c>
      <c r="AZ483" s="27" t="s">
        <v>7</v>
      </c>
      <c r="BD483" s="27" t="s">
        <v>7</v>
      </c>
      <c r="BE483" s="27" t="s">
        <v>8</v>
      </c>
      <c r="BF483" s="27" t="s">
        <v>7</v>
      </c>
    </row>
    <row r="484" spans="1:170" x14ac:dyDescent="0.25">
      <c r="A484" s="7">
        <v>7.688076417858337</v>
      </c>
      <c r="B484"/>
      <c r="C484"/>
      <c r="D484"/>
      <c r="E484" t="s">
        <v>8</v>
      </c>
      <c r="F484" s="27" t="s">
        <v>7</v>
      </c>
      <c r="G484" s="27" t="s">
        <v>8</v>
      </c>
      <c r="L484" s="27" t="s">
        <v>7</v>
      </c>
      <c r="M484" s="27" t="s">
        <v>8</v>
      </c>
      <c r="N484" s="27" t="s">
        <v>7</v>
      </c>
      <c r="O484" s="27" t="s">
        <v>8</v>
      </c>
      <c r="P484" s="27" t="s">
        <v>7</v>
      </c>
      <c r="Q484" s="27" t="s">
        <v>8</v>
      </c>
      <c r="R484" s="27" t="s">
        <v>7</v>
      </c>
      <c r="S484" s="27" t="s">
        <v>8</v>
      </c>
      <c r="Z484" s="27" t="s">
        <v>7</v>
      </c>
      <c r="AR484" s="27" t="s">
        <v>7</v>
      </c>
      <c r="AS484" s="27" t="s">
        <v>8</v>
      </c>
      <c r="AU484" s="27" t="s">
        <v>8</v>
      </c>
      <c r="BD484" s="27" t="s">
        <v>7</v>
      </c>
      <c r="BE484" s="27" t="s">
        <v>8</v>
      </c>
      <c r="BF484" s="27" t="s">
        <v>7</v>
      </c>
      <c r="BG484" s="27" t="s">
        <v>8</v>
      </c>
      <c r="FM484" s="27" t="s">
        <v>8</v>
      </c>
    </row>
    <row r="485" spans="1:170" x14ac:dyDescent="0.25">
      <c r="A485" s="7">
        <v>7.5373298214297417</v>
      </c>
      <c r="B485"/>
      <c r="C485"/>
      <c r="D485"/>
      <c r="E485" t="s">
        <v>8</v>
      </c>
      <c r="F485" s="27" t="s">
        <v>7</v>
      </c>
      <c r="G485" s="27" t="s">
        <v>8</v>
      </c>
      <c r="L485" s="27" t="s">
        <v>7</v>
      </c>
      <c r="M485" s="27" t="s">
        <v>8</v>
      </c>
      <c r="N485" s="27" t="s">
        <v>7</v>
      </c>
      <c r="O485" s="27" t="s">
        <v>8</v>
      </c>
      <c r="P485" s="27" t="s">
        <v>7</v>
      </c>
      <c r="Q485" s="27" t="s">
        <v>8</v>
      </c>
      <c r="R485" s="27" t="s">
        <v>7</v>
      </c>
      <c r="S485" s="27" t="s">
        <v>8</v>
      </c>
      <c r="AR485" s="27" t="s">
        <v>7</v>
      </c>
      <c r="AS485" s="27" t="s">
        <v>8</v>
      </c>
      <c r="AT485" s="27" t="s">
        <v>7</v>
      </c>
      <c r="AU485" s="27" t="s">
        <v>8</v>
      </c>
      <c r="BD485" s="27" t="s">
        <v>7</v>
      </c>
      <c r="BE485" s="27" t="s">
        <v>8</v>
      </c>
      <c r="BF485" s="27" t="s">
        <v>7</v>
      </c>
      <c r="BG485" s="27" t="s">
        <v>8</v>
      </c>
      <c r="BH485" s="27" t="s">
        <v>7</v>
      </c>
      <c r="FM485" s="27" t="s">
        <v>8</v>
      </c>
      <c r="FN485" s="27" t="s">
        <v>7</v>
      </c>
    </row>
    <row r="486" spans="1:170" x14ac:dyDescent="0.25">
      <c r="A486" s="7">
        <v>7.389539040617394</v>
      </c>
      <c r="B486"/>
      <c r="C486"/>
      <c r="D486"/>
      <c r="E486" t="s">
        <v>8</v>
      </c>
      <c r="F486" s="27" t="s">
        <v>7</v>
      </c>
      <c r="G486" s="27" t="s">
        <v>8</v>
      </c>
      <c r="L486" s="27" t="s">
        <v>7</v>
      </c>
      <c r="M486" s="27" t="s">
        <v>8</v>
      </c>
      <c r="N486" s="27" t="s">
        <v>7</v>
      </c>
      <c r="P486" s="27" t="s">
        <v>7</v>
      </c>
      <c r="Q486" s="27" t="s">
        <v>8</v>
      </c>
      <c r="R486" s="27" t="s">
        <v>7</v>
      </c>
      <c r="S486" s="27" t="s">
        <v>8</v>
      </c>
      <c r="AR486" s="27" t="s">
        <v>7</v>
      </c>
      <c r="AS486" s="27" t="s">
        <v>8</v>
      </c>
      <c r="AT486" s="27" t="s">
        <v>7</v>
      </c>
      <c r="AU486" s="27" t="s">
        <v>8</v>
      </c>
      <c r="BD486" s="27" t="s">
        <v>7</v>
      </c>
      <c r="BE486" s="27" t="s">
        <v>8</v>
      </c>
      <c r="BF486" s="27" t="s">
        <v>7</v>
      </c>
      <c r="BG486" s="27" t="s">
        <v>8</v>
      </c>
      <c r="BH486" s="27" t="s">
        <v>7</v>
      </c>
      <c r="FM486" s="27" t="s">
        <v>8</v>
      </c>
      <c r="FN486" s="27" t="s">
        <v>7</v>
      </c>
    </row>
    <row r="487" spans="1:170" x14ac:dyDescent="0.25">
      <c r="A487" s="7">
        <v>7.2446461182523469</v>
      </c>
      <c r="B487"/>
      <c r="C487"/>
      <c r="D487"/>
      <c r="E487" t="s">
        <v>8</v>
      </c>
      <c r="F487" s="27" t="s">
        <v>7</v>
      </c>
      <c r="G487" s="27" t="s">
        <v>8</v>
      </c>
      <c r="L487" s="27" t="s">
        <v>7</v>
      </c>
      <c r="M487" s="27" t="s">
        <v>8</v>
      </c>
      <c r="P487" s="27" t="s">
        <v>7</v>
      </c>
      <c r="Q487" s="27" t="s">
        <v>8</v>
      </c>
      <c r="R487" s="27" t="s">
        <v>7</v>
      </c>
      <c r="S487" s="27" t="s">
        <v>8</v>
      </c>
      <c r="AR487" s="27" t="s">
        <v>7</v>
      </c>
      <c r="AS487" s="27" t="s">
        <v>8</v>
      </c>
      <c r="AT487" s="27" t="s">
        <v>7</v>
      </c>
      <c r="AU487" s="27" t="s">
        <v>8</v>
      </c>
      <c r="BD487" s="27" t="s">
        <v>7</v>
      </c>
      <c r="BE487" s="27" t="s">
        <v>8</v>
      </c>
      <c r="BF487" s="27" t="s">
        <v>7</v>
      </c>
      <c r="BG487" s="27" t="s">
        <v>8</v>
      </c>
      <c r="BH487" s="27" t="s">
        <v>7</v>
      </c>
      <c r="FM487" s="27" t="s">
        <v>8</v>
      </c>
      <c r="FN487" s="27" t="s">
        <v>7</v>
      </c>
    </row>
    <row r="488" spans="1:170" x14ac:dyDescent="0.25">
      <c r="A488" s="7">
        <v>7.1025942335807324</v>
      </c>
      <c r="B488"/>
      <c r="C488"/>
      <c r="D488"/>
      <c r="E488" t="s">
        <v>8</v>
      </c>
      <c r="F488" s="27" t="s">
        <v>7</v>
      </c>
      <c r="G488" s="27" t="s">
        <v>8</v>
      </c>
      <c r="L488" s="27" t="s">
        <v>7</v>
      </c>
      <c r="M488" s="27" t="s">
        <v>8</v>
      </c>
      <c r="P488" s="27" t="s">
        <v>7</v>
      </c>
      <c r="Q488" s="27" t="s">
        <v>8</v>
      </c>
      <c r="R488" s="27" t="s">
        <v>7</v>
      </c>
      <c r="AR488" s="27" t="s">
        <v>7</v>
      </c>
      <c r="AS488" s="27" t="s">
        <v>8</v>
      </c>
      <c r="AT488" s="27" t="s">
        <v>7</v>
      </c>
      <c r="AU488" s="27" t="s">
        <v>8</v>
      </c>
      <c r="BD488" s="27" t="s">
        <v>7</v>
      </c>
      <c r="BF488" s="27" t="s">
        <v>7</v>
      </c>
      <c r="BG488" s="27" t="s">
        <v>8</v>
      </c>
      <c r="BH488" s="27" t="s">
        <v>7</v>
      </c>
      <c r="FM488" s="27" t="s">
        <v>8</v>
      </c>
      <c r="FN488" s="27" t="s">
        <v>7</v>
      </c>
    </row>
    <row r="489" spans="1:170" x14ac:dyDescent="0.25">
      <c r="A489" s="7">
        <v>6.9633276799811101</v>
      </c>
      <c r="B489"/>
      <c r="C489"/>
      <c r="D489"/>
      <c r="E489" t="s">
        <v>8</v>
      </c>
      <c r="F489" s="27" t="s">
        <v>7</v>
      </c>
      <c r="G489" s="27" t="s">
        <v>8</v>
      </c>
      <c r="L489" s="27" t="s">
        <v>7</v>
      </c>
      <c r="M489" s="27" t="s">
        <v>8</v>
      </c>
      <c r="P489" s="27" t="s">
        <v>7</v>
      </c>
      <c r="Q489" s="27" t="s">
        <v>8</v>
      </c>
      <c r="AR489" s="27" t="s">
        <v>7</v>
      </c>
      <c r="AS489" s="27" t="s">
        <v>8</v>
      </c>
      <c r="AT489" s="27" t="s">
        <v>7</v>
      </c>
      <c r="AU489" s="27" t="s">
        <v>8</v>
      </c>
      <c r="BF489" s="27" t="s">
        <v>7</v>
      </c>
      <c r="BG489" s="27" t="s">
        <v>8</v>
      </c>
      <c r="BH489" s="27" t="s">
        <v>7</v>
      </c>
      <c r="BI489" s="27" t="s">
        <v>8</v>
      </c>
      <c r="FM489" s="27" t="s">
        <v>8</v>
      </c>
      <c r="FN489" s="27" t="s">
        <v>7</v>
      </c>
    </row>
    <row r="490" spans="1:170" x14ac:dyDescent="0.25">
      <c r="A490" s="7">
        <v>6.8267918431187349</v>
      </c>
      <c r="B490"/>
      <c r="C490"/>
      <c r="D490"/>
      <c r="E490" t="s">
        <v>8</v>
      </c>
      <c r="F490" s="27" t="s">
        <v>7</v>
      </c>
      <c r="G490" s="27" t="s">
        <v>8</v>
      </c>
      <c r="L490" s="27" t="s">
        <v>7</v>
      </c>
      <c r="M490" s="27" t="s">
        <v>8</v>
      </c>
      <c r="P490" s="27" t="s">
        <v>7</v>
      </c>
      <c r="Q490" s="27" t="s">
        <v>8</v>
      </c>
      <c r="AR490" s="27" t="s">
        <v>7</v>
      </c>
      <c r="AS490" s="27" t="s">
        <v>8</v>
      </c>
      <c r="AT490" s="27" t="s">
        <v>7</v>
      </c>
      <c r="BF490" s="27" t="s">
        <v>7</v>
      </c>
      <c r="BG490" s="27" t="s">
        <v>8</v>
      </c>
      <c r="BH490" s="27" t="s">
        <v>7</v>
      </c>
      <c r="BI490" s="27" t="s">
        <v>8</v>
      </c>
      <c r="BJ490" s="27" t="s">
        <v>7</v>
      </c>
      <c r="FM490" s="27" t="s">
        <v>8</v>
      </c>
      <c r="FN490" s="27" t="s">
        <v>7</v>
      </c>
    </row>
    <row r="491" spans="1:170" x14ac:dyDescent="0.25">
      <c r="A491" s="7">
        <v>6.692933179528171</v>
      </c>
      <c r="B491"/>
      <c r="C491"/>
      <c r="D491"/>
      <c r="E491" t="s">
        <v>8</v>
      </c>
      <c r="F491" s="27" t="s">
        <v>7</v>
      </c>
      <c r="G491" s="27" t="s">
        <v>8</v>
      </c>
      <c r="L491" s="27" t="s">
        <v>7</v>
      </c>
      <c r="M491" s="27" t="s">
        <v>8</v>
      </c>
      <c r="P491" s="27" t="s">
        <v>7</v>
      </c>
      <c r="Q491" s="27" t="s">
        <v>8</v>
      </c>
      <c r="AR491" s="27" t="s">
        <v>7</v>
      </c>
      <c r="BF491" s="27" t="s">
        <v>7</v>
      </c>
      <c r="BG491" s="27" t="s">
        <v>8</v>
      </c>
      <c r="BH491" s="27" t="s">
        <v>7</v>
      </c>
      <c r="BI491" s="27" t="s">
        <v>8</v>
      </c>
      <c r="BJ491" s="27" t="s">
        <v>7</v>
      </c>
      <c r="FM491" s="27" t="s">
        <v>8</v>
      </c>
      <c r="FN491" s="27" t="s">
        <v>7</v>
      </c>
    </row>
    <row r="492" spans="1:170" x14ac:dyDescent="0.25">
      <c r="A492" s="7">
        <v>6.5616991956158541</v>
      </c>
      <c r="B492"/>
      <c r="C492"/>
      <c r="D492"/>
      <c r="E492" t="s">
        <v>8</v>
      </c>
      <c r="F492" s="27" t="s">
        <v>7</v>
      </c>
      <c r="G492" s="27" t="s">
        <v>8</v>
      </c>
      <c r="L492" s="27" t="s">
        <v>7</v>
      </c>
      <c r="M492" s="27" t="s">
        <v>8</v>
      </c>
      <c r="P492" s="27" t="s">
        <v>7</v>
      </c>
      <c r="Q492" s="27" t="s">
        <v>8</v>
      </c>
      <c r="BF492" s="27" t="s">
        <v>7</v>
      </c>
      <c r="BG492" s="27" t="s">
        <v>8</v>
      </c>
      <c r="BH492" s="27" t="s">
        <v>7</v>
      </c>
      <c r="BI492" s="27" t="s">
        <v>8</v>
      </c>
      <c r="BJ492" s="27" t="s">
        <v>7</v>
      </c>
      <c r="FM492" s="27" t="s">
        <v>8</v>
      </c>
      <c r="FN492" s="27" t="s">
        <v>7</v>
      </c>
    </row>
    <row r="493" spans="1:170" x14ac:dyDescent="0.25">
      <c r="A493" s="7">
        <v>6.4330384270743668</v>
      </c>
      <c r="B493"/>
      <c r="C493"/>
      <c r="D493"/>
      <c r="E493" t="s">
        <v>8</v>
      </c>
      <c r="F493" s="27" t="s">
        <v>7</v>
      </c>
      <c r="G493" s="27" t="s">
        <v>8</v>
      </c>
      <c r="L493" s="27" t="s">
        <v>7</v>
      </c>
      <c r="M493" s="27" t="s">
        <v>8</v>
      </c>
      <c r="P493" s="27" t="s">
        <v>7</v>
      </c>
      <c r="BF493" s="27" t="s">
        <v>7</v>
      </c>
      <c r="BG493" s="27" t="s">
        <v>8</v>
      </c>
      <c r="BH493" s="27" t="s">
        <v>7</v>
      </c>
      <c r="BI493" s="27" t="s">
        <v>8</v>
      </c>
      <c r="BJ493" s="27" t="s">
        <v>7</v>
      </c>
      <c r="FM493" s="27" t="s">
        <v>8</v>
      </c>
      <c r="FN493" s="27" t="s">
        <v>7</v>
      </c>
    </row>
    <row r="494" spans="1:170" x14ac:dyDescent="0.25">
      <c r="A494" s="7">
        <v>6.3069004187003594</v>
      </c>
      <c r="B494"/>
      <c r="C494"/>
      <c r="D494"/>
      <c r="E494" t="s">
        <v>8</v>
      </c>
      <c r="F494" s="27" t="s">
        <v>7</v>
      </c>
      <c r="G494" s="27" t="s">
        <v>8</v>
      </c>
      <c r="L494" s="27" t="s">
        <v>7</v>
      </c>
      <c r="BF494" s="27" t="s">
        <v>7</v>
      </c>
      <c r="BG494" s="27" t="s">
        <v>8</v>
      </c>
      <c r="BH494" s="27" t="s">
        <v>7</v>
      </c>
      <c r="BJ494" s="27" t="s">
        <v>7</v>
      </c>
      <c r="FM494" s="27" t="s">
        <v>8</v>
      </c>
      <c r="FN494" s="27" t="s">
        <v>7</v>
      </c>
    </row>
    <row r="495" spans="1:170" x14ac:dyDescent="0.25">
      <c r="A495" s="7">
        <v>6.1832357046081956</v>
      </c>
      <c r="B495"/>
      <c r="C495"/>
      <c r="D495"/>
      <c r="E495" t="s">
        <v>8</v>
      </c>
      <c r="F495" s="27" t="s">
        <v>7</v>
      </c>
      <c r="G495" s="27" t="s">
        <v>8</v>
      </c>
      <c r="BF495" s="27" t="s">
        <v>7</v>
      </c>
      <c r="BG495" s="27" t="s">
        <v>8</v>
      </c>
      <c r="BJ495" s="27" t="s">
        <v>7</v>
      </c>
      <c r="FM495" s="27" t="s">
        <v>8</v>
      </c>
      <c r="FN495" s="27" t="s">
        <v>7</v>
      </c>
    </row>
    <row r="496" spans="1:170" x14ac:dyDescent="0.25">
      <c r="A496" s="7">
        <v>6.0619957888315641</v>
      </c>
      <c r="B496"/>
      <c r="C496"/>
      <c r="D496"/>
      <c r="E496" t="s">
        <v>8</v>
      </c>
      <c r="F496" s="27" t="s">
        <v>7</v>
      </c>
      <c r="BF496" s="27" t="s">
        <v>7</v>
      </c>
      <c r="BJ496" s="27" t="s">
        <v>7</v>
      </c>
      <c r="FM496" s="27" t="s">
        <v>8</v>
      </c>
      <c r="FN496" s="27" t="s">
        <v>7</v>
      </c>
    </row>
    <row r="497" spans="1:170" x14ac:dyDescent="0.25">
      <c r="A497" s="7">
        <v>5.9431331263054545</v>
      </c>
      <c r="B497"/>
      <c r="C497"/>
      <c r="D497"/>
      <c r="E497" t="s">
        <v>8</v>
      </c>
      <c r="BJ497" s="27" t="s">
        <v>7</v>
      </c>
      <c r="DI497" s="27" t="s">
        <v>8</v>
      </c>
      <c r="FM497" s="27" t="s">
        <v>8</v>
      </c>
      <c r="FN497" s="27" t="s">
        <v>7</v>
      </c>
    </row>
    <row r="498" spans="1:170" x14ac:dyDescent="0.25">
      <c r="A498" s="7">
        <v>5.8266011042210337</v>
      </c>
      <c r="B498"/>
      <c r="C498"/>
      <c r="D498"/>
      <c r="E498" t="s">
        <v>8</v>
      </c>
      <c r="BJ498" s="27" t="s">
        <v>7</v>
      </c>
      <c r="DI498" s="27" t="s">
        <v>8</v>
      </c>
      <c r="DJ498" s="27" t="s">
        <v>7</v>
      </c>
      <c r="EY498" s="27" t="s">
        <v>8</v>
      </c>
      <c r="FM498" s="27" t="s">
        <v>8</v>
      </c>
      <c r="FN498" s="27" t="s">
        <v>7</v>
      </c>
    </row>
    <row r="499" spans="1:170" x14ac:dyDescent="0.25">
      <c r="A499" s="7">
        <v>5.7123540237461112</v>
      </c>
      <c r="B499"/>
      <c r="C499"/>
      <c r="D499"/>
      <c r="E499" t="s">
        <v>8</v>
      </c>
      <c r="BJ499" s="27" t="s">
        <v>7</v>
      </c>
      <c r="DI499" s="27" t="s">
        <v>8</v>
      </c>
      <c r="DJ499" s="27" t="s">
        <v>7</v>
      </c>
      <c r="DQ499" s="27" t="s">
        <v>8</v>
      </c>
      <c r="EW499" s="27" t="s">
        <v>8</v>
      </c>
      <c r="EY499" s="27" t="s">
        <v>8</v>
      </c>
      <c r="EZ499" s="27" t="s">
        <v>7</v>
      </c>
      <c r="FM499" s="27" t="s">
        <v>8</v>
      </c>
      <c r="FN499" s="27" t="s">
        <v>7</v>
      </c>
    </row>
    <row r="500" spans="1:170" x14ac:dyDescent="0.25">
      <c r="A500" s="7">
        <v>5.6003470821040304</v>
      </c>
      <c r="B500"/>
      <c r="C500"/>
      <c r="D500"/>
      <c r="E500" t="s">
        <v>8</v>
      </c>
      <c r="BJ500" s="27" t="s">
        <v>7</v>
      </c>
      <c r="DI500" s="27" t="s">
        <v>8</v>
      </c>
      <c r="DJ500" s="27" t="s">
        <v>7</v>
      </c>
      <c r="DK500" s="27" t="s">
        <v>8</v>
      </c>
      <c r="DO500" s="27" t="s">
        <v>8</v>
      </c>
      <c r="DQ500" s="27" t="s">
        <v>8</v>
      </c>
      <c r="DR500" s="27" t="s">
        <v>7</v>
      </c>
      <c r="EW500" s="27" t="s">
        <v>8</v>
      </c>
      <c r="EX500" s="27" t="s">
        <v>7</v>
      </c>
      <c r="EY500" s="27" t="s">
        <v>8</v>
      </c>
      <c r="EZ500" s="27" t="s">
        <v>7</v>
      </c>
      <c r="FM500" s="27" t="s">
        <v>8</v>
      </c>
      <c r="FN500" s="27" t="s">
        <v>7</v>
      </c>
    </row>
    <row r="501" spans="1:170" x14ac:dyDescent="0.25">
      <c r="A501" s="7">
        <v>5.4905363550039512</v>
      </c>
      <c r="B501"/>
      <c r="C501"/>
      <c r="D501"/>
      <c r="E501" t="s">
        <v>8</v>
      </c>
      <c r="BJ501" s="27" t="s">
        <v>7</v>
      </c>
      <c r="DI501" s="27" t="s">
        <v>8</v>
      </c>
      <c r="DJ501" s="27" t="s">
        <v>7</v>
      </c>
      <c r="DK501" s="27" t="s">
        <v>8</v>
      </c>
      <c r="DL501" s="27" t="s">
        <v>7</v>
      </c>
      <c r="DO501" s="27" t="s">
        <v>8</v>
      </c>
      <c r="DP501" s="27" t="s">
        <v>7</v>
      </c>
      <c r="DQ501" s="27" t="s">
        <v>8</v>
      </c>
      <c r="DR501" s="27" t="s">
        <v>7</v>
      </c>
      <c r="EW501" s="27" t="s">
        <v>8</v>
      </c>
      <c r="EX501" s="27" t="s">
        <v>7</v>
      </c>
      <c r="EY501" s="27" t="s">
        <v>8</v>
      </c>
      <c r="EZ501" s="27" t="s">
        <v>7</v>
      </c>
      <c r="FM501" s="27" t="s">
        <v>8</v>
      </c>
      <c r="FN501" s="27" t="s">
        <v>7</v>
      </c>
    </row>
    <row r="502" spans="1:170" x14ac:dyDescent="0.25">
      <c r="A502" s="7">
        <v>5.3828787794156385</v>
      </c>
      <c r="B502"/>
      <c r="C502"/>
      <c r="D502"/>
      <c r="E502" t="s">
        <v>8</v>
      </c>
      <c r="BJ502" s="27" t="s">
        <v>7</v>
      </c>
      <c r="DG502" s="27" t="s">
        <v>8</v>
      </c>
      <c r="DI502" s="27" t="s">
        <v>8</v>
      </c>
      <c r="DJ502" s="27" t="s">
        <v>7</v>
      </c>
      <c r="DK502" s="27" t="s">
        <v>8</v>
      </c>
      <c r="DL502" s="27" t="s">
        <v>7</v>
      </c>
      <c r="DO502" s="27" t="s">
        <v>8</v>
      </c>
      <c r="DP502" s="27" t="s">
        <v>7</v>
      </c>
      <c r="DQ502" s="27" t="s">
        <v>8</v>
      </c>
      <c r="DR502" s="27" t="s">
        <v>7</v>
      </c>
      <c r="EW502" s="27" t="s">
        <v>8</v>
      </c>
      <c r="EX502" s="27" t="s">
        <v>7</v>
      </c>
      <c r="EY502" s="27" t="s">
        <v>8</v>
      </c>
      <c r="EZ502" s="27" t="s">
        <v>7</v>
      </c>
      <c r="FM502" s="27" t="s">
        <v>8</v>
      </c>
      <c r="FN502" s="27" t="s">
        <v>7</v>
      </c>
    </row>
    <row r="503" spans="1:170" x14ac:dyDescent="0.25">
      <c r="A503" s="7">
        <v>5.2773321366819985</v>
      </c>
      <c r="B503"/>
      <c r="C503"/>
      <c r="D503"/>
      <c r="E503" t="s">
        <v>8</v>
      </c>
      <c r="BJ503" s="27" t="s">
        <v>7</v>
      </c>
      <c r="DE503" s="27" t="s">
        <v>8</v>
      </c>
      <c r="DG503" s="27" t="s">
        <v>8</v>
      </c>
      <c r="DH503" s="27" t="s">
        <v>7</v>
      </c>
      <c r="DI503" s="27" t="s">
        <v>8</v>
      </c>
      <c r="DJ503" s="27" t="s">
        <v>7</v>
      </c>
      <c r="DK503" s="27" t="s">
        <v>8</v>
      </c>
      <c r="DL503" s="27" t="s">
        <v>7</v>
      </c>
      <c r="DO503" s="27" t="s">
        <v>8</v>
      </c>
      <c r="DP503" s="27" t="s">
        <v>7</v>
      </c>
      <c r="DQ503" s="27" t="s">
        <v>8</v>
      </c>
      <c r="DR503" s="27" t="s">
        <v>7</v>
      </c>
      <c r="EU503" s="27" t="s">
        <v>8</v>
      </c>
      <c r="EW503" s="27" t="s">
        <v>8</v>
      </c>
      <c r="EX503" s="27" t="s">
        <v>7</v>
      </c>
      <c r="EY503" s="27" t="s">
        <v>8</v>
      </c>
      <c r="EZ503" s="27" t="s">
        <v>7</v>
      </c>
      <c r="FM503" s="27" t="s">
        <v>8</v>
      </c>
      <c r="FN503" s="27" t="s">
        <v>7</v>
      </c>
    </row>
    <row r="504" spans="1:170" x14ac:dyDescent="0.25">
      <c r="A504" s="7">
        <v>5.1738550359627435</v>
      </c>
      <c r="B504"/>
      <c r="C504"/>
      <c r="D504"/>
      <c r="E504" t="s">
        <v>8</v>
      </c>
      <c r="BJ504" s="27" t="s">
        <v>7</v>
      </c>
      <c r="DE504" s="27" t="s">
        <v>8</v>
      </c>
      <c r="DF504" s="27" t="s">
        <v>7</v>
      </c>
      <c r="DG504" s="27" t="s">
        <v>8</v>
      </c>
      <c r="DH504" s="27" t="s">
        <v>7</v>
      </c>
      <c r="DI504" s="27" t="s">
        <v>8</v>
      </c>
      <c r="DJ504" s="27" t="s">
        <v>7</v>
      </c>
      <c r="DK504" s="27" t="s">
        <v>8</v>
      </c>
      <c r="DL504" s="27" t="s">
        <v>7</v>
      </c>
      <c r="DM504" s="27" t="s">
        <v>8</v>
      </c>
      <c r="DO504" s="27" t="s">
        <v>8</v>
      </c>
      <c r="DP504" s="27" t="s">
        <v>7</v>
      </c>
      <c r="DQ504" s="27" t="s">
        <v>8</v>
      </c>
      <c r="DR504" s="27" t="s">
        <v>7</v>
      </c>
      <c r="EU504" s="27" t="s">
        <v>8</v>
      </c>
      <c r="EV504" s="27" t="s">
        <v>7</v>
      </c>
      <c r="EW504" s="27" t="s">
        <v>8</v>
      </c>
      <c r="EX504" s="27" t="s">
        <v>7</v>
      </c>
      <c r="EZ504" s="27" t="s">
        <v>7</v>
      </c>
      <c r="FA504" s="27" t="s">
        <v>8</v>
      </c>
      <c r="FM504" s="27" t="s">
        <v>8</v>
      </c>
      <c r="FN504" s="27" t="s">
        <v>7</v>
      </c>
    </row>
    <row r="505" spans="1:170" x14ac:dyDescent="0.25">
      <c r="A505" s="7">
        <v>5.07240689800269</v>
      </c>
      <c r="B505"/>
      <c r="C505"/>
      <c r="D505"/>
      <c r="E505" t="s">
        <v>8</v>
      </c>
      <c r="BJ505" s="27" t="s">
        <v>7</v>
      </c>
      <c r="DC505" s="27" t="s">
        <v>8</v>
      </c>
      <c r="DE505" s="27" t="s">
        <v>8</v>
      </c>
      <c r="DF505" s="27" t="s">
        <v>7</v>
      </c>
      <c r="DG505" s="27" t="s">
        <v>8</v>
      </c>
      <c r="DH505" s="27" t="s">
        <v>7</v>
      </c>
      <c r="DJ505" s="27" t="s">
        <v>7</v>
      </c>
      <c r="DK505" s="27" t="s">
        <v>8</v>
      </c>
      <c r="DL505" s="27" t="s">
        <v>7</v>
      </c>
      <c r="DM505" s="27" t="s">
        <v>8</v>
      </c>
      <c r="DN505" s="27" t="s">
        <v>7</v>
      </c>
      <c r="DO505" s="27" t="s">
        <v>8</v>
      </c>
      <c r="DP505" s="27" t="s">
        <v>7</v>
      </c>
      <c r="DR505" s="27" t="s">
        <v>7</v>
      </c>
      <c r="EU505" s="27" t="s">
        <v>8</v>
      </c>
      <c r="EV505" s="27" t="s">
        <v>7</v>
      </c>
      <c r="EW505" s="27" t="s">
        <v>8</v>
      </c>
      <c r="EZ505" s="27" t="s">
        <v>7</v>
      </c>
      <c r="FA505" s="27" t="s">
        <v>8</v>
      </c>
      <c r="FB505" s="27" t="s">
        <v>7</v>
      </c>
      <c r="FE505" s="27" t="s">
        <v>8</v>
      </c>
      <c r="FM505" s="27" t="s">
        <v>8</v>
      </c>
      <c r="FN505" s="27" t="s">
        <v>7</v>
      </c>
    </row>
    <row r="506" spans="1:170" x14ac:dyDescent="0.25">
      <c r="A506" s="7">
        <v>4.9729479392183231</v>
      </c>
      <c r="B506"/>
      <c r="C506"/>
      <c r="D506"/>
      <c r="E506" t="s">
        <v>8</v>
      </c>
      <c r="BJ506" s="27" t="s">
        <v>7</v>
      </c>
      <c r="DC506" s="27" t="s">
        <v>8</v>
      </c>
      <c r="DD506" s="27" t="s">
        <v>7</v>
      </c>
      <c r="DE506" s="27" t="s">
        <v>8</v>
      </c>
      <c r="DF506" s="27" t="s">
        <v>7</v>
      </c>
      <c r="DG506" s="27" t="s">
        <v>8</v>
      </c>
      <c r="DJ506" s="27" t="s">
        <v>7</v>
      </c>
      <c r="DL506" s="27" t="s">
        <v>7</v>
      </c>
      <c r="DM506" s="27" t="s">
        <v>8</v>
      </c>
      <c r="DN506" s="27" t="s">
        <v>7</v>
      </c>
      <c r="DO506" s="27" t="s">
        <v>8</v>
      </c>
      <c r="DR506" s="27" t="s">
        <v>7</v>
      </c>
      <c r="EO506" s="27" t="s">
        <v>8</v>
      </c>
      <c r="EU506" s="27" t="s">
        <v>8</v>
      </c>
      <c r="EV506" s="27" t="s">
        <v>7</v>
      </c>
      <c r="EW506" s="27" t="s">
        <v>8</v>
      </c>
      <c r="EZ506" s="27" t="s">
        <v>7</v>
      </c>
      <c r="FA506" s="27" t="s">
        <v>8</v>
      </c>
      <c r="FB506" s="27" t="s">
        <v>7</v>
      </c>
      <c r="FC506" s="27" t="s">
        <v>8</v>
      </c>
      <c r="FE506" s="27" t="s">
        <v>8</v>
      </c>
      <c r="FF506" s="27" t="s">
        <v>7</v>
      </c>
      <c r="FM506" s="27" t="s">
        <v>8</v>
      </c>
      <c r="FN506" s="27" t="s">
        <v>7</v>
      </c>
    </row>
    <row r="507" spans="1:170" x14ac:dyDescent="0.25">
      <c r="A507" s="7">
        <v>4.8754391560963954</v>
      </c>
      <c r="B507"/>
      <c r="C507"/>
      <c r="D507"/>
      <c r="E507" t="s">
        <v>8</v>
      </c>
      <c r="BJ507" s="27" t="s">
        <v>7</v>
      </c>
      <c r="DC507" s="27" t="s">
        <v>8</v>
      </c>
      <c r="DD507" s="27" t="s">
        <v>7</v>
      </c>
      <c r="DE507" s="27" t="s">
        <v>8</v>
      </c>
      <c r="DF507" s="27" t="s">
        <v>7</v>
      </c>
      <c r="DG507" s="27" t="s">
        <v>8</v>
      </c>
      <c r="DL507" s="27" t="s">
        <v>7</v>
      </c>
      <c r="DM507" s="27" t="s">
        <v>8</v>
      </c>
      <c r="DN507" s="27" t="s">
        <v>7</v>
      </c>
      <c r="DO507" s="27" t="s">
        <v>8</v>
      </c>
      <c r="DR507" s="27" t="s">
        <v>7</v>
      </c>
      <c r="DW507" s="27" t="s">
        <v>8</v>
      </c>
      <c r="EO507" s="27" t="s">
        <v>8</v>
      </c>
      <c r="EP507" s="27" t="s">
        <v>7</v>
      </c>
      <c r="EQ507" s="27" t="s">
        <v>8</v>
      </c>
      <c r="EU507" s="27" t="s">
        <v>8</v>
      </c>
      <c r="EV507" s="27" t="s">
        <v>7</v>
      </c>
      <c r="EW507" s="27" t="s">
        <v>8</v>
      </c>
      <c r="EZ507" s="27" t="s">
        <v>7</v>
      </c>
      <c r="FA507" s="27" t="s">
        <v>8</v>
      </c>
      <c r="FB507" s="27" t="s">
        <v>7</v>
      </c>
      <c r="FC507" s="27" t="s">
        <v>8</v>
      </c>
      <c r="FD507" s="27" t="s">
        <v>7</v>
      </c>
      <c r="FE507" s="27" t="s">
        <v>8</v>
      </c>
      <c r="FF507" s="27" t="s">
        <v>7</v>
      </c>
      <c r="FM507" s="27" t="s">
        <v>8</v>
      </c>
      <c r="FN507" s="27" t="s">
        <v>7</v>
      </c>
    </row>
    <row r="508" spans="1:170" x14ac:dyDescent="0.25">
      <c r="A508" s="7">
        <v>4.7798423098984264</v>
      </c>
      <c r="B508"/>
      <c r="C508"/>
      <c r="D508"/>
      <c r="E508" t="s">
        <v>8</v>
      </c>
      <c r="BJ508" s="27" t="s">
        <v>7</v>
      </c>
      <c r="DC508" s="27" t="s">
        <v>8</v>
      </c>
      <c r="DD508" s="27" t="s">
        <v>7</v>
      </c>
      <c r="DE508" s="27" t="s">
        <v>8</v>
      </c>
      <c r="DF508" s="27" t="s">
        <v>7</v>
      </c>
      <c r="DG508" s="27" t="s">
        <v>8</v>
      </c>
      <c r="DL508" s="27" t="s">
        <v>7</v>
      </c>
      <c r="DM508" s="27" t="s">
        <v>8</v>
      </c>
      <c r="DN508" s="27" t="s">
        <v>7</v>
      </c>
      <c r="DR508" s="27" t="s">
        <v>7</v>
      </c>
      <c r="DW508" s="27" t="s">
        <v>8</v>
      </c>
      <c r="DX508" s="27" t="s">
        <v>7</v>
      </c>
      <c r="DY508" s="27" t="s">
        <v>8</v>
      </c>
      <c r="EO508" s="27" t="s">
        <v>8</v>
      </c>
      <c r="EP508" s="27" t="s">
        <v>7</v>
      </c>
      <c r="EQ508" s="27" t="s">
        <v>8</v>
      </c>
      <c r="ER508" s="27" t="s">
        <v>7</v>
      </c>
      <c r="EU508" s="27" t="s">
        <v>8</v>
      </c>
      <c r="EV508" s="27" t="s">
        <v>7</v>
      </c>
      <c r="EW508" s="27" t="s">
        <v>8</v>
      </c>
      <c r="EZ508" s="27" t="s">
        <v>7</v>
      </c>
      <c r="FA508" s="27" t="s">
        <v>8</v>
      </c>
      <c r="FB508" s="27" t="s">
        <v>7</v>
      </c>
      <c r="FC508" s="27" t="s">
        <v>8</v>
      </c>
      <c r="FD508" s="27" t="s">
        <v>7</v>
      </c>
      <c r="FE508" s="27" t="s">
        <v>8</v>
      </c>
      <c r="FF508" s="27" t="s">
        <v>7</v>
      </c>
      <c r="FM508" s="27" t="s">
        <v>8</v>
      </c>
      <c r="FN508" s="27" t="s">
        <v>7</v>
      </c>
    </row>
    <row r="509" spans="1:170" x14ac:dyDescent="0.25">
      <c r="A509" s="7">
        <v>4.6861199116651235</v>
      </c>
      <c r="B509"/>
      <c r="C509"/>
      <c r="D509"/>
      <c r="E509" t="s">
        <v>8</v>
      </c>
      <c r="BJ509" s="27" t="s">
        <v>7</v>
      </c>
      <c r="BK509" s="27" t="s">
        <v>8</v>
      </c>
      <c r="DC509" s="27" t="s">
        <v>8</v>
      </c>
      <c r="DD509" s="27" t="s">
        <v>7</v>
      </c>
      <c r="DE509" s="27" t="s">
        <v>8</v>
      </c>
      <c r="DF509" s="27" t="s">
        <v>7</v>
      </c>
      <c r="DG509" s="27" t="s">
        <v>8</v>
      </c>
      <c r="DL509" s="27" t="s">
        <v>7</v>
      </c>
      <c r="DR509" s="27" t="s">
        <v>7</v>
      </c>
      <c r="DW509" s="27" t="s">
        <v>8</v>
      </c>
      <c r="DX509" s="27" t="s">
        <v>7</v>
      </c>
      <c r="DY509" s="27" t="s">
        <v>8</v>
      </c>
      <c r="DZ509" s="27" t="s">
        <v>7</v>
      </c>
      <c r="EO509" s="27" t="s">
        <v>8</v>
      </c>
      <c r="EP509" s="27" t="s">
        <v>7</v>
      </c>
      <c r="EQ509" s="27" t="s">
        <v>8</v>
      </c>
      <c r="ER509" s="27" t="s">
        <v>7</v>
      </c>
      <c r="EU509" s="27" t="s">
        <v>8</v>
      </c>
      <c r="EV509" s="27" t="s">
        <v>7</v>
      </c>
      <c r="EW509" s="27" t="s">
        <v>8</v>
      </c>
      <c r="EZ509" s="27" t="s">
        <v>7</v>
      </c>
      <c r="FB509" s="27" t="s">
        <v>7</v>
      </c>
      <c r="FC509" s="27" t="s">
        <v>8</v>
      </c>
      <c r="FD509" s="27" t="s">
        <v>7</v>
      </c>
      <c r="FE509" s="27" t="s">
        <v>8</v>
      </c>
      <c r="FF509" s="27" t="s">
        <v>7</v>
      </c>
      <c r="FM509" s="27" t="s">
        <v>8</v>
      </c>
      <c r="FN509" s="27" t="s">
        <v>7</v>
      </c>
    </row>
    <row r="510" spans="1:170" x14ac:dyDescent="0.25">
      <c r="A510" s="7">
        <v>4.5942352075148269</v>
      </c>
      <c r="B510"/>
      <c r="C510"/>
      <c r="D510"/>
      <c r="E510" t="s">
        <v>8</v>
      </c>
      <c r="BJ510" s="27" t="s">
        <v>7</v>
      </c>
      <c r="BK510" s="27" t="s">
        <v>8</v>
      </c>
      <c r="BL510" s="27" t="s">
        <v>7</v>
      </c>
      <c r="BU510" s="27" t="s">
        <v>8</v>
      </c>
      <c r="DC510" s="27" t="s">
        <v>8</v>
      </c>
      <c r="DD510" s="27" t="s">
        <v>7</v>
      </c>
      <c r="DE510" s="27" t="s">
        <v>8</v>
      </c>
      <c r="DF510" s="27" t="s">
        <v>7</v>
      </c>
      <c r="DG510" s="27" t="s">
        <v>8</v>
      </c>
      <c r="DR510" s="27" t="s">
        <v>7</v>
      </c>
      <c r="DW510" s="27" t="s">
        <v>8</v>
      </c>
      <c r="DX510" s="27" t="s">
        <v>7</v>
      </c>
      <c r="DY510" s="27" t="s">
        <v>8</v>
      </c>
      <c r="DZ510" s="27" t="s">
        <v>7</v>
      </c>
      <c r="EO510" s="27" t="s">
        <v>8</v>
      </c>
      <c r="EP510" s="27" t="s">
        <v>7</v>
      </c>
      <c r="EQ510" s="27" t="s">
        <v>8</v>
      </c>
      <c r="ER510" s="27" t="s">
        <v>7</v>
      </c>
      <c r="ES510" s="27" t="s">
        <v>8</v>
      </c>
      <c r="EU510" s="27" t="s">
        <v>8</v>
      </c>
      <c r="EV510" s="27" t="s">
        <v>7</v>
      </c>
      <c r="EW510" s="27" t="s">
        <v>8</v>
      </c>
      <c r="FB510" s="27" t="s">
        <v>7</v>
      </c>
      <c r="FC510" s="27" t="s">
        <v>8</v>
      </c>
      <c r="FD510" s="27" t="s">
        <v>7</v>
      </c>
      <c r="FF510" s="27" t="s">
        <v>7</v>
      </c>
      <c r="FK510" s="27" t="s">
        <v>8</v>
      </c>
      <c r="FM510" s="27" t="s">
        <v>8</v>
      </c>
      <c r="FN510" s="27" t="s">
        <v>7</v>
      </c>
    </row>
    <row r="511" spans="1:170" x14ac:dyDescent="0.25">
      <c r="A511" s="7">
        <v>4.5041521642302227</v>
      </c>
      <c r="B511"/>
      <c r="C511"/>
      <c r="D511"/>
      <c r="E511" t="s">
        <v>8</v>
      </c>
      <c r="BJ511" s="27" t="s">
        <v>7</v>
      </c>
      <c r="BK511" s="27" t="s">
        <v>8</v>
      </c>
      <c r="BL511" s="27" t="s">
        <v>7</v>
      </c>
      <c r="BU511" s="27" t="s">
        <v>8</v>
      </c>
      <c r="BV511" s="27" t="s">
        <v>7</v>
      </c>
      <c r="DC511" s="27" t="s">
        <v>8</v>
      </c>
      <c r="DD511" s="27" t="s">
        <v>7</v>
      </c>
      <c r="DE511" s="27" t="s">
        <v>8</v>
      </c>
      <c r="DF511" s="27" t="s">
        <v>7</v>
      </c>
      <c r="DG511" s="27" t="s">
        <v>8</v>
      </c>
      <c r="DR511" s="27" t="s">
        <v>7</v>
      </c>
      <c r="DW511" s="27" t="s">
        <v>8</v>
      </c>
      <c r="DX511" s="27" t="s">
        <v>7</v>
      </c>
      <c r="DZ511" s="27" t="s">
        <v>7</v>
      </c>
      <c r="EO511" s="27" t="s">
        <v>8</v>
      </c>
      <c r="EP511" s="27" t="s">
        <v>7</v>
      </c>
      <c r="EQ511" s="27" t="s">
        <v>8</v>
      </c>
      <c r="ER511" s="27" t="s">
        <v>7</v>
      </c>
      <c r="ES511" s="27" t="s">
        <v>8</v>
      </c>
      <c r="ET511" s="27" t="s">
        <v>7</v>
      </c>
      <c r="EU511" s="27" t="s">
        <v>8</v>
      </c>
      <c r="EV511" s="27" t="s">
        <v>7</v>
      </c>
      <c r="EW511" s="27" t="s">
        <v>8</v>
      </c>
      <c r="FB511" s="27" t="s">
        <v>7</v>
      </c>
      <c r="FC511" s="27" t="s">
        <v>8</v>
      </c>
      <c r="FF511" s="27" t="s">
        <v>7</v>
      </c>
      <c r="FI511" s="27" t="s">
        <v>8</v>
      </c>
      <c r="FK511" s="27" t="s">
        <v>8</v>
      </c>
      <c r="FL511" s="27" t="s">
        <v>7</v>
      </c>
      <c r="FM511" s="27" t="s">
        <v>8</v>
      </c>
      <c r="FN511" s="27" t="s">
        <v>7</v>
      </c>
    </row>
    <row r="512" spans="1:170" x14ac:dyDescent="0.25">
      <c r="A512" s="7">
        <v>4.4158354551276693</v>
      </c>
      <c r="B512"/>
      <c r="C512"/>
      <c r="D512"/>
      <c r="E512" t="s">
        <v>8</v>
      </c>
      <c r="BJ512" s="27" t="s">
        <v>7</v>
      </c>
      <c r="BK512" s="27" t="s">
        <v>8</v>
      </c>
      <c r="BL512" s="27" t="s">
        <v>7</v>
      </c>
      <c r="BU512" s="27" t="s">
        <v>8</v>
      </c>
      <c r="BV512" s="27" t="s">
        <v>7</v>
      </c>
      <c r="DC512" s="27" t="s">
        <v>8</v>
      </c>
      <c r="DD512" s="27" t="s">
        <v>7</v>
      </c>
      <c r="DE512" s="27" t="s">
        <v>8</v>
      </c>
      <c r="DF512" s="27" t="s">
        <v>7</v>
      </c>
      <c r="DG512" s="27" t="s">
        <v>8</v>
      </c>
      <c r="DR512" s="27" t="s">
        <v>7</v>
      </c>
      <c r="DS512" s="27" t="s">
        <v>8</v>
      </c>
      <c r="DU512" s="27" t="s">
        <v>8</v>
      </c>
      <c r="DW512" s="27" t="s">
        <v>8</v>
      </c>
      <c r="DZ512" s="27" t="s">
        <v>7</v>
      </c>
      <c r="EA512" s="27" t="s">
        <v>8</v>
      </c>
      <c r="EO512" s="27" t="s">
        <v>8</v>
      </c>
      <c r="EP512" s="27" t="s">
        <v>7</v>
      </c>
      <c r="EQ512" s="27" t="s">
        <v>8</v>
      </c>
      <c r="ER512" s="27" t="s">
        <v>7</v>
      </c>
      <c r="ES512" s="27" t="s">
        <v>8</v>
      </c>
      <c r="ET512" s="27" t="s">
        <v>7</v>
      </c>
      <c r="EU512" s="27" t="s">
        <v>8</v>
      </c>
      <c r="EV512" s="27" t="s">
        <v>7</v>
      </c>
      <c r="FB512" s="27" t="s">
        <v>7</v>
      </c>
      <c r="FC512" s="27" t="s">
        <v>8</v>
      </c>
      <c r="FF512" s="27" t="s">
        <v>7</v>
      </c>
      <c r="FG512" s="27" t="s">
        <v>8</v>
      </c>
      <c r="FI512" s="27" t="s">
        <v>8</v>
      </c>
      <c r="FJ512" s="27" t="s">
        <v>7</v>
      </c>
      <c r="FK512" s="27" t="s">
        <v>8</v>
      </c>
      <c r="FL512" s="27" t="s">
        <v>7</v>
      </c>
      <c r="FM512" s="27" t="s">
        <v>8</v>
      </c>
      <c r="FN512" s="27" t="s">
        <v>7</v>
      </c>
    </row>
    <row r="513" spans="1:183" x14ac:dyDescent="0.25">
      <c r="A513" s="7">
        <v>4.3292504462035977</v>
      </c>
      <c r="B513"/>
      <c r="C513"/>
      <c r="D513"/>
      <c r="E513" t="s">
        <v>8</v>
      </c>
      <c r="BJ513" s="27" t="s">
        <v>7</v>
      </c>
      <c r="BK513" s="27" t="s">
        <v>8</v>
      </c>
      <c r="BL513" s="27" t="s">
        <v>7</v>
      </c>
      <c r="BU513" s="27" t="s">
        <v>8</v>
      </c>
      <c r="BV513" s="27" t="s">
        <v>7</v>
      </c>
      <c r="DC513" s="27" t="s">
        <v>8</v>
      </c>
      <c r="DD513" s="27" t="s">
        <v>7</v>
      </c>
      <c r="DE513" s="27" t="s">
        <v>8</v>
      </c>
      <c r="DF513" s="27" t="s">
        <v>7</v>
      </c>
      <c r="DR513" s="27" t="s">
        <v>7</v>
      </c>
      <c r="DS513" s="27" t="s">
        <v>8</v>
      </c>
      <c r="DT513" s="27" t="s">
        <v>7</v>
      </c>
      <c r="DU513" s="27" t="s">
        <v>8</v>
      </c>
      <c r="DV513" s="27" t="s">
        <v>7</v>
      </c>
      <c r="DW513" s="27" t="s">
        <v>8</v>
      </c>
      <c r="DZ513" s="27" t="s">
        <v>7</v>
      </c>
      <c r="EA513" s="27" t="s">
        <v>8</v>
      </c>
      <c r="EB513" s="27" t="s">
        <v>7</v>
      </c>
      <c r="EO513" s="27" t="s">
        <v>8</v>
      </c>
      <c r="EP513" s="27" t="s">
        <v>7</v>
      </c>
      <c r="ER513" s="27" t="s">
        <v>7</v>
      </c>
      <c r="ES513" s="27" t="s">
        <v>8</v>
      </c>
      <c r="ET513" s="27" t="s">
        <v>7</v>
      </c>
      <c r="FB513" s="27" t="s">
        <v>7</v>
      </c>
      <c r="FC513" s="27" t="s">
        <v>8</v>
      </c>
      <c r="FF513" s="27" t="s">
        <v>7</v>
      </c>
      <c r="FG513" s="27" t="s">
        <v>8</v>
      </c>
      <c r="FH513" s="27" t="s">
        <v>7</v>
      </c>
      <c r="FI513" s="27" t="s">
        <v>8</v>
      </c>
      <c r="FJ513" s="27" t="s">
        <v>7</v>
      </c>
      <c r="FK513" s="27" t="s">
        <v>8</v>
      </c>
      <c r="FL513" s="27" t="s">
        <v>7</v>
      </c>
      <c r="FM513" s="27" t="s">
        <v>8</v>
      </c>
      <c r="FN513" s="27" t="s">
        <v>7</v>
      </c>
    </row>
    <row r="514" spans="1:183" x14ac:dyDescent="0.25">
      <c r="A514" s="7">
        <v>4.2443631825525463</v>
      </c>
      <c r="B514"/>
      <c r="C514"/>
      <c r="D514"/>
      <c r="E514" t="s">
        <v>8</v>
      </c>
      <c r="BJ514" s="27" t="s">
        <v>7</v>
      </c>
      <c r="BK514" s="27" t="s">
        <v>8</v>
      </c>
      <c r="BL514" s="27" t="s">
        <v>7</v>
      </c>
      <c r="BS514" s="27" t="s">
        <v>8</v>
      </c>
      <c r="BU514" s="27" t="s">
        <v>8</v>
      </c>
      <c r="BV514" s="27" t="s">
        <v>7</v>
      </c>
      <c r="CY514" s="27" t="s">
        <v>8</v>
      </c>
      <c r="DA514" s="27" t="s">
        <v>8</v>
      </c>
      <c r="DC514" s="27" t="s">
        <v>8</v>
      </c>
      <c r="DD514" s="27" t="s">
        <v>7</v>
      </c>
      <c r="DR514" s="27" t="s">
        <v>7</v>
      </c>
      <c r="DS514" s="27" t="s">
        <v>8</v>
      </c>
      <c r="DT514" s="27" t="s">
        <v>7</v>
      </c>
      <c r="DU514" s="27" t="s">
        <v>8</v>
      </c>
      <c r="DV514" s="27" t="s">
        <v>7</v>
      </c>
      <c r="DW514" s="27" t="s">
        <v>8</v>
      </c>
      <c r="DZ514" s="27" t="s">
        <v>7</v>
      </c>
      <c r="EA514" s="27" t="s">
        <v>8</v>
      </c>
      <c r="EB514" s="27" t="s">
        <v>7</v>
      </c>
      <c r="EO514" s="27" t="s">
        <v>8</v>
      </c>
      <c r="ER514" s="27" t="s">
        <v>7</v>
      </c>
      <c r="FB514" s="27" t="s">
        <v>7</v>
      </c>
      <c r="FC514" s="27" t="s">
        <v>8</v>
      </c>
      <c r="FF514" s="27" t="s">
        <v>7</v>
      </c>
      <c r="FG514" s="27" t="s">
        <v>8</v>
      </c>
      <c r="FH514" s="27" t="s">
        <v>7</v>
      </c>
      <c r="FI514" s="27" t="s">
        <v>8</v>
      </c>
      <c r="FJ514" s="27" t="s">
        <v>7</v>
      </c>
      <c r="FK514" s="27" t="s">
        <v>8</v>
      </c>
      <c r="FL514" s="27" t="s">
        <v>7</v>
      </c>
      <c r="FM514" s="27" t="s">
        <v>8</v>
      </c>
      <c r="FN514" s="27" t="s">
        <v>7</v>
      </c>
    </row>
    <row r="515" spans="1:183" x14ac:dyDescent="0.25">
      <c r="A515" s="7">
        <v>4.1611403750515157</v>
      </c>
      <c r="B515"/>
      <c r="C515"/>
      <c r="D515"/>
      <c r="E515" t="s">
        <v>8</v>
      </c>
      <c r="BJ515" s="27" t="s">
        <v>7</v>
      </c>
      <c r="BK515" s="27" t="s">
        <v>8</v>
      </c>
      <c r="BL515" s="27" t="s">
        <v>7</v>
      </c>
      <c r="BQ515" s="27" t="s">
        <v>8</v>
      </c>
      <c r="BS515" s="27" t="s">
        <v>8</v>
      </c>
      <c r="BT515" s="27" t="s">
        <v>7</v>
      </c>
      <c r="BU515" s="27" t="s">
        <v>8</v>
      </c>
      <c r="BV515" s="27" t="s">
        <v>7</v>
      </c>
      <c r="CQ515" s="27" t="s">
        <v>8</v>
      </c>
      <c r="CY515" s="27" t="s">
        <v>8</v>
      </c>
      <c r="CZ515" s="27" t="s">
        <v>7</v>
      </c>
      <c r="DA515" s="27" t="s">
        <v>8</v>
      </c>
      <c r="DB515" s="27" t="s">
        <v>7</v>
      </c>
      <c r="DC515" s="27" t="s">
        <v>8</v>
      </c>
      <c r="DR515" s="27" t="s">
        <v>7</v>
      </c>
      <c r="DS515" s="27" t="s">
        <v>8</v>
      </c>
      <c r="DT515" s="27" t="s">
        <v>7</v>
      </c>
      <c r="DU515" s="27" t="s">
        <v>8</v>
      </c>
      <c r="DV515" s="27" t="s">
        <v>7</v>
      </c>
      <c r="DW515" s="27" t="s">
        <v>8</v>
      </c>
      <c r="DZ515" s="27" t="s">
        <v>7</v>
      </c>
      <c r="EB515" s="27" t="s">
        <v>7</v>
      </c>
      <c r="EO515" s="27" t="s">
        <v>8</v>
      </c>
      <c r="FB515" s="27" t="s">
        <v>7</v>
      </c>
      <c r="FF515" s="27" t="s">
        <v>7</v>
      </c>
      <c r="FH515" s="27" t="s">
        <v>7</v>
      </c>
      <c r="FI515" s="27" t="s">
        <v>8</v>
      </c>
      <c r="FJ515" s="27" t="s">
        <v>7</v>
      </c>
      <c r="FL515" s="27" t="s">
        <v>7</v>
      </c>
      <c r="FM515" s="27" t="s">
        <v>8</v>
      </c>
      <c r="FN515" s="27" t="s">
        <v>7</v>
      </c>
    </row>
    <row r="516" spans="1:183" x14ac:dyDescent="0.25">
      <c r="A516" s="7">
        <v>4.0795493873054074</v>
      </c>
      <c r="B516"/>
      <c r="C516"/>
      <c r="D516"/>
      <c r="E516" t="s">
        <v>8</v>
      </c>
      <c r="BJ516" s="27" t="s">
        <v>7</v>
      </c>
      <c r="BK516" s="27" t="s">
        <v>8</v>
      </c>
      <c r="BL516" s="27" t="s">
        <v>7</v>
      </c>
      <c r="BO516" s="27" t="s">
        <v>8</v>
      </c>
      <c r="BQ516" s="27" t="s">
        <v>8</v>
      </c>
      <c r="BR516" s="27" t="s">
        <v>7</v>
      </c>
      <c r="BS516" s="27" t="s">
        <v>8</v>
      </c>
      <c r="BT516" s="27" t="s">
        <v>7</v>
      </c>
      <c r="BU516" s="27" t="s">
        <v>8</v>
      </c>
      <c r="BV516" s="27" t="s">
        <v>7</v>
      </c>
      <c r="CQ516" s="27" t="s">
        <v>8</v>
      </c>
      <c r="CR516" s="27" t="s">
        <v>7</v>
      </c>
      <c r="CS516" s="27" t="s">
        <v>8</v>
      </c>
      <c r="CY516" s="27" t="s">
        <v>8</v>
      </c>
      <c r="CZ516" s="27" t="s">
        <v>7</v>
      </c>
      <c r="DA516" s="27" t="s">
        <v>8</v>
      </c>
      <c r="DB516" s="27" t="s">
        <v>7</v>
      </c>
      <c r="DC516" s="27" t="s">
        <v>8</v>
      </c>
      <c r="DR516" s="27" t="s">
        <v>7</v>
      </c>
      <c r="DS516" s="27" t="s">
        <v>8</v>
      </c>
      <c r="DT516" s="27" t="s">
        <v>7</v>
      </c>
      <c r="DU516" s="27" t="s">
        <v>8</v>
      </c>
      <c r="DV516" s="27" t="s">
        <v>7</v>
      </c>
      <c r="DW516" s="27" t="s">
        <v>8</v>
      </c>
      <c r="EB516" s="27" t="s">
        <v>7</v>
      </c>
      <c r="EK516" s="27" t="s">
        <v>8</v>
      </c>
      <c r="EM516" s="27" t="s">
        <v>8</v>
      </c>
      <c r="EO516" s="27" t="s">
        <v>8</v>
      </c>
      <c r="FH516" s="27" t="s">
        <v>7</v>
      </c>
      <c r="FI516" s="27" t="s">
        <v>8</v>
      </c>
      <c r="FL516" s="27" t="s">
        <v>7</v>
      </c>
      <c r="FM516" s="27" t="s">
        <v>8</v>
      </c>
      <c r="FN516" s="27" t="s">
        <v>7</v>
      </c>
    </row>
    <row r="517" spans="1:183" x14ac:dyDescent="0.25">
      <c r="A517" s="7">
        <v>3.9995582228484383</v>
      </c>
      <c r="B517"/>
      <c r="C517"/>
      <c r="D517"/>
      <c r="E517" t="s">
        <v>8</v>
      </c>
      <c r="BJ517" s="27" t="s">
        <v>7</v>
      </c>
      <c r="BK517" s="27" t="s">
        <v>8</v>
      </c>
      <c r="BL517" s="27" t="s">
        <v>7</v>
      </c>
      <c r="BO517" s="27" t="s">
        <v>8</v>
      </c>
      <c r="BP517" s="27" t="s">
        <v>7</v>
      </c>
      <c r="BQ517" s="27" t="s">
        <v>8</v>
      </c>
      <c r="BR517" s="27" t="s">
        <v>7</v>
      </c>
      <c r="BS517" s="27" t="s">
        <v>8</v>
      </c>
      <c r="BT517" s="27" t="s">
        <v>7</v>
      </c>
      <c r="BU517" s="27" t="s">
        <v>8</v>
      </c>
      <c r="BV517" s="27" t="s">
        <v>7</v>
      </c>
      <c r="CQ517" s="27" t="s">
        <v>8</v>
      </c>
      <c r="CR517" s="27" t="s">
        <v>7</v>
      </c>
      <c r="CS517" s="27" t="s">
        <v>8</v>
      </c>
      <c r="CT517" s="27" t="s">
        <v>7</v>
      </c>
      <c r="CW517" s="27" t="s">
        <v>8</v>
      </c>
      <c r="CY517" s="27" t="s">
        <v>8</v>
      </c>
      <c r="CZ517" s="27" t="s">
        <v>7</v>
      </c>
      <c r="DA517" s="27" t="s">
        <v>8</v>
      </c>
      <c r="DB517" s="27" t="s">
        <v>7</v>
      </c>
      <c r="DC517" s="27" t="s">
        <v>8</v>
      </c>
      <c r="DR517" s="27" t="s">
        <v>7</v>
      </c>
      <c r="DS517" s="27" t="s">
        <v>8</v>
      </c>
      <c r="DT517" s="27" t="s">
        <v>7</v>
      </c>
      <c r="DU517" s="27" t="s">
        <v>8</v>
      </c>
      <c r="DV517" s="27" t="s">
        <v>7</v>
      </c>
      <c r="DW517" s="27" t="s">
        <v>8</v>
      </c>
      <c r="EB517" s="27" t="s">
        <v>7</v>
      </c>
      <c r="EK517" s="27" t="s">
        <v>8</v>
      </c>
      <c r="EL517" s="27" t="s">
        <v>7</v>
      </c>
      <c r="EM517" s="27" t="s">
        <v>8</v>
      </c>
      <c r="EN517" s="27" t="s">
        <v>7</v>
      </c>
      <c r="EO517" s="27" t="s">
        <v>8</v>
      </c>
      <c r="FH517" s="27" t="s">
        <v>7</v>
      </c>
      <c r="FI517" s="27" t="s">
        <v>8</v>
      </c>
      <c r="FL517" s="27" t="s">
        <v>7</v>
      </c>
      <c r="FM517" s="27" t="s">
        <v>8</v>
      </c>
      <c r="FN517" s="27" t="s">
        <v>7</v>
      </c>
    </row>
    <row r="518" spans="1:183" x14ac:dyDescent="0.25">
      <c r="A518" s="7">
        <v>3.9211355125965079</v>
      </c>
      <c r="B518"/>
      <c r="C518"/>
      <c r="D518"/>
      <c r="E518" t="s">
        <v>8</v>
      </c>
      <c r="BJ518" s="27" t="s">
        <v>7</v>
      </c>
      <c r="BK518" s="27" t="s">
        <v>8</v>
      </c>
      <c r="BL518" s="27" t="s">
        <v>7</v>
      </c>
      <c r="BO518" s="27" t="s">
        <v>8</v>
      </c>
      <c r="BP518" s="27" t="s">
        <v>7</v>
      </c>
      <c r="BQ518" s="27" t="s">
        <v>8</v>
      </c>
      <c r="BR518" s="27" t="s">
        <v>7</v>
      </c>
      <c r="BS518" s="27" t="s">
        <v>8</v>
      </c>
      <c r="BT518" s="27" t="s">
        <v>7</v>
      </c>
      <c r="BU518" s="27" t="s">
        <v>8</v>
      </c>
      <c r="BV518" s="27" t="s">
        <v>7</v>
      </c>
      <c r="CQ518" s="27" t="s">
        <v>8</v>
      </c>
      <c r="CR518" s="27" t="s">
        <v>7</v>
      </c>
      <c r="CS518" s="27" t="s">
        <v>8</v>
      </c>
      <c r="CT518" s="27" t="s">
        <v>7</v>
      </c>
      <c r="CW518" s="27" t="s">
        <v>8</v>
      </c>
      <c r="CX518" s="27" t="s">
        <v>7</v>
      </c>
      <c r="CY518" s="27" t="s">
        <v>8</v>
      </c>
      <c r="CZ518" s="27" t="s">
        <v>7</v>
      </c>
      <c r="DA518" s="27" t="s">
        <v>8</v>
      </c>
      <c r="DB518" s="27" t="s">
        <v>7</v>
      </c>
      <c r="DC518" s="27" t="s">
        <v>8</v>
      </c>
      <c r="DR518" s="27" t="s">
        <v>7</v>
      </c>
      <c r="DS518" s="27" t="s">
        <v>8</v>
      </c>
      <c r="DT518" s="27" t="s">
        <v>7</v>
      </c>
      <c r="DU518" s="27" t="s">
        <v>8</v>
      </c>
      <c r="DV518" s="27" t="s">
        <v>7</v>
      </c>
      <c r="DW518" s="27" t="s">
        <v>8</v>
      </c>
      <c r="EB518" s="27" t="s">
        <v>7</v>
      </c>
      <c r="EK518" s="27" t="s">
        <v>8</v>
      </c>
      <c r="EL518" s="27" t="s">
        <v>7</v>
      </c>
      <c r="EM518" s="27" t="s">
        <v>8</v>
      </c>
      <c r="EN518" s="27" t="s">
        <v>7</v>
      </c>
      <c r="EO518" s="27" t="s">
        <v>8</v>
      </c>
      <c r="FH518" s="27" t="s">
        <v>7</v>
      </c>
      <c r="FL518" s="27" t="s">
        <v>7</v>
      </c>
      <c r="FN518" s="27" t="s">
        <v>7</v>
      </c>
    </row>
    <row r="519" spans="1:183" x14ac:dyDescent="0.25">
      <c r="A519" s="7">
        <v>3.844250502545596</v>
      </c>
      <c r="B519"/>
      <c r="C519"/>
      <c r="D519"/>
      <c r="E519" t="s">
        <v>8</v>
      </c>
      <c r="BJ519" s="27" t="s">
        <v>7</v>
      </c>
      <c r="BK519" s="27" t="s">
        <v>8</v>
      </c>
      <c r="BL519" s="27" t="s">
        <v>7</v>
      </c>
      <c r="BO519" s="27" t="s">
        <v>8</v>
      </c>
      <c r="BP519" s="27" t="s">
        <v>7</v>
      </c>
      <c r="BQ519" s="27" t="s">
        <v>8</v>
      </c>
      <c r="BR519" s="27" t="s">
        <v>7</v>
      </c>
      <c r="BS519" s="27" t="s">
        <v>8</v>
      </c>
      <c r="BT519" s="27" t="s">
        <v>7</v>
      </c>
      <c r="BU519" s="27" t="s">
        <v>8</v>
      </c>
      <c r="BV519" s="27" t="s">
        <v>7</v>
      </c>
      <c r="CQ519" s="27" t="s">
        <v>8</v>
      </c>
      <c r="CR519" s="27" t="s">
        <v>7</v>
      </c>
      <c r="CS519" s="27" t="s">
        <v>8</v>
      </c>
      <c r="CT519" s="27" t="s">
        <v>7</v>
      </c>
      <c r="CW519" s="27" t="s">
        <v>8</v>
      </c>
      <c r="CX519" s="27" t="s">
        <v>7</v>
      </c>
      <c r="CY519" s="27" t="s">
        <v>8</v>
      </c>
      <c r="CZ519" s="27" t="s">
        <v>7</v>
      </c>
      <c r="DB519" s="27" t="s">
        <v>7</v>
      </c>
      <c r="DC519" s="27" t="s">
        <v>8</v>
      </c>
      <c r="DR519" s="27" t="s">
        <v>7</v>
      </c>
      <c r="DS519" s="27" t="s">
        <v>8</v>
      </c>
      <c r="DT519" s="27" t="s">
        <v>7</v>
      </c>
      <c r="DU519" s="27" t="s">
        <v>8</v>
      </c>
      <c r="DV519" s="27" t="s">
        <v>7</v>
      </c>
      <c r="EB519" s="27" t="s">
        <v>7</v>
      </c>
      <c r="EI519" s="27" t="s">
        <v>8</v>
      </c>
      <c r="EK519" s="27" t="s">
        <v>8</v>
      </c>
      <c r="EL519" s="27" t="s">
        <v>7</v>
      </c>
      <c r="EM519" s="27" t="s">
        <v>8</v>
      </c>
      <c r="EN519" s="27" t="s">
        <v>7</v>
      </c>
      <c r="EO519" s="27" t="s">
        <v>8</v>
      </c>
      <c r="FN519" s="27" t="s">
        <v>7</v>
      </c>
    </row>
    <row r="520" spans="1:183" x14ac:dyDescent="0.25">
      <c r="A520" s="7">
        <v>3.7688730417113687</v>
      </c>
      <c r="B520"/>
      <c r="C520"/>
      <c r="D520"/>
      <c r="E520" t="s">
        <v>8</v>
      </c>
      <c r="BJ520" s="27" t="s">
        <v>7</v>
      </c>
      <c r="BK520" s="27" t="s">
        <v>8</v>
      </c>
      <c r="BL520" s="27" t="s">
        <v>7</v>
      </c>
      <c r="BO520" s="27" t="s">
        <v>8</v>
      </c>
      <c r="BP520" s="27" t="s">
        <v>7</v>
      </c>
      <c r="BQ520" s="27" t="s">
        <v>8</v>
      </c>
      <c r="BR520" s="27" t="s">
        <v>7</v>
      </c>
      <c r="BS520" s="27" t="s">
        <v>8</v>
      </c>
      <c r="BT520" s="27" t="s">
        <v>7</v>
      </c>
      <c r="BU520" s="27" t="s">
        <v>8</v>
      </c>
      <c r="BV520" s="27" t="s">
        <v>7</v>
      </c>
      <c r="BW520" s="27" t="s">
        <v>8</v>
      </c>
      <c r="CQ520" s="27" t="s">
        <v>8</v>
      </c>
      <c r="CR520" s="27" t="s">
        <v>7</v>
      </c>
      <c r="CS520" s="27" t="s">
        <v>8</v>
      </c>
      <c r="CT520" s="27" t="s">
        <v>7</v>
      </c>
      <c r="CW520" s="27" t="s">
        <v>8</v>
      </c>
      <c r="CX520" s="27" t="s">
        <v>7</v>
      </c>
      <c r="CY520" s="27" t="s">
        <v>8</v>
      </c>
      <c r="DB520" s="27" t="s">
        <v>7</v>
      </c>
      <c r="DC520" s="27" t="s">
        <v>8</v>
      </c>
      <c r="DR520" s="27" t="s">
        <v>7</v>
      </c>
      <c r="DS520" s="27" t="s">
        <v>8</v>
      </c>
      <c r="DT520" s="27" t="s">
        <v>7</v>
      </c>
      <c r="DU520" s="27" t="s">
        <v>8</v>
      </c>
      <c r="EB520" s="27" t="s">
        <v>7</v>
      </c>
      <c r="EC520" s="27" t="s">
        <v>8</v>
      </c>
      <c r="EI520" s="27" t="s">
        <v>8</v>
      </c>
      <c r="EJ520" s="27" t="s">
        <v>7</v>
      </c>
      <c r="EK520" s="27" t="s">
        <v>8</v>
      </c>
      <c r="EL520" s="27" t="s">
        <v>7</v>
      </c>
      <c r="EM520" s="27" t="s">
        <v>8</v>
      </c>
      <c r="EN520" s="27" t="s">
        <v>7</v>
      </c>
      <c r="EO520" s="27" t="s">
        <v>8</v>
      </c>
      <c r="FN520" s="27" t="s">
        <v>7</v>
      </c>
    </row>
    <row r="521" spans="1:183" x14ac:dyDescent="0.25">
      <c r="A521" s="7">
        <v>3.6949735703052635</v>
      </c>
      <c r="B521"/>
      <c r="C521"/>
      <c r="D521"/>
      <c r="E521" t="s">
        <v>8</v>
      </c>
      <c r="BJ521" s="27" t="s">
        <v>7</v>
      </c>
      <c r="BK521" s="27" t="s">
        <v>8</v>
      </c>
      <c r="BL521" s="27" t="s">
        <v>7</v>
      </c>
      <c r="BO521" s="27" t="s">
        <v>8</v>
      </c>
      <c r="BP521" s="27" t="s">
        <v>7</v>
      </c>
      <c r="BQ521" s="27" t="s">
        <v>8</v>
      </c>
      <c r="BR521" s="27" t="s">
        <v>7</v>
      </c>
      <c r="BT521" s="27" t="s">
        <v>7</v>
      </c>
      <c r="BU521" s="27" t="s">
        <v>8</v>
      </c>
      <c r="BV521" s="27" t="s">
        <v>7</v>
      </c>
      <c r="BW521" s="27" t="s">
        <v>8</v>
      </c>
      <c r="BX521" s="27" t="s">
        <v>7</v>
      </c>
      <c r="CQ521" s="27" t="s">
        <v>8</v>
      </c>
      <c r="CR521" s="27" t="s">
        <v>7</v>
      </c>
      <c r="CS521" s="27" t="s">
        <v>8</v>
      </c>
      <c r="CT521" s="27" t="s">
        <v>7</v>
      </c>
      <c r="CU521" s="27" t="s">
        <v>8</v>
      </c>
      <c r="CW521" s="27" t="s">
        <v>8</v>
      </c>
      <c r="CX521" s="27" t="s">
        <v>7</v>
      </c>
      <c r="CY521" s="27" t="s">
        <v>8</v>
      </c>
      <c r="DB521" s="27" t="s">
        <v>7</v>
      </c>
      <c r="DC521" s="27" t="s">
        <v>8</v>
      </c>
      <c r="DR521" s="27" t="s">
        <v>7</v>
      </c>
      <c r="DS521" s="27" t="s">
        <v>8</v>
      </c>
      <c r="DT521" s="27" t="s">
        <v>7</v>
      </c>
      <c r="DU521" s="27" t="s">
        <v>8</v>
      </c>
      <c r="EB521" s="27" t="s">
        <v>7</v>
      </c>
      <c r="EC521" s="27" t="s">
        <v>8</v>
      </c>
      <c r="ED521" s="27" t="s">
        <v>7</v>
      </c>
      <c r="EI521" s="27" t="s">
        <v>8</v>
      </c>
      <c r="EJ521" s="27" t="s">
        <v>7</v>
      </c>
      <c r="EK521" s="27" t="s">
        <v>8</v>
      </c>
      <c r="EL521" s="27" t="s">
        <v>7</v>
      </c>
      <c r="EM521" s="27" t="s">
        <v>8</v>
      </c>
      <c r="EN521" s="27" t="s">
        <v>7</v>
      </c>
      <c r="EO521" s="27" t="s">
        <v>8</v>
      </c>
      <c r="FN521" s="27" t="s">
        <v>7</v>
      </c>
      <c r="FO521" s="27" t="s">
        <v>8</v>
      </c>
    </row>
    <row r="522" spans="1:183" x14ac:dyDescent="0.25">
      <c r="A522" s="7">
        <v>3.6225231081424152</v>
      </c>
      <c r="B522"/>
      <c r="C522"/>
      <c r="D522"/>
      <c r="E522" t="s">
        <v>8</v>
      </c>
      <c r="BJ522" s="27" t="s">
        <v>7</v>
      </c>
      <c r="BK522" s="27" t="s">
        <v>8</v>
      </c>
      <c r="BL522" s="27" t="s">
        <v>7</v>
      </c>
      <c r="BO522" s="27" t="s">
        <v>8</v>
      </c>
      <c r="BP522" s="27" t="s">
        <v>7</v>
      </c>
      <c r="BQ522" s="27" t="s">
        <v>8</v>
      </c>
      <c r="BT522" s="27" t="s">
        <v>7</v>
      </c>
      <c r="BU522" s="27" t="s">
        <v>8</v>
      </c>
      <c r="BV522" s="27" t="s">
        <v>7</v>
      </c>
      <c r="BW522" s="27" t="s">
        <v>8</v>
      </c>
      <c r="BX522" s="27" t="s">
        <v>7</v>
      </c>
      <c r="CK522" s="27" t="s">
        <v>8</v>
      </c>
      <c r="CQ522" s="27" t="s">
        <v>8</v>
      </c>
      <c r="CR522" s="27" t="s">
        <v>7</v>
      </c>
      <c r="CS522" s="27" t="s">
        <v>8</v>
      </c>
      <c r="CT522" s="27" t="s">
        <v>7</v>
      </c>
      <c r="CU522" s="27" t="s">
        <v>8</v>
      </c>
      <c r="CV522" s="27" t="s">
        <v>7</v>
      </c>
      <c r="CW522" s="27" t="s">
        <v>8</v>
      </c>
      <c r="CX522" s="27" t="s">
        <v>7</v>
      </c>
      <c r="DB522" s="27" t="s">
        <v>7</v>
      </c>
      <c r="DR522" s="27" t="s">
        <v>7</v>
      </c>
      <c r="DS522" s="27" t="s">
        <v>8</v>
      </c>
      <c r="DT522" s="27" t="s">
        <v>7</v>
      </c>
      <c r="EB522" s="27" t="s">
        <v>7</v>
      </c>
      <c r="EC522" s="27" t="s">
        <v>8</v>
      </c>
      <c r="ED522" s="27" t="s">
        <v>7</v>
      </c>
      <c r="EI522" s="27" t="s">
        <v>8</v>
      </c>
      <c r="EJ522" s="27" t="s">
        <v>7</v>
      </c>
      <c r="EK522" s="27" t="s">
        <v>8</v>
      </c>
      <c r="EL522" s="27" t="s">
        <v>7</v>
      </c>
      <c r="EM522" s="27" t="s">
        <v>8</v>
      </c>
      <c r="EN522" s="27" t="s">
        <v>7</v>
      </c>
      <c r="EO522" s="27" t="s">
        <v>8</v>
      </c>
      <c r="FN522" s="27" t="s">
        <v>7</v>
      </c>
      <c r="FO522" s="27" t="s">
        <v>8</v>
      </c>
      <c r="FP522" s="27" t="s">
        <v>7</v>
      </c>
    </row>
    <row r="523" spans="1:183" x14ac:dyDescent="0.25">
      <c r="A523" s="7">
        <v>3.5514932432768775</v>
      </c>
      <c r="B523"/>
      <c r="C523"/>
      <c r="D523"/>
      <c r="E523" t="s">
        <v>8</v>
      </c>
      <c r="BJ523" s="27" t="s">
        <v>7</v>
      </c>
      <c r="BK523" s="27" t="s">
        <v>8</v>
      </c>
      <c r="BL523" s="27" t="s">
        <v>7</v>
      </c>
      <c r="BM523" s="27" t="s">
        <v>8</v>
      </c>
      <c r="BO523" s="27" t="s">
        <v>8</v>
      </c>
      <c r="BP523" s="27" t="s">
        <v>7</v>
      </c>
      <c r="BQ523" s="27" t="s">
        <v>8</v>
      </c>
      <c r="BT523" s="27" t="s">
        <v>7</v>
      </c>
      <c r="BU523" s="27" t="s">
        <v>8</v>
      </c>
      <c r="BV523" s="27" t="s">
        <v>7</v>
      </c>
      <c r="BW523" s="27" t="s">
        <v>8</v>
      </c>
      <c r="BX523" s="27" t="s">
        <v>7</v>
      </c>
      <c r="BY523" s="27" t="s">
        <v>8</v>
      </c>
      <c r="CA523" s="27" t="s">
        <v>8</v>
      </c>
      <c r="CK523" s="27" t="s">
        <v>8</v>
      </c>
      <c r="CL523" s="27" t="s">
        <v>7</v>
      </c>
      <c r="CO523" s="27" t="s">
        <v>8</v>
      </c>
      <c r="CQ523" s="27" t="s">
        <v>8</v>
      </c>
      <c r="CR523" s="27" t="s">
        <v>7</v>
      </c>
      <c r="CS523" s="27" t="s">
        <v>8</v>
      </c>
      <c r="CT523" s="27" t="s">
        <v>7</v>
      </c>
      <c r="CU523" s="27" t="s">
        <v>8</v>
      </c>
      <c r="CV523" s="27" t="s">
        <v>7</v>
      </c>
      <c r="CW523" s="27" t="s">
        <v>8</v>
      </c>
      <c r="DR523" s="27" t="s">
        <v>7</v>
      </c>
      <c r="EB523" s="27" t="s">
        <v>7</v>
      </c>
      <c r="EC523" s="27" t="s">
        <v>8</v>
      </c>
      <c r="ED523" s="27" t="s">
        <v>7</v>
      </c>
      <c r="EE523" s="27" t="s">
        <v>8</v>
      </c>
      <c r="EI523" s="27" t="s">
        <v>8</v>
      </c>
      <c r="EJ523" s="27" t="s">
        <v>7</v>
      </c>
      <c r="EL523" s="27" t="s">
        <v>7</v>
      </c>
      <c r="EM523" s="27" t="s">
        <v>8</v>
      </c>
      <c r="EN523" s="27" t="s">
        <v>7</v>
      </c>
      <c r="EO523" s="27" t="s">
        <v>8</v>
      </c>
      <c r="FN523" s="27" t="s">
        <v>7</v>
      </c>
      <c r="FO523" s="27" t="s">
        <v>8</v>
      </c>
      <c r="FP523" s="27" t="s">
        <v>7</v>
      </c>
      <c r="FQ523" s="27" t="s">
        <v>8</v>
      </c>
    </row>
    <row r="524" spans="1:183" x14ac:dyDescent="0.25">
      <c r="A524" s="7">
        <v>3.4818561208596837</v>
      </c>
      <c r="B524"/>
      <c r="C524"/>
      <c r="D524"/>
      <c r="E524" t="s">
        <v>8</v>
      </c>
      <c r="BJ524" s="27" t="s">
        <v>7</v>
      </c>
      <c r="BK524" s="27" t="s">
        <v>8</v>
      </c>
      <c r="BL524" s="27" t="s">
        <v>7</v>
      </c>
      <c r="BM524" s="27" t="s">
        <v>8</v>
      </c>
      <c r="BN524" s="27" t="s">
        <v>7</v>
      </c>
      <c r="BO524" s="27" t="s">
        <v>8</v>
      </c>
      <c r="BP524" s="27" t="s">
        <v>7</v>
      </c>
      <c r="BQ524" s="27" t="s">
        <v>8</v>
      </c>
      <c r="BT524" s="27" t="s">
        <v>7</v>
      </c>
      <c r="BV524" s="27" t="s">
        <v>7</v>
      </c>
      <c r="BW524" s="27" t="s">
        <v>8</v>
      </c>
      <c r="BX524" s="27" t="s">
        <v>7</v>
      </c>
      <c r="BY524" s="27" t="s">
        <v>8</v>
      </c>
      <c r="BZ524" s="27" t="s">
        <v>7</v>
      </c>
      <c r="CA524" s="27" t="s">
        <v>8</v>
      </c>
      <c r="CB524" s="27" t="s">
        <v>7</v>
      </c>
      <c r="CK524" s="27" t="s">
        <v>8</v>
      </c>
      <c r="CL524" s="27" t="s">
        <v>7</v>
      </c>
      <c r="CO524" s="27" t="s">
        <v>8</v>
      </c>
      <c r="CP524" s="27" t="s">
        <v>7</v>
      </c>
      <c r="CQ524" s="27" t="s">
        <v>8</v>
      </c>
      <c r="CR524" s="27" t="s">
        <v>7</v>
      </c>
      <c r="CS524" s="27" t="s">
        <v>8</v>
      </c>
      <c r="CT524" s="27" t="s">
        <v>7</v>
      </c>
      <c r="CU524" s="27" t="s">
        <v>8</v>
      </c>
      <c r="CV524" s="27" t="s">
        <v>7</v>
      </c>
      <c r="CW524" s="27" t="s">
        <v>8</v>
      </c>
      <c r="EB524" s="27" t="s">
        <v>7</v>
      </c>
      <c r="EC524" s="27" t="s">
        <v>8</v>
      </c>
      <c r="ED524" s="27" t="s">
        <v>7</v>
      </c>
      <c r="EE524" s="27" t="s">
        <v>8</v>
      </c>
      <c r="EF524" s="27" t="s">
        <v>7</v>
      </c>
      <c r="EI524" s="27" t="s">
        <v>8</v>
      </c>
      <c r="EL524" s="27" t="s">
        <v>7</v>
      </c>
      <c r="EM524" s="27" t="s">
        <v>8</v>
      </c>
      <c r="EN524" s="27" t="s">
        <v>7</v>
      </c>
      <c r="EO524" s="27" t="s">
        <v>8</v>
      </c>
      <c r="FN524" s="27" t="s">
        <v>7</v>
      </c>
      <c r="FO524" s="27" t="s">
        <v>8</v>
      </c>
      <c r="FP524" s="27" t="s">
        <v>7</v>
      </c>
      <c r="FQ524" s="27" t="s">
        <v>8</v>
      </c>
      <c r="FR524" s="27" t="s">
        <v>7</v>
      </c>
      <c r="FW524" s="27" t="s">
        <v>8</v>
      </c>
    </row>
    <row r="525" spans="1:183" x14ac:dyDescent="0.25">
      <c r="A525" s="7">
        <v>3.4135844322153761</v>
      </c>
      <c r="B525"/>
      <c r="C525"/>
      <c r="D525"/>
      <c r="E525" t="s">
        <v>8</v>
      </c>
      <c r="BJ525" s="27" t="s">
        <v>7</v>
      </c>
      <c r="BK525" s="27" t="s">
        <v>8</v>
      </c>
      <c r="BL525" s="27" t="s">
        <v>7</v>
      </c>
      <c r="BM525" s="27" t="s">
        <v>8</v>
      </c>
      <c r="BN525" s="27" t="s">
        <v>7</v>
      </c>
      <c r="BO525" s="27" t="s">
        <v>8</v>
      </c>
      <c r="BP525" s="27" t="s">
        <v>7</v>
      </c>
      <c r="BQ525" s="27" t="s">
        <v>8</v>
      </c>
      <c r="BV525" s="27" t="s">
        <v>7</v>
      </c>
      <c r="BW525" s="27" t="s">
        <v>8</v>
      </c>
      <c r="BX525" s="27" t="s">
        <v>7</v>
      </c>
      <c r="BY525" s="27" t="s">
        <v>8</v>
      </c>
      <c r="BZ525" s="27" t="s">
        <v>7</v>
      </c>
      <c r="CA525" s="27" t="s">
        <v>8</v>
      </c>
      <c r="CB525" s="27" t="s">
        <v>7</v>
      </c>
      <c r="CK525" s="27" t="s">
        <v>8</v>
      </c>
      <c r="CL525" s="27" t="s">
        <v>7</v>
      </c>
      <c r="CO525" s="27" t="s">
        <v>8</v>
      </c>
      <c r="CP525" s="27" t="s">
        <v>7</v>
      </c>
      <c r="CQ525" s="27" t="s">
        <v>8</v>
      </c>
      <c r="CR525" s="27" t="s">
        <v>7</v>
      </c>
      <c r="CS525" s="27" t="s">
        <v>8</v>
      </c>
      <c r="CT525" s="27" t="s">
        <v>7</v>
      </c>
      <c r="CU525" s="27" t="s">
        <v>8</v>
      </c>
      <c r="CV525" s="27" t="s">
        <v>7</v>
      </c>
      <c r="EB525" s="27" t="s">
        <v>7</v>
      </c>
      <c r="EC525" s="27" t="s">
        <v>8</v>
      </c>
      <c r="ED525" s="27" t="s">
        <v>7</v>
      </c>
      <c r="EE525" s="27" t="s">
        <v>8</v>
      </c>
      <c r="EF525" s="27" t="s">
        <v>7</v>
      </c>
      <c r="EI525" s="27" t="s">
        <v>8</v>
      </c>
      <c r="EL525" s="27" t="s">
        <v>7</v>
      </c>
      <c r="EN525" s="27" t="s">
        <v>7</v>
      </c>
      <c r="FN525" s="27" t="s">
        <v>7</v>
      </c>
      <c r="FO525" s="27" t="s">
        <v>8</v>
      </c>
      <c r="FP525" s="27" t="s">
        <v>7</v>
      </c>
      <c r="FQ525" s="27" t="s">
        <v>8</v>
      </c>
      <c r="FR525" s="27" t="s">
        <v>7</v>
      </c>
      <c r="FW525" s="27" t="s">
        <v>8</v>
      </c>
      <c r="FX525" s="27" t="s">
        <v>7</v>
      </c>
      <c r="FY525" s="27" t="s">
        <v>8</v>
      </c>
    </row>
    <row r="526" spans="1:183" x14ac:dyDescent="0.25">
      <c r="A526" s="7">
        <v>3.3466514041327216</v>
      </c>
      <c r="B526"/>
      <c r="C526"/>
      <c r="D526"/>
      <c r="E526" t="s">
        <v>8</v>
      </c>
      <c r="BJ526" s="27" t="s">
        <v>7</v>
      </c>
      <c r="BK526" s="27" t="s">
        <v>8</v>
      </c>
      <c r="BL526" s="27" t="s">
        <v>7</v>
      </c>
      <c r="BM526" s="27" t="s">
        <v>8</v>
      </c>
      <c r="BN526" s="27" t="s">
        <v>7</v>
      </c>
      <c r="BO526" s="27" t="s">
        <v>8</v>
      </c>
      <c r="BP526" s="27" t="s">
        <v>7</v>
      </c>
      <c r="BQ526" s="27" t="s">
        <v>8</v>
      </c>
      <c r="BV526" s="27" t="s">
        <v>7</v>
      </c>
      <c r="BW526" s="27" t="s">
        <v>8</v>
      </c>
      <c r="BX526" s="27" t="s">
        <v>7</v>
      </c>
      <c r="BY526" s="27" t="s">
        <v>8</v>
      </c>
      <c r="BZ526" s="27" t="s">
        <v>7</v>
      </c>
      <c r="CA526" s="27" t="s">
        <v>8</v>
      </c>
      <c r="CB526" s="27" t="s">
        <v>7</v>
      </c>
      <c r="CK526" s="27" t="s">
        <v>8</v>
      </c>
      <c r="CL526" s="27" t="s">
        <v>7</v>
      </c>
      <c r="CO526" s="27" t="s">
        <v>8</v>
      </c>
      <c r="CP526" s="27" t="s">
        <v>7</v>
      </c>
      <c r="CQ526" s="27" t="s">
        <v>8</v>
      </c>
      <c r="CR526" s="27" t="s">
        <v>7</v>
      </c>
      <c r="CS526" s="27" t="s">
        <v>8</v>
      </c>
      <c r="CT526" s="27" t="s">
        <v>7</v>
      </c>
      <c r="CU526" s="27" t="s">
        <v>8</v>
      </c>
      <c r="EB526" s="27" t="s">
        <v>7</v>
      </c>
      <c r="EC526" s="27" t="s">
        <v>8</v>
      </c>
      <c r="ED526" s="27" t="s">
        <v>7</v>
      </c>
      <c r="EE526" s="27" t="s">
        <v>8</v>
      </c>
      <c r="EF526" s="27" t="s">
        <v>7</v>
      </c>
      <c r="EG526" s="27" t="s">
        <v>8</v>
      </c>
      <c r="EI526" s="27" t="s">
        <v>8</v>
      </c>
      <c r="FN526" s="27" t="s">
        <v>7</v>
      </c>
      <c r="FO526" s="27" t="s">
        <v>8</v>
      </c>
      <c r="FP526" s="27" t="s">
        <v>7</v>
      </c>
      <c r="FQ526" s="27" t="s">
        <v>8</v>
      </c>
      <c r="FR526" s="27" t="s">
        <v>7</v>
      </c>
      <c r="FW526" s="27" t="s">
        <v>8</v>
      </c>
      <c r="FX526" s="27" t="s">
        <v>7</v>
      </c>
      <c r="FY526" s="27" t="s">
        <v>8</v>
      </c>
      <c r="FZ526" s="27" t="s">
        <v>7</v>
      </c>
    </row>
    <row r="527" spans="1:183" x14ac:dyDescent="0.25">
      <c r="A527" s="7">
        <v>3.2810307883654133</v>
      </c>
      <c r="B527"/>
      <c r="C527"/>
      <c r="D527"/>
      <c r="E527" t="s">
        <v>8</v>
      </c>
      <c r="BJ527" s="27" t="s">
        <v>7</v>
      </c>
      <c r="BK527" s="27" t="s">
        <v>8</v>
      </c>
      <c r="BL527" s="27" t="s">
        <v>7</v>
      </c>
      <c r="BM527" s="27" t="s">
        <v>8</v>
      </c>
      <c r="BN527" s="27" t="s">
        <v>7</v>
      </c>
      <c r="BO527" s="27" t="s">
        <v>8</v>
      </c>
      <c r="BP527" s="27" t="s">
        <v>7</v>
      </c>
      <c r="BQ527" s="27" t="s">
        <v>8</v>
      </c>
      <c r="BV527" s="27" t="s">
        <v>7</v>
      </c>
      <c r="BW527" s="27" t="s">
        <v>8</v>
      </c>
      <c r="BX527" s="27" t="s">
        <v>7</v>
      </c>
      <c r="BY527" s="27" t="s">
        <v>8</v>
      </c>
      <c r="BZ527" s="27" t="s">
        <v>7</v>
      </c>
      <c r="CB527" s="27" t="s">
        <v>7</v>
      </c>
      <c r="CK527" s="27" t="s">
        <v>8</v>
      </c>
      <c r="CL527" s="27" t="s">
        <v>7</v>
      </c>
      <c r="CO527" s="27" t="s">
        <v>8</v>
      </c>
      <c r="CP527" s="27" t="s">
        <v>7</v>
      </c>
      <c r="CQ527" s="27" t="s">
        <v>8</v>
      </c>
      <c r="CR527" s="27" t="s">
        <v>7</v>
      </c>
      <c r="CS527" s="27" t="s">
        <v>8</v>
      </c>
      <c r="CT527" s="27" t="s">
        <v>7</v>
      </c>
      <c r="EB527" s="27" t="s">
        <v>7</v>
      </c>
      <c r="EC527" s="27" t="s">
        <v>8</v>
      </c>
      <c r="ED527" s="27" t="s">
        <v>7</v>
      </c>
      <c r="EE527" s="27" t="s">
        <v>8</v>
      </c>
      <c r="EF527" s="27" t="s">
        <v>7</v>
      </c>
      <c r="EG527" s="27" t="s">
        <v>8</v>
      </c>
      <c r="EH527" s="27" t="s">
        <v>7</v>
      </c>
      <c r="EI527" s="27" t="s">
        <v>8</v>
      </c>
      <c r="FN527" s="27" t="s">
        <v>7</v>
      </c>
      <c r="FO527" s="27" t="s">
        <v>8</v>
      </c>
      <c r="FP527" s="27" t="s">
        <v>7</v>
      </c>
      <c r="FQ527" s="27" t="s">
        <v>8</v>
      </c>
      <c r="FR527" s="27" t="s">
        <v>7</v>
      </c>
      <c r="FS527" s="27" t="s">
        <v>8</v>
      </c>
      <c r="FW527" s="27" t="s">
        <v>8</v>
      </c>
      <c r="FX527" s="27" t="s">
        <v>7</v>
      </c>
      <c r="FY527" s="27" t="s">
        <v>8</v>
      </c>
      <c r="FZ527" s="27" t="s">
        <v>7</v>
      </c>
    </row>
    <row r="528" spans="1:183" x14ac:dyDescent="0.25">
      <c r="A528" s="7">
        <v>3.2166968513386403</v>
      </c>
      <c r="B528"/>
      <c r="C528"/>
      <c r="D528"/>
      <c r="E528" t="s">
        <v>8</v>
      </c>
      <c r="BJ528" s="27" t="s">
        <v>7</v>
      </c>
      <c r="BK528" s="27" t="s">
        <v>8</v>
      </c>
      <c r="BL528" s="27" t="s">
        <v>7</v>
      </c>
      <c r="BM528" s="27" t="s">
        <v>8</v>
      </c>
      <c r="BN528" s="27" t="s">
        <v>7</v>
      </c>
      <c r="BO528" s="27" t="s">
        <v>8</v>
      </c>
      <c r="BP528" s="27" t="s">
        <v>7</v>
      </c>
      <c r="BQ528" s="27" t="s">
        <v>8</v>
      </c>
      <c r="BV528" s="27" t="s">
        <v>7</v>
      </c>
      <c r="BW528" s="27" t="s">
        <v>8</v>
      </c>
      <c r="BX528" s="27" t="s">
        <v>7</v>
      </c>
      <c r="BY528" s="27" t="s">
        <v>8</v>
      </c>
      <c r="CB528" s="27" t="s">
        <v>7</v>
      </c>
      <c r="CK528" s="27" t="s">
        <v>8</v>
      </c>
      <c r="CL528" s="27" t="s">
        <v>7</v>
      </c>
      <c r="CO528" s="27" t="s">
        <v>8</v>
      </c>
      <c r="CP528" s="27" t="s">
        <v>7</v>
      </c>
      <c r="CQ528" s="27" t="s">
        <v>8</v>
      </c>
      <c r="CR528" s="27" t="s">
        <v>7</v>
      </c>
      <c r="EB528" s="27" t="s">
        <v>7</v>
      </c>
      <c r="EC528" s="27" t="s">
        <v>8</v>
      </c>
      <c r="ED528" s="27" t="s">
        <v>7</v>
      </c>
      <c r="EE528" s="27" t="s">
        <v>8</v>
      </c>
      <c r="EF528" s="27" t="s">
        <v>7</v>
      </c>
      <c r="EG528" s="27" t="s">
        <v>8</v>
      </c>
      <c r="EH528" s="27" t="s">
        <v>7</v>
      </c>
      <c r="EI528" s="27" t="s">
        <v>8</v>
      </c>
      <c r="FN528" s="27" t="s">
        <v>7</v>
      </c>
      <c r="FO528" s="27" t="s">
        <v>8</v>
      </c>
      <c r="FP528" s="27" t="s">
        <v>7</v>
      </c>
      <c r="FQ528" s="27" t="s">
        <v>8</v>
      </c>
      <c r="FR528" s="27" t="s">
        <v>7</v>
      </c>
      <c r="FS528" s="27" t="s">
        <v>8</v>
      </c>
      <c r="FT528" s="27" t="s">
        <v>7</v>
      </c>
      <c r="FW528" s="27" t="s">
        <v>8</v>
      </c>
      <c r="FX528" s="27" t="s">
        <v>7</v>
      </c>
      <c r="FZ528" s="27" t="s">
        <v>7</v>
      </c>
      <c r="GA528" s="27" t="s">
        <v>8</v>
      </c>
    </row>
    <row r="529" spans="1:190" x14ac:dyDescent="0.25">
      <c r="A529" s="7">
        <v>3.1536243640574906</v>
      </c>
      <c r="B529"/>
      <c r="C529"/>
      <c r="D529"/>
      <c r="E529" t="s">
        <v>8</v>
      </c>
      <c r="BJ529" s="27" t="s">
        <v>7</v>
      </c>
      <c r="BK529" s="27" t="s">
        <v>8</v>
      </c>
      <c r="BL529" s="27" t="s">
        <v>7</v>
      </c>
      <c r="BM529" s="27" t="s">
        <v>8</v>
      </c>
      <c r="BN529" s="27" t="s">
        <v>7</v>
      </c>
      <c r="BO529" s="27" t="s">
        <v>8</v>
      </c>
      <c r="BP529" s="27" t="s">
        <v>7</v>
      </c>
      <c r="BQ529" s="27" t="s">
        <v>8</v>
      </c>
      <c r="BV529" s="27" t="s">
        <v>7</v>
      </c>
      <c r="BW529" s="27" t="s">
        <v>8</v>
      </c>
      <c r="BX529" s="27" t="s">
        <v>7</v>
      </c>
      <c r="BY529" s="27" t="s">
        <v>8</v>
      </c>
      <c r="CB529" s="27" t="s">
        <v>7</v>
      </c>
      <c r="CK529" s="27" t="s">
        <v>8</v>
      </c>
      <c r="CL529" s="27" t="s">
        <v>7</v>
      </c>
      <c r="CO529" s="27" t="s">
        <v>8</v>
      </c>
      <c r="CP529" s="27" t="s">
        <v>7</v>
      </c>
      <c r="CQ529" s="27" t="s">
        <v>8</v>
      </c>
      <c r="EB529" s="27" t="s">
        <v>7</v>
      </c>
      <c r="ED529" s="27" t="s">
        <v>7</v>
      </c>
      <c r="EF529" s="27" t="s">
        <v>7</v>
      </c>
      <c r="EG529" s="27" t="s">
        <v>8</v>
      </c>
      <c r="EH529" s="27" t="s">
        <v>7</v>
      </c>
      <c r="EI529" s="27" t="s">
        <v>8</v>
      </c>
      <c r="FN529" s="27" t="s">
        <v>7</v>
      </c>
      <c r="FO529" s="27" t="s">
        <v>8</v>
      </c>
      <c r="FP529" s="27" t="s">
        <v>7</v>
      </c>
      <c r="FQ529" s="27" t="s">
        <v>8</v>
      </c>
      <c r="FR529" s="27" t="s">
        <v>7</v>
      </c>
      <c r="FS529" s="27" t="s">
        <v>8</v>
      </c>
      <c r="FT529" s="27" t="s">
        <v>7</v>
      </c>
      <c r="FW529" s="27" t="s">
        <v>8</v>
      </c>
      <c r="FZ529" s="27" t="s">
        <v>7</v>
      </c>
      <c r="GA529" s="27" t="s">
        <v>8</v>
      </c>
      <c r="GB529" s="27" t="s">
        <v>7</v>
      </c>
    </row>
    <row r="530" spans="1:190" x14ac:dyDescent="0.25">
      <c r="A530" s="7">
        <v>3.0917885922132262</v>
      </c>
      <c r="B530"/>
      <c r="C530"/>
      <c r="D530"/>
      <c r="E530" t="s">
        <v>8</v>
      </c>
      <c r="BJ530" s="27" t="s">
        <v>7</v>
      </c>
      <c r="BL530" s="27" t="s">
        <v>7</v>
      </c>
      <c r="BM530" s="27" t="s">
        <v>8</v>
      </c>
      <c r="BN530" s="27" t="s">
        <v>7</v>
      </c>
      <c r="BO530" s="27" t="s">
        <v>8</v>
      </c>
      <c r="BP530" s="27" t="s">
        <v>7</v>
      </c>
      <c r="BQ530" s="27" t="s">
        <v>8</v>
      </c>
      <c r="BV530" s="27" t="s">
        <v>7</v>
      </c>
      <c r="BX530" s="27" t="s">
        <v>7</v>
      </c>
      <c r="BY530" s="27" t="s">
        <v>8</v>
      </c>
      <c r="CB530" s="27" t="s">
        <v>7</v>
      </c>
      <c r="CK530" s="27" t="s">
        <v>8</v>
      </c>
      <c r="CL530" s="27" t="s">
        <v>7</v>
      </c>
      <c r="CM530" s="18" t="s">
        <v>8</v>
      </c>
      <c r="CO530" s="27" t="s">
        <v>8</v>
      </c>
      <c r="CP530" s="27" t="s">
        <v>7</v>
      </c>
      <c r="CQ530" s="27" t="s">
        <v>8</v>
      </c>
      <c r="EF530" s="27" t="s">
        <v>7</v>
      </c>
      <c r="EG530" s="27" t="s">
        <v>8</v>
      </c>
      <c r="EH530" s="27" t="s">
        <v>7</v>
      </c>
      <c r="EI530" s="27" t="s">
        <v>8</v>
      </c>
      <c r="FN530" s="27" t="s">
        <v>7</v>
      </c>
      <c r="FO530" s="27" t="s">
        <v>8</v>
      </c>
      <c r="FP530" s="27" t="s">
        <v>7</v>
      </c>
      <c r="FQ530" s="27" t="s">
        <v>8</v>
      </c>
      <c r="FR530" s="27" t="s">
        <v>7</v>
      </c>
      <c r="FS530" s="27" t="s">
        <v>8</v>
      </c>
      <c r="FT530" s="27" t="s">
        <v>7</v>
      </c>
      <c r="FU530" s="27" t="s">
        <v>8</v>
      </c>
      <c r="FW530" s="27" t="s">
        <v>8</v>
      </c>
      <c r="FZ530" s="27" t="s">
        <v>7</v>
      </c>
      <c r="GA530" s="27" t="s">
        <v>8</v>
      </c>
      <c r="GB530" s="27" t="s">
        <v>7</v>
      </c>
    </row>
    <row r="531" spans="1:190" x14ac:dyDescent="0.25">
      <c r="A531" s="7">
        <v>3.0311652864835552</v>
      </c>
      <c r="B531"/>
      <c r="C531"/>
      <c r="D531"/>
      <c r="E531" t="s">
        <v>8</v>
      </c>
      <c r="BL531" s="27" t="s">
        <v>7</v>
      </c>
      <c r="BM531" s="27" t="s">
        <v>8</v>
      </c>
      <c r="BN531" s="27" t="s">
        <v>7</v>
      </c>
      <c r="BO531" s="27" t="s">
        <v>8</v>
      </c>
      <c r="BP531" s="27" t="s">
        <v>7</v>
      </c>
      <c r="BQ531" s="27" t="s">
        <v>8</v>
      </c>
      <c r="BX531" s="27" t="s">
        <v>7</v>
      </c>
      <c r="CB531" s="27" t="s">
        <v>7</v>
      </c>
      <c r="CG531" s="27" t="s">
        <v>8</v>
      </c>
      <c r="CK531" s="27" t="s">
        <v>8</v>
      </c>
      <c r="CL531" s="27" t="s">
        <v>7</v>
      </c>
      <c r="CM531" s="27" t="s">
        <v>8</v>
      </c>
      <c r="CN531" s="27" t="s">
        <v>7</v>
      </c>
      <c r="CO531" s="27" t="s">
        <v>8</v>
      </c>
      <c r="CP531" s="27" t="s">
        <v>7</v>
      </c>
      <c r="CQ531" s="27" t="s">
        <v>8</v>
      </c>
      <c r="EF531" s="27" t="s">
        <v>7</v>
      </c>
      <c r="EH531" s="27" t="s">
        <v>7</v>
      </c>
      <c r="FN531" s="27" t="s">
        <v>7</v>
      </c>
      <c r="FO531" s="27" t="s">
        <v>8</v>
      </c>
      <c r="FP531" s="27" t="s">
        <v>7</v>
      </c>
      <c r="FQ531" s="27" t="s">
        <v>8</v>
      </c>
      <c r="FR531" s="27" t="s">
        <v>7</v>
      </c>
      <c r="FS531" s="27" t="s">
        <v>8</v>
      </c>
      <c r="FT531" s="27" t="s">
        <v>7</v>
      </c>
      <c r="FU531" s="27" t="s">
        <v>8</v>
      </c>
      <c r="FV531" s="27" t="s">
        <v>7</v>
      </c>
      <c r="FW531" s="27" t="s">
        <v>8</v>
      </c>
      <c r="FZ531" s="27" t="s">
        <v>7</v>
      </c>
      <c r="GA531" s="27" t="s">
        <v>8</v>
      </c>
      <c r="GB531" s="27" t="s">
        <v>7</v>
      </c>
    </row>
    <row r="532" spans="1:190" x14ac:dyDescent="0.25">
      <c r="A532" s="7">
        <v>2.9717306730230932</v>
      </c>
      <c r="B532"/>
      <c r="C532"/>
      <c r="D532"/>
      <c r="E532" t="s">
        <v>8</v>
      </c>
      <c r="BL532" s="27" t="s">
        <v>7</v>
      </c>
      <c r="BN532" s="27" t="s">
        <v>7</v>
      </c>
      <c r="BO532" s="27" t="s">
        <v>8</v>
      </c>
      <c r="BP532" s="27" t="s">
        <v>7</v>
      </c>
      <c r="BQ532" s="27" t="s">
        <v>8</v>
      </c>
      <c r="CB532" s="27" t="s">
        <v>7</v>
      </c>
      <c r="CG532" s="27" t="s">
        <v>8</v>
      </c>
      <c r="CH532" s="27" t="s">
        <v>7</v>
      </c>
      <c r="CK532" s="27" t="s">
        <v>8</v>
      </c>
      <c r="CL532" s="27" t="s">
        <v>7</v>
      </c>
      <c r="CM532" s="27" t="s">
        <v>8</v>
      </c>
      <c r="CN532" s="27" t="s">
        <v>7</v>
      </c>
      <c r="CO532" s="27" t="s">
        <v>8</v>
      </c>
      <c r="CP532" s="27" t="s">
        <v>7</v>
      </c>
      <c r="FN532" s="27" t="s">
        <v>7</v>
      </c>
      <c r="FO532" s="27" t="s">
        <v>8</v>
      </c>
      <c r="FP532" s="27" t="s">
        <v>7</v>
      </c>
      <c r="FQ532" s="27" t="s">
        <v>8</v>
      </c>
      <c r="FR532" s="27" t="s">
        <v>7</v>
      </c>
      <c r="FS532" s="27" t="s">
        <v>8</v>
      </c>
      <c r="FT532" s="27" t="s">
        <v>7</v>
      </c>
      <c r="FU532" s="27" t="s">
        <v>8</v>
      </c>
      <c r="FV532" s="27" t="s">
        <v>7</v>
      </c>
      <c r="FW532" s="27" t="s">
        <v>8</v>
      </c>
      <c r="FZ532" s="27" t="s">
        <v>7</v>
      </c>
      <c r="GA532" s="27" t="s">
        <v>8</v>
      </c>
      <c r="GB532" s="27" t="s">
        <v>7</v>
      </c>
    </row>
    <row r="533" spans="1:190" x14ac:dyDescent="0.25">
      <c r="A533" s="7">
        <v>2.9134614441402875</v>
      </c>
      <c r="B533"/>
      <c r="C533"/>
      <c r="D533"/>
      <c r="E533" t="s">
        <v>8</v>
      </c>
      <c r="BN533" s="27" t="s">
        <v>7</v>
      </c>
      <c r="BO533" s="27" t="s">
        <v>8</v>
      </c>
      <c r="BP533" s="27" t="s">
        <v>7</v>
      </c>
      <c r="BQ533" s="27" t="s">
        <v>8</v>
      </c>
      <c r="CB533" s="27" t="s">
        <v>7</v>
      </c>
      <c r="CG533" s="27" t="s">
        <v>8</v>
      </c>
      <c r="CH533" s="27" t="s">
        <v>7</v>
      </c>
      <c r="CK533" s="27" t="s">
        <v>8</v>
      </c>
      <c r="CL533" s="27" t="s">
        <v>7</v>
      </c>
      <c r="CM533" s="27" t="s">
        <v>8</v>
      </c>
      <c r="CN533" s="27" t="s">
        <v>7</v>
      </c>
      <c r="CO533" s="27" t="s">
        <v>8</v>
      </c>
      <c r="FN533" s="27" t="s">
        <v>7</v>
      </c>
      <c r="FO533" s="27" t="s">
        <v>8</v>
      </c>
      <c r="FP533" s="27" t="s">
        <v>7</v>
      </c>
      <c r="FQ533" s="27" t="s">
        <v>8</v>
      </c>
      <c r="FR533" s="27" t="s">
        <v>7</v>
      </c>
      <c r="FT533" s="27" t="s">
        <v>7</v>
      </c>
      <c r="FU533" s="27" t="s">
        <v>8</v>
      </c>
      <c r="FV533" s="27" t="s">
        <v>7</v>
      </c>
      <c r="FW533" s="27" t="s">
        <v>8</v>
      </c>
      <c r="FZ533" s="27" t="s">
        <v>7</v>
      </c>
      <c r="GA533" s="27" t="s">
        <v>8</v>
      </c>
      <c r="GB533" s="27" t="s">
        <v>7</v>
      </c>
    </row>
    <row r="534" spans="1:190" x14ac:dyDescent="0.25">
      <c r="A534" s="7">
        <v>2.8563347491571447</v>
      </c>
      <c r="B534"/>
      <c r="C534"/>
      <c r="D534"/>
      <c r="E534" t="s">
        <v>8</v>
      </c>
      <c r="BN534" s="27" t="s">
        <v>7</v>
      </c>
      <c r="BO534" s="27" t="s">
        <v>8</v>
      </c>
      <c r="BP534" s="27" t="s">
        <v>7</v>
      </c>
      <c r="CB534" s="27" t="s">
        <v>7</v>
      </c>
      <c r="CG534" s="27" t="s">
        <v>8</v>
      </c>
      <c r="CH534" s="27" t="s">
        <v>7</v>
      </c>
      <c r="CK534" s="27" t="s">
        <v>8</v>
      </c>
      <c r="CL534" s="27" t="s">
        <v>7</v>
      </c>
      <c r="CM534" s="27" t="s">
        <v>8</v>
      </c>
      <c r="CN534" s="27" t="s">
        <v>7</v>
      </c>
      <c r="CO534" s="27" t="s">
        <v>8</v>
      </c>
      <c r="FN534" s="27" t="s">
        <v>7</v>
      </c>
      <c r="FP534" s="27" t="s">
        <v>7</v>
      </c>
      <c r="FQ534" s="27" t="s">
        <v>8</v>
      </c>
      <c r="FT534" s="27" t="s">
        <v>7</v>
      </c>
      <c r="FU534" s="27" t="s">
        <v>8</v>
      </c>
      <c r="FV534" s="27" t="s">
        <v>7</v>
      </c>
      <c r="FW534" s="27" t="s">
        <v>8</v>
      </c>
      <c r="FZ534" s="27" t="s">
        <v>7</v>
      </c>
      <c r="GB534" s="27" t="s">
        <v>7</v>
      </c>
    </row>
    <row r="535" spans="1:190" x14ac:dyDescent="0.25">
      <c r="A535" s="7">
        <v>2.8003281854481812</v>
      </c>
      <c r="B535"/>
      <c r="C535"/>
      <c r="D535"/>
      <c r="E535" t="s">
        <v>8</v>
      </c>
      <c r="BN535" s="27" t="s">
        <v>7</v>
      </c>
      <c r="BO535" s="27" t="s">
        <v>8</v>
      </c>
      <c r="CB535" s="27" t="s">
        <v>7</v>
      </c>
      <c r="CG535" s="27" t="s">
        <v>8</v>
      </c>
      <c r="CH535" s="27" t="s">
        <v>7</v>
      </c>
      <c r="CK535" s="27" t="s">
        <v>8</v>
      </c>
      <c r="CL535" s="27" t="s">
        <v>7</v>
      </c>
      <c r="CM535" s="27" t="s">
        <v>8</v>
      </c>
      <c r="CN535" s="27" t="s">
        <v>7</v>
      </c>
      <c r="CO535" s="27" t="s">
        <v>8</v>
      </c>
      <c r="FP535" s="27" t="s">
        <v>7</v>
      </c>
      <c r="FT535" s="27" t="s">
        <v>7</v>
      </c>
      <c r="FU535" s="27" t="s">
        <v>8</v>
      </c>
      <c r="FV535" s="27" t="s">
        <v>7</v>
      </c>
      <c r="FW535" s="27" t="s">
        <v>8</v>
      </c>
      <c r="GB535" s="27" t="s">
        <v>7</v>
      </c>
    </row>
    <row r="536" spans="1:190" x14ac:dyDescent="0.25">
      <c r="A536" s="7">
        <v>2.7454197896550796</v>
      </c>
      <c r="B536"/>
      <c r="C536"/>
      <c r="D536"/>
      <c r="E536" t="s">
        <v>8</v>
      </c>
      <c r="BN536" s="27" t="s">
        <v>7</v>
      </c>
      <c r="BO536" s="27" t="s">
        <v>8</v>
      </c>
      <c r="CB536" s="27" t="s">
        <v>7</v>
      </c>
      <c r="CG536" s="27" t="s">
        <v>8</v>
      </c>
      <c r="CH536" s="27" t="s">
        <v>7</v>
      </c>
      <c r="CI536" s="27" t="s">
        <v>8</v>
      </c>
      <c r="CK536" s="27" t="s">
        <v>8</v>
      </c>
      <c r="CL536" s="27" t="s">
        <v>7</v>
      </c>
      <c r="CM536" s="27" t="s">
        <v>8</v>
      </c>
      <c r="CN536" s="27" t="s">
        <v>7</v>
      </c>
      <c r="CO536" s="27" t="s">
        <v>8</v>
      </c>
      <c r="FT536" s="27" t="s">
        <v>7</v>
      </c>
      <c r="FU536" s="27" t="s">
        <v>8</v>
      </c>
      <c r="FV536" s="27" t="s">
        <v>7</v>
      </c>
      <c r="FW536" s="27" t="s">
        <v>8</v>
      </c>
      <c r="GB536" s="27" t="s">
        <v>7</v>
      </c>
    </row>
    <row r="537" spans="1:190" x14ac:dyDescent="0.25">
      <c r="A537" s="7">
        <v>2.6915880290736074</v>
      </c>
      <c r="B537"/>
      <c r="C537"/>
      <c r="D537"/>
      <c r="E537" t="s">
        <v>8</v>
      </c>
      <c r="BN537" s="27" t="s">
        <v>7</v>
      </c>
      <c r="BO537" s="27" t="s">
        <v>8</v>
      </c>
      <c r="CB537" s="27" t="s">
        <v>7</v>
      </c>
      <c r="CG537" s="27" t="s">
        <v>8</v>
      </c>
      <c r="CH537" s="27" t="s">
        <v>7</v>
      </c>
      <c r="CI537" s="27" t="s">
        <v>8</v>
      </c>
      <c r="CJ537" s="27" t="s">
        <v>7</v>
      </c>
      <c r="CK537" s="27" t="s">
        <v>8</v>
      </c>
      <c r="CL537" s="27" t="s">
        <v>7</v>
      </c>
      <c r="CM537" s="27" t="s">
        <v>8</v>
      </c>
      <c r="CN537" s="27" t="s">
        <v>7</v>
      </c>
      <c r="CO537" s="27" t="s">
        <v>8</v>
      </c>
      <c r="FT537" s="27" t="s">
        <v>7</v>
      </c>
      <c r="FV537" s="27" t="s">
        <v>7</v>
      </c>
      <c r="GB537" s="27" t="s">
        <v>7</v>
      </c>
      <c r="GE537" s="27" t="s">
        <v>8</v>
      </c>
      <c r="GG537" s="27" t="s">
        <v>8</v>
      </c>
    </row>
    <row r="538" spans="1:190" x14ac:dyDescent="0.25">
      <c r="A538" s="7">
        <v>2.6388117932094191</v>
      </c>
      <c r="B538"/>
      <c r="C538"/>
      <c r="D538"/>
      <c r="E538" t="s">
        <v>8</v>
      </c>
      <c r="BN538" s="27" t="s">
        <v>7</v>
      </c>
      <c r="BO538" s="27" t="s">
        <v>8</v>
      </c>
      <c r="CB538" s="27" t="s">
        <v>7</v>
      </c>
      <c r="CG538" s="27" t="s">
        <v>8</v>
      </c>
      <c r="CH538" s="27" t="s">
        <v>7</v>
      </c>
      <c r="CI538" s="27" t="s">
        <v>8</v>
      </c>
      <c r="CJ538" s="27" t="s">
        <v>7</v>
      </c>
      <c r="CK538" s="27" t="s">
        <v>8</v>
      </c>
      <c r="CL538" s="27" t="s">
        <v>7</v>
      </c>
      <c r="CN538" s="27" t="s">
        <v>7</v>
      </c>
      <c r="CO538" s="27" t="s">
        <v>8</v>
      </c>
      <c r="GB538" s="27" t="s">
        <v>7</v>
      </c>
      <c r="GE538" s="27" t="s">
        <v>8</v>
      </c>
      <c r="GF538" s="27" t="s">
        <v>7</v>
      </c>
      <c r="GG538" s="27" t="s">
        <v>8</v>
      </c>
      <c r="GH538" s="27" t="s">
        <v>7</v>
      </c>
    </row>
    <row r="539" spans="1:190" x14ac:dyDescent="0.25">
      <c r="A539" s="7">
        <v>2.5870703854994304</v>
      </c>
      <c r="B539"/>
      <c r="C539"/>
      <c r="D539"/>
      <c r="E539" t="s">
        <v>8</v>
      </c>
      <c r="BN539" s="27" t="s">
        <v>7</v>
      </c>
      <c r="BO539" s="27" t="s">
        <v>8</v>
      </c>
      <c r="CB539" s="27" t="s">
        <v>7</v>
      </c>
      <c r="CG539" s="27" t="s">
        <v>8</v>
      </c>
      <c r="CH539" s="27" t="s">
        <v>7</v>
      </c>
      <c r="CI539" s="27" t="s">
        <v>8</v>
      </c>
      <c r="CJ539" s="27" t="s">
        <v>7</v>
      </c>
      <c r="CK539" s="27" t="s">
        <v>8</v>
      </c>
      <c r="CN539" s="27" t="s">
        <v>7</v>
      </c>
      <c r="CO539" s="27" t="s">
        <v>8</v>
      </c>
      <c r="GB539" s="27" t="s">
        <v>7</v>
      </c>
      <c r="GE539" s="27" t="s">
        <v>8</v>
      </c>
      <c r="GF539" s="27" t="s">
        <v>7</v>
      </c>
      <c r="GG539" s="27" t="s">
        <v>8</v>
      </c>
      <c r="GH539" s="27" t="s">
        <v>7</v>
      </c>
    </row>
    <row r="540" spans="1:190" x14ac:dyDescent="0.25">
      <c r="A540" s="7">
        <v>2.53634351519552</v>
      </c>
      <c r="B540"/>
      <c r="C540"/>
      <c r="D540"/>
      <c r="E540" t="s">
        <v>8</v>
      </c>
      <c r="BN540" s="27" t="s">
        <v>7</v>
      </c>
      <c r="BO540" s="27" t="s">
        <v>8</v>
      </c>
      <c r="CB540" s="27" t="s">
        <v>7</v>
      </c>
      <c r="CC540" s="27" t="s">
        <v>8</v>
      </c>
      <c r="CG540" s="27" t="s">
        <v>8</v>
      </c>
      <c r="CH540" s="27" t="s">
        <v>7</v>
      </c>
      <c r="CI540" s="27" t="s">
        <v>8</v>
      </c>
      <c r="CJ540" s="27" t="s">
        <v>7</v>
      </c>
      <c r="CK540" s="27" t="s">
        <v>8</v>
      </c>
      <c r="CN540" s="27" t="s">
        <v>7</v>
      </c>
      <c r="CO540" s="27" t="s">
        <v>8</v>
      </c>
      <c r="GB540" s="27" t="s">
        <v>7</v>
      </c>
      <c r="GC540" s="27" t="s">
        <v>8</v>
      </c>
      <c r="GE540" s="27" t="s">
        <v>8</v>
      </c>
      <c r="GF540" s="27" t="s">
        <v>7</v>
      </c>
      <c r="GH540" s="27" t="s">
        <v>7</v>
      </c>
    </row>
    <row r="541" spans="1:190" x14ac:dyDescent="0.25">
      <c r="A541" s="7">
        <v>2.4866112894073726</v>
      </c>
      <c r="B541"/>
      <c r="C541"/>
      <c r="D541"/>
      <c r="E541" t="s">
        <v>8</v>
      </c>
      <c r="BN541" s="27" t="s">
        <v>7</v>
      </c>
      <c r="BO541" s="27" t="s">
        <v>8</v>
      </c>
      <c r="CB541" s="27" t="s">
        <v>7</v>
      </c>
      <c r="CC541" s="27" t="s">
        <v>8</v>
      </c>
      <c r="CD541" s="27" t="s">
        <v>7</v>
      </c>
      <c r="CE541" s="27" t="s">
        <v>8</v>
      </c>
      <c r="CG541" s="27" t="s">
        <v>8</v>
      </c>
      <c r="CH541" s="27" t="s">
        <v>7</v>
      </c>
      <c r="CI541" s="27" t="s">
        <v>8</v>
      </c>
      <c r="CJ541" s="27" t="s">
        <v>7</v>
      </c>
      <c r="CK541" s="27" t="s">
        <v>8</v>
      </c>
      <c r="CN541" s="27" t="s">
        <v>7</v>
      </c>
      <c r="CO541" s="27" t="s">
        <v>8</v>
      </c>
      <c r="GB541" s="27" t="s">
        <v>7</v>
      </c>
      <c r="GC541" s="27" t="s">
        <v>8</v>
      </c>
      <c r="GD541" s="27" t="s">
        <v>7</v>
      </c>
      <c r="GE541" s="27" t="s">
        <v>8</v>
      </c>
      <c r="GH541" s="27" t="s">
        <v>7</v>
      </c>
    </row>
    <row r="542" spans="1:190" x14ac:dyDescent="0.25">
      <c r="A542" s="7">
        <v>2.4378542053013459</v>
      </c>
      <c r="B542"/>
      <c r="C542"/>
      <c r="D542"/>
      <c r="E542" t="s">
        <v>8</v>
      </c>
      <c r="BN542" s="27" t="s">
        <v>7</v>
      </c>
      <c r="BO542" s="27" t="s">
        <v>8</v>
      </c>
      <c r="CB542" s="27" t="s">
        <v>7</v>
      </c>
      <c r="CC542" s="27" t="s">
        <v>8</v>
      </c>
      <c r="CD542" s="27" t="s">
        <v>7</v>
      </c>
      <c r="CE542" s="27" t="s">
        <v>8</v>
      </c>
      <c r="CF542" s="27" t="s">
        <v>7</v>
      </c>
      <c r="CG542" s="27" t="s">
        <v>8</v>
      </c>
      <c r="CH542" s="27" t="s">
        <v>7</v>
      </c>
      <c r="CI542" s="27" t="s">
        <v>8</v>
      </c>
      <c r="CJ542" s="27" t="s">
        <v>7</v>
      </c>
      <c r="CN542" s="27" t="s">
        <v>7</v>
      </c>
      <c r="CO542" s="27" t="s">
        <v>8</v>
      </c>
      <c r="GB542" s="27" t="s">
        <v>7</v>
      </c>
      <c r="GC542" s="27" t="s">
        <v>8</v>
      </c>
      <c r="GD542" s="27" t="s">
        <v>7</v>
      </c>
      <c r="GE542" s="27" t="s">
        <v>8</v>
      </c>
      <c r="GH542" s="27" t="s">
        <v>7</v>
      </c>
    </row>
    <row r="543" spans="1:190" x14ac:dyDescent="0.25">
      <c r="A543" s="7">
        <v>2.3900531424522997</v>
      </c>
      <c r="B543"/>
      <c r="C543"/>
      <c r="D543"/>
      <c r="E543" t="s">
        <v>8</v>
      </c>
      <c r="BN543" s="27" t="s">
        <v>7</v>
      </c>
      <c r="BO543" s="27" t="s">
        <v>8</v>
      </c>
      <c r="CB543" s="27" t="s">
        <v>7</v>
      </c>
      <c r="CC543" s="27" t="s">
        <v>8</v>
      </c>
      <c r="CD543" s="27" t="s">
        <v>7</v>
      </c>
      <c r="CE543" s="27" t="s">
        <v>8</v>
      </c>
      <c r="CF543" s="27" t="s">
        <v>7</v>
      </c>
      <c r="CG543" s="27" t="s">
        <v>8</v>
      </c>
      <c r="CH543" s="27" t="s">
        <v>7</v>
      </c>
      <c r="CI543" s="27" t="s">
        <v>8</v>
      </c>
      <c r="CN543" s="27" t="s">
        <v>7</v>
      </c>
      <c r="CO543" s="27" t="s">
        <v>8</v>
      </c>
      <c r="GB543" s="27" t="s">
        <v>7</v>
      </c>
      <c r="GD543" s="27" t="s">
        <v>7</v>
      </c>
      <c r="GE543" s="27" t="s">
        <v>8</v>
      </c>
      <c r="GH543" s="27" t="s">
        <v>7</v>
      </c>
    </row>
    <row r="544" spans="1:190" x14ac:dyDescent="0.25">
      <c r="A544" s="7">
        <v>2.343189355345392</v>
      </c>
      <c r="B544"/>
      <c r="C544"/>
      <c r="D544"/>
      <c r="E544" t="s">
        <v>8</v>
      </c>
      <c r="BN544" s="27" t="s">
        <v>7</v>
      </c>
      <c r="BO544" s="27" t="s">
        <v>8</v>
      </c>
      <c r="CB544" s="27" t="s">
        <v>7</v>
      </c>
      <c r="CC544" s="27" t="s">
        <v>8</v>
      </c>
      <c r="CD544" s="27" t="s">
        <v>7</v>
      </c>
      <c r="CE544" s="27" t="s">
        <v>8</v>
      </c>
      <c r="CF544" s="27" t="s">
        <v>7</v>
      </c>
      <c r="CG544" s="27" t="s">
        <v>8</v>
      </c>
      <c r="CH544" s="27" t="s">
        <v>7</v>
      </c>
      <c r="CN544" s="27" t="s">
        <v>7</v>
      </c>
      <c r="CO544" s="27" t="s">
        <v>8</v>
      </c>
      <c r="GD544" s="27" t="s">
        <v>7</v>
      </c>
      <c r="GE544" s="27" t="s">
        <v>8</v>
      </c>
      <c r="GH544" s="27" t="s">
        <v>7</v>
      </c>
    </row>
    <row r="545" spans="1:192" x14ac:dyDescent="0.25">
      <c r="A545" s="7">
        <v>2.2972444660248938</v>
      </c>
      <c r="B545"/>
      <c r="C545"/>
      <c r="D545"/>
      <c r="E545" t="s">
        <v>8</v>
      </c>
      <c r="BN545" s="27" t="s">
        <v>7</v>
      </c>
      <c r="BO545" s="27" t="s">
        <v>8</v>
      </c>
      <c r="CB545" s="27" t="s">
        <v>7</v>
      </c>
      <c r="CC545" s="27" t="s">
        <v>8</v>
      </c>
      <c r="CD545" s="27" t="s">
        <v>7</v>
      </c>
      <c r="CE545" s="27" t="s">
        <v>8</v>
      </c>
      <c r="CF545" s="27" t="s">
        <v>7</v>
      </c>
      <c r="CG545" s="27" t="s">
        <v>8</v>
      </c>
      <c r="CN545" s="27" t="s">
        <v>7</v>
      </c>
      <c r="CO545" s="27" t="s">
        <v>8</v>
      </c>
      <c r="GD545" s="27" t="s">
        <v>7</v>
      </c>
      <c r="GE545" s="27" t="s">
        <v>8</v>
      </c>
      <c r="GH545" s="27" t="s">
        <v>7</v>
      </c>
    </row>
    <row r="546" spans="1:192" x14ac:dyDescent="0.25">
      <c r="A546" s="7">
        <v>2.252200456887151</v>
      </c>
      <c r="B546"/>
      <c r="C546"/>
      <c r="D546"/>
      <c r="E546" t="s">
        <v>8</v>
      </c>
      <c r="BN546" s="27" t="s">
        <v>7</v>
      </c>
      <c r="BO546" s="27" t="s">
        <v>8</v>
      </c>
      <c r="CB546" s="27" t="s">
        <v>7</v>
      </c>
      <c r="CC546" s="27" t="s">
        <v>8</v>
      </c>
      <c r="CD546" s="27" t="s">
        <v>7</v>
      </c>
      <c r="CE546" s="27" t="s">
        <v>8</v>
      </c>
      <c r="CF546" s="27" t="s">
        <v>7</v>
      </c>
      <c r="CG546" s="27" t="s">
        <v>8</v>
      </c>
      <c r="CN546" s="27" t="s">
        <v>7</v>
      </c>
      <c r="GD546" s="27" t="s">
        <v>7</v>
      </c>
      <c r="GH546" s="27" t="s">
        <v>7</v>
      </c>
    </row>
    <row r="547" spans="1:192" x14ac:dyDescent="0.25">
      <c r="A547" s="7">
        <v>2.208039663614854</v>
      </c>
      <c r="B547"/>
      <c r="C547"/>
      <c r="D547"/>
      <c r="E547" t="s">
        <v>8</v>
      </c>
      <c r="BN547" s="27" t="s">
        <v>7</v>
      </c>
      <c r="BO547" s="27" t="s">
        <v>8</v>
      </c>
      <c r="CB547" s="27" t="s">
        <v>7</v>
      </c>
      <c r="CC547" s="27" t="s">
        <v>8</v>
      </c>
      <c r="CD547" s="27" t="s">
        <v>7</v>
      </c>
      <c r="CE547" s="27" t="s">
        <v>8</v>
      </c>
      <c r="CF547" s="27" t="s">
        <v>7</v>
      </c>
      <c r="CG547" s="27" t="s">
        <v>8</v>
      </c>
      <c r="GH547" s="27" t="s">
        <v>7</v>
      </c>
    </row>
    <row r="548" spans="1:192" x14ac:dyDescent="0.25">
      <c r="A548" s="7">
        <v>2.1647447682498568</v>
      </c>
      <c r="B548"/>
      <c r="C548"/>
      <c r="D548"/>
      <c r="E548" t="s">
        <v>8</v>
      </c>
      <c r="BN548" s="27" t="s">
        <v>7</v>
      </c>
      <c r="BO548" s="27" t="s">
        <v>8</v>
      </c>
      <c r="CB548" s="27" t="s">
        <v>7</v>
      </c>
      <c r="CC548" s="27" t="s">
        <v>8</v>
      </c>
      <c r="CD548" s="27" t="s">
        <v>7</v>
      </c>
      <c r="CE548" s="27" t="s">
        <v>8</v>
      </c>
      <c r="CF548" s="27" t="s">
        <v>7</v>
      </c>
      <c r="CG548" s="27" t="s">
        <v>8</v>
      </c>
      <c r="GH548" s="27" t="s">
        <v>7</v>
      </c>
    </row>
    <row r="549" spans="1:192" x14ac:dyDescent="0.25">
      <c r="A549" s="7">
        <v>2.1222987924018204</v>
      </c>
      <c r="B549"/>
      <c r="C549"/>
      <c r="D549"/>
      <c r="E549" t="s">
        <v>8</v>
      </c>
      <c r="BN549" s="27" t="s">
        <v>7</v>
      </c>
      <c r="BO549" s="27" t="s">
        <v>8</v>
      </c>
      <c r="CB549" s="27" t="s">
        <v>7</v>
      </c>
      <c r="CC549" s="27" t="s">
        <v>8</v>
      </c>
      <c r="CD549" s="27" t="s">
        <v>7</v>
      </c>
      <c r="CE549" s="27" t="s">
        <v>8</v>
      </c>
      <c r="CF549" s="27" t="s">
        <v>7</v>
      </c>
      <c r="GH549" s="27" t="s">
        <v>7</v>
      </c>
    </row>
    <row r="550" spans="1:192" x14ac:dyDescent="0.25">
      <c r="A550" s="7">
        <v>2.0806850905900198</v>
      </c>
      <c r="B550"/>
      <c r="C550"/>
      <c r="D550"/>
      <c r="E550" t="s">
        <v>8</v>
      </c>
      <c r="BN550" s="27" t="s">
        <v>7</v>
      </c>
      <c r="BO550" s="27" t="s">
        <v>8</v>
      </c>
      <c r="CB550" s="27" t="s">
        <v>7</v>
      </c>
      <c r="CC550" s="27" t="s">
        <v>8</v>
      </c>
      <c r="CD550" s="27" t="s">
        <v>7</v>
      </c>
      <c r="CE550" s="27" t="s">
        <v>8</v>
      </c>
      <c r="GH550" s="27" t="s">
        <v>7</v>
      </c>
    </row>
    <row r="551" spans="1:192" x14ac:dyDescent="0.25">
      <c r="A551" s="7">
        <v>2.0398873437157055</v>
      </c>
      <c r="B551"/>
      <c r="C551"/>
      <c r="D551"/>
      <c r="E551" t="s">
        <v>8</v>
      </c>
      <c r="BN551" s="27" t="s">
        <v>7</v>
      </c>
      <c r="CB551" s="27" t="s">
        <v>7</v>
      </c>
      <c r="CC551" s="27" t="s">
        <v>8</v>
      </c>
      <c r="CD551" s="27" t="s">
        <v>7</v>
      </c>
      <c r="GH551" s="27" t="s">
        <v>7</v>
      </c>
    </row>
    <row r="552" spans="1:192" x14ac:dyDescent="0.25">
      <c r="A552" s="7">
        <v>1.9998895526624565</v>
      </c>
      <c r="B552"/>
      <c r="C552"/>
      <c r="D552"/>
      <c r="E552" t="s">
        <v>8</v>
      </c>
      <c r="CB552" s="27" t="s">
        <v>7</v>
      </c>
      <c r="CC552" s="27" t="s">
        <v>8</v>
      </c>
      <c r="GH552" s="27" t="s">
        <v>7</v>
      </c>
    </row>
    <row r="553" spans="1:192" x14ac:dyDescent="0.25">
      <c r="A553" s="7">
        <v>1.9606760320220162</v>
      </c>
      <c r="B553"/>
      <c r="C553"/>
      <c r="D553"/>
      <c r="E553" t="s">
        <v>8</v>
      </c>
      <c r="CB553" s="27" t="s">
        <v>7</v>
      </c>
      <c r="GH553" s="27" t="s">
        <v>7</v>
      </c>
    </row>
    <row r="554" spans="1:192" x14ac:dyDescent="0.25">
      <c r="A554" s="7">
        <v>1.9222314039431532</v>
      </c>
      <c r="B554"/>
      <c r="C554"/>
      <c r="D554"/>
      <c r="E554" t="s">
        <v>8</v>
      </c>
      <c r="GH554" s="27" t="s">
        <v>7</v>
      </c>
    </row>
    <row r="555" spans="1:192" x14ac:dyDescent="0.25">
      <c r="A555" s="7">
        <v>1.8845405921011305</v>
      </c>
      <c r="B555"/>
      <c r="C555"/>
      <c r="D555"/>
      <c r="E555" t="s">
        <v>8</v>
      </c>
      <c r="GH555" s="27" t="s">
        <v>7</v>
      </c>
    </row>
    <row r="556" spans="1:192" x14ac:dyDescent="0.25">
      <c r="A556" s="7">
        <v>1.8475888157854219</v>
      </c>
      <c r="B556"/>
      <c r="C556"/>
      <c r="D556"/>
      <c r="E556" t="s">
        <v>8</v>
      </c>
      <c r="GH556" s="27" t="s">
        <v>7</v>
      </c>
    </row>
    <row r="557" spans="1:192" x14ac:dyDescent="0.25">
      <c r="A557" s="7">
        <v>1.8113615841033548</v>
      </c>
      <c r="B557"/>
      <c r="C557"/>
      <c r="D557"/>
      <c r="E557" t="s">
        <v>8</v>
      </c>
      <c r="GH557" s="27" t="s">
        <v>7</v>
      </c>
    </row>
    <row r="558" spans="1:192" x14ac:dyDescent="0.25">
      <c r="A558" s="7">
        <v>1.7758446902974065</v>
      </c>
      <c r="B558"/>
      <c r="C558"/>
      <c r="D558"/>
      <c r="E558" t="s">
        <v>8</v>
      </c>
      <c r="GH558" s="27" t="s">
        <v>7</v>
      </c>
    </row>
    <row r="559" spans="1:192" x14ac:dyDescent="0.25">
      <c r="A559" s="7">
        <v>1.7410242061739281</v>
      </c>
      <c r="B559"/>
      <c r="C559"/>
      <c r="D559"/>
      <c r="E559" t="s">
        <v>8</v>
      </c>
      <c r="GH559" s="27" t="s">
        <v>7</v>
      </c>
      <c r="GI559" s="27" t="s">
        <v>8</v>
      </c>
    </row>
    <row r="560" spans="1:192" x14ac:dyDescent="0.25">
      <c r="A560" s="7">
        <v>1.7068864766411058</v>
      </c>
      <c r="B560"/>
      <c r="C560"/>
      <c r="D560"/>
      <c r="E560" t="s">
        <v>8</v>
      </c>
      <c r="GH560" s="27" t="s">
        <v>7</v>
      </c>
      <c r="GI560" s="27" t="s">
        <v>8</v>
      </c>
      <c r="GJ560" s="27" t="s">
        <v>7</v>
      </c>
    </row>
    <row r="561" spans="1:194" x14ac:dyDescent="0.25">
      <c r="A561" s="7">
        <v>1.6734181143540252</v>
      </c>
      <c r="B561"/>
      <c r="C561"/>
      <c r="D561"/>
      <c r="E561" t="s">
        <v>8</v>
      </c>
      <c r="GH561" s="27" t="s">
        <v>7</v>
      </c>
      <c r="GI561" s="27" t="s">
        <v>8</v>
      </c>
      <c r="GJ561" s="27" t="s">
        <v>7</v>
      </c>
    </row>
    <row r="562" spans="1:194" x14ac:dyDescent="0.25">
      <c r="A562" s="7">
        <v>1.6406059944647307</v>
      </c>
      <c r="B562"/>
      <c r="C562"/>
      <c r="D562"/>
      <c r="E562" t="s">
        <v>8</v>
      </c>
      <c r="GH562" s="27" t="s">
        <v>7</v>
      </c>
      <c r="GI562" s="27" t="s">
        <v>8</v>
      </c>
      <c r="GJ562" s="27" t="s">
        <v>7</v>
      </c>
      <c r="GK562" s="27" t="s">
        <v>8</v>
      </c>
    </row>
    <row r="563" spans="1:194" x14ac:dyDescent="0.25">
      <c r="A563" s="7">
        <v>1.6084372494752261</v>
      </c>
      <c r="B563"/>
      <c r="C563"/>
      <c r="D563"/>
      <c r="E563" t="s">
        <v>8</v>
      </c>
      <c r="GH563" s="27" t="s">
        <v>7</v>
      </c>
      <c r="GI563" s="27" t="s">
        <v>8</v>
      </c>
      <c r="GJ563" s="27" t="s">
        <v>7</v>
      </c>
      <c r="GK563" s="27" t="s">
        <v>8</v>
      </c>
      <c r="GL563" s="27" t="s">
        <v>7</v>
      </c>
    </row>
    <row r="564" spans="1:194" x14ac:dyDescent="0.25">
      <c r="A564" s="7">
        <v>1.5768992641913981</v>
      </c>
      <c r="B564"/>
      <c r="C564"/>
      <c r="D564"/>
      <c r="E564" t="s">
        <v>8</v>
      </c>
      <c r="GH564" s="27" t="s">
        <v>7</v>
      </c>
      <c r="GI564" s="27" t="s">
        <v>8</v>
      </c>
      <c r="GJ564" s="27" t="s">
        <v>7</v>
      </c>
      <c r="GK564" s="27" t="s">
        <v>8</v>
      </c>
      <c r="GL564" s="27" t="s">
        <v>7</v>
      </c>
    </row>
    <row r="565" spans="1:194" x14ac:dyDescent="0.25">
      <c r="A565" s="7">
        <v>1.5459796707758806</v>
      </c>
      <c r="B565"/>
      <c r="C565"/>
      <c r="D565"/>
      <c r="E565" t="s">
        <v>8</v>
      </c>
      <c r="GH565" s="27" t="s">
        <v>7</v>
      </c>
      <c r="GI565" s="27" t="s">
        <v>8</v>
      </c>
      <c r="GJ565" s="27" t="s">
        <v>7</v>
      </c>
      <c r="GK565" s="27" t="s">
        <v>8</v>
      </c>
      <c r="GL565" s="27" t="s">
        <v>7</v>
      </c>
    </row>
    <row r="566" spans="1:194" x14ac:dyDescent="0.25">
      <c r="A566" s="7">
        <v>1.5156663438979221</v>
      </c>
      <c r="B566"/>
      <c r="C566"/>
      <c r="D566"/>
      <c r="E566" t="s">
        <v>8</v>
      </c>
      <c r="GH566" s="27" t="s">
        <v>7</v>
      </c>
      <c r="GJ566" s="27" t="s">
        <v>7</v>
      </c>
      <c r="GK566" s="27" t="s">
        <v>8</v>
      </c>
      <c r="GL566" s="27" t="s">
        <v>7</v>
      </c>
    </row>
    <row r="567" spans="1:194" x14ac:dyDescent="0.25">
      <c r="A567" s="7">
        <v>1.4859473959783549</v>
      </c>
      <c r="B567"/>
      <c r="C567"/>
      <c r="D567"/>
      <c r="E567" t="s">
        <v>8</v>
      </c>
      <c r="GJ567" s="27" t="s">
        <v>7</v>
      </c>
      <c r="GK567" s="27" t="s">
        <v>8</v>
      </c>
      <c r="GL567" s="27" t="s">
        <v>7</v>
      </c>
    </row>
    <row r="568" spans="1:194" x14ac:dyDescent="0.25">
      <c r="A568" s="7">
        <v>1.4568111725277988</v>
      </c>
      <c r="B568"/>
      <c r="C568"/>
      <c r="D568"/>
      <c r="E568" t="s">
        <v>8</v>
      </c>
      <c r="GJ568" s="27" t="s">
        <v>7</v>
      </c>
      <c r="GK568" s="27" t="s">
        <v>8</v>
      </c>
    </row>
    <row r="569" spans="1:194" x14ac:dyDescent="0.25">
      <c r="A569" s="7">
        <v>1.4282462475762734</v>
      </c>
      <c r="B569"/>
      <c r="C569"/>
      <c r="D569"/>
      <c r="E569" t="s">
        <v>8</v>
      </c>
      <c r="GJ569" s="27" t="s">
        <v>7</v>
      </c>
      <c r="GK569" s="27" t="s">
        <v>8</v>
      </c>
    </row>
    <row r="570" spans="1:194" x14ac:dyDescent="0.25">
      <c r="A570" s="7">
        <v>1.4002414191924248</v>
      </c>
      <c r="B570"/>
      <c r="C570"/>
      <c r="D570"/>
      <c r="E570" t="s">
        <v>8</v>
      </c>
      <c r="GJ570" s="27" t="s">
        <v>7</v>
      </c>
    </row>
    <row r="571" spans="1:194" x14ac:dyDescent="0.25">
      <c r="A571" s="7">
        <v>1.3727857050906125</v>
      </c>
      <c r="B571"/>
      <c r="C571"/>
      <c r="D571"/>
      <c r="E571" t="s">
        <v>8</v>
      </c>
    </row>
    <row r="572" spans="1:194" x14ac:dyDescent="0.25">
      <c r="A572" s="7">
        <v>1.3458683383241299</v>
      </c>
      <c r="B572"/>
      <c r="C572"/>
      <c r="D572"/>
      <c r="E572" t="s">
        <v>8</v>
      </c>
    </row>
    <row r="573" spans="1:194" x14ac:dyDescent="0.25">
      <c r="A573" s="7">
        <v>1.3194787630628724</v>
      </c>
      <c r="B573"/>
      <c r="C573"/>
      <c r="D573"/>
      <c r="E573" t="s">
        <v>8</v>
      </c>
    </row>
    <row r="574" spans="1:194" x14ac:dyDescent="0.25">
      <c r="A574" s="7">
        <v>1.2936066304537963</v>
      </c>
      <c r="B574"/>
      <c r="C574"/>
      <c r="D574"/>
      <c r="E574" t="s">
        <v>8</v>
      </c>
    </row>
    <row r="575" spans="1:194" x14ac:dyDescent="0.25">
      <c r="A575" s="7">
        <v>1.2682417945625455</v>
      </c>
      <c r="B575"/>
      <c r="C575"/>
      <c r="D575"/>
      <c r="E575" t="s">
        <v>8</v>
      </c>
    </row>
    <row r="576" spans="1:194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63" operator="equal">
      <formula>$U$1</formula>
    </cfRule>
    <cfRule type="cellIs" dxfId="89" priority="764" operator="equal">
      <formula>$S$1</formula>
    </cfRule>
  </conditionalFormatting>
  <conditionalFormatting sqref="D27">
    <cfRule type="cellIs" dxfId="88" priority="761" operator="equal">
      <formula>$S$1</formula>
    </cfRule>
    <cfRule type="cellIs" dxfId="87" priority="762" operator="equal">
      <formula>$U$1</formula>
    </cfRule>
  </conditionalFormatting>
  <conditionalFormatting sqref="C164">
    <cfRule type="cellIs" dxfId="86" priority="759" operator="equal">
      <formula>$U$1</formula>
    </cfRule>
    <cfRule type="cellIs" dxfId="85" priority="760" operator="equal">
      <formula>$S$1</formula>
    </cfRule>
  </conditionalFormatting>
  <conditionalFormatting sqref="D164">
    <cfRule type="cellIs" dxfId="84" priority="757" operator="equal">
      <formula>$S$1</formula>
    </cfRule>
    <cfRule type="cellIs" dxfId="83" priority="758" operator="equal">
      <formula>$U$1</formula>
    </cfRule>
  </conditionalFormatting>
  <conditionalFormatting sqref="C55">
    <cfRule type="cellIs" dxfId="82" priority="755" operator="equal">
      <formula>$U$1</formula>
    </cfRule>
    <cfRule type="cellIs" dxfId="81" priority="756" operator="equal">
      <formula>$S$1</formula>
    </cfRule>
  </conditionalFormatting>
  <conditionalFormatting sqref="D55">
    <cfRule type="cellIs" dxfId="80" priority="753" operator="equal">
      <formula>$S$1</formula>
    </cfRule>
    <cfRule type="cellIs" dxfId="79" priority="754" operator="equal">
      <formula>$U$1</formula>
    </cfRule>
  </conditionalFormatting>
  <conditionalFormatting sqref="C89">
    <cfRule type="cellIs" dxfId="78" priority="751" operator="equal">
      <formula>$U$1</formula>
    </cfRule>
    <cfRule type="cellIs" dxfId="77" priority="752" operator="equal">
      <formula>$S$1</formula>
    </cfRule>
  </conditionalFormatting>
  <conditionalFormatting sqref="D89">
    <cfRule type="cellIs" dxfId="76" priority="749" operator="equal">
      <formula>$S$1</formula>
    </cfRule>
    <cfRule type="cellIs" dxfId="75" priority="750" operator="equal">
      <formula>$U$1</formula>
    </cfRule>
  </conditionalFormatting>
  <conditionalFormatting sqref="C136">
    <cfRule type="cellIs" dxfId="74" priority="747" operator="equal">
      <formula>$U$1</formula>
    </cfRule>
    <cfRule type="cellIs" dxfId="73" priority="748" operator="equal">
      <formula>$S$1</formula>
    </cfRule>
  </conditionalFormatting>
  <conditionalFormatting sqref="D136">
    <cfRule type="cellIs" dxfId="72" priority="745" operator="equal">
      <formula>$S$1</formula>
    </cfRule>
    <cfRule type="cellIs" dxfId="71" priority="746" operator="equal">
      <formula>$U$1</formula>
    </cfRule>
  </conditionalFormatting>
  <conditionalFormatting sqref="C1">
    <cfRule type="cellIs" dxfId="70" priority="7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90" zoomScale="90" zoomScaleNormal="90" workbookViewId="0">
      <pane xSplit="4" topLeftCell="AM1" activePane="topRight" state="frozen"/>
      <selection activeCell="A109" sqref="A109"/>
      <selection pane="topRight" activeCell="CY230" sqref="CY230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$A$229</v>
      </c>
      <c r="D111" s="1" t="str">
        <f>ADDRESS(C121-1,D121,1,1)</f>
        <v>$CY$229</v>
      </c>
      <c r="E111"/>
    </row>
    <row r="112" spans="1:5" x14ac:dyDescent="0.25">
      <c r="A112" s="30">
        <v>515.50191262726139</v>
      </c>
      <c r="C112" s="1" t="str">
        <f>ADDRESS(C121,1,1,1)</f>
        <v>$A$230</v>
      </c>
      <c r="D112" s="1" t="str">
        <f>ADDRESS(C121,D121-1,1,1)</f>
        <v>$CX$230</v>
      </c>
      <c r="E112"/>
    </row>
    <row r="113" spans="1:5" x14ac:dyDescent="0.25">
      <c r="A113" s="30">
        <v>490.95420250215363</v>
      </c>
      <c r="C113" s="1" t="str">
        <f>ADDRESS(C121+1,1,1,1)</f>
        <v>$A$231</v>
      </c>
      <c r="D113" s="1" t="str">
        <f>ADDRESS(C121-1,D121+1,1,1)</f>
        <v>$CZ$229</v>
      </c>
    </row>
    <row r="114" spans="1:5" x14ac:dyDescent="0.25">
      <c r="A114" s="30">
        <v>467.57543095443202</v>
      </c>
      <c r="C114" s="1" t="str">
        <f>ADDRESS(C121,D121,1,1)</f>
        <v>$CY$230</v>
      </c>
      <c r="D114" s="1" t="str">
        <f>ADDRESS(C121+1,D121+1,1,1)</f>
        <v>$CZ$231</v>
      </c>
    </row>
    <row r="115" spans="1:5" x14ac:dyDescent="0.25">
      <c r="A115" s="30">
        <v>445.30993424231622</v>
      </c>
      <c r="C115" s="1" t="str">
        <f>ADDRESS(C121+1,D121,1,1)</f>
        <v>$CY$231</v>
      </c>
    </row>
    <row r="116" spans="1:5" x14ac:dyDescent="0.25">
      <c r="A116" s="30">
        <v>424.10469927839637</v>
      </c>
      <c r="C116" s="1">
        <f>C117-1</f>
        <v>229</v>
      </c>
    </row>
    <row r="117" spans="1:5" x14ac:dyDescent="0.25">
      <c r="A117" s="30">
        <v>403.9092374079965</v>
      </c>
      <c r="C117" s="1">
        <f>C121</f>
        <v>230</v>
      </c>
      <c r="D117" s="1">
        <f>D121</f>
        <v>103</v>
      </c>
    </row>
    <row r="118" spans="1:5" x14ac:dyDescent="0.25">
      <c r="A118" s="30">
        <v>384.6754641980919</v>
      </c>
      <c r="C118" s="1">
        <f>C117+1</f>
        <v>231</v>
      </c>
      <c r="D118" s="1">
        <f>D117+1</f>
        <v>104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230</v>
      </c>
      <c r="D121" s="19">
        <v>103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R230</v>
      </c>
      <c r="D123" s="1" t="str">
        <f>"C"&amp;D121</f>
        <v>C103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1.628894626777442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32" x14ac:dyDescent="0.25">
      <c r="A177" s="30">
        <v>21.623492570684135</v>
      </c>
      <c r="E177"/>
    </row>
    <row r="178" spans="1:32" x14ac:dyDescent="0.25">
      <c r="A178" s="30">
        <v>20.593802448270605</v>
      </c>
      <c r="C178" s="7"/>
      <c r="D178"/>
      <c r="E178"/>
    </row>
    <row r="179" spans="1:32" x14ac:dyDescent="0.25">
      <c r="A179" s="30">
        <v>19.613145188829147</v>
      </c>
      <c r="E179"/>
    </row>
    <row r="180" spans="1:32" x14ac:dyDescent="0.25">
      <c r="A180" s="30">
        <v>18.679185894122998</v>
      </c>
      <c r="E180"/>
    </row>
    <row r="181" spans="1:32" x14ac:dyDescent="0.25">
      <c r="A181" s="30">
        <v>17.78970085154571</v>
      </c>
      <c r="C181"/>
      <c r="D181"/>
      <c r="E181"/>
    </row>
    <row r="182" spans="1:32" x14ac:dyDescent="0.25">
      <c r="A182" s="30">
        <v>16.942572239567344</v>
      </c>
      <c r="E182"/>
    </row>
    <row r="183" spans="1:32" x14ac:dyDescent="0.25">
      <c r="A183" s="30">
        <v>16.135783085302233</v>
      </c>
      <c r="E183"/>
    </row>
    <row r="184" spans="1:32" x14ac:dyDescent="0.25">
      <c r="A184" s="30">
        <v>15.367412462192602</v>
      </c>
      <c r="E184"/>
    </row>
    <row r="185" spans="1:32" x14ac:dyDescent="0.25">
      <c r="A185" s="30">
        <v>14.635630916373906</v>
      </c>
      <c r="C185"/>
      <c r="E185"/>
      <c r="G185" s="27" t="s">
        <v>8</v>
      </c>
    </row>
    <row r="186" spans="1:32" x14ac:dyDescent="0.25">
      <c r="A186" s="30">
        <v>13.938696110832291</v>
      </c>
      <c r="E186"/>
      <c r="G186" s="27" t="s">
        <v>8</v>
      </c>
      <c r="H186" s="27" t="s">
        <v>7</v>
      </c>
    </row>
    <row r="187" spans="1:32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G187" s="27" t="s">
        <v>8</v>
      </c>
      <c r="H187" s="27" t="s">
        <v>7</v>
      </c>
      <c r="Y187" s="27" t="s">
        <v>8</v>
      </c>
      <c r="AC187" s="27" t="s">
        <v>8</v>
      </c>
    </row>
    <row r="188" spans="1:32" x14ac:dyDescent="0.25">
      <c r="A188" s="30">
        <v>12.64280826379346</v>
      </c>
      <c r="E188"/>
      <c r="G188" s="27" t="s">
        <v>8</v>
      </c>
      <c r="H188" s="27" t="s">
        <v>7</v>
      </c>
      <c r="I188" s="27" t="s">
        <v>8</v>
      </c>
      <c r="Y188" s="27" t="s">
        <v>8</v>
      </c>
      <c r="Z188" s="27" t="s">
        <v>7</v>
      </c>
      <c r="AA188" s="27" t="s">
        <v>8</v>
      </c>
      <c r="AC188" s="27" t="s">
        <v>8</v>
      </c>
      <c r="AD188" s="27" t="s">
        <v>7</v>
      </c>
    </row>
    <row r="189" spans="1:32" x14ac:dyDescent="0.25">
      <c r="A189" s="30">
        <v>12.04076977504139</v>
      </c>
      <c r="E189"/>
      <c r="G189" s="27" t="s">
        <v>8</v>
      </c>
      <c r="H189" s="27" t="s">
        <v>7</v>
      </c>
      <c r="I189" s="27" t="s">
        <v>8</v>
      </c>
      <c r="J189" s="27" t="s">
        <v>7</v>
      </c>
      <c r="W189" s="27" t="s">
        <v>8</v>
      </c>
      <c r="Y189" s="27" t="s">
        <v>8</v>
      </c>
      <c r="Z189" s="27" t="s">
        <v>7</v>
      </c>
      <c r="AA189" s="27" t="s">
        <v>8</v>
      </c>
      <c r="AB189" s="27" t="s">
        <v>7</v>
      </c>
      <c r="AC189" s="27" t="s">
        <v>8</v>
      </c>
      <c r="AD189" s="27" t="s">
        <v>7</v>
      </c>
    </row>
    <row r="190" spans="1:32" x14ac:dyDescent="0.25">
      <c r="A190" s="30">
        <v>11.467399785753704</v>
      </c>
      <c r="E190"/>
      <c r="G190" s="27" t="s">
        <v>8</v>
      </c>
      <c r="H190" s="27" t="s">
        <v>7</v>
      </c>
      <c r="I190" s="27" t="s">
        <v>8</v>
      </c>
      <c r="J190" s="27" t="s">
        <v>7</v>
      </c>
      <c r="K190" s="27" t="s">
        <v>8</v>
      </c>
      <c r="U190" s="27" t="s">
        <v>8</v>
      </c>
      <c r="W190" s="27" t="s">
        <v>8</v>
      </c>
      <c r="X190" s="27" t="s">
        <v>7</v>
      </c>
      <c r="Y190" s="27" t="s">
        <v>8</v>
      </c>
      <c r="Z190" s="27" t="s">
        <v>7</v>
      </c>
      <c r="AA190" s="27" t="s">
        <v>8</v>
      </c>
      <c r="AB190" s="27" t="s">
        <v>7</v>
      </c>
      <c r="AC190" s="27" t="s">
        <v>8</v>
      </c>
      <c r="AD190" s="27" t="s">
        <v>7</v>
      </c>
    </row>
    <row r="191" spans="1:32" x14ac:dyDescent="0.25">
      <c r="A191" s="30">
        <v>10.921333129289241</v>
      </c>
      <c r="E191"/>
      <c r="G191" s="27" t="s">
        <v>8</v>
      </c>
      <c r="H191" s="27" t="s">
        <v>7</v>
      </c>
      <c r="J191" s="27" t="s">
        <v>7</v>
      </c>
      <c r="K191" s="27" t="s">
        <v>8</v>
      </c>
      <c r="L191" s="27" t="s">
        <v>7</v>
      </c>
      <c r="U191" s="27" t="s">
        <v>8</v>
      </c>
      <c r="V191" s="27" t="s">
        <v>7</v>
      </c>
      <c r="W191" s="27" t="s">
        <v>8</v>
      </c>
      <c r="X191" s="27" t="s">
        <v>7</v>
      </c>
      <c r="Y191" s="27" t="s">
        <v>8</v>
      </c>
      <c r="Z191" s="27" t="s">
        <v>7</v>
      </c>
      <c r="AA191" s="27" t="s">
        <v>8</v>
      </c>
      <c r="AB191" s="27" t="s">
        <v>7</v>
      </c>
      <c r="AD191" s="27" t="s">
        <v>7</v>
      </c>
      <c r="AE191" s="27" t="s">
        <v>8</v>
      </c>
    </row>
    <row r="192" spans="1:32" x14ac:dyDescent="0.25">
      <c r="A192" s="30">
        <v>10.401269646942135</v>
      </c>
      <c r="E192"/>
      <c r="G192" s="27" t="s">
        <v>8</v>
      </c>
      <c r="J192" s="27" t="s">
        <v>7</v>
      </c>
      <c r="K192" s="27" t="s">
        <v>8</v>
      </c>
      <c r="L192" s="27" t="s">
        <v>7</v>
      </c>
      <c r="U192" s="27" t="s">
        <v>8</v>
      </c>
      <c r="V192" s="27" t="s">
        <v>7</v>
      </c>
      <c r="W192" s="27" t="s">
        <v>8</v>
      </c>
      <c r="X192" s="27" t="s">
        <v>7</v>
      </c>
      <c r="Y192" s="27" t="s">
        <v>8</v>
      </c>
      <c r="Z192" s="27" t="s">
        <v>7</v>
      </c>
      <c r="AD192" s="27" t="s">
        <v>7</v>
      </c>
      <c r="AE192" s="27" t="s">
        <v>8</v>
      </c>
      <c r="AF192" s="27" t="s">
        <v>7</v>
      </c>
    </row>
    <row r="193" spans="1:101" x14ac:dyDescent="0.25">
      <c r="A193" s="30">
        <v>9.9059710923258422</v>
      </c>
      <c r="E193"/>
      <c r="G193" s="27" t="s">
        <v>8</v>
      </c>
      <c r="J193" s="27" t="s">
        <v>7</v>
      </c>
      <c r="L193" s="27" t="s">
        <v>7</v>
      </c>
      <c r="M193" s="27" t="s">
        <v>8</v>
      </c>
      <c r="S193" s="27" t="s">
        <v>8</v>
      </c>
      <c r="U193" s="27" t="s">
        <v>8</v>
      </c>
      <c r="V193" s="27" t="s">
        <v>7</v>
      </c>
      <c r="W193" s="27" t="s">
        <v>8</v>
      </c>
      <c r="X193" s="27" t="s">
        <v>7</v>
      </c>
      <c r="Y193" s="27" t="s">
        <v>8</v>
      </c>
      <c r="AD193" s="27" t="s">
        <v>7</v>
      </c>
      <c r="AE193" s="27" t="s">
        <v>8</v>
      </c>
      <c r="AF193" s="27" t="s">
        <v>7</v>
      </c>
      <c r="AI193" s="27" t="s">
        <v>8</v>
      </c>
    </row>
    <row r="194" spans="1:101" x14ac:dyDescent="0.25">
      <c r="A194" s="30">
        <v>9.4342581831674686</v>
      </c>
      <c r="E194" t="s">
        <v>8</v>
      </c>
      <c r="G194" s="27" t="s">
        <v>8</v>
      </c>
      <c r="L194" s="27" t="s">
        <v>7</v>
      </c>
      <c r="M194" s="27" t="s">
        <v>8</v>
      </c>
      <c r="N194" s="27" t="s">
        <v>7</v>
      </c>
      <c r="S194" s="27" t="s">
        <v>8</v>
      </c>
      <c r="T194" s="27" t="s">
        <v>7</v>
      </c>
      <c r="U194" s="27" t="s">
        <v>8</v>
      </c>
      <c r="V194" s="27" t="s">
        <v>7</v>
      </c>
      <c r="X194" s="27" t="s">
        <v>7</v>
      </c>
      <c r="Y194" s="27" t="s">
        <v>8</v>
      </c>
      <c r="AD194" s="27" t="s">
        <v>7</v>
      </c>
      <c r="AE194" s="27" t="s">
        <v>8</v>
      </c>
      <c r="AF194" s="27" t="s">
        <v>7</v>
      </c>
      <c r="AG194" s="27" t="s">
        <v>8</v>
      </c>
      <c r="AI194" s="27" t="s">
        <v>8</v>
      </c>
      <c r="AJ194" s="27" t="s">
        <v>7</v>
      </c>
    </row>
    <row r="195" spans="1:101" x14ac:dyDescent="0.25">
      <c r="A195" s="30">
        <v>8.9850077934928265</v>
      </c>
      <c r="E195" t="s">
        <v>8</v>
      </c>
      <c r="F195" s="27" t="s">
        <v>7</v>
      </c>
      <c r="G195" s="27" t="s">
        <v>8</v>
      </c>
      <c r="L195" s="27" t="s">
        <v>7</v>
      </c>
      <c r="M195" s="27" t="s">
        <v>8</v>
      </c>
      <c r="N195" s="27" t="s">
        <v>7</v>
      </c>
      <c r="S195" s="27" t="s">
        <v>8</v>
      </c>
      <c r="T195" s="27" t="s">
        <v>7</v>
      </c>
      <c r="U195" s="27" t="s">
        <v>8</v>
      </c>
      <c r="X195" s="27" t="s">
        <v>7</v>
      </c>
      <c r="Y195" s="27" t="s">
        <v>8</v>
      </c>
      <c r="AD195" s="27" t="s">
        <v>7</v>
      </c>
      <c r="AE195" s="27" t="s">
        <v>8</v>
      </c>
      <c r="AF195" s="27" t="s">
        <v>7</v>
      </c>
      <c r="AG195" s="27" t="s">
        <v>8</v>
      </c>
      <c r="AH195" s="27" t="s">
        <v>7</v>
      </c>
      <c r="AI195" s="27" t="s">
        <v>8</v>
      </c>
      <c r="AJ195" s="27" t="s">
        <v>7</v>
      </c>
    </row>
    <row r="196" spans="1:101" x14ac:dyDescent="0.25">
      <c r="A196" s="30">
        <v>8.5571502795169767</v>
      </c>
      <c r="E196" t="s">
        <v>8</v>
      </c>
      <c r="F196" s="27" t="s">
        <v>7</v>
      </c>
      <c r="G196" s="27" t="s">
        <v>8</v>
      </c>
      <c r="L196" s="27" t="s">
        <v>7</v>
      </c>
      <c r="M196" s="27" t="s">
        <v>8</v>
      </c>
      <c r="N196" s="27" t="s">
        <v>7</v>
      </c>
      <c r="O196" s="27" t="s">
        <v>8</v>
      </c>
      <c r="Q196" s="27" t="s">
        <v>8</v>
      </c>
      <c r="S196" s="27" t="s">
        <v>8</v>
      </c>
      <c r="T196" s="27" t="s">
        <v>7</v>
      </c>
      <c r="U196" s="27" t="s">
        <v>8</v>
      </c>
      <c r="X196" s="27" t="s">
        <v>7</v>
      </c>
      <c r="Y196" s="27" t="s">
        <v>8</v>
      </c>
      <c r="AD196" s="27" t="s">
        <v>7</v>
      </c>
      <c r="AE196" s="27" t="s">
        <v>8</v>
      </c>
      <c r="AF196" s="27" t="s">
        <v>7</v>
      </c>
      <c r="AG196" s="27" t="s">
        <v>8</v>
      </c>
      <c r="AH196" s="27" t="s">
        <v>7</v>
      </c>
      <c r="AI196" s="27" t="s">
        <v>8</v>
      </c>
      <c r="AJ196" s="27" t="s">
        <v>7</v>
      </c>
    </row>
    <row r="197" spans="1:101" x14ac:dyDescent="0.25">
      <c r="A197" s="30">
        <v>8.1496669328733109</v>
      </c>
      <c r="E197" t="s">
        <v>8</v>
      </c>
      <c r="F197" s="27" t="s">
        <v>7</v>
      </c>
      <c r="G197" s="27" t="s">
        <v>8</v>
      </c>
      <c r="L197" s="27" t="s">
        <v>7</v>
      </c>
      <c r="M197" s="27" t="s">
        <v>8</v>
      </c>
      <c r="N197" s="27" t="s">
        <v>7</v>
      </c>
      <c r="O197" s="27" t="s">
        <v>8</v>
      </c>
      <c r="P197" s="27" t="s">
        <v>7</v>
      </c>
      <c r="Q197" s="27" t="s">
        <v>8</v>
      </c>
      <c r="R197" s="27" t="s">
        <v>7</v>
      </c>
      <c r="S197" s="27" t="s">
        <v>8</v>
      </c>
      <c r="T197" s="27" t="s">
        <v>7</v>
      </c>
      <c r="U197" s="27" t="s">
        <v>8</v>
      </c>
      <c r="X197" s="27" t="s">
        <v>7</v>
      </c>
      <c r="Y197" s="27" t="s">
        <v>8</v>
      </c>
      <c r="AD197" s="27" t="s">
        <v>7</v>
      </c>
      <c r="AF197" s="27" t="s">
        <v>7</v>
      </c>
      <c r="AH197" s="27" t="s">
        <v>7</v>
      </c>
      <c r="AI197" s="27" t="s">
        <v>8</v>
      </c>
      <c r="AJ197" s="27" t="s">
        <v>7</v>
      </c>
    </row>
    <row r="198" spans="1:101" x14ac:dyDescent="0.25">
      <c r="A198" s="30">
        <v>7.7615875551174378</v>
      </c>
      <c r="E198" t="s">
        <v>8</v>
      </c>
      <c r="F198" s="27" t="s">
        <v>7</v>
      </c>
      <c r="G198" s="27" t="s">
        <v>8</v>
      </c>
      <c r="L198" s="27" t="s">
        <v>7</v>
      </c>
      <c r="M198" s="27" t="s">
        <v>8</v>
      </c>
      <c r="N198" s="27" t="s">
        <v>7</v>
      </c>
      <c r="O198" s="27" t="s">
        <v>8</v>
      </c>
      <c r="P198" s="27" t="s">
        <v>7</v>
      </c>
      <c r="Q198" s="27" t="s">
        <v>8</v>
      </c>
      <c r="R198" s="27" t="s">
        <v>7</v>
      </c>
      <c r="S198" s="27" t="s">
        <v>8</v>
      </c>
      <c r="T198" s="27" t="s">
        <v>7</v>
      </c>
      <c r="X198" s="27" t="s">
        <v>7</v>
      </c>
      <c r="AH198" s="27" t="s">
        <v>7</v>
      </c>
      <c r="AI198" s="27" t="s">
        <v>8</v>
      </c>
      <c r="AJ198" s="27" t="s">
        <v>7</v>
      </c>
      <c r="CM198" s="33" t="s">
        <v>8</v>
      </c>
    </row>
    <row r="199" spans="1:101" x14ac:dyDescent="0.25">
      <c r="A199" s="30">
        <v>7.3919881477308929</v>
      </c>
      <c r="E199" t="s">
        <v>8</v>
      </c>
      <c r="F199" s="27" t="s">
        <v>7</v>
      </c>
      <c r="G199" s="27" t="s">
        <v>8</v>
      </c>
      <c r="L199" s="27" t="s">
        <v>7</v>
      </c>
      <c r="M199" s="27" t="s">
        <v>8</v>
      </c>
      <c r="N199" s="27" t="s">
        <v>7</v>
      </c>
      <c r="P199" s="27" t="s">
        <v>7</v>
      </c>
      <c r="Q199" s="27" t="s">
        <v>8</v>
      </c>
      <c r="R199" s="27" t="s">
        <v>7</v>
      </c>
      <c r="AH199" s="27" t="s">
        <v>7</v>
      </c>
      <c r="AI199" s="27" t="s">
        <v>8</v>
      </c>
      <c r="AJ199" s="27" t="s">
        <v>7</v>
      </c>
      <c r="AK199" s="27" t="s">
        <v>8</v>
      </c>
      <c r="CM199" s="27" t="s">
        <v>8</v>
      </c>
      <c r="CN199" s="33" t="s">
        <v>7</v>
      </c>
    </row>
    <row r="200" spans="1:101" x14ac:dyDescent="0.25">
      <c r="A200" s="30">
        <v>7.0399887121246598</v>
      </c>
      <c r="E200" t="s">
        <v>8</v>
      </c>
      <c r="F200" s="27" t="s">
        <v>7</v>
      </c>
      <c r="G200" s="27" t="s">
        <v>8</v>
      </c>
      <c r="L200" s="27" t="s">
        <v>7</v>
      </c>
      <c r="M200" s="27" t="s">
        <v>8</v>
      </c>
      <c r="P200" s="27" t="s">
        <v>7</v>
      </c>
      <c r="Q200" s="27" t="s">
        <v>8</v>
      </c>
      <c r="AH200" s="27" t="s">
        <v>7</v>
      </c>
      <c r="AI200" s="27" t="s">
        <v>8</v>
      </c>
      <c r="AJ200" s="27" t="s">
        <v>7</v>
      </c>
      <c r="AK200" s="27" t="s">
        <v>8</v>
      </c>
      <c r="AL200" s="27" t="s">
        <v>7</v>
      </c>
      <c r="CM200" s="27" t="s">
        <v>8</v>
      </c>
      <c r="CN200" s="27" t="s">
        <v>7</v>
      </c>
      <c r="CO200" s="33"/>
    </row>
    <row r="201" spans="1:101" x14ac:dyDescent="0.25">
      <c r="A201" s="30">
        <v>6.7047511544044376</v>
      </c>
      <c r="E201" t="s">
        <v>8</v>
      </c>
      <c r="F201" s="27" t="s">
        <v>7</v>
      </c>
      <c r="G201" s="27" t="s">
        <v>8</v>
      </c>
      <c r="L201" s="27" t="s">
        <v>7</v>
      </c>
      <c r="M201" s="27" t="s">
        <v>8</v>
      </c>
      <c r="P201" s="27" t="s">
        <v>7</v>
      </c>
      <c r="Q201" s="27" t="s">
        <v>8</v>
      </c>
      <c r="AH201" s="27" t="s">
        <v>7</v>
      </c>
      <c r="AJ201" s="27" t="s">
        <v>7</v>
      </c>
      <c r="AK201" s="27" t="s">
        <v>8</v>
      </c>
      <c r="AL201" s="27" t="s">
        <v>7</v>
      </c>
      <c r="CM201" s="27" t="s">
        <v>8</v>
      </c>
      <c r="CN201" s="27" t="s">
        <v>7</v>
      </c>
      <c r="CP201" s="33"/>
    </row>
    <row r="202" spans="1:101" x14ac:dyDescent="0.25">
      <c r="A202" s="30">
        <v>6.3854772899089882</v>
      </c>
      <c r="E202" t="s">
        <v>8</v>
      </c>
      <c r="F202" s="27" t="s">
        <v>7</v>
      </c>
      <c r="G202" s="27" t="s">
        <v>8</v>
      </c>
      <c r="L202" s="27" t="s">
        <v>7</v>
      </c>
      <c r="P202" s="27" t="s">
        <v>7</v>
      </c>
      <c r="AJ202" s="27" t="s">
        <v>7</v>
      </c>
      <c r="AK202" s="27" t="s">
        <v>8</v>
      </c>
      <c r="AL202" s="27" t="s">
        <v>7</v>
      </c>
      <c r="CM202" s="27" t="s">
        <v>8</v>
      </c>
      <c r="CN202" s="27" t="s">
        <v>7</v>
      </c>
      <c r="CQ202" s="33"/>
    </row>
    <row r="203" spans="1:101" x14ac:dyDescent="0.25">
      <c r="A203" s="30">
        <v>6.0814069427704647</v>
      </c>
      <c r="C203" s="7"/>
      <c r="D203"/>
      <c r="E203" t="s">
        <v>8</v>
      </c>
      <c r="F203" s="27" t="s">
        <v>7</v>
      </c>
      <c r="AJ203" s="27" t="s">
        <v>7</v>
      </c>
      <c r="AL203" s="27" t="s">
        <v>7</v>
      </c>
      <c r="CM203" s="27" t="s">
        <v>8</v>
      </c>
      <c r="CN203" s="27" t="s">
        <v>7</v>
      </c>
      <c r="CR203" s="33"/>
    </row>
    <row r="204" spans="1:101" x14ac:dyDescent="0.25">
      <c r="A204" s="30">
        <v>5.7918161359718709</v>
      </c>
      <c r="E204" t="s">
        <v>8</v>
      </c>
      <c r="AL204" s="27" t="s">
        <v>7</v>
      </c>
      <c r="BS204" s="27" t="s">
        <v>8</v>
      </c>
      <c r="CG204" s="27" t="s">
        <v>8</v>
      </c>
      <c r="CM204" s="27" t="s">
        <v>8</v>
      </c>
      <c r="CN204" s="27" t="s">
        <v>7</v>
      </c>
      <c r="CS204" s="33"/>
    </row>
    <row r="205" spans="1:101" x14ac:dyDescent="0.25">
      <c r="A205" s="30">
        <v>5.5160153675922574</v>
      </c>
      <c r="E205" t="s">
        <v>8</v>
      </c>
      <c r="AL205" s="27" t="s">
        <v>7</v>
      </c>
      <c r="BS205" s="27" t="s">
        <v>8</v>
      </c>
      <c r="BT205" s="27" t="s">
        <v>7</v>
      </c>
      <c r="BU205" s="27" t="s">
        <v>8</v>
      </c>
      <c r="CG205" s="27" t="s">
        <v>8</v>
      </c>
      <c r="CH205" s="27" t="s">
        <v>7</v>
      </c>
      <c r="CM205" s="27" t="s">
        <v>8</v>
      </c>
      <c r="CN205" s="27" t="s">
        <v>7</v>
      </c>
      <c r="CT205" s="33"/>
    </row>
    <row r="206" spans="1:101" x14ac:dyDescent="0.25">
      <c r="A206" s="30">
        <v>5.2533479691354827</v>
      </c>
      <c r="C206"/>
      <c r="D206"/>
      <c r="E206" t="s">
        <v>8</v>
      </c>
      <c r="AL206" s="27" t="s">
        <v>7</v>
      </c>
      <c r="BQ206" s="27" t="s">
        <v>8</v>
      </c>
      <c r="BS206" s="27" t="s">
        <v>8</v>
      </c>
      <c r="BT206" s="27" t="s">
        <v>7</v>
      </c>
      <c r="BU206" s="27" t="s">
        <v>8</v>
      </c>
      <c r="BV206" s="27" t="s">
        <v>7</v>
      </c>
      <c r="CE206" s="27" t="s">
        <v>8</v>
      </c>
      <c r="CG206" s="27" t="s">
        <v>8</v>
      </c>
      <c r="CH206" s="27" t="s">
        <v>7</v>
      </c>
      <c r="CM206" s="27" t="s">
        <v>8</v>
      </c>
      <c r="CN206" s="27" t="s">
        <v>7</v>
      </c>
      <c r="CU206" s="33"/>
    </row>
    <row r="207" spans="1:101" x14ac:dyDescent="0.25">
      <c r="A207" s="30">
        <v>5.0031885420337927</v>
      </c>
      <c r="E207" t="s">
        <v>8</v>
      </c>
      <c r="AL207" s="27" t="s">
        <v>7</v>
      </c>
      <c r="BO207" s="27" t="s">
        <v>8</v>
      </c>
      <c r="BQ207" s="27" t="s">
        <v>8</v>
      </c>
      <c r="BR207" s="27" t="s">
        <v>7</v>
      </c>
      <c r="BS207" s="27" t="s">
        <v>8</v>
      </c>
      <c r="BT207" s="27" t="s">
        <v>7</v>
      </c>
      <c r="BU207" s="27" t="s">
        <v>8</v>
      </c>
      <c r="BV207" s="27" t="s">
        <v>7</v>
      </c>
      <c r="CE207" s="27" t="s">
        <v>8</v>
      </c>
      <c r="CF207" s="27" t="s">
        <v>7</v>
      </c>
      <c r="CG207" s="27" t="s">
        <v>8</v>
      </c>
      <c r="CH207" s="27" t="s">
        <v>7</v>
      </c>
      <c r="CI207" s="27" t="s">
        <v>8</v>
      </c>
      <c r="CM207" s="27" t="s">
        <v>8</v>
      </c>
      <c r="CN207" s="27" t="s">
        <v>7</v>
      </c>
      <c r="CV207" s="33"/>
    </row>
    <row r="208" spans="1:101" x14ac:dyDescent="0.25">
      <c r="A208" s="30">
        <v>4.7649414686036122</v>
      </c>
      <c r="E208" t="s">
        <v>8</v>
      </c>
      <c r="AL208" s="27" t="s">
        <v>7</v>
      </c>
      <c r="BO208" s="27" t="s">
        <v>8</v>
      </c>
      <c r="BP208" s="27" t="s">
        <v>7</v>
      </c>
      <c r="BQ208" s="27" t="s">
        <v>8</v>
      </c>
      <c r="BR208" s="27" t="s">
        <v>7</v>
      </c>
      <c r="BS208" s="27" t="s">
        <v>8</v>
      </c>
      <c r="BT208" s="27" t="s">
        <v>7</v>
      </c>
      <c r="BV208" s="27" t="s">
        <v>7</v>
      </c>
      <c r="BY208" s="27" t="s">
        <v>8</v>
      </c>
      <c r="CE208" s="27" t="s">
        <v>8</v>
      </c>
      <c r="CF208" s="27" t="s">
        <v>7</v>
      </c>
      <c r="CG208" s="27" t="s">
        <v>8</v>
      </c>
      <c r="CH208" s="27" t="s">
        <v>7</v>
      </c>
      <c r="CI208" s="27" t="s">
        <v>8</v>
      </c>
      <c r="CJ208" s="27" t="s">
        <v>7</v>
      </c>
      <c r="CM208" s="27" t="s">
        <v>8</v>
      </c>
      <c r="CN208" s="27" t="s">
        <v>7</v>
      </c>
      <c r="CW208" s="33"/>
    </row>
    <row r="209" spans="1:102" x14ac:dyDescent="0.25">
      <c r="A209" s="30">
        <v>4.5380394939082018</v>
      </c>
      <c r="E209" t="s">
        <v>8</v>
      </c>
      <c r="AL209" s="27" t="s">
        <v>7</v>
      </c>
      <c r="AM209" s="27" t="s">
        <v>8</v>
      </c>
      <c r="AU209" s="27" t="s">
        <v>8</v>
      </c>
      <c r="BO209" s="27" t="s">
        <v>8</v>
      </c>
      <c r="BP209" s="27" t="s">
        <v>7</v>
      </c>
      <c r="BQ209" s="27" t="s">
        <v>8</v>
      </c>
      <c r="BR209" s="27" t="s">
        <v>7</v>
      </c>
      <c r="BS209" s="27" t="s">
        <v>8</v>
      </c>
      <c r="BV209" s="33" t="s">
        <v>7</v>
      </c>
      <c r="BY209" s="27" t="s">
        <v>8</v>
      </c>
      <c r="BZ209" s="27" t="s">
        <v>7</v>
      </c>
      <c r="CE209" s="27" t="s">
        <v>8</v>
      </c>
      <c r="CF209" s="27" t="s">
        <v>7</v>
      </c>
      <c r="CG209" s="27" t="s">
        <v>8</v>
      </c>
      <c r="CH209" s="27" t="s">
        <v>7</v>
      </c>
      <c r="CI209" s="27" t="s">
        <v>8</v>
      </c>
      <c r="CJ209" s="27" t="s">
        <v>7</v>
      </c>
      <c r="CK209" s="27" t="s">
        <v>8</v>
      </c>
      <c r="CM209" s="27" t="s">
        <v>8</v>
      </c>
      <c r="CN209" s="27" t="s">
        <v>7</v>
      </c>
      <c r="CX209" s="33"/>
    </row>
    <row r="210" spans="1:102" x14ac:dyDescent="0.25">
      <c r="A210" s="30">
        <v>4.3219423751506678</v>
      </c>
      <c r="C210"/>
      <c r="E210" t="s">
        <v>8</v>
      </c>
      <c r="AL210" s="27" t="s">
        <v>7</v>
      </c>
      <c r="AM210" s="27" t="s">
        <v>8</v>
      </c>
      <c r="AN210" s="27" t="s">
        <v>7</v>
      </c>
      <c r="AU210" s="27" t="s">
        <v>8</v>
      </c>
      <c r="AV210" s="27" t="s">
        <v>7</v>
      </c>
      <c r="BO210" s="27" t="s">
        <v>8</v>
      </c>
      <c r="BP210" s="27" t="s">
        <v>7</v>
      </c>
      <c r="BR210" s="27" t="s">
        <v>7</v>
      </c>
      <c r="BU210" s="33"/>
      <c r="BV210" s="27" t="s">
        <v>7</v>
      </c>
      <c r="BW210" s="27" t="s">
        <v>8</v>
      </c>
      <c r="BY210" s="27" t="s">
        <v>8</v>
      </c>
      <c r="BZ210" s="27" t="s">
        <v>7</v>
      </c>
      <c r="CE210" s="27" t="s">
        <v>8</v>
      </c>
      <c r="CF210" s="35" t="s">
        <v>7</v>
      </c>
      <c r="CH210" s="35" t="s">
        <v>7</v>
      </c>
      <c r="CI210" s="34"/>
      <c r="CJ210" s="27" t="s">
        <v>7</v>
      </c>
      <c r="CK210" s="27" t="s">
        <v>8</v>
      </c>
      <c r="CL210" s="27" t="s">
        <v>7</v>
      </c>
      <c r="CM210" s="27" t="s">
        <v>8</v>
      </c>
      <c r="CN210" s="27" t="s">
        <v>7</v>
      </c>
    </row>
    <row r="211" spans="1:102" x14ac:dyDescent="0.25">
      <c r="A211" s="30">
        <v>4.1161355953815884</v>
      </c>
      <c r="E211" t="s">
        <v>8</v>
      </c>
      <c r="AL211" s="27" t="s">
        <v>7</v>
      </c>
      <c r="AM211" s="27" t="s">
        <v>8</v>
      </c>
      <c r="AN211" s="27" t="s">
        <v>7</v>
      </c>
      <c r="AS211" s="27" t="s">
        <v>8</v>
      </c>
      <c r="AU211" s="27" t="s">
        <v>8</v>
      </c>
      <c r="AV211" s="27" t="s">
        <v>7</v>
      </c>
      <c r="BK211" s="27" t="s">
        <v>8</v>
      </c>
      <c r="BM211" s="27" t="s">
        <v>8</v>
      </c>
      <c r="BO211" s="27" t="s">
        <v>8</v>
      </c>
      <c r="BT211" s="33"/>
      <c r="BV211" s="27" t="s">
        <v>7</v>
      </c>
      <c r="BW211" s="27" t="s">
        <v>8</v>
      </c>
      <c r="BX211" s="27" t="s">
        <v>7</v>
      </c>
      <c r="BY211" s="27" t="s">
        <v>8</v>
      </c>
      <c r="BZ211" s="27" t="s">
        <v>7</v>
      </c>
      <c r="CC211" s="27" t="s">
        <v>8</v>
      </c>
      <c r="CE211" s="27" t="s">
        <v>8</v>
      </c>
      <c r="CH211" s="34"/>
      <c r="CJ211" s="27" t="s">
        <v>7</v>
      </c>
      <c r="CK211" s="27" t="s">
        <v>8</v>
      </c>
      <c r="CL211" s="27" t="s">
        <v>7</v>
      </c>
      <c r="CM211" s="27" t="s">
        <v>8</v>
      </c>
      <c r="CN211" s="27" t="s">
        <v>7</v>
      </c>
    </row>
    <row r="212" spans="1:102" x14ac:dyDescent="0.25">
      <c r="A212" s="30">
        <v>3.9201291384586554</v>
      </c>
      <c r="E212" t="s">
        <v>8</v>
      </c>
      <c r="AL212" s="27" t="s">
        <v>7</v>
      </c>
      <c r="AM212" s="27" t="s">
        <v>8</v>
      </c>
      <c r="AN212" s="27" t="s">
        <v>7</v>
      </c>
      <c r="AQ212" s="27" t="s">
        <v>8</v>
      </c>
      <c r="AS212" s="27" t="s">
        <v>8</v>
      </c>
      <c r="AT212" s="27" t="s">
        <v>7</v>
      </c>
      <c r="AU212" s="27" t="s">
        <v>8</v>
      </c>
      <c r="AV212" s="27" t="s">
        <v>7</v>
      </c>
      <c r="BK212" s="27" t="s">
        <v>8</v>
      </c>
      <c r="BL212" s="27" t="s">
        <v>7</v>
      </c>
      <c r="BM212" s="27" t="s">
        <v>8</v>
      </c>
      <c r="BN212" s="27" t="s">
        <v>7</v>
      </c>
      <c r="BO212" s="27" t="s">
        <v>8</v>
      </c>
      <c r="BS212" s="33"/>
      <c r="BV212" s="27" t="s">
        <v>7</v>
      </c>
      <c r="BW212" s="27" t="s">
        <v>8</v>
      </c>
      <c r="BX212" s="27" t="s">
        <v>7</v>
      </c>
      <c r="BY212" s="27" t="s">
        <v>8</v>
      </c>
      <c r="BZ212" s="27" t="s">
        <v>7</v>
      </c>
      <c r="CC212" s="27" t="s">
        <v>8</v>
      </c>
      <c r="CD212" s="27" t="s">
        <v>7</v>
      </c>
      <c r="CE212" s="27" t="s">
        <v>8</v>
      </c>
      <c r="CG212" s="34"/>
      <c r="CJ212" s="27" t="s">
        <v>7</v>
      </c>
      <c r="CL212" s="27" t="s">
        <v>7</v>
      </c>
      <c r="CN212" s="27" t="s">
        <v>7</v>
      </c>
    </row>
    <row r="213" spans="1:102" x14ac:dyDescent="0.25">
      <c r="A213" s="30">
        <v>3.7334563223415764</v>
      </c>
      <c r="E213" t="s">
        <v>8</v>
      </c>
      <c r="AL213" s="27" t="s">
        <v>7</v>
      </c>
      <c r="AM213" s="27" t="s">
        <v>8</v>
      </c>
      <c r="AN213" s="27" t="s">
        <v>7</v>
      </c>
      <c r="AQ213" s="27" t="s">
        <v>8</v>
      </c>
      <c r="AR213" s="27" t="s">
        <v>7</v>
      </c>
      <c r="AS213" s="27" t="s">
        <v>8</v>
      </c>
      <c r="AT213" s="27" t="s">
        <v>7</v>
      </c>
      <c r="AU213" s="27" t="s">
        <v>8</v>
      </c>
      <c r="AV213" s="27" t="s">
        <v>7</v>
      </c>
      <c r="AW213" s="27" t="s">
        <v>8</v>
      </c>
      <c r="BK213" s="27" t="s">
        <v>8</v>
      </c>
      <c r="BL213" s="27" t="s">
        <v>7</v>
      </c>
      <c r="BM213" s="27" t="s">
        <v>8</v>
      </c>
      <c r="BN213" s="27" t="s">
        <v>7</v>
      </c>
      <c r="BO213" s="27" t="s">
        <v>8</v>
      </c>
      <c r="BR213" s="33"/>
      <c r="BV213" s="27" t="s">
        <v>7</v>
      </c>
      <c r="BW213" s="27" t="s">
        <v>8</v>
      </c>
      <c r="BX213" s="27" t="s">
        <v>7</v>
      </c>
      <c r="BZ213" s="27" t="s">
        <v>7</v>
      </c>
      <c r="CA213" s="27" t="s">
        <v>8</v>
      </c>
      <c r="CC213" s="27" t="s">
        <v>8</v>
      </c>
      <c r="CD213" s="27" t="s">
        <v>7</v>
      </c>
      <c r="CE213" s="27" t="s">
        <v>8</v>
      </c>
      <c r="CF213" s="34"/>
      <c r="CN213" s="27" t="s">
        <v>7</v>
      </c>
    </row>
    <row r="214" spans="1:102" x14ac:dyDescent="0.25">
      <c r="A214" s="30">
        <v>3.5556726879443583</v>
      </c>
      <c r="E214" t="s">
        <v>8</v>
      </c>
      <c r="AL214" s="27" t="s">
        <v>7</v>
      </c>
      <c r="AM214" s="27" t="s">
        <v>8</v>
      </c>
      <c r="AN214" s="27" t="s">
        <v>7</v>
      </c>
      <c r="AO214" s="27" t="s">
        <v>8</v>
      </c>
      <c r="AQ214" s="27" t="s">
        <v>8</v>
      </c>
      <c r="AR214" s="27" t="s">
        <v>7</v>
      </c>
      <c r="AS214" s="27" t="s">
        <v>8</v>
      </c>
      <c r="AT214" s="27" t="s">
        <v>7</v>
      </c>
      <c r="AV214" s="27" t="s">
        <v>7</v>
      </c>
      <c r="AW214" s="27" t="s">
        <v>8</v>
      </c>
      <c r="AX214" s="27" t="s">
        <v>7</v>
      </c>
      <c r="AY214" s="27" t="s">
        <v>8</v>
      </c>
      <c r="BE214" s="27" t="s">
        <v>8</v>
      </c>
      <c r="BI214" s="27" t="s">
        <v>8</v>
      </c>
      <c r="BK214" s="27" t="s">
        <v>8</v>
      </c>
      <c r="BL214" s="27" t="s">
        <v>7</v>
      </c>
      <c r="BM214" s="27" t="s">
        <v>8</v>
      </c>
      <c r="BN214" s="27" t="s">
        <v>7</v>
      </c>
      <c r="BO214" s="27" t="s">
        <v>8</v>
      </c>
      <c r="BQ214" s="33"/>
      <c r="BV214" s="27" t="s">
        <v>7</v>
      </c>
      <c r="BZ214" s="27" t="s">
        <v>7</v>
      </c>
      <c r="CA214" s="27" t="s">
        <v>8</v>
      </c>
      <c r="CB214" s="27" t="s">
        <v>7</v>
      </c>
      <c r="CC214" s="27" t="s">
        <v>8</v>
      </c>
      <c r="CD214" s="27" t="s">
        <v>7</v>
      </c>
      <c r="CE214" s="34" t="s">
        <v>8</v>
      </c>
      <c r="CN214" s="27" t="s">
        <v>7</v>
      </c>
      <c r="CO214" s="27" t="s">
        <v>8</v>
      </c>
      <c r="CQ214" s="27" t="s">
        <v>8</v>
      </c>
    </row>
    <row r="215" spans="1:102" x14ac:dyDescent="0.25">
      <c r="A215" s="30">
        <v>3.3863549408993889</v>
      </c>
      <c r="E215" t="s">
        <v>8</v>
      </c>
      <c r="AL215" s="27" t="s">
        <v>7</v>
      </c>
      <c r="AM215" s="27" t="s">
        <v>8</v>
      </c>
      <c r="AN215" s="27" t="s">
        <v>7</v>
      </c>
      <c r="AO215" s="27" t="s">
        <v>8</v>
      </c>
      <c r="AP215" s="27" t="s">
        <v>7</v>
      </c>
      <c r="AQ215" s="27" t="s">
        <v>8</v>
      </c>
      <c r="AR215" s="27" t="s">
        <v>7</v>
      </c>
      <c r="AS215" s="27" t="s">
        <v>8</v>
      </c>
      <c r="AV215" s="27" t="s">
        <v>7</v>
      </c>
      <c r="AW215" s="27" t="s">
        <v>8</v>
      </c>
      <c r="AX215" s="27" t="s">
        <v>7</v>
      </c>
      <c r="AY215" s="27" t="s">
        <v>8</v>
      </c>
      <c r="AZ215" s="27" t="s">
        <v>7</v>
      </c>
      <c r="BE215" s="27" t="s">
        <v>8</v>
      </c>
      <c r="BF215" s="27" t="s">
        <v>7</v>
      </c>
      <c r="BI215" s="27" t="s">
        <v>8</v>
      </c>
      <c r="BJ215" s="27" t="s">
        <v>7</v>
      </c>
      <c r="BK215" s="27" t="s">
        <v>8</v>
      </c>
      <c r="BL215" s="27" t="s">
        <v>7</v>
      </c>
      <c r="BM215" s="27" t="s">
        <v>8</v>
      </c>
      <c r="BN215" s="27" t="s">
        <v>7</v>
      </c>
      <c r="BP215" s="33"/>
      <c r="BZ215" s="27" t="s">
        <v>7</v>
      </c>
      <c r="CA215" s="27" t="s">
        <v>8</v>
      </c>
      <c r="CB215" s="27" t="s">
        <v>7</v>
      </c>
      <c r="CC215" s="27" t="s">
        <v>8</v>
      </c>
      <c r="CD215" s="34" t="s">
        <v>7</v>
      </c>
      <c r="CN215" s="27" t="s">
        <v>7</v>
      </c>
      <c r="CO215" s="27" t="s">
        <v>8</v>
      </c>
      <c r="CP215" s="27" t="s">
        <v>7</v>
      </c>
      <c r="CQ215" s="27" t="s">
        <v>8</v>
      </c>
      <c r="CR215" s="27" t="s">
        <v>7</v>
      </c>
      <c r="CU215" s="27" t="s">
        <v>8</v>
      </c>
    </row>
    <row r="216" spans="1:102" x14ac:dyDescent="0.25">
      <c r="A216" s="30">
        <v>3.2250999437137038</v>
      </c>
      <c r="E216" t="s">
        <v>8</v>
      </c>
      <c r="AL216" s="27" t="s">
        <v>7</v>
      </c>
      <c r="AM216" s="27" t="s">
        <v>8</v>
      </c>
      <c r="AN216" s="27" t="s">
        <v>7</v>
      </c>
      <c r="AO216" s="27" t="s">
        <v>8</v>
      </c>
      <c r="AP216" s="27" t="s">
        <v>7</v>
      </c>
      <c r="AQ216" s="27" t="s">
        <v>8</v>
      </c>
      <c r="AR216" s="27" t="s">
        <v>7</v>
      </c>
      <c r="AS216" s="27" t="s">
        <v>8</v>
      </c>
      <c r="AV216" s="27" t="s">
        <v>7</v>
      </c>
      <c r="AW216" s="27" t="s">
        <v>8</v>
      </c>
      <c r="AX216" s="27" t="s">
        <v>7</v>
      </c>
      <c r="AY216" s="27" t="s">
        <v>8</v>
      </c>
      <c r="AZ216" s="27" t="s">
        <v>7</v>
      </c>
      <c r="BE216" s="27" t="s">
        <v>8</v>
      </c>
      <c r="BF216" s="27" t="s">
        <v>7</v>
      </c>
      <c r="BI216" s="32" t="s">
        <v>8</v>
      </c>
      <c r="BJ216" s="27" t="s">
        <v>7</v>
      </c>
      <c r="BK216" s="27" t="s">
        <v>8</v>
      </c>
      <c r="BL216" s="27" t="s">
        <v>7</v>
      </c>
      <c r="BO216" s="33"/>
      <c r="BZ216" s="27" t="s">
        <v>7</v>
      </c>
      <c r="CB216" s="27" t="s">
        <v>7</v>
      </c>
      <c r="CC216" s="34" t="s">
        <v>8</v>
      </c>
      <c r="CN216" s="27" t="s">
        <v>7</v>
      </c>
      <c r="CO216" s="27" t="s">
        <v>8</v>
      </c>
      <c r="CP216" s="27" t="s">
        <v>7</v>
      </c>
      <c r="CQ216" s="27" t="s">
        <v>8</v>
      </c>
      <c r="CR216" s="27" t="s">
        <v>7</v>
      </c>
      <c r="CU216" s="27" t="s">
        <v>8</v>
      </c>
      <c r="CV216" s="27" t="s">
        <v>7</v>
      </c>
    </row>
    <row r="217" spans="1:102" x14ac:dyDescent="0.25">
      <c r="A217" s="30">
        <v>3.0715237559178128</v>
      </c>
      <c r="E217" t="s">
        <v>8</v>
      </c>
      <c r="AL217" s="27" t="s">
        <v>7</v>
      </c>
      <c r="AN217" s="27" t="s">
        <v>7</v>
      </c>
      <c r="AP217" s="27" t="s">
        <v>7</v>
      </c>
      <c r="AQ217" s="27" t="s">
        <v>8</v>
      </c>
      <c r="AR217" s="27" t="s">
        <v>7</v>
      </c>
      <c r="AS217" s="27" t="s">
        <v>8</v>
      </c>
      <c r="AV217" s="27" t="s">
        <v>7</v>
      </c>
      <c r="AX217" s="27" t="s">
        <v>7</v>
      </c>
      <c r="AZ217" s="27" t="s">
        <v>7</v>
      </c>
      <c r="BE217" s="27" t="s">
        <v>8</v>
      </c>
      <c r="BF217" s="27" t="s">
        <v>7</v>
      </c>
      <c r="BG217" s="18" t="s">
        <v>8</v>
      </c>
      <c r="BI217" s="27" t="s">
        <v>8</v>
      </c>
      <c r="BJ217" s="27" t="s">
        <v>7</v>
      </c>
      <c r="BN217" s="33"/>
      <c r="CB217" s="34" t="s">
        <v>7</v>
      </c>
      <c r="CN217" s="27" t="s">
        <v>7</v>
      </c>
      <c r="CO217" s="27" t="s">
        <v>8</v>
      </c>
      <c r="CP217" s="27" t="s">
        <v>7</v>
      </c>
      <c r="CQ217" s="27" t="s">
        <v>8</v>
      </c>
      <c r="CR217" s="27" t="s">
        <v>7</v>
      </c>
      <c r="CS217" s="27" t="s">
        <v>8</v>
      </c>
      <c r="CU217" s="27" t="s">
        <v>8</v>
      </c>
      <c r="CV217" s="27" t="s">
        <v>7</v>
      </c>
    </row>
    <row r="218" spans="1:102" x14ac:dyDescent="0.25">
      <c r="A218" s="30">
        <v>2.9252607199217264</v>
      </c>
      <c r="E218" t="s">
        <v>8</v>
      </c>
      <c r="AP218" s="27" t="s">
        <v>7</v>
      </c>
      <c r="AQ218" s="27" t="s">
        <v>8</v>
      </c>
      <c r="AR218" s="27" t="s">
        <v>7</v>
      </c>
      <c r="AZ218" s="27" t="s">
        <v>7</v>
      </c>
      <c r="BC218" s="27" t="s">
        <v>8</v>
      </c>
      <c r="BE218" s="27" t="s">
        <v>8</v>
      </c>
      <c r="BF218" s="27" t="s">
        <v>7</v>
      </c>
      <c r="BG218" s="27" t="s">
        <v>8</v>
      </c>
      <c r="BH218" s="27" t="s">
        <v>7</v>
      </c>
      <c r="BI218" s="27" t="s">
        <v>8</v>
      </c>
      <c r="BM218" s="33"/>
      <c r="CN218" s="27" t="s">
        <v>7</v>
      </c>
      <c r="CP218" s="27" t="s">
        <v>7</v>
      </c>
      <c r="CQ218" s="27" t="s">
        <v>8</v>
      </c>
      <c r="CR218" s="27" t="s">
        <v>7</v>
      </c>
      <c r="CS218" s="27" t="s">
        <v>8</v>
      </c>
      <c r="CT218" s="27" t="s">
        <v>7</v>
      </c>
      <c r="CU218" s="27" t="s">
        <v>8</v>
      </c>
      <c r="CV218" s="27" t="s">
        <v>7</v>
      </c>
    </row>
    <row r="219" spans="1:102" x14ac:dyDescent="0.25">
      <c r="A219" s="30">
        <v>2.7859625904016441</v>
      </c>
      <c r="E219" t="s">
        <v>8</v>
      </c>
      <c r="AP219" s="27" t="s">
        <v>7</v>
      </c>
      <c r="AQ219" s="27" t="s">
        <v>8</v>
      </c>
      <c r="AZ219" s="27" t="s">
        <v>7</v>
      </c>
      <c r="BC219" s="27" t="s">
        <v>8</v>
      </c>
      <c r="BD219" s="27" t="s">
        <v>7</v>
      </c>
      <c r="BE219" s="27" t="s">
        <v>8</v>
      </c>
      <c r="BF219" s="27" t="s">
        <v>7</v>
      </c>
      <c r="BG219" s="27" t="s">
        <v>8</v>
      </c>
      <c r="BH219" s="27" t="s">
        <v>7</v>
      </c>
      <c r="BI219" s="27" t="s">
        <v>8</v>
      </c>
      <c r="BL219" s="33"/>
      <c r="CP219" s="27" t="s">
        <v>7</v>
      </c>
      <c r="CR219" s="27" t="s">
        <v>7</v>
      </c>
      <c r="CS219" s="27" t="s">
        <v>8</v>
      </c>
      <c r="CT219" s="27" t="s">
        <v>7</v>
      </c>
      <c r="CU219" s="27" t="s">
        <v>8</v>
      </c>
      <c r="CV219" s="27" t="s">
        <v>7</v>
      </c>
    </row>
    <row r="220" spans="1:102" x14ac:dyDescent="0.25">
      <c r="A220" s="30">
        <v>2.6532977051444226</v>
      </c>
      <c r="E220" t="s">
        <v>8</v>
      </c>
      <c r="AP220" s="27" t="s">
        <v>7</v>
      </c>
      <c r="AQ220" s="27" t="s">
        <v>8</v>
      </c>
      <c r="AZ220" s="27" t="s">
        <v>7</v>
      </c>
      <c r="BC220" s="27" t="s">
        <v>8</v>
      </c>
      <c r="BD220" s="27" t="s">
        <v>7</v>
      </c>
      <c r="BE220" s="27" t="s">
        <v>8</v>
      </c>
      <c r="BF220" s="27" t="s">
        <v>7</v>
      </c>
      <c r="BH220" s="27" t="s">
        <v>7</v>
      </c>
      <c r="BI220" s="27" t="s">
        <v>8</v>
      </c>
      <c r="BK220" s="33"/>
      <c r="CR220" s="35" t="s">
        <v>7</v>
      </c>
      <c r="CT220" s="35" t="s">
        <v>7</v>
      </c>
      <c r="CV220" s="27" t="s">
        <v>7</v>
      </c>
      <c r="CW220" s="27" t="s">
        <v>8</v>
      </c>
    </row>
    <row r="221" spans="1:102" x14ac:dyDescent="0.25">
      <c r="A221" s="30">
        <v>2.5269501953756404</v>
      </c>
      <c r="E221" t="s">
        <v>8</v>
      </c>
      <c r="AP221" s="27" t="s">
        <v>7</v>
      </c>
      <c r="AQ221" s="27" t="s">
        <v>8</v>
      </c>
      <c r="AZ221" s="27" t="s">
        <v>7</v>
      </c>
      <c r="BA221" s="27" t="s">
        <v>8</v>
      </c>
      <c r="BC221" s="27" t="s">
        <v>8</v>
      </c>
      <c r="BD221" s="27" t="s">
        <v>7</v>
      </c>
      <c r="BE221" s="27" t="s">
        <v>8</v>
      </c>
      <c r="BH221" s="31" t="s">
        <v>7</v>
      </c>
      <c r="BI221" s="27" t="s">
        <v>8</v>
      </c>
      <c r="BJ221" s="33"/>
      <c r="CV221" s="27" t="s">
        <v>7</v>
      </c>
      <c r="CW221" s="27" t="s">
        <v>8</v>
      </c>
      <c r="CX221" s="27" t="s">
        <v>7</v>
      </c>
    </row>
    <row r="222" spans="1:102" x14ac:dyDescent="0.25">
      <c r="A222" s="30">
        <v>2.4066192336910861</v>
      </c>
      <c r="E222" t="s">
        <v>8</v>
      </c>
      <c r="AP222" s="27" t="s">
        <v>7</v>
      </c>
      <c r="AQ222" s="27" t="s">
        <v>8</v>
      </c>
      <c r="AZ222" s="27" t="s">
        <v>7</v>
      </c>
      <c r="BA222" s="27" t="s">
        <v>8</v>
      </c>
      <c r="BB222" s="27" t="s">
        <v>7</v>
      </c>
      <c r="BC222" s="27" t="s">
        <v>8</v>
      </c>
      <c r="BD222" s="27" t="s">
        <v>7</v>
      </c>
      <c r="BH222" s="27" t="s">
        <v>7</v>
      </c>
      <c r="BI222" s="33" t="s">
        <v>8</v>
      </c>
      <c r="CV222" s="27" t="s">
        <v>7</v>
      </c>
      <c r="CW222" s="27" t="s">
        <v>8</v>
      </c>
      <c r="CX222" s="27" t="s">
        <v>7</v>
      </c>
    </row>
    <row r="223" spans="1:102" x14ac:dyDescent="0.25">
      <c r="A223" s="30">
        <v>2.2920183178010345</v>
      </c>
      <c r="E223" t="s">
        <v>8</v>
      </c>
      <c r="AP223" s="27" t="s">
        <v>7</v>
      </c>
      <c r="AQ223" s="27" t="s">
        <v>8</v>
      </c>
      <c r="AZ223" s="27" t="s">
        <v>7</v>
      </c>
      <c r="BA223" s="27" t="s">
        <v>8</v>
      </c>
      <c r="BB223" s="27" t="s">
        <v>7</v>
      </c>
      <c r="BC223" s="27" t="s">
        <v>8</v>
      </c>
      <c r="BH223" s="33" t="s">
        <v>7</v>
      </c>
      <c r="CV223" s="27" t="s">
        <v>7</v>
      </c>
      <c r="CX223" s="27" t="s">
        <v>7</v>
      </c>
    </row>
    <row r="224" spans="1:102" x14ac:dyDescent="0.25">
      <c r="A224" s="30">
        <v>2.1828745883819374</v>
      </c>
      <c r="E224" t="s">
        <v>8</v>
      </c>
      <c r="AP224" s="27" t="s">
        <v>7</v>
      </c>
      <c r="AQ224" s="27" t="s">
        <v>8</v>
      </c>
      <c r="AZ224" s="27" t="s">
        <v>7</v>
      </c>
      <c r="BA224" s="27" t="s">
        <v>8</v>
      </c>
      <c r="BB224" s="27" t="s">
        <v>7</v>
      </c>
      <c r="BC224" s="27" t="s">
        <v>8</v>
      </c>
      <c r="CX224" s="27" t="s">
        <v>7</v>
      </c>
    </row>
    <row r="225" spans="1:103" x14ac:dyDescent="0.25">
      <c r="A225" s="30">
        <v>2.0789281794113688</v>
      </c>
      <c r="E225" t="s">
        <v>8</v>
      </c>
      <c r="AP225" s="27" t="s">
        <v>7</v>
      </c>
      <c r="AZ225" s="27" t="s">
        <v>7</v>
      </c>
      <c r="BA225" s="27" t="s">
        <v>8</v>
      </c>
      <c r="BB225" s="27" t="s">
        <v>7</v>
      </c>
      <c r="CX225" s="27" t="s">
        <v>7</v>
      </c>
    </row>
    <row r="226" spans="1:103" x14ac:dyDescent="0.25">
      <c r="A226" s="30">
        <v>1.9799315994393987</v>
      </c>
      <c r="E226" t="s">
        <v>8</v>
      </c>
      <c r="AZ226" s="27" t="s">
        <v>7</v>
      </c>
      <c r="CX226" s="27" t="s">
        <v>7</v>
      </c>
    </row>
    <row r="227" spans="1:103" x14ac:dyDescent="0.25">
      <c r="A227" s="30">
        <v>1.8856491423232367</v>
      </c>
      <c r="E227" t="s">
        <v>8</v>
      </c>
      <c r="CX227" s="27" t="s">
        <v>7</v>
      </c>
    </row>
    <row r="228" spans="1:103" x14ac:dyDescent="0.25">
      <c r="A228" s="30">
        <v>1.7958563260221301</v>
      </c>
      <c r="C228" s="7"/>
      <c r="D228"/>
      <c r="E228" t="s">
        <v>8</v>
      </c>
      <c r="CX228" s="27" t="s">
        <v>7</v>
      </c>
    </row>
    <row r="229" spans="1:103" x14ac:dyDescent="0.25">
      <c r="A229" s="30">
        <v>1.7103393581163142</v>
      </c>
      <c r="E229" t="s">
        <v>8</v>
      </c>
      <c r="CX229" s="27" t="s">
        <v>7</v>
      </c>
    </row>
    <row r="230" spans="1:103" x14ac:dyDescent="0.25">
      <c r="A230" s="30">
        <v>1.628894626777442</v>
      </c>
      <c r="E230" t="s">
        <v>8</v>
      </c>
      <c r="CX230" s="27" t="s">
        <v>7</v>
      </c>
      <c r="CY230" s="27" t="s">
        <v>8</v>
      </c>
    </row>
    <row r="231" spans="1:103" x14ac:dyDescent="0.25">
      <c r="A231" s="30">
        <v>1.5513282159785162</v>
      </c>
      <c r="C231"/>
      <c r="D231"/>
      <c r="E231" t="s">
        <v>8</v>
      </c>
      <c r="CX231" s="27" t="s">
        <v>7</v>
      </c>
      <c r="CY231" s="27" t="s">
        <v>8</v>
      </c>
    </row>
    <row r="232" spans="1:103" x14ac:dyDescent="0.25">
      <c r="A232" s="30">
        <v>1.477455443789063</v>
      </c>
      <c r="E232" t="s">
        <v>8</v>
      </c>
      <c r="CX232" s="27" t="s">
        <v>7</v>
      </c>
      <c r="CY232" s="27" t="s">
        <v>8</v>
      </c>
    </row>
    <row r="233" spans="1:103" x14ac:dyDescent="0.25">
      <c r="A233" s="30">
        <v>1.4071004226562505</v>
      </c>
      <c r="E233" t="s">
        <v>8</v>
      </c>
      <c r="CX233" s="27" t="s">
        <v>7</v>
      </c>
    </row>
    <row r="234" spans="1:103" x14ac:dyDescent="0.25">
      <c r="A234" s="30">
        <v>1.3400956406250004</v>
      </c>
      <c r="E234" t="s">
        <v>8</v>
      </c>
    </row>
    <row r="235" spans="1:103" x14ac:dyDescent="0.25">
      <c r="A235" s="30">
        <v>1.2762815625000004</v>
      </c>
      <c r="C235"/>
      <c r="E235" t="s">
        <v>8</v>
      </c>
    </row>
    <row r="236" spans="1:103" x14ac:dyDescent="0.25">
      <c r="A236" s="30">
        <v>1.2155062500000002</v>
      </c>
      <c r="E236" t="s">
        <v>8</v>
      </c>
    </row>
    <row r="237" spans="1:103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103" x14ac:dyDescent="0.25">
      <c r="A238" s="30">
        <v>1.1025</v>
      </c>
      <c r="E238" t="s">
        <v>8</v>
      </c>
    </row>
    <row r="239" spans="1:103" x14ac:dyDescent="0.25">
      <c r="A239" s="30">
        <v>1.05</v>
      </c>
      <c r="E239" t="s">
        <v>8</v>
      </c>
    </row>
    <row r="240" spans="1:103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78" operator="equal">
      <formula>$U$1</formula>
    </cfRule>
    <cfRule type="cellIs" dxfId="67" priority="779" operator="equal">
      <formula>$S$1</formula>
    </cfRule>
  </conditionalFormatting>
  <conditionalFormatting sqref="D136">
    <cfRule type="cellIs" dxfId="66" priority="776" operator="equal">
      <formula>$S$1</formula>
    </cfRule>
    <cfRule type="cellIs" dxfId="65" priority="777" operator="equal">
      <formula>$U$1</formula>
    </cfRule>
  </conditionalFormatting>
  <conditionalFormatting sqref="C162">
    <cfRule type="cellIs" dxfId="64" priority="774" operator="equal">
      <formula>$U$1</formula>
    </cfRule>
    <cfRule type="cellIs" dxfId="63" priority="775" operator="equal">
      <formula>$S$1</formula>
    </cfRule>
  </conditionalFormatting>
  <conditionalFormatting sqref="D162">
    <cfRule type="cellIs" dxfId="62" priority="772" operator="equal">
      <formula>$S$1</formula>
    </cfRule>
    <cfRule type="cellIs" dxfId="61" priority="773" operator="equal">
      <formula>$U$1</formula>
    </cfRule>
  </conditionalFormatting>
  <conditionalFormatting sqref="C187">
    <cfRule type="cellIs" dxfId="60" priority="770" operator="equal">
      <formula>$U$1</formula>
    </cfRule>
    <cfRule type="cellIs" dxfId="59" priority="771" operator="equal">
      <formula>$S$1</formula>
    </cfRule>
  </conditionalFormatting>
  <conditionalFormatting sqref="D187">
    <cfRule type="cellIs" dxfId="58" priority="768" operator="equal">
      <formula>$S$1</formula>
    </cfRule>
    <cfRule type="cellIs" dxfId="57" priority="769" operator="equal">
      <formula>$U$1</formula>
    </cfRule>
  </conditionalFormatting>
  <conditionalFormatting sqref="C212">
    <cfRule type="cellIs" dxfId="56" priority="766" operator="equal">
      <formula>$U$1</formula>
    </cfRule>
    <cfRule type="cellIs" dxfId="55" priority="767" operator="equal">
      <formula>$S$1</formula>
    </cfRule>
  </conditionalFormatting>
  <conditionalFormatting sqref="D212">
    <cfRule type="cellIs" dxfId="54" priority="764" operator="equal">
      <formula>$S$1</formula>
    </cfRule>
    <cfRule type="cellIs" dxfId="53" priority="765" operator="equal">
      <formula>$U$1</formula>
    </cfRule>
  </conditionalFormatting>
  <conditionalFormatting sqref="C237">
    <cfRule type="cellIs" dxfId="52" priority="762" operator="equal">
      <formula>$U$1</formula>
    </cfRule>
    <cfRule type="cellIs" dxfId="51" priority="763" operator="equal">
      <formula>$S$1</formula>
    </cfRule>
  </conditionalFormatting>
  <conditionalFormatting sqref="D237">
    <cfRule type="cellIs" dxfId="50" priority="760" operator="equal">
      <formula>$S$1</formula>
    </cfRule>
    <cfRule type="cellIs" dxfId="49" priority="761" operator="equal">
      <formula>$U$1</formula>
    </cfRule>
  </conditionalFormatting>
  <conditionalFormatting sqref="C106">
    <cfRule type="cellIs" dxfId="48" priority="758" operator="equal">
      <formula>$U$1</formula>
    </cfRule>
    <cfRule type="cellIs" dxfId="47" priority="759" operator="equal">
      <formula>$S$1</formula>
    </cfRule>
  </conditionalFormatting>
  <conditionalFormatting sqref="D106">
    <cfRule type="cellIs" dxfId="46" priority="756" operator="equal">
      <formula>$S$1</formula>
    </cfRule>
    <cfRule type="cellIs" dxfId="45" priority="757" operator="equal">
      <formula>$U$1</formula>
    </cfRule>
  </conditionalFormatting>
  <conditionalFormatting sqref="C81">
    <cfRule type="cellIs" dxfId="44" priority="754" operator="equal">
      <formula>$U$1</formula>
    </cfRule>
    <cfRule type="cellIs" dxfId="43" priority="755" operator="equal">
      <formula>$S$1</formula>
    </cfRule>
  </conditionalFormatting>
  <conditionalFormatting sqref="D81">
    <cfRule type="cellIs" dxfId="42" priority="752" operator="equal">
      <formula>$S$1</formula>
    </cfRule>
    <cfRule type="cellIs" dxfId="41" priority="753" operator="equal">
      <formula>$U$1</formula>
    </cfRule>
  </conditionalFormatting>
  <conditionalFormatting sqref="C56">
    <cfRule type="cellIs" dxfId="40" priority="750" operator="equal">
      <formula>$U$1</formula>
    </cfRule>
    <cfRule type="cellIs" dxfId="39" priority="751" operator="equal">
      <formula>$S$1</formula>
    </cfRule>
  </conditionalFormatting>
  <conditionalFormatting sqref="D56">
    <cfRule type="cellIs" dxfId="38" priority="748" operator="equal">
      <formula>$S$1</formula>
    </cfRule>
    <cfRule type="cellIs" dxfId="37" priority="749" operator="equal">
      <formula>$U$1</formula>
    </cfRule>
  </conditionalFormatting>
  <conditionalFormatting sqref="C31">
    <cfRule type="cellIs" dxfId="36" priority="746" operator="equal">
      <formula>$U$1</formula>
    </cfRule>
    <cfRule type="cellIs" dxfId="35" priority="747" operator="equal">
      <formula>$S$1</formula>
    </cfRule>
  </conditionalFormatting>
  <conditionalFormatting sqref="D31">
    <cfRule type="cellIs" dxfId="34" priority="744" operator="equal">
      <formula>$S$1</formula>
    </cfRule>
    <cfRule type="cellIs" dxfId="33" priority="7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84" zoomScale="90" zoomScaleNormal="90" workbookViewId="0">
      <pane xSplit="4" topLeftCell="G1" activePane="topRight" state="frozen"/>
      <selection activeCell="A109" sqref="A109"/>
      <selection pane="topRight" activeCell="AF117" sqref="AF11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15" x14ac:dyDescent="0.25">
      <c r="A81" s="30">
        <v>45.259255568176073</v>
      </c>
      <c r="E81"/>
    </row>
    <row r="82" spans="1:15" x14ac:dyDescent="0.25">
      <c r="A82" s="30">
        <v>41.144777789250973</v>
      </c>
      <c r="E82"/>
    </row>
    <row r="83" spans="1:15" x14ac:dyDescent="0.25">
      <c r="A83" s="30">
        <v>37.404343444773609</v>
      </c>
      <c r="E83"/>
    </row>
    <row r="84" spans="1:15" x14ac:dyDescent="0.25">
      <c r="A84" s="30">
        <v>34.003948586157826</v>
      </c>
      <c r="E84"/>
    </row>
    <row r="85" spans="1:15" x14ac:dyDescent="0.25">
      <c r="A85" s="30">
        <v>30.912680532870748</v>
      </c>
      <c r="E85"/>
    </row>
    <row r="86" spans="1:15" x14ac:dyDescent="0.25">
      <c r="A86" s="30">
        <v>28.102436848064315</v>
      </c>
      <c r="E86"/>
    </row>
    <row r="87" spans="1:15" x14ac:dyDescent="0.25">
      <c r="A87" s="30">
        <v>25.547669861876649</v>
      </c>
      <c r="E87"/>
    </row>
    <row r="88" spans="1:15" x14ac:dyDescent="0.25">
      <c r="A88" s="30">
        <v>23.225154419887861</v>
      </c>
      <c r="E88"/>
    </row>
    <row r="89" spans="1:15" x14ac:dyDescent="0.25">
      <c r="A89" s="30">
        <v>21.113776745352599</v>
      </c>
      <c r="E89"/>
    </row>
    <row r="90" spans="1:15" x14ac:dyDescent="0.25">
      <c r="A90" s="30">
        <v>19.194342495775089</v>
      </c>
      <c r="E90"/>
    </row>
    <row r="91" spans="1:15" x14ac:dyDescent="0.25">
      <c r="A91" s="30">
        <v>17.449402268886445</v>
      </c>
      <c r="E91"/>
    </row>
    <row r="92" spans="1:15" x14ac:dyDescent="0.25">
      <c r="A92" s="30">
        <v>15.863092971714948</v>
      </c>
      <c r="C92" s="1" t="s">
        <v>15</v>
      </c>
      <c r="E92"/>
    </row>
    <row r="93" spans="1:15" x14ac:dyDescent="0.25">
      <c r="A93" s="30">
        <v>14.420993610649951</v>
      </c>
      <c r="C93" s="7">
        <v>0.11167815779424731</v>
      </c>
      <c r="D93"/>
      <c r="E93"/>
      <c r="G93" s="27" t="s">
        <v>8</v>
      </c>
    </row>
    <row r="94" spans="1:15" x14ac:dyDescent="0.25">
      <c r="A94" s="30">
        <v>13.109994191499954</v>
      </c>
      <c r="E94"/>
      <c r="G94" s="27" t="s">
        <v>8</v>
      </c>
      <c r="H94" s="27" t="s">
        <v>7</v>
      </c>
      <c r="M94" s="27" t="s">
        <v>8</v>
      </c>
    </row>
    <row r="95" spans="1:15" x14ac:dyDescent="0.25">
      <c r="A95" s="30">
        <v>11.918176537727231</v>
      </c>
      <c r="C95" s="1" t="s">
        <v>11</v>
      </c>
      <c r="D95" s="1" t="s">
        <v>12</v>
      </c>
      <c r="E95"/>
      <c r="G95" s="27" t="s">
        <v>8</v>
      </c>
      <c r="H95" s="27" t="s">
        <v>7</v>
      </c>
      <c r="K95" s="27" t="s">
        <v>8</v>
      </c>
      <c r="M95" s="27" t="s">
        <v>8</v>
      </c>
      <c r="N95" s="27" t="s">
        <v>7</v>
      </c>
    </row>
    <row r="96" spans="1:15" x14ac:dyDescent="0.25">
      <c r="A96" s="30">
        <v>10.834705943388391</v>
      </c>
      <c r="C96"/>
      <c r="D96"/>
      <c r="E96"/>
      <c r="G96" s="27" t="s">
        <v>8</v>
      </c>
      <c r="H96" s="27" t="s">
        <v>7</v>
      </c>
      <c r="K96" s="27" t="s">
        <v>8</v>
      </c>
      <c r="L96" s="27" t="s">
        <v>7</v>
      </c>
      <c r="M96" s="27" t="s">
        <v>8</v>
      </c>
      <c r="N96" s="27" t="s">
        <v>7</v>
      </c>
      <c r="O96" s="27" t="s">
        <v>8</v>
      </c>
    </row>
    <row r="97" spans="1:32" x14ac:dyDescent="0.25">
      <c r="A97" s="30">
        <v>9.849732675807628</v>
      </c>
      <c r="E97"/>
      <c r="G97" s="27" t="s">
        <v>8</v>
      </c>
      <c r="H97" s="27" t="s">
        <v>7</v>
      </c>
      <c r="I97" s="27" t="s">
        <v>8</v>
      </c>
      <c r="K97" s="27" t="s">
        <v>8</v>
      </c>
      <c r="L97" s="27" t="s">
        <v>7</v>
      </c>
      <c r="M97" s="27" t="s">
        <v>8</v>
      </c>
      <c r="N97" s="27" t="s">
        <v>7</v>
      </c>
      <c r="O97" s="27" t="s">
        <v>8</v>
      </c>
      <c r="P97" s="27" t="s">
        <v>7</v>
      </c>
      <c r="Q97" s="33" t="s">
        <v>8</v>
      </c>
    </row>
    <row r="98" spans="1:32" x14ac:dyDescent="0.25">
      <c r="A98" s="30">
        <v>8.9543024325523888</v>
      </c>
      <c r="C98" s="1" t="s">
        <v>13</v>
      </c>
      <c r="E98" t="s">
        <v>8</v>
      </c>
      <c r="G98" s="27" t="s">
        <v>8</v>
      </c>
      <c r="H98" s="27" t="s">
        <v>7</v>
      </c>
      <c r="I98" s="27" t="s">
        <v>8</v>
      </c>
      <c r="J98" s="27" t="s">
        <v>7</v>
      </c>
      <c r="K98" s="27" t="s">
        <v>8</v>
      </c>
      <c r="L98" s="27" t="s">
        <v>7</v>
      </c>
      <c r="M98" s="27" t="s">
        <v>8</v>
      </c>
      <c r="N98" s="27" t="s">
        <v>7</v>
      </c>
      <c r="O98" s="27" t="s">
        <v>8</v>
      </c>
      <c r="P98" s="27" t="s">
        <v>7</v>
      </c>
      <c r="Q98" s="27" t="s">
        <v>8</v>
      </c>
      <c r="R98" s="33" t="s">
        <v>7</v>
      </c>
    </row>
    <row r="99" spans="1:32" x14ac:dyDescent="0.25">
      <c r="A99" s="30">
        <v>8.140274938683989</v>
      </c>
      <c r="C99" s="1">
        <f>C88</f>
        <v>0</v>
      </c>
      <c r="E99" t="s">
        <v>8</v>
      </c>
      <c r="F99" s="27" t="s">
        <v>7</v>
      </c>
      <c r="G99" s="27" t="s">
        <v>8</v>
      </c>
      <c r="H99" s="27" t="s">
        <v>7</v>
      </c>
      <c r="I99" s="27" t="s">
        <v>8</v>
      </c>
      <c r="J99" s="27" t="s">
        <v>7</v>
      </c>
      <c r="K99" s="27" t="s">
        <v>8</v>
      </c>
      <c r="L99" s="27" t="s">
        <v>7</v>
      </c>
      <c r="N99" s="27" t="s">
        <v>7</v>
      </c>
      <c r="P99" s="27" t="s">
        <v>7</v>
      </c>
      <c r="Q99" s="27" t="s">
        <v>8</v>
      </c>
      <c r="R99" s="27" t="s">
        <v>7</v>
      </c>
      <c r="S99" s="33"/>
    </row>
    <row r="100" spans="1:32" x14ac:dyDescent="0.25">
      <c r="A100" s="30">
        <v>7.4002499442581717</v>
      </c>
      <c r="C100"/>
      <c r="D100"/>
      <c r="E100" t="s">
        <v>8</v>
      </c>
      <c r="F100" s="27" t="s">
        <v>7</v>
      </c>
      <c r="G100" s="27" t="s">
        <v>8</v>
      </c>
      <c r="H100" s="27" t="s">
        <v>7</v>
      </c>
      <c r="I100" s="27" t="s">
        <v>8</v>
      </c>
      <c r="J100" s="27" t="s">
        <v>7</v>
      </c>
      <c r="K100" s="27" t="s">
        <v>8</v>
      </c>
      <c r="P100" s="27" t="s">
        <v>7</v>
      </c>
      <c r="Q100" s="27" t="s">
        <v>8</v>
      </c>
      <c r="R100" s="27" t="s">
        <v>7</v>
      </c>
      <c r="T100" s="33"/>
      <c r="AE100" s="27" t="s">
        <v>8</v>
      </c>
    </row>
    <row r="101" spans="1:32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G101" s="27" t="s">
        <v>8</v>
      </c>
      <c r="H101" s="27" t="s">
        <v>7</v>
      </c>
      <c r="J101" s="27" t="s">
        <v>7</v>
      </c>
      <c r="P101" s="27" t="s">
        <v>7</v>
      </c>
      <c r="R101" s="27" t="s">
        <v>7</v>
      </c>
      <c r="U101" s="33"/>
      <c r="AE101" s="27" t="s">
        <v>8</v>
      </c>
      <c r="AF101" s="27" t="s">
        <v>7</v>
      </c>
    </row>
    <row r="102" spans="1:3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R102" s="27" t="s">
        <v>7</v>
      </c>
      <c r="V102" s="33"/>
      <c r="AE102" s="27" t="s">
        <v>8</v>
      </c>
      <c r="AF102" s="27" t="s">
        <v>7</v>
      </c>
    </row>
    <row r="103" spans="1:32" x14ac:dyDescent="0.25">
      <c r="A103" s="30">
        <v>5.5599173134922388</v>
      </c>
      <c r="E103" t="s">
        <v>8</v>
      </c>
      <c r="R103" s="27" t="s">
        <v>7</v>
      </c>
      <c r="W103" s="33"/>
      <c r="AA103" s="27" t="s">
        <v>8</v>
      </c>
      <c r="AC103" s="27" t="s">
        <v>8</v>
      </c>
      <c r="AE103" s="27" t="s">
        <v>8</v>
      </c>
      <c r="AF103" s="27" t="s">
        <v>7</v>
      </c>
    </row>
    <row r="104" spans="1:32" x14ac:dyDescent="0.25">
      <c r="A104" s="30">
        <v>5.0544702849929442</v>
      </c>
      <c r="E104" t="s">
        <v>8</v>
      </c>
      <c r="R104" s="27" t="s">
        <v>7</v>
      </c>
      <c r="X104" s="33"/>
      <c r="AA104" s="27" t="s">
        <v>8</v>
      </c>
      <c r="AB104" s="27" t="s">
        <v>7</v>
      </c>
      <c r="AC104" s="27" t="s">
        <v>8</v>
      </c>
      <c r="AD104" s="27" t="s">
        <v>7</v>
      </c>
      <c r="AE104" s="27" t="s">
        <v>8</v>
      </c>
      <c r="AF104" s="27" t="s">
        <v>7</v>
      </c>
    </row>
    <row r="105" spans="1:32" x14ac:dyDescent="0.25">
      <c r="A105" s="30">
        <v>4.594972986357222</v>
      </c>
      <c r="E105" t="s">
        <v>8</v>
      </c>
      <c r="R105" s="27" t="s">
        <v>7</v>
      </c>
      <c r="S105" s="27" t="s">
        <v>8</v>
      </c>
      <c r="W105" s="27" t="s">
        <v>8</v>
      </c>
      <c r="Y105" s="33"/>
      <c r="AA105" s="27" t="s">
        <v>8</v>
      </c>
      <c r="AB105" s="27" t="s">
        <v>7</v>
      </c>
      <c r="AC105" s="27" t="s">
        <v>8</v>
      </c>
      <c r="AD105" s="27" t="s">
        <v>7</v>
      </c>
      <c r="AE105" s="27" t="s">
        <v>8</v>
      </c>
      <c r="AF105" s="27" t="s">
        <v>7</v>
      </c>
    </row>
    <row r="106" spans="1:32" x14ac:dyDescent="0.25">
      <c r="A106" s="30">
        <v>4.1772481694156562</v>
      </c>
      <c r="E106" t="s">
        <v>8</v>
      </c>
      <c r="R106" s="27" t="s">
        <v>7</v>
      </c>
      <c r="S106" s="27" t="s">
        <v>8</v>
      </c>
      <c r="T106" s="27" t="s">
        <v>7</v>
      </c>
      <c r="W106" s="27" t="s">
        <v>8</v>
      </c>
      <c r="X106" s="27" t="s">
        <v>7</v>
      </c>
      <c r="Z106" s="33"/>
      <c r="AA106" s="27" t="s">
        <v>8</v>
      </c>
      <c r="AB106" s="27" t="s">
        <v>7</v>
      </c>
      <c r="AC106" s="27" t="s">
        <v>8</v>
      </c>
      <c r="AD106" s="27" t="s">
        <v>7</v>
      </c>
      <c r="AF106" s="33" t="s">
        <v>7</v>
      </c>
    </row>
    <row r="107" spans="1:32" x14ac:dyDescent="0.25">
      <c r="A107" s="30">
        <v>3.7974983358324148</v>
      </c>
      <c r="E107" t="s">
        <v>8</v>
      </c>
      <c r="R107" s="27" t="s">
        <v>7</v>
      </c>
      <c r="S107" s="27" t="s">
        <v>8</v>
      </c>
      <c r="T107" s="27" t="s">
        <v>7</v>
      </c>
      <c r="U107" s="27" t="s">
        <v>8</v>
      </c>
      <c r="W107" s="27" t="s">
        <v>8</v>
      </c>
      <c r="X107" s="27" t="s">
        <v>7</v>
      </c>
      <c r="AA107" s="33" t="s">
        <v>8</v>
      </c>
      <c r="AB107" s="27" t="s">
        <v>7</v>
      </c>
      <c r="AC107" s="27" t="s">
        <v>8</v>
      </c>
      <c r="AE107" s="33"/>
      <c r="AF107" s="27" t="s">
        <v>7</v>
      </c>
    </row>
    <row r="108" spans="1:32" x14ac:dyDescent="0.25">
      <c r="A108" s="30">
        <v>3.4522712143931042</v>
      </c>
      <c r="E108" t="s">
        <v>8</v>
      </c>
      <c r="R108" s="27" t="s">
        <v>7</v>
      </c>
      <c r="S108" s="27" t="s">
        <v>8</v>
      </c>
      <c r="T108" s="27" t="s">
        <v>7</v>
      </c>
      <c r="U108" s="27" t="s">
        <v>8</v>
      </c>
      <c r="V108" s="27" t="s">
        <v>7</v>
      </c>
      <c r="W108" s="27" t="s">
        <v>8</v>
      </c>
      <c r="X108" s="27" t="s">
        <v>7</v>
      </c>
      <c r="Y108" s="18" t="s">
        <v>8</v>
      </c>
      <c r="AA108" s="27" t="s">
        <v>8</v>
      </c>
      <c r="AB108" s="27" t="s">
        <v>7</v>
      </c>
      <c r="AC108" s="27" t="s">
        <v>8</v>
      </c>
      <c r="AD108" s="33"/>
      <c r="AF108" s="27" t="s">
        <v>7</v>
      </c>
    </row>
    <row r="109" spans="1:32" x14ac:dyDescent="0.25">
      <c r="A109" s="30">
        <v>3.1384283767210035</v>
      </c>
      <c r="E109" t="s">
        <v>8</v>
      </c>
      <c r="R109" s="27" t="s">
        <v>7</v>
      </c>
      <c r="T109" s="27" t="s">
        <v>7</v>
      </c>
      <c r="U109" s="27" t="s">
        <v>8</v>
      </c>
      <c r="V109" s="27" t="s">
        <v>7</v>
      </c>
      <c r="W109" s="27" t="s">
        <v>8</v>
      </c>
      <c r="X109" s="27" t="s">
        <v>7</v>
      </c>
      <c r="Y109" s="27" t="s">
        <v>8</v>
      </c>
      <c r="Z109" s="27" t="s">
        <v>7</v>
      </c>
      <c r="AA109" s="27" t="s">
        <v>8</v>
      </c>
      <c r="AB109" s="27" t="s">
        <v>7</v>
      </c>
      <c r="AC109" s="33"/>
      <c r="AF109" s="27" t="s">
        <v>7</v>
      </c>
    </row>
    <row r="110" spans="1:32" x14ac:dyDescent="0.25">
      <c r="A110" s="30">
        <v>2.8531167061100029</v>
      </c>
      <c r="E110" t="s">
        <v>8</v>
      </c>
      <c r="T110" s="27" t="s">
        <v>7</v>
      </c>
      <c r="U110" s="27" t="s">
        <v>8</v>
      </c>
      <c r="V110" s="27" t="s">
        <v>7</v>
      </c>
      <c r="X110" s="27" t="s">
        <v>7</v>
      </c>
      <c r="Y110" s="27" t="s">
        <v>8</v>
      </c>
      <c r="Z110" s="27" t="s">
        <v>7</v>
      </c>
      <c r="AA110" s="27" t="s">
        <v>8</v>
      </c>
      <c r="AB110" s="33"/>
      <c r="AF110" s="27" t="s">
        <v>7</v>
      </c>
    </row>
    <row r="111" spans="1:32" x14ac:dyDescent="0.25">
      <c r="A111" s="30">
        <v>2.5937424601000023</v>
      </c>
      <c r="C111" s="1" t="str">
        <f>ADDRESS(C121-1,1,1,1)</f>
        <v>$A$116</v>
      </c>
      <c r="D111" s="1" t="str">
        <f>ADDRESS(C121-1,D121,1,1)</f>
        <v>$AF$116</v>
      </c>
      <c r="E111" t="s">
        <v>8</v>
      </c>
      <c r="T111" s="27" t="s">
        <v>7</v>
      </c>
      <c r="U111" s="27" t="s">
        <v>8</v>
      </c>
      <c r="X111" s="27" t="s">
        <v>7</v>
      </c>
      <c r="Y111" s="27" t="s">
        <v>8</v>
      </c>
      <c r="Z111" s="27" t="s">
        <v>7</v>
      </c>
      <c r="AA111" s="33" t="s">
        <v>8</v>
      </c>
      <c r="AF111" s="27" t="s">
        <v>7</v>
      </c>
    </row>
    <row r="112" spans="1:32" x14ac:dyDescent="0.25">
      <c r="A112" s="30">
        <v>2.3579476910000019</v>
      </c>
      <c r="C112" s="1" t="str">
        <f>ADDRESS(C121,1,1,1)</f>
        <v>$A$117</v>
      </c>
      <c r="D112" s="1" t="str">
        <f>ADDRESS(C121,D121-1,1,1)</f>
        <v>$AE$117</v>
      </c>
      <c r="E112" t="s">
        <v>8</v>
      </c>
      <c r="T112" s="27" t="s">
        <v>7</v>
      </c>
      <c r="U112" s="27" t="s">
        <v>8</v>
      </c>
      <c r="X112" s="27" t="s">
        <v>7</v>
      </c>
      <c r="Y112" s="27" t="s">
        <v>8</v>
      </c>
      <c r="Z112" s="33" t="s">
        <v>7</v>
      </c>
      <c r="AF112" s="27" t="s">
        <v>7</v>
      </c>
    </row>
    <row r="113" spans="1:32" x14ac:dyDescent="0.25">
      <c r="A113" s="30">
        <v>2.1435888100000016</v>
      </c>
      <c r="C113" s="1" t="str">
        <f>ADDRESS(C121+1,1,1,1)</f>
        <v>$A$118</v>
      </c>
      <c r="D113" s="1" t="str">
        <f>ADDRESS(C121-1,D121+1,1,1)</f>
        <v>$AG$116</v>
      </c>
      <c r="E113" s="1" t="s">
        <v>8</v>
      </c>
      <c r="T113" s="27" t="s">
        <v>7</v>
      </c>
      <c r="X113" s="27" t="s">
        <v>7</v>
      </c>
      <c r="Y113" s="33" t="s">
        <v>8</v>
      </c>
      <c r="AF113" s="27" t="s">
        <v>7</v>
      </c>
    </row>
    <row r="114" spans="1:32" x14ac:dyDescent="0.25">
      <c r="A114" s="30">
        <v>1.9487171000000014</v>
      </c>
      <c r="C114" s="1" t="str">
        <f>ADDRESS(C121,D121,1,1)</f>
        <v>$AF$117</v>
      </c>
      <c r="D114" s="1" t="str">
        <f>ADDRESS(C121+1,D121+1,1,1)</f>
        <v>$AG$118</v>
      </c>
      <c r="E114" s="1" t="s">
        <v>8</v>
      </c>
      <c r="X114" s="33" t="s">
        <v>7</v>
      </c>
      <c r="AF114" s="27" t="s">
        <v>7</v>
      </c>
    </row>
    <row r="115" spans="1:32" x14ac:dyDescent="0.25">
      <c r="A115" s="30">
        <v>1.7715610000000011</v>
      </c>
      <c r="C115" s="1" t="str">
        <f>ADDRESS(C121+1,D121,1,1)</f>
        <v>$AF$118</v>
      </c>
      <c r="E115" s="1" t="s">
        <v>8</v>
      </c>
      <c r="AF115" s="27" t="s">
        <v>7</v>
      </c>
    </row>
    <row r="116" spans="1:32" x14ac:dyDescent="0.25">
      <c r="A116" s="30">
        <v>1.6105100000000008</v>
      </c>
      <c r="C116" s="1">
        <f>C117-1</f>
        <v>116</v>
      </c>
      <c r="E116" s="1" t="s">
        <v>8</v>
      </c>
      <c r="AF116" s="27" t="s">
        <v>7</v>
      </c>
    </row>
    <row r="117" spans="1:32" x14ac:dyDescent="0.25">
      <c r="A117" s="30">
        <v>1.4641000000000006</v>
      </c>
      <c r="C117" s="1">
        <f>C121</f>
        <v>117</v>
      </c>
      <c r="D117" s="1">
        <f>D121</f>
        <v>32</v>
      </c>
      <c r="E117" s="1" t="s">
        <v>8</v>
      </c>
      <c r="AF117" s="27" t="s">
        <v>7</v>
      </c>
    </row>
    <row r="118" spans="1:32" x14ac:dyDescent="0.25">
      <c r="A118" s="30">
        <v>1.3310000000000004</v>
      </c>
      <c r="C118" s="1">
        <f>C117+1</f>
        <v>118</v>
      </c>
      <c r="D118" s="1">
        <f>D117+1</f>
        <v>33</v>
      </c>
      <c r="E118" s="1" t="s">
        <v>8</v>
      </c>
    </row>
    <row r="119" spans="1:32" x14ac:dyDescent="0.25">
      <c r="A119" s="30">
        <v>1.2100000000000002</v>
      </c>
      <c r="E119" s="1" t="s">
        <v>8</v>
      </c>
    </row>
    <row r="120" spans="1:32" x14ac:dyDescent="0.25">
      <c r="A120" s="30">
        <v>1.1000000000000001</v>
      </c>
      <c r="C120" s="1" t="s">
        <v>9</v>
      </c>
      <c r="E120" s="1" t="s">
        <v>8</v>
      </c>
    </row>
    <row r="121" spans="1:32" x14ac:dyDescent="0.25">
      <c r="A121" s="30">
        <v>1</v>
      </c>
      <c r="C121" s="18">
        <v>117</v>
      </c>
      <c r="D121" s="19">
        <v>32</v>
      </c>
      <c r="E121" s="18" t="s">
        <v>8</v>
      </c>
    </row>
    <row r="122" spans="1:32" x14ac:dyDescent="0.25">
      <c r="A122" s="30">
        <v>0.90909090909090895</v>
      </c>
      <c r="C122" s="1" t="str">
        <f>INDEX(1:1048576,C117,D117)</f>
        <v>O</v>
      </c>
    </row>
    <row r="123" spans="1:32" x14ac:dyDescent="0.25">
      <c r="A123" s="30">
        <v>0.82644628099173523</v>
      </c>
      <c r="C123" s="1" t="str">
        <f>"R"&amp;C121</f>
        <v>R117</v>
      </c>
      <c r="D123" s="1" t="str">
        <f>"C"&amp;D121</f>
        <v>C32</v>
      </c>
    </row>
    <row r="124" spans="1:32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32" x14ac:dyDescent="0.25">
      <c r="A125" s="30">
        <v>0.68301345536507019</v>
      </c>
    </row>
    <row r="126" spans="1:32" x14ac:dyDescent="0.25">
      <c r="A126" s="30">
        <v>0.6209213230591546</v>
      </c>
      <c r="C126" s="1" t="s">
        <v>10</v>
      </c>
    </row>
    <row r="127" spans="1:32" x14ac:dyDescent="0.25">
      <c r="A127" s="30">
        <v>0.56447393005377677</v>
      </c>
      <c r="C127" s="30">
        <v>1.4641000000000006</v>
      </c>
      <c r="D127"/>
    </row>
    <row r="128" spans="1:32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62" operator="equal">
      <formula>$U$1</formula>
    </cfRule>
    <cfRule type="cellIs" dxfId="30" priority="763" operator="equal">
      <formula>$S$1</formula>
    </cfRule>
  </conditionalFormatting>
  <conditionalFormatting sqref="D136">
    <cfRule type="cellIs" dxfId="29" priority="760" operator="equal">
      <formula>$S$1</formula>
    </cfRule>
    <cfRule type="cellIs" dxfId="28" priority="761" operator="equal">
      <formula>$U$1</formula>
    </cfRule>
  </conditionalFormatting>
  <conditionalFormatting sqref="C102">
    <cfRule type="cellIs" dxfId="27" priority="758" operator="equal">
      <formula>$U$1</formula>
    </cfRule>
    <cfRule type="cellIs" dxfId="26" priority="759" operator="equal">
      <formula>$S$1</formula>
    </cfRule>
  </conditionalFormatting>
  <conditionalFormatting sqref="D102">
    <cfRule type="cellIs" dxfId="25" priority="756" operator="equal">
      <formula>$S$1</formula>
    </cfRule>
    <cfRule type="cellIs" dxfId="24" priority="757" operator="equal">
      <formula>$U$1</formula>
    </cfRule>
  </conditionalFormatting>
  <conditionalFormatting sqref="C77">
    <cfRule type="cellIs" dxfId="23" priority="754" operator="equal">
      <formula>$U$1</formula>
    </cfRule>
    <cfRule type="cellIs" dxfId="22" priority="755" operator="equal">
      <formula>$S$1</formula>
    </cfRule>
  </conditionalFormatting>
  <conditionalFormatting sqref="D77">
    <cfRule type="cellIs" dxfId="21" priority="752" operator="equal">
      <formula>$S$1</formula>
    </cfRule>
    <cfRule type="cellIs" dxfId="20" priority="753" operator="equal">
      <formula>$U$1</formula>
    </cfRule>
  </conditionalFormatting>
  <conditionalFormatting sqref="C52">
    <cfRule type="cellIs" dxfId="19" priority="750" operator="equal">
      <formula>$U$1</formula>
    </cfRule>
    <cfRule type="cellIs" dxfId="18" priority="751" operator="equal">
      <formula>$S$1</formula>
    </cfRule>
  </conditionalFormatting>
  <conditionalFormatting sqref="D52">
    <cfRule type="cellIs" dxfId="17" priority="748" operator="equal">
      <formula>$S$1</formula>
    </cfRule>
    <cfRule type="cellIs" dxfId="16" priority="749" operator="equal">
      <formula>$U$1</formula>
    </cfRule>
  </conditionalFormatting>
  <conditionalFormatting sqref="C26">
    <cfRule type="cellIs" dxfId="15" priority="746" operator="equal">
      <formula>$U$1</formula>
    </cfRule>
    <cfRule type="cellIs" dxfId="14" priority="747" operator="equal">
      <formula>$S$1</formula>
    </cfRule>
  </conditionalFormatting>
  <conditionalFormatting sqref="D26">
    <cfRule type="cellIs" dxfId="13" priority="744" operator="equal">
      <formula>$S$1</formula>
    </cfRule>
    <cfRule type="cellIs" dxfId="12" priority="7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2.2920183178010345</v>
      </c>
      <c r="F3" s="30">
        <v>2.4066192336910861</v>
      </c>
      <c r="G3" s="30">
        <v>3.5556726879443583</v>
      </c>
      <c r="H3" s="25">
        <f>IF(G3="","",(3*(G3-F3))+E3)</f>
        <v>5.7391786805608511</v>
      </c>
      <c r="I3" s="7"/>
      <c r="J3" s="7">
        <f>(E3+G3)/2</f>
        <v>2.9238455028726964</v>
      </c>
      <c r="K3" s="7">
        <f>H3/2</f>
        <v>2.8695893402804256</v>
      </c>
      <c r="M3" s="26">
        <f>IF(OR(J3="",H3=""),"",H3/J3)</f>
        <v>1.9628871207189547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2022-01-28T01:18:25Z</dcterms:modified>
</cp:coreProperties>
</file>