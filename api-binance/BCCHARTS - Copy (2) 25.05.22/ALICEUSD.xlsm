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5255946-6D1A-499C-BBE4-0023A8DC0CF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C136" i="5" s="1"/>
  <c r="C122" i="4"/>
  <c r="C133" i="4" s="1"/>
  <c r="C136" i="4" s="1"/>
  <c r="C118" i="4"/>
  <c r="R765" i="1"/>
  <c r="C122" i="3"/>
  <c r="C133" i="3" s="1"/>
  <c r="C136" i="3" s="1"/>
  <c r="C118" i="3"/>
  <c r="C116" i="3"/>
  <c r="D136" i="5" l="1"/>
  <c r="C138" i="5" s="1"/>
  <c r="D136" i="4"/>
  <c r="C138" i="4" s="1"/>
  <c r="R764" i="1"/>
  <c r="S765" i="1"/>
  <c r="T765" i="1" s="1"/>
  <c r="D136" i="3"/>
  <c r="C138" i="3" s="1"/>
  <c r="S764" i="1" l="1"/>
  <c r="T764" i="1" s="1"/>
  <c r="R763" i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R752" i="1" l="1"/>
  <c r="S753" i="1"/>
  <c r="T753" i="1" s="1"/>
  <c r="R751" i="1" l="1"/>
  <c r="S752" i="1"/>
  <c r="T752" i="1" s="1"/>
  <c r="S751" i="1" l="1"/>
  <c r="T751" i="1" s="1"/>
  <c r="R750" i="1"/>
  <c r="S750" i="1" l="1"/>
  <c r="T750" i="1" s="1"/>
  <c r="R749" i="1"/>
  <c r="R748" i="1" l="1"/>
  <c r="S749" i="1"/>
  <c r="T749" i="1" s="1"/>
  <c r="R747" i="1" l="1"/>
  <c r="S748" i="1"/>
  <c r="T748" i="1" s="1"/>
  <c r="S747" i="1" l="1"/>
  <c r="T747" i="1" s="1"/>
  <c r="R746" i="1"/>
  <c r="S746" i="1" l="1"/>
  <c r="T746" i="1" s="1"/>
  <c r="R745" i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R740" i="1" l="1"/>
  <c r="S741" i="1"/>
  <c r="T741" i="1" s="1"/>
  <c r="S740" i="1" l="1"/>
  <c r="T740" i="1" s="1"/>
  <c r="R739" i="1"/>
  <c r="S739" i="1" l="1"/>
  <c r="T739" i="1" s="1"/>
  <c r="R738" i="1"/>
  <c r="R737" i="1" l="1"/>
  <c r="S738" i="1"/>
  <c r="T738" i="1" s="1"/>
  <c r="R736" i="1" l="1"/>
  <c r="S737" i="1"/>
  <c r="T737" i="1" s="1"/>
  <c r="R735" i="1" l="1"/>
  <c r="S736" i="1"/>
  <c r="T736" i="1" s="1"/>
  <c r="S735" i="1" l="1"/>
  <c r="T735" i="1" s="1"/>
  <c r="R734" i="1"/>
  <c r="S734" i="1" l="1"/>
  <c r="T734" i="1" s="1"/>
  <c r="R733" i="1"/>
  <c r="R732" i="1" l="1"/>
  <c r="S733" i="1"/>
  <c r="T733" i="1" s="1"/>
  <c r="R731" i="1" l="1"/>
  <c r="S732" i="1"/>
  <c r="T732" i="1" s="1"/>
  <c r="R730" i="1" l="1"/>
  <c r="S731" i="1"/>
  <c r="T731" i="1" s="1"/>
  <c r="S730" i="1" l="1"/>
  <c r="T730" i="1" s="1"/>
  <c r="R729" i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S722" i="1" l="1"/>
  <c r="T722" i="1" s="1"/>
  <c r="R721" i="1"/>
  <c r="R720" i="1" l="1"/>
  <c r="S721" i="1"/>
  <c r="T721" i="1" s="1"/>
  <c r="R719" i="1" l="1"/>
  <c r="S720" i="1"/>
  <c r="T720" i="1" s="1"/>
  <c r="S719" i="1" l="1"/>
  <c r="T719" i="1" s="1"/>
  <c r="R718" i="1"/>
  <c r="S718" i="1" l="1"/>
  <c r="T718" i="1" s="1"/>
  <c r="R717" i="1"/>
  <c r="R716" i="1" l="1"/>
  <c r="S717" i="1"/>
  <c r="T717" i="1" s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S701" i="1" l="1"/>
  <c r="T701" i="1" s="1"/>
  <c r="R700" i="1"/>
  <c r="S700" i="1" l="1"/>
  <c r="T700" i="1" s="1"/>
  <c r="R699" i="1"/>
  <c r="S699" i="1" l="1"/>
  <c r="T699" i="1" s="1"/>
  <c r="R698" i="1"/>
  <c r="R697" i="1" l="1"/>
  <c r="S698" i="1"/>
  <c r="T698" i="1" s="1"/>
  <c r="S697" i="1" l="1"/>
  <c r="T697" i="1" s="1"/>
  <c r="R696" i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R689" i="1" l="1"/>
  <c r="S690" i="1"/>
  <c r="T690" i="1" s="1"/>
  <c r="S689" i="1" l="1"/>
  <c r="T689" i="1" s="1"/>
  <c r="R688" i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R678" i="1" l="1"/>
  <c r="S679" i="1"/>
  <c r="T679" i="1" s="1"/>
  <c r="R677" i="1" l="1"/>
  <c r="S678" i="1"/>
  <c r="T678" i="1" s="1"/>
  <c r="S677" i="1" l="1"/>
  <c r="T677" i="1" s="1"/>
  <c r="R676" i="1"/>
  <c r="R675" i="1" l="1"/>
  <c r="S676" i="1"/>
  <c r="T676" i="1" s="1"/>
  <c r="R674" i="1" l="1"/>
  <c r="S675" i="1"/>
  <c r="T675" i="1" s="1"/>
  <c r="S674" i="1" l="1"/>
  <c r="T674" i="1" s="1"/>
  <c r="R673" i="1"/>
  <c r="S673" i="1" l="1"/>
  <c r="T673" i="1" s="1"/>
  <c r="R672" i="1"/>
  <c r="R671" i="1" l="1"/>
  <c r="S672" i="1"/>
  <c r="T672" i="1" s="1"/>
  <c r="S671" i="1" l="1"/>
  <c r="T671" i="1" s="1"/>
  <c r="R670" i="1"/>
  <c r="R669" i="1" l="1"/>
  <c r="S670" i="1"/>
  <c r="T670" i="1" s="1"/>
  <c r="R668" i="1" l="1"/>
  <c r="S669" i="1"/>
  <c r="T669" i="1" s="1"/>
  <c r="S668" i="1" l="1"/>
  <c r="T668" i="1" s="1"/>
  <c r="R667" i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S663" i="1" l="1"/>
  <c r="T663" i="1" s="1"/>
  <c r="R662" i="1"/>
  <c r="R661" i="1" l="1"/>
  <c r="S662" i="1"/>
  <c r="T662" i="1" s="1"/>
  <c r="S661" i="1" l="1"/>
  <c r="T661" i="1" s="1"/>
  <c r="R660" i="1"/>
  <c r="S660" i="1" l="1"/>
  <c r="T660" i="1" s="1"/>
  <c r="R659" i="1"/>
  <c r="R658" i="1" l="1"/>
  <c r="S659" i="1"/>
  <c r="T659" i="1" s="1"/>
  <c r="R657" i="1" l="1"/>
  <c r="S658" i="1"/>
  <c r="T658" i="1" s="1"/>
  <c r="S657" i="1" l="1"/>
  <c r="T657" i="1" s="1"/>
  <c r="R656" i="1"/>
  <c r="R655" i="1" l="1"/>
  <c r="S656" i="1"/>
  <c r="T656" i="1" s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S651" i="1" l="1"/>
  <c r="T651" i="1" s="1"/>
  <c r="R650" i="1"/>
  <c r="S650" i="1" l="1"/>
  <c r="T650" i="1" s="1"/>
  <c r="R649" i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R637" i="1" l="1"/>
  <c r="S638" i="1"/>
  <c r="T638" i="1" s="1"/>
  <c r="S637" i="1" l="1"/>
  <c r="T637" i="1" s="1"/>
  <c r="R636" i="1"/>
  <c r="S636" i="1" l="1"/>
  <c r="T636" i="1" s="1"/>
  <c r="R635" i="1"/>
  <c r="R634" i="1" l="1"/>
  <c r="S635" i="1"/>
  <c r="T635" i="1" s="1"/>
  <c r="S634" i="1" l="1"/>
  <c r="T634" i="1" s="1"/>
  <c r="R633" i="1"/>
  <c r="S633" i="1" l="1"/>
  <c r="T633" i="1" s="1"/>
  <c r="R632" i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S624" i="1" l="1"/>
  <c r="T624" i="1" s="1"/>
  <c r="R623" i="1"/>
  <c r="S623" i="1" l="1"/>
  <c r="T623" i="1" s="1"/>
  <c r="R622" i="1"/>
  <c r="S622" i="1" l="1"/>
  <c r="T622" i="1" s="1"/>
  <c r="R621" i="1"/>
  <c r="R620" i="1" l="1"/>
  <c r="S621" i="1"/>
  <c r="T621" i="1" s="1"/>
  <c r="R619" i="1" l="1"/>
  <c r="S620" i="1"/>
  <c r="T620" i="1" s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S611" i="1" l="1"/>
  <c r="T611" i="1" s="1"/>
  <c r="R610" i="1"/>
  <c r="R609" i="1" l="1"/>
  <c r="S610" i="1"/>
  <c r="T610" i="1" s="1"/>
  <c r="R608" i="1" l="1"/>
  <c r="S609" i="1"/>
  <c r="T609" i="1" s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S600" i="1" l="1"/>
  <c r="T600" i="1" s="1"/>
  <c r="R599" i="1"/>
  <c r="R598" i="1" l="1"/>
  <c r="S599" i="1"/>
  <c r="T599" i="1" s="1"/>
  <c r="R597" i="1" l="1"/>
  <c r="S598" i="1"/>
  <c r="T598" i="1" s="1"/>
  <c r="S597" i="1" l="1"/>
  <c r="T597" i="1" s="1"/>
  <c r="R596" i="1"/>
  <c r="R595" i="1" l="1"/>
  <c r="S596" i="1"/>
  <c r="T596" i="1" s="1"/>
  <c r="R594" i="1" l="1"/>
  <c r="S595" i="1"/>
  <c r="T595" i="1" s="1"/>
  <c r="S594" i="1" l="1"/>
  <c r="T594" i="1" s="1"/>
  <c r="R593" i="1"/>
  <c r="S593" i="1" l="1"/>
  <c r="T593" i="1" s="1"/>
  <c r="R592" i="1"/>
  <c r="R591" i="1" l="1"/>
  <c r="S592" i="1"/>
  <c r="T592" i="1" s="1"/>
  <c r="R590" i="1" l="1"/>
  <c r="S591" i="1"/>
  <c r="T591" i="1" s="1"/>
  <c r="S590" i="1" l="1"/>
  <c r="T590" i="1" s="1"/>
  <c r="R589" i="1"/>
  <c r="S589" i="1" l="1"/>
  <c r="T589" i="1" s="1"/>
  <c r="R588" i="1"/>
  <c r="R587" i="1" l="1"/>
  <c r="S588" i="1"/>
  <c r="T588" i="1" s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R579" i="1" l="1"/>
  <c r="S580" i="1"/>
  <c r="T580" i="1" s="1"/>
  <c r="R578" i="1" l="1"/>
  <c r="S579" i="1"/>
  <c r="T579" i="1" s="1"/>
  <c r="S578" i="1" l="1"/>
  <c r="T578" i="1" s="1"/>
  <c r="R577" i="1"/>
  <c r="S577" i="1" l="1"/>
  <c r="T577" i="1" s="1"/>
  <c r="R576" i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S572" i="1" l="1"/>
  <c r="T572" i="1" s="1"/>
  <c r="R571" i="1"/>
  <c r="S571" i="1" l="1"/>
  <c r="T571" i="1" s="1"/>
  <c r="R570" i="1"/>
  <c r="R569" i="1" l="1"/>
  <c r="S570" i="1"/>
  <c r="T570" i="1" s="1"/>
  <c r="R568" i="1" l="1"/>
  <c r="S569" i="1"/>
  <c r="T569" i="1" s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S563" i="1" l="1"/>
  <c r="T563" i="1" s="1"/>
  <c r="R562" i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S555" i="1" l="1"/>
  <c r="T555" i="1" s="1"/>
  <c r="R554" i="1"/>
  <c r="S554" i="1" l="1"/>
  <c r="T554" i="1" s="1"/>
  <c r="R553" i="1"/>
  <c r="S553" i="1" l="1"/>
  <c r="T553" i="1" s="1"/>
  <c r="R552" i="1"/>
  <c r="R551" i="1" l="1"/>
  <c r="S552" i="1"/>
  <c r="T552" i="1" s="1"/>
  <c r="S551" i="1" l="1"/>
  <c r="T551" i="1" s="1"/>
  <c r="R550" i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R536" i="1" l="1"/>
  <c r="S537" i="1"/>
  <c r="T537" i="1" s="1"/>
  <c r="S536" i="1" l="1"/>
  <c r="T536" i="1" s="1"/>
  <c r="R535" i="1"/>
  <c r="R534" i="1" l="1"/>
  <c r="S535" i="1"/>
  <c r="T535" i="1" s="1"/>
  <c r="R533" i="1" l="1"/>
  <c r="S534" i="1"/>
  <c r="T534" i="1" s="1"/>
  <c r="S533" i="1" l="1"/>
  <c r="T533" i="1" s="1"/>
  <c r="R532" i="1"/>
  <c r="S532" i="1" l="1"/>
  <c r="T532" i="1" s="1"/>
  <c r="R531" i="1"/>
  <c r="R530" i="1" l="1"/>
  <c r="S531" i="1"/>
  <c r="T531" i="1" s="1"/>
  <c r="S530" i="1" l="1"/>
  <c r="T530" i="1" s="1"/>
  <c r="R529" i="1"/>
  <c r="S529" i="1" l="1"/>
  <c r="T529" i="1" s="1"/>
  <c r="R528" i="1"/>
  <c r="S528" i="1" l="1"/>
  <c r="T528" i="1" s="1"/>
  <c r="R527" i="1"/>
  <c r="R526" i="1" l="1"/>
  <c r="S527" i="1"/>
  <c r="T527" i="1" s="1"/>
  <c r="R525" i="1" l="1"/>
  <c r="S526" i="1"/>
  <c r="T526" i="1" s="1"/>
  <c r="R524" i="1" l="1"/>
  <c r="S525" i="1"/>
  <c r="T525" i="1" s="1"/>
  <c r="S524" i="1" l="1"/>
  <c r="T524" i="1" s="1"/>
  <c r="R523" i="1"/>
  <c r="S523" i="1" l="1"/>
  <c r="T523" i="1" s="1"/>
  <c r="R522" i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S518" i="1" l="1"/>
  <c r="T518" i="1" s="1"/>
  <c r="R517" i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R511" i="1" l="1"/>
  <c r="S512" i="1"/>
  <c r="T512" i="1" s="1"/>
  <c r="R510" i="1" l="1"/>
  <c r="S511" i="1"/>
  <c r="T511" i="1" s="1"/>
  <c r="S510" i="1" l="1"/>
  <c r="T510" i="1" s="1"/>
  <c r="R509" i="1"/>
  <c r="R508" i="1" l="1"/>
  <c r="S509" i="1"/>
  <c r="T509" i="1" s="1"/>
  <c r="S508" i="1" l="1"/>
  <c r="T508" i="1" s="1"/>
  <c r="R507" i="1"/>
  <c r="S507" i="1" l="1"/>
  <c r="T507" i="1" s="1"/>
  <c r="R506" i="1"/>
  <c r="S506" i="1" l="1"/>
  <c r="T506" i="1" s="1"/>
  <c r="R505" i="1"/>
  <c r="R504" i="1" l="1"/>
  <c r="S505" i="1"/>
  <c r="T505" i="1" s="1"/>
  <c r="S504" i="1" l="1"/>
  <c r="T504" i="1" s="1"/>
  <c r="R503" i="1"/>
  <c r="S503" i="1" l="1"/>
  <c r="T503" i="1" s="1"/>
  <c r="R502" i="1"/>
  <c r="S502" i="1" l="1"/>
  <c r="T502" i="1" s="1"/>
  <c r="R501" i="1"/>
  <c r="R500" i="1" l="1"/>
  <c r="S501" i="1"/>
  <c r="T501" i="1" s="1"/>
  <c r="R499" i="1" l="1"/>
  <c r="S500" i="1"/>
  <c r="T500" i="1" s="1"/>
  <c r="S499" i="1" l="1"/>
  <c r="T499" i="1" s="1"/>
  <c r="R498" i="1"/>
  <c r="S498" i="1" l="1"/>
  <c r="T498" i="1" s="1"/>
  <c r="R497" i="1"/>
  <c r="R496" i="1" l="1"/>
  <c r="S497" i="1"/>
  <c r="T497" i="1" s="1"/>
  <c r="S496" i="1" l="1"/>
  <c r="T496" i="1" s="1"/>
  <c r="R495" i="1"/>
  <c r="S495" i="1" l="1"/>
  <c r="T495" i="1" s="1"/>
  <c r="R494" i="1"/>
  <c r="R493" i="1" l="1"/>
  <c r="S494" i="1"/>
  <c r="T494" i="1" s="1"/>
  <c r="R492" i="1" l="1"/>
  <c r="S493" i="1"/>
  <c r="T493" i="1" s="1"/>
  <c r="R491" i="1" l="1"/>
  <c r="S492" i="1"/>
  <c r="T492" i="1" s="1"/>
  <c r="S491" i="1" l="1"/>
  <c r="T491" i="1" s="1"/>
  <c r="R490" i="1"/>
  <c r="R489" i="1" l="1"/>
  <c r="S490" i="1"/>
  <c r="T490" i="1" s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R479" i="1" l="1"/>
  <c r="S480" i="1"/>
  <c r="T480" i="1" s="1"/>
  <c r="R478" i="1" l="1"/>
  <c r="S479" i="1"/>
  <c r="T479" i="1" s="1"/>
  <c r="S478" i="1" l="1"/>
  <c r="T478" i="1" s="1"/>
  <c r="R477" i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S472" i="1" l="1"/>
  <c r="T472" i="1" s="1"/>
  <c r="R471" i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S463" i="1" l="1"/>
  <c r="T463" i="1" s="1"/>
  <c r="R462" i="1"/>
  <c r="R461" i="1" l="1"/>
  <c r="S462" i="1"/>
  <c r="T462" i="1" s="1"/>
  <c r="S461" i="1" l="1"/>
  <c r="T461" i="1" s="1"/>
  <c r="R460" i="1"/>
  <c r="S460" i="1" l="1"/>
  <c r="T460" i="1" s="1"/>
  <c r="R459" i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R452" i="1" l="1"/>
  <c r="S453" i="1"/>
  <c r="T453" i="1" s="1"/>
  <c r="R451" i="1" l="1"/>
  <c r="S452" i="1"/>
  <c r="T452" i="1" s="1"/>
  <c r="S451" i="1" l="1"/>
  <c r="T451" i="1" s="1"/>
  <c r="R450" i="1"/>
  <c r="S450" i="1" l="1"/>
  <c r="T450" i="1" s="1"/>
  <c r="R449" i="1"/>
  <c r="S449" i="1" l="1"/>
  <c r="T449" i="1" s="1"/>
  <c r="R448" i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S432" i="1" l="1"/>
  <c r="T432" i="1" s="1"/>
  <c r="R431" i="1"/>
  <c r="R430" i="1" l="1"/>
  <c r="S431" i="1"/>
  <c r="T431" i="1" s="1"/>
  <c r="R429" i="1" l="1"/>
  <c r="S430" i="1"/>
  <c r="T430" i="1" s="1"/>
  <c r="S429" i="1" l="1"/>
  <c r="T429" i="1" s="1"/>
  <c r="R428" i="1"/>
  <c r="R427" i="1" l="1"/>
  <c r="S428" i="1"/>
  <c r="T428" i="1" s="1"/>
  <c r="S427" i="1" l="1"/>
  <c r="T427" i="1" s="1"/>
  <c r="R426" i="1"/>
  <c r="S426" i="1" l="1"/>
  <c r="T426" i="1" s="1"/>
  <c r="R425" i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S419" i="1" l="1"/>
  <c r="T419" i="1" s="1"/>
  <c r="R418" i="1"/>
  <c r="R417" i="1" l="1"/>
  <c r="S418" i="1"/>
  <c r="T418" i="1" s="1"/>
  <c r="S417" i="1" l="1"/>
  <c r="T417" i="1" s="1"/>
  <c r="R416" i="1"/>
  <c r="R415" i="1" l="1"/>
  <c r="S416" i="1"/>
  <c r="T416" i="1" s="1"/>
  <c r="R414" i="1" l="1"/>
  <c r="S415" i="1"/>
  <c r="T415" i="1" s="1"/>
  <c r="S414" i="1" l="1"/>
  <c r="T414" i="1" s="1"/>
  <c r="R413" i="1"/>
  <c r="S413" i="1" l="1"/>
  <c r="T413" i="1" s="1"/>
  <c r="R412" i="1"/>
  <c r="R411" i="1" l="1"/>
  <c r="S412" i="1"/>
  <c r="T412" i="1" s="1"/>
  <c r="S411" i="1" l="1"/>
  <c r="T411" i="1" s="1"/>
  <c r="R410" i="1"/>
  <c r="S410" i="1" l="1"/>
  <c r="T410" i="1" s="1"/>
  <c r="R409" i="1"/>
  <c r="R408" i="1" l="1"/>
  <c r="S409" i="1"/>
  <c r="T409" i="1" s="1"/>
  <c r="R407" i="1" l="1"/>
  <c r="S408" i="1"/>
  <c r="T408" i="1" s="1"/>
  <c r="S407" i="1" l="1"/>
  <c r="T407" i="1" s="1"/>
  <c r="R406" i="1"/>
  <c r="S406" i="1" l="1"/>
  <c r="T406" i="1" s="1"/>
  <c r="R405" i="1"/>
  <c r="R404" i="1" l="1"/>
  <c r="S405" i="1"/>
  <c r="T405" i="1" s="1"/>
  <c r="S404" i="1" l="1"/>
  <c r="T404" i="1" s="1"/>
  <c r="R403" i="1"/>
  <c r="S403" i="1" l="1"/>
  <c r="T403" i="1" s="1"/>
  <c r="R402" i="1"/>
  <c r="S402" i="1" l="1"/>
  <c r="T402" i="1" s="1"/>
  <c r="R401" i="1"/>
  <c r="R400" i="1" l="1"/>
  <c r="S401" i="1"/>
  <c r="T401" i="1" s="1"/>
  <c r="R399" i="1" l="1"/>
  <c r="S400" i="1"/>
  <c r="T400" i="1" s="1"/>
  <c r="S399" i="1" l="1"/>
  <c r="T399" i="1" s="1"/>
  <c r="R398" i="1"/>
  <c r="S398" i="1" l="1"/>
  <c r="T398" i="1" s="1"/>
  <c r="R397" i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R392" i="1" l="1"/>
  <c r="S393" i="1"/>
  <c r="T393" i="1" s="1"/>
  <c r="R391" i="1" l="1"/>
  <c r="S392" i="1"/>
  <c r="T392" i="1" s="1"/>
  <c r="R390" i="1" l="1"/>
  <c r="S391" i="1"/>
  <c r="T391" i="1" s="1"/>
  <c r="S390" i="1" l="1"/>
  <c r="T390" i="1" s="1"/>
  <c r="R389" i="1"/>
  <c r="R388" i="1" l="1"/>
  <c r="S389" i="1"/>
  <c r="T389" i="1" s="1"/>
  <c r="S388" i="1" l="1"/>
  <c r="T388" i="1" s="1"/>
  <c r="R387" i="1"/>
  <c r="S387" i="1" l="1"/>
  <c r="T387" i="1" s="1"/>
  <c r="R386" i="1"/>
  <c r="R385" i="1" l="1"/>
  <c r="S386" i="1"/>
  <c r="T386" i="1" s="1"/>
  <c r="S385" i="1" l="1"/>
  <c r="T385" i="1" s="1"/>
  <c r="R384" i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S371" i="1" l="1"/>
  <c r="T371" i="1" s="1"/>
  <c r="R370" i="1"/>
  <c r="S370" i="1" l="1"/>
  <c r="T370" i="1" s="1"/>
  <c r="R369" i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S359" i="1" l="1"/>
  <c r="T359" i="1" s="1"/>
  <c r="R358" i="1"/>
  <c r="S358" i="1" l="1"/>
  <c r="T358" i="1" s="1"/>
  <c r="R357" i="1"/>
  <c r="S357" i="1" l="1"/>
  <c r="T357" i="1" s="1"/>
  <c r="R356" i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S339" i="1" l="1"/>
  <c r="T339" i="1" s="1"/>
  <c r="R338" i="1"/>
  <c r="S338" i="1" l="1"/>
  <c r="T338" i="1" s="1"/>
  <c r="R337" i="1"/>
  <c r="S337" i="1" l="1"/>
  <c r="T337" i="1" s="1"/>
  <c r="R336" i="1"/>
  <c r="S336" i="1" l="1"/>
  <c r="T336" i="1" s="1"/>
  <c r="R335" i="1"/>
  <c r="R334" i="1" l="1"/>
  <c r="S335" i="1"/>
  <c r="T335" i="1" s="1"/>
  <c r="R333" i="1" l="1"/>
  <c r="S334" i="1"/>
  <c r="T334" i="1" s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R328" i="1" l="1"/>
  <c r="S329" i="1"/>
  <c r="T329" i="1" s="1"/>
  <c r="S328" i="1" l="1"/>
  <c r="T328" i="1" s="1"/>
  <c r="R327" i="1"/>
  <c r="S327" i="1" l="1"/>
  <c r="T327" i="1" s="1"/>
  <c r="R326" i="1"/>
  <c r="R325" i="1" l="1"/>
  <c r="S326" i="1"/>
  <c r="T326" i="1" s="1"/>
  <c r="R324" i="1" l="1"/>
  <c r="S325" i="1"/>
  <c r="T325" i="1" s="1"/>
  <c r="S324" i="1" l="1"/>
  <c r="T324" i="1" s="1"/>
  <c r="R323" i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S312" i="1" l="1"/>
  <c r="T312" i="1" s="1"/>
  <c r="R311" i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R297" i="1" l="1"/>
  <c r="S298" i="1"/>
  <c r="T298" i="1" s="1"/>
  <c r="R296" i="1" l="1"/>
  <c r="S297" i="1"/>
  <c r="T297" i="1" s="1"/>
  <c r="S296" i="1" l="1"/>
  <c r="T296" i="1" s="1"/>
  <c r="R295" i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S290" i="1" l="1"/>
  <c r="T290" i="1" s="1"/>
  <c r="R289" i="1"/>
  <c r="R288" i="1" l="1"/>
  <c r="S289" i="1"/>
  <c r="T289" i="1" s="1"/>
  <c r="R287" i="1" l="1"/>
  <c r="S288" i="1"/>
  <c r="T288" i="1" s="1"/>
  <c r="S287" i="1" l="1"/>
  <c r="T287" i="1" s="1"/>
  <c r="R286" i="1"/>
  <c r="S286" i="1" l="1"/>
  <c r="T286" i="1" s="1"/>
  <c r="R285" i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S281" i="1" l="1"/>
  <c r="T281" i="1" s="1"/>
  <c r="R280" i="1"/>
  <c r="S280" i="1" l="1"/>
  <c r="T280" i="1" s="1"/>
  <c r="R279" i="1"/>
  <c r="S279" i="1" l="1"/>
  <c r="T279" i="1" s="1"/>
  <c r="R278" i="1"/>
  <c r="R277" i="1" l="1"/>
  <c r="S278" i="1"/>
  <c r="T278" i="1" s="1"/>
  <c r="S277" i="1" l="1"/>
  <c r="T277" i="1" s="1"/>
  <c r="R276" i="1"/>
  <c r="S276" i="1" l="1"/>
  <c r="T276" i="1" s="1"/>
  <c r="R275" i="1"/>
  <c r="R274" i="1" l="1"/>
  <c r="S275" i="1"/>
  <c r="T275" i="1" s="1"/>
  <c r="S274" i="1" l="1"/>
  <c r="T274" i="1" s="1"/>
  <c r="R273" i="1"/>
  <c r="S273" i="1" l="1"/>
  <c r="T273" i="1" s="1"/>
  <c r="R272" i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S266" i="1" l="1"/>
  <c r="T266" i="1" s="1"/>
  <c r="R265" i="1"/>
  <c r="S265" i="1" l="1"/>
  <c r="T265" i="1" s="1"/>
  <c r="R264" i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S256" i="1" l="1"/>
  <c r="T256" i="1" s="1"/>
  <c r="R255" i="1"/>
  <c r="S255" i="1" l="1"/>
  <c r="T255" i="1" s="1"/>
  <c r="R254" i="1"/>
  <c r="R253" i="1" l="1"/>
  <c r="S254" i="1"/>
  <c r="T254" i="1" s="1"/>
  <c r="R252" i="1" l="1"/>
  <c r="S253" i="1"/>
  <c r="T253" i="1" s="1"/>
  <c r="R251" i="1" l="1"/>
  <c r="S252" i="1"/>
  <c r="T252" i="1" s="1"/>
  <c r="S251" i="1" l="1"/>
  <c r="T251" i="1" s="1"/>
  <c r="R250" i="1"/>
  <c r="R249" i="1" l="1"/>
  <c r="S250" i="1"/>
  <c r="T250" i="1" s="1"/>
  <c r="R248" i="1" l="1"/>
  <c r="S249" i="1"/>
  <c r="T249" i="1" s="1"/>
  <c r="S248" i="1" l="1"/>
  <c r="T248" i="1" s="1"/>
  <c r="R247" i="1"/>
  <c r="R246" i="1" l="1"/>
  <c r="S247" i="1"/>
  <c r="T247" i="1" s="1"/>
  <c r="R245" i="1" l="1"/>
  <c r="S246" i="1"/>
  <c r="T246" i="1" s="1"/>
  <c r="S245" i="1" l="1"/>
  <c r="T245" i="1" s="1"/>
  <c r="R244" i="1"/>
  <c r="S244" i="1" l="1"/>
  <c r="T244" i="1" s="1"/>
  <c r="R243" i="1"/>
  <c r="S243" i="1" l="1"/>
  <c r="T243" i="1" s="1"/>
  <c r="R242" i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R235" i="1" l="1"/>
  <c r="S236" i="1"/>
  <c r="T236" i="1" s="1"/>
  <c r="S235" i="1" l="1"/>
  <c r="T235" i="1" s="1"/>
  <c r="R234" i="1"/>
  <c r="S234" i="1" l="1"/>
  <c r="T234" i="1" s="1"/>
  <c r="R233" i="1"/>
  <c r="S233" i="1" l="1"/>
  <c r="T233" i="1" s="1"/>
  <c r="R232" i="1"/>
  <c r="R231" i="1" l="1"/>
  <c r="S232" i="1"/>
  <c r="T232" i="1" s="1"/>
  <c r="S231" i="1" l="1"/>
  <c r="T231" i="1" s="1"/>
  <c r="R230" i="1"/>
  <c r="S230" i="1" l="1"/>
  <c r="T230" i="1" s="1"/>
  <c r="R229" i="1"/>
  <c r="S229" i="1" l="1"/>
  <c r="T229" i="1" s="1"/>
  <c r="R228" i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S220" i="1" l="1"/>
  <c r="T220" i="1" s="1"/>
  <c r="R219" i="1"/>
  <c r="S219" i="1" l="1"/>
  <c r="T219" i="1" s="1"/>
  <c r="R218" i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S203" i="1" l="1"/>
  <c r="T203" i="1" s="1"/>
  <c r="R202" i="1"/>
  <c r="S202" i="1" l="1"/>
  <c r="T202" i="1" s="1"/>
  <c r="R201" i="1"/>
  <c r="R200" i="1" l="1"/>
  <c r="S201" i="1"/>
  <c r="T201" i="1" s="1"/>
  <c r="R199" i="1" l="1"/>
  <c r="S200" i="1"/>
  <c r="T200" i="1" s="1"/>
  <c r="S199" i="1" l="1"/>
  <c r="T199" i="1" s="1"/>
  <c r="R198" i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R179" i="1" l="1"/>
  <c r="S180" i="1"/>
  <c r="T180" i="1" s="1"/>
  <c r="S179" i="1" l="1"/>
  <c r="T179" i="1" s="1"/>
  <c r="R178" i="1"/>
  <c r="S178" i="1" l="1"/>
  <c r="T178" i="1" s="1"/>
  <c r="R177" i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S171" i="1" l="1"/>
  <c r="T171" i="1" s="1"/>
  <c r="R170" i="1"/>
  <c r="S170" i="1" l="1"/>
  <c r="T170" i="1" s="1"/>
  <c r="R169" i="1"/>
  <c r="R168" i="1" l="1"/>
  <c r="S169" i="1"/>
  <c r="T169" i="1" s="1"/>
  <c r="R167" i="1" l="1"/>
  <c r="S168" i="1"/>
  <c r="T168" i="1" s="1"/>
  <c r="R166" i="1" l="1"/>
  <c r="S167" i="1"/>
  <c r="T167" i="1" s="1"/>
  <c r="S166" i="1" l="1"/>
  <c r="T166" i="1" s="1"/>
  <c r="R165" i="1"/>
  <c r="S165" i="1" l="1"/>
  <c r="T165" i="1" s="1"/>
  <c r="R164" i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R158" i="1" l="1"/>
  <c r="S159" i="1"/>
  <c r="T159" i="1" s="1"/>
  <c r="S158" i="1" l="1"/>
  <c r="T158" i="1" s="1"/>
  <c r="R157" i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S151" i="1" l="1"/>
  <c r="T151" i="1" s="1"/>
  <c r="R150" i="1"/>
  <c r="S150" i="1" l="1"/>
  <c r="T150" i="1" s="1"/>
  <c r="R149" i="1"/>
  <c r="R148" i="1" l="1"/>
  <c r="S149" i="1"/>
  <c r="T149" i="1" s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R140" i="1" l="1"/>
  <c r="S141" i="1"/>
  <c r="T141" i="1" s="1"/>
  <c r="R139" i="1" l="1"/>
  <c r="S140" i="1"/>
  <c r="T140" i="1" s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R106" i="1" l="1"/>
  <c r="S107" i="1"/>
  <c r="T107" i="1" s="1"/>
  <c r="R105" i="1" l="1"/>
  <c r="S106" i="1"/>
  <c r="T106" i="1" s="1"/>
  <c r="S105" i="1" l="1"/>
  <c r="T105" i="1" s="1"/>
  <c r="R104" i="1"/>
  <c r="S104" i="1" l="1"/>
  <c r="T104" i="1" s="1"/>
  <c r="R103" i="1"/>
  <c r="S103" i="1" l="1"/>
  <c r="T103" i="1" s="1"/>
  <c r="R102" i="1"/>
  <c r="R101" i="1" l="1"/>
  <c r="S102" i="1"/>
  <c r="T102" i="1" s="1"/>
  <c r="S101" i="1" l="1"/>
  <c r="T101" i="1" s="1"/>
  <c r="R100" i="1"/>
  <c r="R99" i="1" l="1"/>
  <c r="S100" i="1"/>
  <c r="T100" i="1" s="1"/>
  <c r="S99" i="1" l="1"/>
  <c r="T99" i="1" s="1"/>
  <c r="R98" i="1"/>
  <c r="S98" i="1" l="1"/>
  <c r="T98" i="1" s="1"/>
  <c r="R97" i="1"/>
  <c r="R96" i="1" l="1"/>
  <c r="S97" i="1"/>
  <c r="T97" i="1" s="1"/>
  <c r="R95" i="1" l="1"/>
  <c r="S96" i="1"/>
  <c r="T96" i="1" s="1"/>
  <c r="S95" i="1" l="1"/>
  <c r="T95" i="1" s="1"/>
  <c r="R94" i="1"/>
  <c r="S94" i="1" l="1"/>
  <c r="T94" i="1" s="1"/>
  <c r="R93" i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S82" i="1" l="1"/>
  <c r="T82" i="1" s="1"/>
  <c r="R81" i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S77" i="1" l="1"/>
  <c r="T77" i="1" s="1"/>
  <c r="R76" i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S57" i="1" l="1"/>
  <c r="T57" i="1" s="1"/>
  <c r="R56" i="1"/>
  <c r="S56" i="1" l="1"/>
  <c r="T56" i="1" s="1"/>
  <c r="R55" i="1"/>
  <c r="R54" i="1" l="1"/>
  <c r="S55" i="1"/>
  <c r="T55" i="1" s="1"/>
  <c r="S54" i="1" l="1"/>
  <c r="T54" i="1" s="1"/>
  <c r="R53" i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R45" i="1" l="1"/>
  <c r="S46" i="1"/>
  <c r="T46" i="1" s="1"/>
  <c r="S45" i="1" l="1"/>
  <c r="T45" i="1" s="1"/>
  <c r="R44" i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S39" i="1" l="1"/>
  <c r="T39" i="1" s="1"/>
  <c r="R38" i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<sst xmlns="http://schemas.openxmlformats.org/spreadsheetml/2006/main" count="4614" uniqueCount="34">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</sst>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6.58</c:v>
                </c:pt>
                <c:pt idx="1">
                  <c:v>6.7</c:v>
                </c:pt>
                <c:pt idx="2">
                  <c:v>6.55</c:v>
                </c:pt>
                <c:pt idx="3">
                  <c:v>6.51</c:v>
                </c:pt>
                <c:pt idx="4">
                  <c:v>6.86</c:v>
                </c:pt>
                <c:pt idx="5">
                  <c:v>6.88</c:v>
                </c:pt>
                <c:pt idx="6">
                  <c:v>7.95</c:v>
                </c:pt>
                <c:pt idx="7">
                  <c:v>9.58</c:v>
                </c:pt>
                <c:pt idx="8">
                  <c:v>10.09</c:v>
                </c:pt>
                <c:pt idx="9">
                  <c:v>10.3</c:v>
                </c:pt>
                <c:pt idx="10">
                  <c:v>10.51</c:v>
                </c:pt>
                <c:pt idx="11">
                  <c:v>11.3</c:v>
                </c:pt>
                <c:pt idx="12">
                  <c:v>11.14</c:v>
                </c:pt>
                <c:pt idx="13">
                  <c:v>10.82</c:v>
                </c:pt>
                <c:pt idx="14">
                  <c:v>10.66</c:v>
                </c:pt>
                <c:pt idx="15">
                  <c:v>11.51</c:v>
                </c:pt>
                <c:pt idx="16">
                  <c:v>10.86</c:v>
                </c:pt>
                <c:pt idx="17">
                  <c:v>10.19</c:v>
                </c:pt>
                <c:pt idx="18">
                  <c:v>11.01</c:v>
                </c:pt>
                <c:pt idx="19">
                  <c:v>10.84</c:v>
                </c:pt>
                <c:pt idx="20">
                  <c:v>11.32</c:v>
                </c:pt>
                <c:pt idx="21">
                  <c:v>12.17</c:v>
                </c:pt>
                <c:pt idx="22">
                  <c:v>12.23</c:v>
                </c:pt>
                <c:pt idx="23">
                  <c:v>13.65</c:v>
                </c:pt>
                <c:pt idx="24">
                  <c:v>12.64</c:v>
                </c:pt>
                <c:pt idx="25">
                  <c:v>13.06</c:v>
                </c:pt>
                <c:pt idx="26">
                  <c:v>13.38</c:v>
                </c:pt>
                <c:pt idx="27">
                  <c:v>12.48</c:v>
                </c:pt>
                <c:pt idx="28">
                  <c:v>12.48</c:v>
                </c:pt>
                <c:pt idx="29">
                  <c:v>12.43</c:v>
                </c:pt>
                <c:pt idx="30">
                  <c:v>12.78</c:v>
                </c:pt>
                <c:pt idx="31">
                  <c:v>14.45</c:v>
                </c:pt>
                <c:pt idx="32">
                  <c:v>15.13</c:v>
                </c:pt>
                <c:pt idx="33">
                  <c:v>14.63</c:v>
                </c:pt>
                <c:pt idx="34">
                  <c:v>13.69</c:v>
                </c:pt>
                <c:pt idx="35">
                  <c:v>14.39</c:v>
                </c:pt>
                <c:pt idx="36">
                  <c:v>13.23</c:v>
                </c:pt>
                <c:pt idx="37">
                  <c:v>12.63</c:v>
                </c:pt>
                <c:pt idx="38">
                  <c:v>11.83</c:v>
                </c:pt>
                <c:pt idx="39">
                  <c:v>11.95</c:v>
                </c:pt>
                <c:pt idx="40">
                  <c:v>12.35</c:v>
                </c:pt>
                <c:pt idx="41">
                  <c:v>12.02</c:v>
                </c:pt>
                <c:pt idx="42">
                  <c:v>12.65</c:v>
                </c:pt>
                <c:pt idx="43">
                  <c:v>12.56</c:v>
                </c:pt>
                <c:pt idx="44">
                  <c:v>12.04</c:v>
                </c:pt>
                <c:pt idx="45">
                  <c:v>11.79</c:v>
                </c:pt>
                <c:pt idx="46">
                  <c:v>13.53</c:v>
                </c:pt>
                <c:pt idx="47">
                  <c:v>12.59</c:v>
                </c:pt>
                <c:pt idx="48">
                  <c:v>12.46</c:v>
                </c:pt>
                <c:pt idx="49">
                  <c:v>12.83</c:v>
                </c:pt>
                <c:pt idx="50">
                  <c:v>14.19</c:v>
                </c:pt>
                <c:pt idx="51">
                  <c:v>13.54</c:v>
                </c:pt>
                <c:pt idx="52">
                  <c:v>14.21</c:v>
                </c:pt>
                <c:pt idx="53">
                  <c:v>13.84</c:v>
                </c:pt>
                <c:pt idx="54">
                  <c:v>15.43</c:v>
                </c:pt>
                <c:pt idx="55">
                  <c:v>18.739999999999998</c:v>
                </c:pt>
                <c:pt idx="56">
                  <c:v>20.95</c:v>
                </c:pt>
                <c:pt idx="57">
                  <c:v>21.68</c:v>
                </c:pt>
                <c:pt idx="58">
                  <c:v>20.25</c:v>
                </c:pt>
                <c:pt idx="59">
                  <c:v>19.41</c:v>
                </c:pt>
                <c:pt idx="60">
                  <c:v>21.15</c:v>
                </c:pt>
                <c:pt idx="61">
                  <c:v>19.25</c:v>
                </c:pt>
                <c:pt idx="62">
                  <c:v>20.16</c:v>
                </c:pt>
                <c:pt idx="63">
                  <c:v>23.66</c:v>
                </c:pt>
                <c:pt idx="64">
                  <c:v>23.69</c:v>
                </c:pt>
                <c:pt idx="65">
                  <c:v>24.08</c:v>
                </c:pt>
                <c:pt idx="66">
                  <c:v>19.11</c:v>
                </c:pt>
                <c:pt idx="67">
                  <c:v>18.309999999999999</c:v>
                </c:pt>
                <c:pt idx="68">
                  <c:v>19.37</c:v>
                </c:pt>
                <c:pt idx="69">
                  <c:v>16.55</c:v>
                </c:pt>
                <c:pt idx="70">
                  <c:v>16.940000000000001</c:v>
                </c:pt>
                <c:pt idx="71">
                  <c:v>14.44</c:v>
                </c:pt>
                <c:pt idx="72">
                  <c:v>12.83</c:v>
                </c:pt>
                <c:pt idx="73">
                  <c:v>14.3</c:v>
                </c:pt>
                <c:pt idx="74">
                  <c:v>14.33</c:v>
                </c:pt>
                <c:pt idx="75">
                  <c:v>14.27</c:v>
                </c:pt>
                <c:pt idx="76">
                  <c:v>14.12</c:v>
                </c:pt>
                <c:pt idx="77">
                  <c:v>13.86</c:v>
                </c:pt>
                <c:pt idx="78">
                  <c:v>13.35</c:v>
                </c:pt>
                <c:pt idx="79">
                  <c:v>14.94</c:v>
                </c:pt>
                <c:pt idx="80">
                  <c:v>15.91</c:v>
                </c:pt>
                <c:pt idx="81">
                  <c:v>16.149999999999999</c:v>
                </c:pt>
                <c:pt idx="82">
                  <c:v>14.34</c:v>
                </c:pt>
                <c:pt idx="83">
                  <c:v>14.29</c:v>
                </c:pt>
                <c:pt idx="84">
                  <c:v>15.24</c:v>
                </c:pt>
                <c:pt idx="85">
                  <c:v>14.21</c:v>
                </c:pt>
                <c:pt idx="86">
                  <c:v>14.68</c:v>
                </c:pt>
                <c:pt idx="87">
                  <c:v>14.05</c:v>
                </c:pt>
                <c:pt idx="88">
                  <c:v>13.8</c:v>
                </c:pt>
                <c:pt idx="89">
                  <c:v>16.34</c:v>
                </c:pt>
                <c:pt idx="90">
                  <c:v>12.98</c:v>
                </c:pt>
                <c:pt idx="91">
                  <c:v>11.03</c:v>
                </c:pt>
                <c:pt idx="92">
                  <c:v>10.48</c:v>
                </c:pt>
                <c:pt idx="93">
                  <c:v>12.25</c:v>
                </c:pt>
                <c:pt idx="94">
                  <c:v>12.29</c:v>
                </c:pt>
                <c:pt idx="95">
                  <c:v>11.69</c:v>
                </c:pt>
                <c:pt idx="96">
                  <c:v>12.14</c:v>
                </c:pt>
                <c:pt idx="97">
                  <c:v>12.19</c:v>
                </c:pt>
                <c:pt idx="98">
                  <c:v>11.9</c:v>
                </c:pt>
                <c:pt idx="99">
                  <c:v>12.19</c:v>
                </c:pt>
                <c:pt idx="100">
                  <c:v>11.57</c:v>
                </c:pt>
                <c:pt idx="101">
                  <c:v>11.62</c:v>
                </c:pt>
                <c:pt idx="102">
                  <c:v>11.77</c:v>
                </c:pt>
                <c:pt idx="103">
                  <c:v>12.17</c:v>
                </c:pt>
                <c:pt idx="104">
                  <c:v>12.17</c:v>
                </c:pt>
                <c:pt idx="105">
                  <c:v>12.48</c:v>
                </c:pt>
                <c:pt idx="106">
                  <c:v>11.72</c:v>
                </c:pt>
                <c:pt idx="107">
                  <c:v>11.65</c:v>
                </c:pt>
                <c:pt idx="108">
                  <c:v>11.71</c:v>
                </c:pt>
                <c:pt idx="109">
                  <c:v>11.83</c:v>
                </c:pt>
                <c:pt idx="110">
                  <c:v>12.9</c:v>
                </c:pt>
                <c:pt idx="111">
                  <c:v>12.86</c:v>
                </c:pt>
                <c:pt idx="112">
                  <c:v>13.14</c:v>
                </c:pt>
                <c:pt idx="113">
                  <c:v>12.98</c:v>
                </c:pt>
                <c:pt idx="114">
                  <c:v>13.58</c:v>
                </c:pt>
                <c:pt idx="115">
                  <c:v>14.24</c:v>
                </c:pt>
                <c:pt idx="116">
                  <c:v>14.29</c:v>
                </c:pt>
                <c:pt idx="117">
                  <c:v>13.25</c:v>
                </c:pt>
                <c:pt idx="118">
                  <c:v>14.5</c:v>
                </c:pt>
                <c:pt idx="119">
                  <c:v>11.76</c:v>
                </c:pt>
                <c:pt idx="120">
                  <c:v>10.3</c:v>
                </c:pt>
                <c:pt idx="121">
                  <c:v>10.220000000000001</c:v>
                </c:pt>
                <c:pt idx="122">
                  <c:v>9.4700000000000006</c:v>
                </c:pt>
                <c:pt idx="123">
                  <c:v>9.91</c:v>
                </c:pt>
                <c:pt idx="124">
                  <c:v>9.8800000000000008</c:v>
                </c:pt>
                <c:pt idx="125">
                  <c:v>10.130000000000001</c:v>
                </c:pt>
                <c:pt idx="126">
                  <c:v>11.35</c:v>
                </c:pt>
                <c:pt idx="127">
                  <c:v>11.26</c:v>
                </c:pt>
                <c:pt idx="128">
                  <c:v>9.35</c:v>
                </c:pt>
                <c:pt idx="129">
                  <c:v>11.21</c:v>
                </c:pt>
                <c:pt idx="130">
                  <c:v>12.55</c:v>
                </c:pt>
                <c:pt idx="131">
                  <c:v>13.22</c:v>
                </c:pt>
                <c:pt idx="132">
                  <c:v>13.21</c:v>
                </c:pt>
                <c:pt idx="133">
                  <c:v>14.06</c:v>
                </c:pt>
                <c:pt idx="134">
                  <c:v>13.22</c:v>
                </c:pt>
                <c:pt idx="135">
                  <c:v>12.31</c:v>
                </c:pt>
                <c:pt idx="136">
                  <c:v>11.98</c:v>
                </c:pt>
                <c:pt idx="137">
                  <c:v>13.16</c:v>
                </c:pt>
                <c:pt idx="138">
                  <c:v>12.87</c:v>
                </c:pt>
                <c:pt idx="139">
                  <c:v>12.45</c:v>
                </c:pt>
                <c:pt idx="140">
                  <c:v>13.26</c:v>
                </c:pt>
                <c:pt idx="141">
                  <c:v>13.44</c:v>
                </c:pt>
                <c:pt idx="142">
                  <c:v>13.54</c:v>
                </c:pt>
                <c:pt idx="143">
                  <c:v>17.98</c:v>
                </c:pt>
                <c:pt idx="144">
                  <c:v>18.79</c:v>
                </c:pt>
                <c:pt idx="145">
                  <c:v>18.489999999999998</c:v>
                </c:pt>
                <c:pt idx="146">
                  <c:v>18.02</c:v>
                </c:pt>
                <c:pt idx="147">
                  <c:v>18.079999999999998</c:v>
                </c:pt>
                <c:pt idx="148">
                  <c:v>18.29</c:v>
                </c:pt>
                <c:pt idx="149">
                  <c:v>18.07</c:v>
                </c:pt>
                <c:pt idx="150">
                  <c:v>19.399999999999999</c:v>
                </c:pt>
                <c:pt idx="151">
                  <c:v>20.53</c:v>
                </c:pt>
                <c:pt idx="152">
                  <c:v>21.21</c:v>
                </c:pt>
                <c:pt idx="153">
                  <c:v>20.100000000000001</c:v>
                </c:pt>
                <c:pt idx="154">
                  <c:v>19.239999999999998</c:v>
                </c:pt>
                <c:pt idx="155">
                  <c:v>21.0078</c:v>
                </c:pt>
                <c:pt idx="156">
                  <c:v>16.040400000000002</c:v>
                </c:pt>
                <c:pt idx="157">
                  <c:v>17.239999999999998</c:v>
                </c:pt>
                <c:pt idx="158">
                  <c:v>16.214400000000001</c:v>
                </c:pt>
                <c:pt idx="159">
                  <c:v>17.060700000000001</c:v>
                </c:pt>
                <c:pt idx="160">
                  <c:v>13.0512</c:v>
                </c:pt>
                <c:pt idx="161">
                  <c:v>12.4062</c:v>
                </c:pt>
                <c:pt idx="162">
                  <c:v>11.827500000000001</c:v>
                </c:pt>
                <c:pt idx="163">
                  <c:v>12.5351</c:v>
                </c:pt>
                <c:pt idx="164">
                  <c:v>12.8772</c:v>
                </c:pt>
                <c:pt idx="165">
                  <c:v>13.35</c:v>
                </c:pt>
                <c:pt idx="166">
                  <c:v>12.984500000000001</c:v>
                </c:pt>
                <c:pt idx="167">
                  <c:v>13.313499999999999</c:v>
                </c:pt>
                <c:pt idx="168">
                  <c:v>12.617599999999999</c:v>
                </c:pt>
                <c:pt idx="169">
                  <c:v>13.235099999999999</c:v>
                </c:pt>
                <c:pt idx="170">
                  <c:v>14.2492</c:v>
                </c:pt>
                <c:pt idx="171">
                  <c:v>11.831200000000001</c:v>
                </c:pt>
                <c:pt idx="172">
                  <c:v>11.632300000000001</c:v>
                </c:pt>
                <c:pt idx="173">
                  <c:v>12.2936</c:v>
                </c:pt>
                <c:pt idx="174">
                  <c:v>12.632300000000001</c:v>
                </c:pt>
                <c:pt idx="175">
                  <c:v>12.519299999999999</c:v>
                </c:pt>
                <c:pt idx="176">
                  <c:v>12.8383</c:v>
                </c:pt>
                <c:pt idx="177">
                  <c:v>12.2096</c:v>
                </c:pt>
                <c:pt idx="178">
                  <c:v>12.9129</c:v>
                </c:pt>
                <c:pt idx="179">
                  <c:v>11.950900000000001</c:v>
                </c:pt>
                <c:pt idx="180">
                  <c:v>13.6228</c:v>
                </c:pt>
                <c:pt idx="181">
                  <c:v>14.9093</c:v>
                </c:pt>
                <c:pt idx="182">
                  <c:v>14.851000000000001</c:v>
                </c:pt>
                <c:pt idx="183">
                  <c:v>13.589399999999999</c:v>
                </c:pt>
                <c:pt idx="184">
                  <c:v>13.595000000000001</c:v>
                </c:pt>
                <c:pt idx="185">
                  <c:v>9.3385999999999996</c:v>
                </c:pt>
                <c:pt idx="186">
                  <c:v>11.584</c:v>
                </c:pt>
                <c:pt idx="187">
                  <c:v>10.4777</c:v>
                </c:pt>
                <c:pt idx="188">
                  <c:v>7.6510999999999996</c:v>
                </c:pt>
                <c:pt idx="189">
                  <c:v>5.9162999999999997</c:v>
                </c:pt>
                <c:pt idx="190">
                  <c:v>5.23</c:v>
                </c:pt>
                <c:pt idx="191">
                  <c:v>4.4231999999999996</c:v>
                </c:pt>
                <c:pt idx="192">
                  <c:v>4.8059000000000003</c:v>
                </c:pt>
                <c:pt idx="193">
                  <c:v>5.6083999999999996</c:v>
                </c:pt>
                <c:pt idx="194">
                  <c:v>5.6313000000000004</c:v>
                </c:pt>
                <c:pt idx="195">
                  <c:v>5.7515999999999998</c:v>
                </c:pt>
                <c:pt idx="196">
                  <c:v>6.9481999999999999</c:v>
                </c:pt>
                <c:pt idx="197">
                  <c:v>7.2728999999999999</c:v>
                </c:pt>
                <c:pt idx="198">
                  <c:v>6.8872</c:v>
                </c:pt>
                <c:pt idx="199">
                  <c:v>6.5545999999999998</c:v>
                </c:pt>
                <c:pt idx="200">
                  <c:v>7.0408999999999997</c:v>
                </c:pt>
                <c:pt idx="201">
                  <c:v>6.2968000000000002</c:v>
                </c:pt>
                <c:pt idx="202">
                  <c:v>6.4710999999999999</c:v>
                </c:pt>
                <c:pt idx="203">
                  <c:v>5.5019</c:v>
                </c:pt>
                <c:pt idx="204">
                  <c:v>5.69</c:v>
                </c:pt>
                <c:pt idx="205">
                  <c:v>5.8520000000000003</c:v>
                </c:pt>
                <c:pt idx="206">
                  <c:v>4.6596000000000002</c:v>
                </c:pt>
                <c:pt idx="207">
                  <c:v>4.7922000000000002</c:v>
                </c:pt>
                <c:pt idx="208">
                  <c:v>4.0563000000000002</c:v>
                </c:pt>
                <c:pt idx="209">
                  <c:v>3.9489999999999998</c:v>
                </c:pt>
                <c:pt idx="210">
                  <c:v>4.1150000000000002</c:v>
                </c:pt>
                <c:pt idx="211">
                  <c:v>3.9209999999999998</c:v>
                </c:pt>
                <c:pt idx="212">
                  <c:v>3.9925999999999999</c:v>
                </c:pt>
                <c:pt idx="213">
                  <c:v>3.8965000000000001</c:v>
                </c:pt>
                <c:pt idx="214">
                  <c:v>3.8035999999999999</c:v>
                </c:pt>
                <c:pt idx="215">
                  <c:v>3.6726000000000001</c:v>
                </c:pt>
                <c:pt idx="216">
                  <c:v>3.7822</c:v>
                </c:pt>
                <c:pt idx="217">
                  <c:v>4.4470000000000001</c:v>
                </c:pt>
                <c:pt idx="218">
                  <c:v>4.7385999999999999</c:v>
                </c:pt>
                <c:pt idx="219">
                  <c:v>3.5903999999999998</c:v>
                </c:pt>
                <c:pt idx="220">
                  <c:v>3.7570000000000001</c:v>
                </c:pt>
                <c:pt idx="221">
                  <c:v>4.9898999999999996</c:v>
                </c:pt>
                <c:pt idx="222">
                  <c:v>4.9640000000000004</c:v>
                </c:pt>
                <c:pt idx="223">
                  <c:v>5.2576000000000001</c:v>
                </c:pt>
                <c:pt idx="224">
                  <c:v>5.67</c:v>
                </c:pt>
                <c:pt idx="225">
                  <c:v>5.2952000000000004</c:v>
                </c:pt>
                <c:pt idx="226">
                  <c:v>5.6360000000000001</c:v>
                </c:pt>
                <c:pt idx="227">
                  <c:v>5.8398000000000003</c:v>
                </c:pt>
                <c:pt idx="228">
                  <c:v>6.0426000000000002</c:v>
                </c:pt>
                <c:pt idx="229">
                  <c:v>5.3133999999999997</c:v>
                </c:pt>
                <c:pt idx="230">
                  <c:v>6.0536000000000003</c:v>
                </c:pt>
                <c:pt idx="231">
                  <c:v>5.5340999999999996</c:v>
                </c:pt>
                <c:pt idx="232">
                  <c:v>5.7149999999999999</c:v>
                </c:pt>
                <c:pt idx="233">
                  <c:v>5.3470000000000004</c:v>
                </c:pt>
                <c:pt idx="234">
                  <c:v>5.6151</c:v>
                </c:pt>
                <c:pt idx="235">
                  <c:v>6.0998000000000001</c:v>
                </c:pt>
                <c:pt idx="236">
                  <c:v>6.0585000000000004</c:v>
                </c:pt>
                <c:pt idx="237">
                  <c:v>6.2709000000000001</c:v>
                </c:pt>
                <c:pt idx="238">
                  <c:v>7.2199</c:v>
                </c:pt>
                <c:pt idx="239">
                  <c:v>6.81</c:v>
                </c:pt>
                <c:pt idx="240">
                  <c:v>6.9202000000000004</c:v>
                </c:pt>
                <c:pt idx="241">
                  <c:v>7.4391999999999996</c:v>
                </c:pt>
                <c:pt idx="242">
                  <c:v>6.9962</c:v>
                </c:pt>
                <c:pt idx="243">
                  <c:v>5.9385000000000003</c:v>
                </c:pt>
                <c:pt idx="244">
                  <c:v>6.8863000000000003</c:v>
                </c:pt>
                <c:pt idx="245">
                  <c:v>7.76</c:v>
                </c:pt>
                <c:pt idx="246">
                  <c:v>7.5704000000000002</c:v>
                </c:pt>
                <c:pt idx="247">
                  <c:v>6.82</c:v>
                </c:pt>
                <c:pt idx="248">
                  <c:v>6.1489000000000003</c:v>
                </c:pt>
                <c:pt idx="249">
                  <c:v>5.1050000000000004</c:v>
                </c:pt>
                <c:pt idx="250">
                  <c:v>6.0946999999999996</c:v>
                </c:pt>
                <c:pt idx="251">
                  <c:v>6.3574000000000002</c:v>
                </c:pt>
                <c:pt idx="252">
                  <c:v>7.4573</c:v>
                </c:pt>
                <c:pt idx="253">
                  <c:v>6.7655000000000003</c:v>
                </c:pt>
                <c:pt idx="254">
                  <c:v>11.5961</c:v>
                </c:pt>
                <c:pt idx="255">
                  <c:v>13.082800000000001</c:v>
                </c:pt>
                <c:pt idx="256">
                  <c:v>10.993399999999999</c:v>
                </c:pt>
                <c:pt idx="257">
                  <c:v>10.0471</c:v>
                </c:pt>
                <c:pt idx="258">
                  <c:v>11.220700000000001</c:v>
                </c:pt>
                <c:pt idx="259">
                  <c:v>10.367100000000001</c:v>
                </c:pt>
                <c:pt idx="260">
                  <c:v>9.9749999999999996</c:v>
                </c:pt>
                <c:pt idx="261">
                  <c:v>12.9655</c:v>
                </c:pt>
                <c:pt idx="262">
                  <c:v>11.667299999999999</c:v>
                </c:pt>
                <c:pt idx="263">
                  <c:v>13.7957</c:v>
                </c:pt>
                <c:pt idx="264">
                  <c:v>14.286899999999999</c:v>
                </c:pt>
                <c:pt idx="265">
                  <c:v>13.5578</c:v>
                </c:pt>
                <c:pt idx="266">
                  <c:v>14.2121</c:v>
                </c:pt>
                <c:pt idx="267">
                  <c:v>14.5661</c:v>
                </c:pt>
                <c:pt idx="268">
                  <c:v>13.869899999999999</c:v>
                </c:pt>
                <c:pt idx="269">
                  <c:v>16.4998</c:v>
                </c:pt>
                <c:pt idx="270">
                  <c:v>17.4802</c:v>
                </c:pt>
                <c:pt idx="271">
                  <c:v>18.210699999999999</c:v>
                </c:pt>
                <c:pt idx="272">
                  <c:v>17.653400000000001</c:v>
                </c:pt>
                <c:pt idx="273">
                  <c:v>13.4582</c:v>
                </c:pt>
                <c:pt idx="274">
                  <c:v>13.0199</c:v>
                </c:pt>
                <c:pt idx="275">
                  <c:v>10.42</c:v>
                </c:pt>
                <c:pt idx="276">
                  <c:v>8.9440000000000008</c:v>
                </c:pt>
                <c:pt idx="277">
                  <c:v>8.1948000000000008</c:v>
                </c:pt>
                <c:pt idx="278">
                  <c:v>7.3</c:v>
                </c:pt>
                <c:pt idx="279">
                  <c:v>7.5537000000000001</c:v>
                </c:pt>
                <c:pt idx="280">
                  <c:v>7.8536000000000001</c:v>
                </c:pt>
                <c:pt idx="281">
                  <c:v>8.5302000000000007</c:v>
                </c:pt>
                <c:pt idx="282">
                  <c:v>9.2281999999999993</c:v>
                </c:pt>
                <c:pt idx="283">
                  <c:v>8.6791</c:v>
                </c:pt>
                <c:pt idx="284">
                  <c:v>9.7706</c:v>
                </c:pt>
                <c:pt idx="285">
                  <c:v>11.7951</c:v>
                </c:pt>
                <c:pt idx="286">
                  <c:v>11.885</c:v>
                </c:pt>
                <c:pt idx="287">
                  <c:v>12.513199999999999</c:v>
                </c:pt>
                <c:pt idx="288">
                  <c:v>12.2296</c:v>
                </c:pt>
                <c:pt idx="289">
                  <c:v>12.711</c:v>
                </c:pt>
                <c:pt idx="290">
                  <c:v>13.9025</c:v>
                </c:pt>
                <c:pt idx="291">
                  <c:v>12.8521</c:v>
                </c:pt>
                <c:pt idx="292">
                  <c:v>12.5442</c:v>
                </c:pt>
                <c:pt idx="293">
                  <c:v>12.719099999999999</c:v>
                </c:pt>
                <c:pt idx="294">
                  <c:v>12.8567</c:v>
                </c:pt>
                <c:pt idx="295">
                  <c:v>12.197699999999999</c:v>
                </c:pt>
                <c:pt idx="296">
                  <c:v>14.1492</c:v>
                </c:pt>
                <c:pt idx="297">
                  <c:v>14.204000000000001</c:v>
                </c:pt>
                <c:pt idx="298">
                  <c:v>14.3339</c:v>
                </c:pt>
                <c:pt idx="299">
                  <c:v>13.4899</c:v>
                </c:pt>
                <c:pt idx="300">
                  <c:v>14.7097</c:v>
                </c:pt>
                <c:pt idx="301">
                  <c:v>14.3355</c:v>
                </c:pt>
                <c:pt idx="302">
                  <c:v>14.6286</c:v>
                </c:pt>
                <c:pt idx="303">
                  <c:v>16.026800000000001</c:v>
                </c:pt>
                <c:pt idx="304">
                  <c:v>15.821300000000001</c:v>
                </c:pt>
                <c:pt idx="305">
                  <c:v>16.686699999999998</c:v>
                </c:pt>
                <c:pt idx="306">
                  <c:v>13.4282</c:v>
                </c:pt>
                <c:pt idx="307">
                  <c:v>13.434900000000001</c:v>
                </c:pt>
                <c:pt idx="308">
                  <c:v>10.9276</c:v>
                </c:pt>
                <c:pt idx="309">
                  <c:v>11.8748</c:v>
                </c:pt>
                <c:pt idx="310">
                  <c:v>11.601900000000001</c:v>
                </c:pt>
                <c:pt idx="311">
                  <c:v>12.05</c:v>
                </c:pt>
                <c:pt idx="312">
                  <c:v>14.061199999999999</c:v>
                </c:pt>
                <c:pt idx="313">
                  <c:v>14.353999999999999</c:v>
                </c:pt>
                <c:pt idx="314">
                  <c:v>15.1616</c:v>
                </c:pt>
                <c:pt idx="315">
                  <c:v>17.014099999999999</c:v>
                </c:pt>
                <c:pt idx="316">
                  <c:v>14.594900000000001</c:v>
                </c:pt>
                <c:pt idx="317">
                  <c:v>17.059000000000001</c:v>
                </c:pt>
                <c:pt idx="318">
                  <c:v>20.740300000000001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2-40E5-A280-D2739B242A5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-0.92684758860857608</c:v>
                </c:pt>
                <c:pt idx="1">
                  <c:v>-0.92301212320232606</c:v>
                </c:pt>
                <c:pt idx="2">
                  <c:v>-0.89061542389552995</c:v>
                </c:pt>
                <c:pt idx="3">
                  <c:v>-0.89416507291091452</c:v>
                </c:pt>
                <c:pt idx="4">
                  <c:v>-0.91794893864712146</c:v>
                </c:pt>
                <c:pt idx="5">
                  <c:v>-0.91507495970045472</c:v>
                </c:pt>
                <c:pt idx="6">
                  <c:v>-0.88855630503940208</c:v>
                </c:pt>
                <c:pt idx="7">
                  <c:v>-0.84519974206396353</c:v>
                </c:pt>
                <c:pt idx="8">
                  <c:v>-0.82266779311018212</c:v>
                </c:pt>
                <c:pt idx="9">
                  <c:v>-0.81324263123616636</c:v>
                </c:pt>
                <c:pt idx="10">
                  <c:v>-0.81382817569330923</c:v>
                </c:pt>
                <c:pt idx="11">
                  <c:v>-0.8002114553433094</c:v>
                </c:pt>
                <c:pt idx="12">
                  <c:v>-0.80456139262902371</c:v>
                </c:pt>
                <c:pt idx="13">
                  <c:v>-0.80612283258165518</c:v>
                </c:pt>
                <c:pt idx="14">
                  <c:v>-0.81513397865224346</c:v>
                </c:pt>
                <c:pt idx="15">
                  <c:v>-0.78878018152446561</c:v>
                </c:pt>
                <c:pt idx="16">
                  <c:v>-0.80737865483332638</c:v>
                </c:pt>
                <c:pt idx="17">
                  <c:v>-0.82490700565242758</c:v>
                </c:pt>
                <c:pt idx="18">
                  <c:v>-0.80982718030561895</c:v>
                </c:pt>
                <c:pt idx="19">
                  <c:v>-0.81084417756622496</c:v>
                </c:pt>
                <c:pt idx="20">
                  <c:v>-0.80113252639356314</c:v>
                </c:pt>
                <c:pt idx="21">
                  <c:v>-0.77866579829011484</c:v>
                </c:pt>
                <c:pt idx="22">
                  <c:v>-0.79724433244011494</c:v>
                </c:pt>
                <c:pt idx="23">
                  <c:v>-0.76789486931617124</c:v>
                </c:pt>
                <c:pt idx="24">
                  <c:v>-0.79212666971283796</c:v>
                </c:pt>
                <c:pt idx="25">
                  <c:v>-0.78861253110050911</c:v>
                </c:pt>
                <c:pt idx="26">
                  <c:v>-0.7841039186299209</c:v>
                </c:pt>
                <c:pt idx="27">
                  <c:v>-0.80465958602992094</c:v>
                </c:pt>
                <c:pt idx="28">
                  <c:v>-0.79827649879145945</c:v>
                </c:pt>
                <c:pt idx="29">
                  <c:v>-0.80062415605640791</c:v>
                </c:pt>
                <c:pt idx="30">
                  <c:v>-0.78244690811971052</c:v>
                </c:pt>
                <c:pt idx="31">
                  <c:v>-0.74092360559767667</c:v>
                </c:pt>
                <c:pt idx="32">
                  <c:v>-0.71586429285284903</c:v>
                </c:pt>
                <c:pt idx="33">
                  <c:v>-0.73768736861784912</c:v>
                </c:pt>
                <c:pt idx="34">
                  <c:v>-0.75771044922654485</c:v>
                </c:pt>
                <c:pt idx="35">
                  <c:v>-0.72622316578700985</c:v>
                </c:pt>
                <c:pt idx="36">
                  <c:v>-0.77399583507733261</c:v>
                </c:pt>
                <c:pt idx="37">
                  <c:v>-0.79182022626374038</c:v>
                </c:pt>
                <c:pt idx="38">
                  <c:v>-0.81482948749707373</c:v>
                </c:pt>
                <c:pt idx="39">
                  <c:v>-0.83199409861817464</c:v>
                </c:pt>
                <c:pt idx="40">
                  <c:v>-0.82001369649471789</c:v>
                </c:pt>
                <c:pt idx="41">
                  <c:v>-0.8338041881547178</c:v>
                </c:pt>
                <c:pt idx="42">
                  <c:v>-0.81774165526357867</c:v>
                </c:pt>
                <c:pt idx="43">
                  <c:v>-0.798004911179368</c:v>
                </c:pt>
                <c:pt idx="44">
                  <c:v>-0.82325966782801674</c:v>
                </c:pt>
                <c:pt idx="45">
                  <c:v>-0.85124934775658812</c:v>
                </c:pt>
                <c:pt idx="46">
                  <c:v>-0.82051409989571855</c:v>
                </c:pt>
                <c:pt idx="47">
                  <c:v>-0.81671649748969433</c:v>
                </c:pt>
                <c:pt idx="48">
                  <c:v>-0.818257537656361</c:v>
                </c:pt>
                <c:pt idx="49">
                  <c:v>-0.78265248321272463</c:v>
                </c:pt>
                <c:pt idx="50">
                  <c:v>-0.7257367556483767</c:v>
                </c:pt>
                <c:pt idx="51">
                  <c:v>-0.7715375558483768</c:v>
                </c:pt>
                <c:pt idx="52">
                  <c:v>-0.73918193574245084</c:v>
                </c:pt>
                <c:pt idx="53">
                  <c:v>-0.80675492167069518</c:v>
                </c:pt>
                <c:pt idx="54">
                  <c:v>-0.77231072689220037</c:v>
                </c:pt>
                <c:pt idx="55">
                  <c:v>-0.78667198268286342</c:v>
                </c:pt>
                <c:pt idx="56">
                  <c:v>-0.76166139780373066</c:v>
                </c:pt>
                <c:pt idx="57">
                  <c:v>-0.68405902616079872</c:v>
                </c:pt>
                <c:pt idx="58">
                  <c:v>-0.69289793913594644</c:v>
                </c:pt>
                <c:pt idx="59">
                  <c:v>-0.74885195191005816</c:v>
                </c:pt>
                <c:pt idx="60">
                  <c:v>-0.66988124455788434</c:v>
                </c:pt>
                <c:pt idx="61">
                  <c:v>-0.75482732626413418</c:v>
                </c:pt>
                <c:pt idx="62">
                  <c:v>-0.72145905228086005</c:v>
                </c:pt>
                <c:pt idx="63">
                  <c:v>-0.64026047953454934</c:v>
                </c:pt>
                <c:pt idx="64">
                  <c:v>-0.53171205198130944</c:v>
                </c:pt>
                <c:pt idx="65">
                  <c:v>-0.48330053344872526</c:v>
                </c:pt>
                <c:pt idx="66">
                  <c:v>-0.63992821792439192</c:v>
                </c:pt>
                <c:pt idx="67">
                  <c:v>-0.67936109125122113</c:v>
                </c:pt>
                <c:pt idx="68">
                  <c:v>-0.54017200508815144</c:v>
                </c:pt>
                <c:pt idx="69">
                  <c:v>-0.62356912439843426</c:v>
                </c:pt>
                <c:pt idx="70">
                  <c:v>-0.61522374463479801</c:v>
                </c:pt>
                <c:pt idx="71">
                  <c:v>-0.7459895528692092</c:v>
                </c:pt>
                <c:pt idx="72">
                  <c:v>-0.80858668976106096</c:v>
                </c:pt>
                <c:pt idx="73">
                  <c:v>-0.80226720409168817</c:v>
                </c:pt>
                <c:pt idx="74">
                  <c:v>-0.77530978220597402</c:v>
                </c:pt>
                <c:pt idx="75">
                  <c:v>-0.7714947527228162</c:v>
                </c:pt>
                <c:pt idx="76">
                  <c:v>-0.74114782624281605</c:v>
                </c:pt>
                <c:pt idx="77">
                  <c:v>-0.74494831231230763</c:v>
                </c:pt>
                <c:pt idx="78">
                  <c:v>-0.75395329591587901</c:v>
                </c:pt>
                <c:pt idx="79">
                  <c:v>-0.73253113950361237</c:v>
                </c:pt>
                <c:pt idx="80">
                  <c:v>-0.68496006035655355</c:v>
                </c:pt>
                <c:pt idx="81">
                  <c:v>-0.66140170595655357</c:v>
                </c:pt>
                <c:pt idx="82">
                  <c:v>-0.70113275183416546</c:v>
                </c:pt>
                <c:pt idx="83">
                  <c:v>-0.71044428399416537</c:v>
                </c:pt>
                <c:pt idx="84">
                  <c:v>-0.6758771732594715</c:v>
                </c:pt>
                <c:pt idx="85">
                  <c:v>-0.71707951582899032</c:v>
                </c:pt>
                <c:pt idx="86">
                  <c:v>-0.72662267157770843</c:v>
                </c:pt>
                <c:pt idx="87">
                  <c:v>-0.70429171898524601</c:v>
                </c:pt>
                <c:pt idx="88">
                  <c:v>-0.71950903680618838</c:v>
                </c:pt>
                <c:pt idx="89">
                  <c:v>-0.62255750598959636</c:v>
                </c:pt>
                <c:pt idx="90">
                  <c:v>-0.74912797752752736</c:v>
                </c:pt>
                <c:pt idx="91">
                  <c:v>-0.81688601604250877</c:v>
                </c:pt>
                <c:pt idx="92">
                  <c:v>-0.83358333751925295</c:v>
                </c:pt>
                <c:pt idx="93">
                  <c:v>-0.79746183859681374</c:v>
                </c:pt>
                <c:pt idx="94">
                  <c:v>-0.7822247366136813</c:v>
                </c:pt>
                <c:pt idx="95">
                  <c:v>-0.79854760347768128</c:v>
                </c:pt>
                <c:pt idx="96">
                  <c:v>-0.79629693872003415</c:v>
                </c:pt>
                <c:pt idx="97">
                  <c:v>-0.80440082114003419</c:v>
                </c:pt>
                <c:pt idx="98">
                  <c:v>-0.81937123102464959</c:v>
                </c:pt>
                <c:pt idx="99">
                  <c:v>-0.8049062596370391</c:v>
                </c:pt>
                <c:pt idx="100">
                  <c:v>-0.82334654388429185</c:v>
                </c:pt>
                <c:pt idx="101">
                  <c:v>-0.82663638100469994</c:v>
                </c:pt>
                <c:pt idx="102">
                  <c:v>-0.8305014918341117</c:v>
                </c:pt>
                <c:pt idx="103">
                  <c:v>-0.83071085013088586</c:v>
                </c:pt>
                <c:pt idx="104">
                  <c:v>-0.81372236127291486</c:v>
                </c:pt>
                <c:pt idx="105">
                  <c:v>-0.82630763173958155</c:v>
                </c:pt>
                <c:pt idx="106">
                  <c:v>-0.84344087548958158</c:v>
                </c:pt>
                <c:pt idx="107">
                  <c:v>-0.8509471235835574</c:v>
                </c:pt>
                <c:pt idx="108">
                  <c:v>-0.88250576986905371</c:v>
                </c:pt>
                <c:pt idx="109">
                  <c:v>-0.87760187602694839</c:v>
                </c:pt>
                <c:pt idx="110">
                  <c:v>-0.85657286658694831</c:v>
                </c:pt>
                <c:pt idx="111">
                  <c:v>-0.85702084935474498</c:v>
                </c:pt>
                <c:pt idx="112">
                  <c:v>-0.84535262528245581</c:v>
                </c:pt>
                <c:pt idx="113">
                  <c:v>-0.84364146688245578</c:v>
                </c:pt>
                <c:pt idx="114">
                  <c:v>-0.82870907571069108</c:v>
                </c:pt>
                <c:pt idx="115">
                  <c:v>-0.80788880192973866</c:v>
                </c:pt>
                <c:pt idx="116">
                  <c:v>-0.76670058368216587</c:v>
                </c:pt>
                <c:pt idx="117">
                  <c:v>-0.81323216425305189</c:v>
                </c:pt>
                <c:pt idx="118">
                  <c:v>-0.76973106789258683</c:v>
                </c:pt>
                <c:pt idx="119">
                  <c:v>-0.85223621427970342</c:v>
                </c:pt>
                <c:pt idx="120">
                  <c:v>-0.89709367048781141</c:v>
                </c:pt>
                <c:pt idx="121">
                  <c:v>-0.85613152567425221</c:v>
                </c:pt>
                <c:pt idx="122">
                  <c:v>-0.86703491504925234</c:v>
                </c:pt>
                <c:pt idx="123">
                  <c:v>-0.83684094927542063</c:v>
                </c:pt>
                <c:pt idx="124">
                  <c:v>-0.85217534622627789</c:v>
                </c:pt>
                <c:pt idx="125">
                  <c:v>-0.84870675560775932</c:v>
                </c:pt>
                <c:pt idx="126">
                  <c:v>-0.83053010463696297</c:v>
                </c:pt>
                <c:pt idx="127">
                  <c:v>-0.83819123415747587</c:v>
                </c:pt>
                <c:pt idx="128">
                  <c:v>-0.87005722658020301</c:v>
                </c:pt>
                <c:pt idx="129">
                  <c:v>-0.83578997835953273</c:v>
                </c:pt>
                <c:pt idx="130">
                  <c:v>-0.82194524536781999</c:v>
                </c:pt>
                <c:pt idx="131">
                  <c:v>-0.81362320950471312</c:v>
                </c:pt>
                <c:pt idx="132">
                  <c:v>-0.80341241623589588</c:v>
                </c:pt>
                <c:pt idx="133">
                  <c:v>-0.74648283853001351</c:v>
                </c:pt>
                <c:pt idx="134">
                  <c:v>-0.78914149843415871</c:v>
                </c:pt>
                <c:pt idx="135">
                  <c:v>-0.8149536948783449</c:v>
                </c:pt>
                <c:pt idx="136">
                  <c:v>-0.83604239224709476</c:v>
                </c:pt>
                <c:pt idx="137">
                  <c:v>-0.82619417661466243</c:v>
                </c:pt>
                <c:pt idx="138">
                  <c:v>-0.83546936452654363</c:v>
                </c:pt>
                <c:pt idx="139">
                  <c:v>-0.82502355854852161</c:v>
                </c:pt>
                <c:pt idx="140">
                  <c:v>-0.8095240237533996</c:v>
                </c:pt>
                <c:pt idx="141">
                  <c:v>-0.78704111999927107</c:v>
                </c:pt>
                <c:pt idx="142">
                  <c:v>-0.84329005987601524</c:v>
                </c:pt>
                <c:pt idx="143">
                  <c:v>-0.76433066567075192</c:v>
                </c:pt>
                <c:pt idx="144">
                  <c:v>-0.76767847095189679</c:v>
                </c:pt>
                <c:pt idx="145">
                  <c:v>-0.77586825328556008</c:v>
                </c:pt>
                <c:pt idx="146">
                  <c:v>-0.72634113774768105</c:v>
                </c:pt>
                <c:pt idx="147">
                  <c:v>-0.71675780034768088</c:v>
                </c:pt>
                <c:pt idx="148">
                  <c:v>-0.65995998160873337</c:v>
                </c:pt>
                <c:pt idx="149">
                  <c:v>-0.67010323329646349</c:v>
                </c:pt>
                <c:pt idx="150">
                  <c:v>-0.64747477566839329</c:v>
                </c:pt>
                <c:pt idx="151">
                  <c:v>-0.56178308402133426</c:v>
                </c:pt>
                <c:pt idx="152">
                  <c:v>-0.51690712128623995</c:v>
                </c:pt>
                <c:pt idx="153">
                  <c:v>-0.46819066562550699</c:v>
                </c:pt>
                <c:pt idx="154">
                  <c:v>-0.55915082044514219</c:v>
                </c:pt>
                <c:pt idx="155">
                  <c:v>-0.50077463182889681</c:v>
                </c:pt>
                <c:pt idx="156">
                  <c:v>-0.63464631510166569</c:v>
                </c:pt>
                <c:pt idx="157">
                  <c:v>-0.60932393038402777</c:v>
                </c:pt>
                <c:pt idx="158">
                  <c:v>-0.60190633718595299</c:v>
                </c:pt>
                <c:pt idx="159">
                  <c:v>-0.58409146838860837</c:v>
                </c:pt>
                <c:pt idx="160">
                  <c:v>-0.75637385374811517</c:v>
                </c:pt>
                <c:pt idx="161">
                  <c:v>-0.78671977148041983</c:v>
                </c:pt>
                <c:pt idx="162">
                  <c:v>-0.812771234494026</c:v>
                </c:pt>
                <c:pt idx="163">
                  <c:v>-0.79651909616537109</c:v>
                </c:pt>
                <c:pt idx="164">
                  <c:v>-0.70732810299506643</c:v>
                </c:pt>
                <c:pt idx="165">
                  <c:v>-0.6284363753758162</c:v>
                </c:pt>
                <c:pt idx="166">
                  <c:v>-0.66446639143885167</c:v>
                </c:pt>
                <c:pt idx="167">
                  <c:v>-0.63502041611962001</c:v>
                </c:pt>
                <c:pt idx="168">
                  <c:v>-0.66101627902365889</c:v>
                </c:pt>
                <c:pt idx="169">
                  <c:v>-0.62145593872576455</c:v>
                </c:pt>
                <c:pt idx="170">
                  <c:v>-0.52798069597488639</c:v>
                </c:pt>
                <c:pt idx="171">
                  <c:v>-0.69061441269294155</c:v>
                </c:pt>
                <c:pt idx="172">
                  <c:v>-0.71126333533019792</c:v>
                </c:pt>
                <c:pt idx="173">
                  <c:v>-0.6702517391100391</c:v>
                </c:pt>
                <c:pt idx="174">
                  <c:v>-0.61593380733622671</c:v>
                </c:pt>
                <c:pt idx="175">
                  <c:v>-0.58657393144219139</c:v>
                </c:pt>
                <c:pt idx="176">
                  <c:v>-0.57453718318386993</c:v>
                </c:pt>
                <c:pt idx="177">
                  <c:v>-0.58454257053449599</c:v>
                </c:pt>
                <c:pt idx="178">
                  <c:v>-0.53730193498812862</c:v>
                </c:pt>
                <c:pt idx="179">
                  <c:v>-0.50213166522423125</c:v>
                </c:pt>
                <c:pt idx="180">
                  <c:v>-0.40888462851128288</c:v>
                </c:pt>
                <c:pt idx="181">
                  <c:v>-0.32355420685260111</c:v>
                </c:pt>
                <c:pt idx="182">
                  <c:v>-0.46252388936945243</c:v>
                </c:pt>
                <c:pt idx="183">
                  <c:v>-0.47059515099570065</c:v>
                </c:pt>
                <c:pt idx="184">
                  <c:v>-0.40699990652191165</c:v>
                </c:pt>
                <c:pt idx="185">
                  <c:v>-0.75134499446895264</c:v>
                </c:pt>
                <c:pt idx="186">
                  <c:v>-0.59850832386972752</c:v>
                </c:pt>
                <c:pt idx="187">
                  <c:v>-0.75045254037483089</c:v>
                </c:pt>
                <c:pt idx="188">
                  <c:v>-0.95789719581447774</c:v>
                </c:pt>
                <c:pt idx="189">
                  <c:v>-1.0932591405881678</c:v>
                </c:pt>
                <c:pt idx="190">
                  <c:v>-1.1587885432540486</c:v>
                </c:pt>
                <c:pt idx="191">
                  <c:v>-1.2408853949974903</c:v>
                </c:pt>
                <c:pt idx="192">
                  <c:v>-1.2405130823680803</c:v>
                </c:pt>
                <c:pt idx="193">
                  <c:v>-1.1962115616444384</c:v>
                </c:pt>
                <c:pt idx="194">
                  <c:v>-1.1694120996160522</c:v>
                </c:pt>
                <c:pt idx="195">
                  <c:v>-1.1761988007519584</c:v>
                </c:pt>
                <c:pt idx="196">
                  <c:v>-1.0608290688159583</c:v>
                </c:pt>
                <c:pt idx="197">
                  <c:v>-0.83240239242889791</c:v>
                </c:pt>
                <c:pt idx="198">
                  <c:v>-0.93665908067896697</c:v>
                </c:pt>
                <c:pt idx="199">
                  <c:v>-0.90565115684018127</c:v>
                </c:pt>
                <c:pt idx="200">
                  <c:v>-0.87251262615075997</c:v>
                </c:pt>
                <c:pt idx="201">
                  <c:v>-0.91559732314368791</c:v>
                </c:pt>
                <c:pt idx="202">
                  <c:v>-0.83490408888476797</c:v>
                </c:pt>
                <c:pt idx="203">
                  <c:v>-0.91603443381900596</c:v>
                </c:pt>
                <c:pt idx="204">
                  <c:v>-0.7600604841093751</c:v>
                </c:pt>
                <c:pt idx="205">
                  <c:v>-0.69116550573767721</c:v>
                </c:pt>
                <c:pt idx="206">
                  <c:v>-0.78916839965124097</c:v>
                </c:pt>
                <c:pt idx="207">
                  <c:v>-0.80354919306207107</c:v>
                </c:pt>
                <c:pt idx="208">
                  <c:v>-0.83518209013323486</c:v>
                </c:pt>
                <c:pt idx="209">
                  <c:v>-0.84029548203284998</c:v>
                </c:pt>
                <c:pt idx="210">
                  <c:v>-0.82993582709635594</c:v>
                </c:pt>
                <c:pt idx="211">
                  <c:v>-0.83810029126966024</c:v>
                </c:pt>
                <c:pt idx="212">
                  <c:v>-0.84999253481361647</c:v>
                </c:pt>
                <c:pt idx="213">
                  <c:v>-0.84287589134259278</c:v>
                </c:pt>
                <c:pt idx="214">
                  <c:v>-0.84330409743216306</c:v>
                </c:pt>
                <c:pt idx="215">
                  <c:v>-0.86926400980245311</c:v>
                </c:pt>
                <c:pt idx="216">
                  <c:v>-0.87168437567070367</c:v>
                </c:pt>
                <c:pt idx="217">
                  <c:v>-0.84250464091191646</c:v>
                </c:pt>
                <c:pt idx="218">
                  <c:v>-0.82644894872061825</c:v>
                </c:pt>
                <c:pt idx="219">
                  <c:v>-0.88370485144948541</c:v>
                </c:pt>
                <c:pt idx="220">
                  <c:v>-0.87927903526596651</c:v>
                </c:pt>
                <c:pt idx="221">
                  <c:v>-0.83726530151637912</c:v>
                </c:pt>
                <c:pt idx="222">
                  <c:v>-0.84963038086502773</c:v>
                </c:pt>
                <c:pt idx="223">
                  <c:v>-0.83186900817895115</c:v>
                </c:pt>
                <c:pt idx="224">
                  <c:v>-0.80576515495232881</c:v>
                </c:pt>
                <c:pt idx="225">
                  <c:v>-0.81498272163542618</c:v>
                </c:pt>
                <c:pt idx="226">
                  <c:v>-0.77661289350022289</c:v>
                </c:pt>
                <c:pt idx="227">
                  <c:v>-0.74948132188007988</c:v>
                </c:pt>
                <c:pt idx="228">
                  <c:v>-0.74901048982686624</c:v>
                </c:pt>
                <c:pt idx="229">
                  <c:v>-0.76758861985076565</c:v>
                </c:pt>
                <c:pt idx="230">
                  <c:v>-0.74418088289660111</c:v>
                </c:pt>
                <c:pt idx="231">
                  <c:v>-0.74849735302999165</c:v>
                </c:pt>
                <c:pt idx="232">
                  <c:v>-0.74457988544635589</c:v>
                </c:pt>
                <c:pt idx="233">
                  <c:v>-0.76629508086567188</c:v>
                </c:pt>
                <c:pt idx="234">
                  <c:v>-0.77298952333006732</c:v>
                </c:pt>
                <c:pt idx="235">
                  <c:v>-0.75203177498684415</c:v>
                </c:pt>
                <c:pt idx="236">
                  <c:v>-0.75301354086684424</c:v>
                </c:pt>
                <c:pt idx="237">
                  <c:v>-0.73801821239532317</c:v>
                </c:pt>
                <c:pt idx="238">
                  <c:v>-0.71843918866484135</c:v>
                </c:pt>
                <c:pt idx="239">
                  <c:v>-0.73760891824854924</c:v>
                </c:pt>
                <c:pt idx="240">
                  <c:v>-0.7269598831385492</c:v>
                </c:pt>
                <c:pt idx="241">
                  <c:v>-0.70280256942685115</c:v>
                </c:pt>
                <c:pt idx="242">
                  <c:v>-0.75724482851796227</c:v>
                </c:pt>
                <c:pt idx="243">
                  <c:v>-0.78772591245159251</c:v>
                </c:pt>
                <c:pt idx="244">
                  <c:v>-0.76253847997429502</c:v>
                </c:pt>
                <c:pt idx="245">
                  <c:v>-0.72941614727259896</c:v>
                </c:pt>
                <c:pt idx="246">
                  <c:v>-0.72621954279643008</c:v>
                </c:pt>
                <c:pt idx="247">
                  <c:v>-0.77778200783272278</c:v>
                </c:pt>
                <c:pt idx="248">
                  <c:v>-0.82614429447734505</c:v>
                </c:pt>
                <c:pt idx="249">
                  <c:v>-0.877166790971594</c:v>
                </c:pt>
                <c:pt idx="250">
                  <c:v>-0.88295486303139625</c:v>
                </c:pt>
                <c:pt idx="251">
                  <c:v>-0.89928716278066723</c:v>
                </c:pt>
                <c:pt idx="252">
                  <c:v>-0.88708838820550706</c:v>
                </c:pt>
                <c:pt idx="253">
                  <c:v>-0.90278580703704447</c:v>
                </c:pt>
                <c:pt idx="254">
                  <c:v>-0.82825262046770265</c:v>
                </c:pt>
                <c:pt idx="255">
                  <c:v>-0.77416086757853853</c:v>
                </c:pt>
                <c:pt idx="256">
                  <c:v>-0.86024465311853848</c:v>
                </c:pt>
                <c:pt idx="257">
                  <c:v>-0.86051229538169638</c:v>
                </c:pt>
                <c:pt idx="258">
                  <c:v>-0.83685008414624618</c:v>
                </c:pt>
                <c:pt idx="259">
                  <c:v>-0.84364298904850554</c:v>
                </c:pt>
                <c:pt idx="260">
                  <c:v>-0.83142931238622952</c:v>
                </c:pt>
                <c:pt idx="261">
                  <c:v>-0.78268523863657735</c:v>
                </c:pt>
                <c:pt idx="262">
                  <c:v>-0.81428495753447727</c:v>
                </c:pt>
                <c:pt idx="263">
                  <c:v>-0.78566773279198909</c:v>
                </c:pt>
                <c:pt idx="264">
                  <c:v>-0.78965572895191849</c:v>
                </c:pt>
                <c:pt idx="265">
                  <c:v>-0.7711691462331568</c:v>
                </c:pt>
                <c:pt idx="266">
                  <c:v>-0.75440177384416729</c:v>
                </c:pt>
                <c:pt idx="267">
                  <c:v>-0.71731435802062515</c:v>
                </c:pt>
                <c:pt idx="268">
                  <c:v>-0.71065718182605264</c:v>
                </c:pt>
                <c:pt idx="269">
                  <c:v>-0.63610855473802463</c:v>
                </c:pt>
                <c:pt idx="270">
                  <c:v>-0.59703293362243748</c:v>
                </c:pt>
                <c:pt idx="271">
                  <c:v>-0.56530599834074702</c:v>
                </c:pt>
                <c:pt idx="272">
                  <c:v>-0.60817470094305603</c:v>
                </c:pt>
                <c:pt idx="273">
                  <c:v>-0.713373256574796</c:v>
                </c:pt>
                <c:pt idx="274">
                  <c:v>-0.56017321292074029</c:v>
                </c:pt>
                <c:pt idx="275">
                  <c:v>-0.64058116226208717</c:v>
                </c:pt>
                <c:pt idx="276">
                  <c:v>-0.67675262942279946</c:v>
                </c:pt>
                <c:pt idx="277">
                  <c:v>-0.68921662101952919</c:v>
                </c:pt>
                <c:pt idx="278">
                  <c:v>-0.60173574463240853</c:v>
                </c:pt>
                <c:pt idx="279">
                  <c:v>-0.60981419794358316</c:v>
                </c:pt>
                <c:pt idx="280">
                  <c:v>-0.62371334720564564</c:v>
                </c:pt>
                <c:pt idx="281">
                  <c:v>-0.60219745361727339</c:v>
                </c:pt>
                <c:pt idx="282">
                  <c:v>-0.58724286882556065</c:v>
                </c:pt>
                <c:pt idx="283">
                  <c:v>-0.60865810270992571</c:v>
                </c:pt>
                <c:pt idx="284">
                  <c:v>-0.58008004167729699</c:v>
                </c:pt>
                <c:pt idx="285">
                  <c:v>-0.57114482919262033</c:v>
                </c:pt>
                <c:pt idx="286">
                  <c:v>-0.56002876156763892</c:v>
                </c:pt>
                <c:pt idx="287">
                  <c:v>-0.55230880134310356</c:v>
                </c:pt>
                <c:pt idx="288">
                  <c:v>-0.5528277668152527</c:v>
                </c:pt>
                <c:pt idx="289">
                  <c:v>-0.54917299665770614</c:v>
                </c:pt>
                <c:pt idx="290">
                  <c:v>-0.52708009500977637</c:v>
                </c:pt>
                <c:pt idx="291">
                  <c:v>-0.52005231200472091</c:v>
                </c:pt>
                <c:pt idx="292">
                  <c:v>-0.52834513560087215</c:v>
                </c:pt>
                <c:pt idx="293">
                  <c:v>-0.51771967382713824</c:v>
                </c:pt>
                <c:pt idx="294">
                  <c:v>-0.51204321488466942</c:v>
                </c:pt>
                <c:pt idx="295">
                  <c:v>-0.51572056087923868</c:v>
                </c:pt>
                <c:pt idx="296">
                  <c:v>-0.50423413288023489</c:v>
                </c:pt>
                <c:pt idx="297">
                  <c:v>-0.49456869997099434</c:v>
                </c:pt>
                <c:pt idx="298">
                  <c:v>-0.49211732459314472</c:v>
                </c:pt>
                <c:pt idx="299">
                  <c:v>-0.49906784193954823</c:v>
                </c:pt>
                <c:pt idx="300">
                  <c:v>-0.48638028733458533</c:v>
                </c:pt>
                <c:pt idx="301">
                  <c:v>-0.49003278867155292</c:v>
                </c:pt>
                <c:pt idx="302">
                  <c:v>-0.48611046353908455</c:v>
                </c:pt>
                <c:pt idx="303">
                  <c:v>-0.47882637294055419</c:v>
                </c:pt>
                <c:pt idx="304">
                  <c:v>-0.4739829981516695</c:v>
                </c:pt>
                <c:pt idx="305">
                  <c:v>-0.46585057347914977</c:v>
                </c:pt>
                <c:pt idx="306">
                  <c:v>-0.50001598374389344</c:v>
                </c:pt>
                <c:pt idx="307">
                  <c:v>-0.50197851647961178</c:v>
                </c:pt>
                <c:pt idx="308">
                  <c:v>-0.52596999899759178</c:v>
                </c:pt>
                <c:pt idx="309">
                  <c:v>-0.51014707261582593</c:v>
                </c:pt>
                <c:pt idx="310">
                  <c:v>-0.47403411888769731</c:v>
                </c:pt>
                <c:pt idx="311">
                  <c:v>-0.45669405744792396</c:v>
                </c:pt>
                <c:pt idx="312">
                  <c:v>-0.42781005183361642</c:v>
                </c:pt>
                <c:pt idx="313">
                  <c:v>-0.43511882186438566</c:v>
                </c:pt>
                <c:pt idx="314">
                  <c:v>-0.41478042342621774</c:v>
                </c:pt>
                <c:pt idx="315">
                  <c:v>-0.37921126166956126</c:v>
                </c:pt>
                <c:pt idx="316">
                  <c:v>-0.3754996620842026</c:v>
                </c:pt>
                <c:pt idx="317">
                  <c:v>-0.32874468224271491</c:v>
                </c:pt>
                <c:pt idx="318">
                  <c:v>-0.21900347246241131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12-40E5-A280-D2739B242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6051935"/>
        <c:axId val="836052351"/>
      </c:lineChart>
      <c:dateAx>
        <c:axId val="836051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052351"/>
        <c:crosses val="autoZero"/>
        <c:auto val="1"/>
        <c:lblOffset val="100"/>
        <c:baseTimeUnit val="days"/>
      </c:dateAx>
      <c:valAx>
        <c:axId val="836052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6051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08F9BF4-21DC-4241-A062-30BD48596546}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5B3268-3A78-444C-AA67-24F7D03A1BA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topLeftCell="G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60</v>
      </c>
      <c r="D2" s="4">
        <f>MIN(D3:D1912)</f>
        <v>0.1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6.71</v>
      </c>
      <c r="C5">
        <v>6.89</v>
      </c>
      <c r="D5">
        <v>6.57</v>
      </c>
      <c r="E5">
        <v>6.58</v>
      </c>
      <c r="F5">
        <v>409116.31</v>
      </c>
      <c r="G5">
        <v>6.58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-0.93750000000000122</v>
      </c>
      <c r="Q5">
        <f t="shared" ref="Q5" si="1">F5*P5</f>
        <v>-383546.54062500049</v>
      </c>
      <c r="R5">
        <f t="shared" ref="R5" si="2">R6+Q5</f>
        <v>-92684758.860857606</v>
      </c>
      <c r="S5">
        <f t="shared" ref="S5" si="3">R5/100000</f>
        <v>-926.84758860857607</v>
      </c>
      <c r="T5">
        <f t="shared" ref="T5" si="4">S5/1000</f>
        <v>-0.92684758860857608</v>
      </c>
    </row>
    <row r="6" spans="1:20" x14ac:dyDescent="0.25">
      <c r="A6" s="5">
        <v>44587</v>
      </c>
      <c r="B6">
        <v>6.55</v>
      </c>
      <c r="C6">
        <v>7.53</v>
      </c>
      <c r="D6">
        <v>6.5</v>
      </c>
      <c r="E6">
        <v>6.7</v>
      </c>
      <c r="F6">
        <v>5296603.22</v>
      </c>
      <c r="G6">
        <v>6.7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-0.61165048543689293</v>
      </c>
      <c r="Q6">
        <f t="shared" ref="Q6" si="6">F6*P6</f>
        <v>-3239669.93067961</v>
      </c>
      <c r="R6">
        <f t="shared" ref="R6" si="7">R7+Q6</f>
        <v>-92301212.3202326</v>
      </c>
      <c r="S6">
        <f t="shared" ref="S6" si="8">R6/100000</f>
        <v>-923.01212320232605</v>
      </c>
      <c r="T6">
        <f t="shared" ref="T6" si="9">S6/1000</f>
        <v>-0.92301212320232606</v>
      </c>
    </row>
    <row r="7" spans="1:20" x14ac:dyDescent="0.25">
      <c r="A7" s="5">
        <v>44586</v>
      </c>
      <c r="B7">
        <v>6.52</v>
      </c>
      <c r="C7">
        <v>6.77</v>
      </c>
      <c r="D7">
        <v>6.25</v>
      </c>
      <c r="E7">
        <v>6.55</v>
      </c>
      <c r="F7">
        <v>2307271.86</v>
      </c>
      <c r="G7">
        <v>6.55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0.1538461538461541</v>
      </c>
      <c r="Q7">
        <f t="shared" ref="Q7" si="11">F7*P7</f>
        <v>354964.90153846209</v>
      </c>
      <c r="R7">
        <f t="shared" ref="R7" si="12">R8+Q7</f>
        <v>-89061542.389552996</v>
      </c>
      <c r="S7">
        <f t="shared" ref="S7" si="13">R7/100000</f>
        <v>-890.61542389552994</v>
      </c>
      <c r="T7">
        <f t="shared" ref="T7" si="14">S7/1000</f>
        <v>-0.89061542389552995</v>
      </c>
    </row>
    <row r="8" spans="1:20" x14ac:dyDescent="0.25">
      <c r="A8" s="5">
        <v>44585</v>
      </c>
      <c r="B8">
        <v>6.85</v>
      </c>
      <c r="C8">
        <v>6.86</v>
      </c>
      <c r="D8">
        <v>5.7</v>
      </c>
      <c r="E8">
        <v>6.51</v>
      </c>
      <c r="F8">
        <v>5997670.4900000002</v>
      </c>
      <c r="G8">
        <v>6.51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0.39655172413793022</v>
      </c>
      <c r="Q8">
        <f t="shared" ref="Q8" si="16">F8*P8</f>
        <v>2378386.5736206849</v>
      </c>
      <c r="R8">
        <f t="shared" ref="R8" si="17">R9+Q8</f>
        <v>-89416507.291091457</v>
      </c>
      <c r="S8">
        <f t="shared" ref="S8" si="18">R8/100000</f>
        <v>-894.16507291091455</v>
      </c>
      <c r="T8">
        <f t="shared" ref="T8" si="19">S8/1000</f>
        <v>-0.89416507291091452</v>
      </c>
    </row>
    <row r="9" spans="1:20" x14ac:dyDescent="0.25">
      <c r="A9" s="5">
        <v>44584</v>
      </c>
      <c r="B9">
        <v>6.89</v>
      </c>
      <c r="C9">
        <v>7.34</v>
      </c>
      <c r="D9">
        <v>6.44</v>
      </c>
      <c r="E9">
        <v>6.86</v>
      </c>
      <c r="F9">
        <v>4310968.42</v>
      </c>
      <c r="G9">
        <v>6.86</v>
      </c>
      <c r="L9" t="s">
        <v>8</v>
      </c>
      <c r="M9" t="s">
        <v>7</v>
      </c>
      <c r="N9" t="s">
        <v>7</v>
      </c>
      <c r="P9">
        <f t="shared" ref="P9" si="20">IF(C9=D9,0,((E9-D9)-(C9-E9))/(C9-D9))</f>
        <v>-6.6666666666666277E-2</v>
      </c>
      <c r="Q9">
        <f t="shared" ref="Q9" si="21">F9*P9</f>
        <v>-287397.894666665</v>
      </c>
      <c r="R9">
        <f t="shared" ref="R9" si="22">R10+Q9</f>
        <v>-91794893.864712149</v>
      </c>
      <c r="S9">
        <f t="shared" ref="S9" si="23">R9/100000</f>
        <v>-917.94893864712151</v>
      </c>
      <c r="T9">
        <f t="shared" ref="T9" si="24">S9/1000</f>
        <v>-0.91794893864712146</v>
      </c>
    </row>
    <row r="10" spans="1:20" x14ac:dyDescent="0.25">
      <c r="A10" s="5">
        <v>44583</v>
      </c>
      <c r="B10">
        <v>7.95</v>
      </c>
      <c r="C10">
        <v>8.16</v>
      </c>
      <c r="D10">
        <v>6.26</v>
      </c>
      <c r="E10">
        <v>6.88</v>
      </c>
      <c r="F10">
        <v>7634158.1600000001</v>
      </c>
      <c r="G10">
        <v>6.88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-0.3473684210526316</v>
      </c>
      <c r="Q10">
        <f t="shared" ref="Q10" si="26">F10*P10</f>
        <v>-2651865.4661052632</v>
      </c>
      <c r="R10">
        <f t="shared" ref="R10" si="27">R11+Q10</f>
        <v>-91507495.970045477</v>
      </c>
      <c r="S10">
        <f t="shared" ref="S10" si="28">R10/100000</f>
        <v>-915.07495970045477</v>
      </c>
      <c r="T10">
        <f t="shared" ref="T10" si="29">S10/1000</f>
        <v>-0.91507495970045472</v>
      </c>
    </row>
    <row r="11" spans="1:20" x14ac:dyDescent="0.25">
      <c r="A11" s="5">
        <v>44582</v>
      </c>
      <c r="B11">
        <v>9.57</v>
      </c>
      <c r="C11">
        <v>9.98</v>
      </c>
      <c r="D11">
        <v>7.7</v>
      </c>
      <c r="E11">
        <v>7.95</v>
      </c>
      <c r="F11">
        <v>5553537.2800000003</v>
      </c>
      <c r="G11">
        <v>7.95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-0.7807017543859649</v>
      </c>
      <c r="Q11">
        <f t="shared" ref="Q11" si="31">F11*P11</f>
        <v>-4335656.29754386</v>
      </c>
      <c r="R11">
        <f t="shared" ref="R11" si="32">R12+Q11</f>
        <v>-88855630.50394021</v>
      </c>
      <c r="S11">
        <f t="shared" ref="S11" si="33">R11/100000</f>
        <v>-888.5563050394021</v>
      </c>
      <c r="T11">
        <f t="shared" ref="T11" si="34">S11/1000</f>
        <v>-0.88855630503940208</v>
      </c>
    </row>
    <row r="12" spans="1:20" x14ac:dyDescent="0.25">
      <c r="A12" s="5">
        <v>44581</v>
      </c>
      <c r="B12">
        <v>10.09</v>
      </c>
      <c r="C12">
        <v>10.71</v>
      </c>
      <c r="D12">
        <v>9.52</v>
      </c>
      <c r="E12">
        <v>9.58</v>
      </c>
      <c r="F12">
        <v>2505889.65</v>
      </c>
      <c r="G12">
        <v>9.58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-0.89915966386554547</v>
      </c>
      <c r="Q12">
        <f t="shared" ref="Q12" si="36">F12*P12</f>
        <v>-2253194.8953781491</v>
      </c>
      <c r="R12">
        <f t="shared" ref="R12" si="37">R13+Q12</f>
        <v>-84519974.206396356</v>
      </c>
      <c r="S12">
        <f t="shared" ref="S12" si="38">R12/100000</f>
        <v>-845.19974206396353</v>
      </c>
      <c r="T12">
        <f t="shared" ref="T12" si="39">S12/1000</f>
        <v>-0.84519974206396353</v>
      </c>
    </row>
    <row r="13" spans="1:20" x14ac:dyDescent="0.25">
      <c r="A13" s="5">
        <v>44580</v>
      </c>
      <c r="B13">
        <v>10.3</v>
      </c>
      <c r="C13">
        <v>11</v>
      </c>
      <c r="D13">
        <v>9.73</v>
      </c>
      <c r="E13">
        <v>10.09</v>
      </c>
      <c r="F13">
        <v>2176355.56</v>
      </c>
      <c r="G13">
        <v>10.09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-0.43307086614173301</v>
      </c>
      <c r="Q13">
        <f t="shared" ref="Q13" si="41">F13*P13</f>
        <v>-942516.18740157643</v>
      </c>
      <c r="R13">
        <f t="shared" ref="R13" si="42">R14+Q13</f>
        <v>-82266779.311018214</v>
      </c>
      <c r="S13">
        <f t="shared" ref="S13" si="43">R13/100000</f>
        <v>-822.66779311018217</v>
      </c>
      <c r="T13">
        <f t="shared" ref="T13" si="44">S13/1000</f>
        <v>-0.82266779311018212</v>
      </c>
    </row>
    <row r="14" spans="1:20" x14ac:dyDescent="0.25">
      <c r="A14" s="5">
        <v>44579</v>
      </c>
      <c r="B14">
        <v>10.51</v>
      </c>
      <c r="C14">
        <v>10.64</v>
      </c>
      <c r="D14">
        <v>9.94</v>
      </c>
      <c r="E14">
        <v>10.3</v>
      </c>
      <c r="F14">
        <v>2049405.6</v>
      </c>
      <c r="G14">
        <v>10.3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2.8571428571430458E-2</v>
      </c>
      <c r="Q14">
        <f t="shared" ref="Q14" si="46">F14*P14</f>
        <v>58554.445714289584</v>
      </c>
      <c r="R14">
        <f t="shared" ref="R14" si="47">R15+Q14</f>
        <v>-81324263.123616636</v>
      </c>
      <c r="S14">
        <f t="shared" ref="S14" si="48">R14/100000</f>
        <v>-813.2426312361664</v>
      </c>
      <c r="T14">
        <f t="shared" ref="T14" si="49">S14/1000</f>
        <v>-0.81324263123616636</v>
      </c>
    </row>
    <row r="15" spans="1:20" x14ac:dyDescent="0.25">
      <c r="A15" s="5">
        <v>44578</v>
      </c>
      <c r="B15">
        <v>11.28</v>
      </c>
      <c r="C15">
        <v>11.37</v>
      </c>
      <c r="D15">
        <v>10.33</v>
      </c>
      <c r="E15">
        <v>10.51</v>
      </c>
      <c r="F15">
        <v>2082557.23</v>
      </c>
      <c r="G15">
        <v>10.51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-0.65384615384615408</v>
      </c>
      <c r="Q15">
        <f t="shared" ref="Q15" si="51">F15*P15</f>
        <v>-1361672.0350000004</v>
      </c>
      <c r="R15">
        <f t="shared" ref="R15" si="52">R16+Q15</f>
        <v>-81382817.569330931</v>
      </c>
      <c r="S15">
        <f t="shared" ref="S15" si="53">R15/100000</f>
        <v>-813.82817569330928</v>
      </c>
      <c r="T15">
        <f t="shared" ref="T15" si="54">S15/1000</f>
        <v>-0.81382817569330923</v>
      </c>
    </row>
    <row r="16" spans="1:20" x14ac:dyDescent="0.25">
      <c r="A16" s="5">
        <v>44577</v>
      </c>
      <c r="B16">
        <v>11.14</v>
      </c>
      <c r="C16">
        <v>11.5</v>
      </c>
      <c r="D16">
        <v>10.94</v>
      </c>
      <c r="E16">
        <v>11.3</v>
      </c>
      <c r="F16">
        <v>1522478.05</v>
      </c>
      <c r="G16">
        <v>11.3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0.28571428571428886</v>
      </c>
      <c r="Q16">
        <f t="shared" ref="Q16" si="56">F16*P16</f>
        <v>434993.7285714334</v>
      </c>
      <c r="R16">
        <f t="shared" ref="R16" si="57">R17+Q16</f>
        <v>-80021145.534330934</v>
      </c>
      <c r="S16">
        <f t="shared" ref="S16" si="58">R16/100000</f>
        <v>-800.21145534330935</v>
      </c>
      <c r="T16">
        <f t="shared" ref="T16" si="59">S16/1000</f>
        <v>-0.8002114553433094</v>
      </c>
    </row>
    <row r="17" spans="1:20" x14ac:dyDescent="0.25">
      <c r="A17" s="5">
        <v>44576</v>
      </c>
      <c r="B17">
        <v>10.83</v>
      </c>
      <c r="C17">
        <v>11.49</v>
      </c>
      <c r="D17">
        <v>10.73</v>
      </c>
      <c r="E17">
        <v>11.14</v>
      </c>
      <c r="F17">
        <v>1977823.94</v>
      </c>
      <c r="G17">
        <v>11.14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7.8947368421053307E-2</v>
      </c>
      <c r="Q17">
        <f t="shared" ref="Q17" si="61">F17*P17</f>
        <v>156143.99526315922</v>
      </c>
      <c r="R17">
        <f t="shared" ref="R17" si="62">R18+Q17</f>
        <v>-80456139.262902364</v>
      </c>
      <c r="S17">
        <f t="shared" ref="S17" si="63">R17/100000</f>
        <v>-804.56139262902366</v>
      </c>
      <c r="T17">
        <f t="shared" ref="T17" si="64">S17/1000</f>
        <v>-0.80456139262902371</v>
      </c>
    </row>
    <row r="18" spans="1:20" x14ac:dyDescent="0.25">
      <c r="A18" s="5">
        <v>44575</v>
      </c>
      <c r="B18">
        <v>10.66</v>
      </c>
      <c r="C18">
        <v>11</v>
      </c>
      <c r="D18">
        <v>10.32</v>
      </c>
      <c r="E18">
        <v>10.82</v>
      </c>
      <c r="F18">
        <v>1914868.54</v>
      </c>
      <c r="G18">
        <v>10.82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0.47058823529411825</v>
      </c>
      <c r="Q18">
        <f t="shared" ref="Q18" si="66">F18*P18</f>
        <v>901114.60705882474</v>
      </c>
      <c r="R18">
        <f t="shared" ref="R18" si="67">R19+Q18</f>
        <v>-80612283.258165523</v>
      </c>
      <c r="S18">
        <f t="shared" ref="S18" si="68">R18/100000</f>
        <v>-806.12283258165519</v>
      </c>
      <c r="T18">
        <f t="shared" ref="T18" si="69">S18/1000</f>
        <v>-0.80612283258165518</v>
      </c>
    </row>
    <row r="19" spans="1:20" x14ac:dyDescent="0.25">
      <c r="A19" s="5">
        <v>44574</v>
      </c>
      <c r="B19">
        <v>11.5</v>
      </c>
      <c r="C19">
        <v>11.69</v>
      </c>
      <c r="D19">
        <v>10.61</v>
      </c>
      <c r="E19">
        <v>10.66</v>
      </c>
      <c r="F19">
        <v>2904296.01</v>
      </c>
      <c r="G19">
        <v>10.66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-0.90740740740740611</v>
      </c>
      <c r="Q19">
        <f t="shared" ref="Q19" si="71">F19*P19</f>
        <v>-2635379.7127777738</v>
      </c>
      <c r="R19">
        <f t="shared" ref="R19" si="72">R20+Q19</f>
        <v>-81513397.865224347</v>
      </c>
      <c r="S19">
        <f t="shared" ref="S19" si="73">R19/100000</f>
        <v>-815.13397865224351</v>
      </c>
      <c r="T19">
        <f t="shared" ref="T19" si="74">S19/1000</f>
        <v>-0.81513397865224346</v>
      </c>
    </row>
    <row r="20" spans="1:20" x14ac:dyDescent="0.25">
      <c r="A20" s="5">
        <v>44573</v>
      </c>
      <c r="B20">
        <v>10.86</v>
      </c>
      <c r="C20">
        <v>11.6</v>
      </c>
      <c r="D20">
        <v>10.81</v>
      </c>
      <c r="E20">
        <v>11.51</v>
      </c>
      <c r="F20">
        <v>2408654.7400000002</v>
      </c>
      <c r="G20">
        <v>11.51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0.77215189873417733</v>
      </c>
      <c r="Q20">
        <f t="shared" ref="Q20" si="76">F20*P20</f>
        <v>1859847.3308860764</v>
      </c>
      <c r="R20">
        <f t="shared" ref="R20" si="77">R21+Q20</f>
        <v>-78878018.152446568</v>
      </c>
      <c r="S20">
        <f t="shared" ref="S20" si="78">R20/100000</f>
        <v>-788.78018152446566</v>
      </c>
      <c r="T20">
        <f t="shared" ref="T20" si="79">S20/1000</f>
        <v>-0.78878018152446561</v>
      </c>
    </row>
    <row r="21" spans="1:20" x14ac:dyDescent="0.25">
      <c r="A21" s="5">
        <v>44572</v>
      </c>
      <c r="B21">
        <v>10.199999999999999</v>
      </c>
      <c r="C21">
        <v>10.97</v>
      </c>
      <c r="D21">
        <v>10.08</v>
      </c>
      <c r="E21">
        <v>10.86</v>
      </c>
      <c r="F21">
        <v>2328392.87</v>
      </c>
      <c r="G21">
        <v>10.86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0.75280898876404234</v>
      </c>
      <c r="Q21">
        <f t="shared" ref="Q21" si="81">F21*P21</f>
        <v>1752835.0819101064</v>
      </c>
      <c r="R21">
        <f t="shared" ref="R21" si="82">R22+Q21</f>
        <v>-80737865.483332649</v>
      </c>
      <c r="S21">
        <f t="shared" ref="S21" si="83">R21/100000</f>
        <v>-807.37865483332644</v>
      </c>
      <c r="T21">
        <f t="shared" ref="T21" si="84">S21/1000</f>
        <v>-0.80737865483332638</v>
      </c>
    </row>
    <row r="22" spans="1:20" x14ac:dyDescent="0.25">
      <c r="A22" s="5">
        <v>44571</v>
      </c>
      <c r="B22">
        <v>11.01</v>
      </c>
      <c r="C22">
        <v>11.21</v>
      </c>
      <c r="D22">
        <v>9.8000000000000007</v>
      </c>
      <c r="E22">
        <v>10.19</v>
      </c>
      <c r="F22">
        <v>3375008.53</v>
      </c>
      <c r="G22">
        <v>10.19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-0.44680851063829963</v>
      </c>
      <c r="Q22">
        <f t="shared" ref="Q22" si="86">F22*P22</f>
        <v>-1507982.5346808569</v>
      </c>
      <c r="R22">
        <f t="shared" ref="R22" si="87">R23+Q22</f>
        <v>-82490700.565242752</v>
      </c>
      <c r="S22">
        <f t="shared" ref="S22" si="88">R22/100000</f>
        <v>-824.90700565242753</v>
      </c>
      <c r="T22">
        <f t="shared" ref="T22" si="89">S22/1000</f>
        <v>-0.82490700565242758</v>
      </c>
    </row>
    <row r="23" spans="1:20" x14ac:dyDescent="0.25">
      <c r="A23" s="5">
        <v>44570</v>
      </c>
      <c r="B23">
        <v>10.82</v>
      </c>
      <c r="C23">
        <v>11.32</v>
      </c>
      <c r="D23">
        <v>10.66</v>
      </c>
      <c r="E23">
        <v>11.01</v>
      </c>
      <c r="F23">
        <v>1678045.48</v>
      </c>
      <c r="G23">
        <v>11.01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6.0606060606059303E-2</v>
      </c>
      <c r="Q23">
        <f t="shared" ref="Q23" si="91">F23*P23</f>
        <v>101699.72606060388</v>
      </c>
      <c r="R23">
        <f t="shared" ref="R23" si="92">R24+Q23</f>
        <v>-80982718.030561894</v>
      </c>
      <c r="S23">
        <f t="shared" ref="S23" si="93">R23/100000</f>
        <v>-809.82718030561898</v>
      </c>
      <c r="T23">
        <f t="shared" ref="T23" si="94">S23/1000</f>
        <v>-0.80982718030561895</v>
      </c>
    </row>
    <row r="24" spans="1:20" x14ac:dyDescent="0.25">
      <c r="A24" s="5">
        <v>44569</v>
      </c>
      <c r="B24">
        <v>11.32</v>
      </c>
      <c r="C24">
        <v>11.76</v>
      </c>
      <c r="D24">
        <v>10.37</v>
      </c>
      <c r="E24">
        <v>10.84</v>
      </c>
      <c r="F24">
        <v>2999821.14</v>
      </c>
      <c r="G24">
        <v>10.84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-0.32374100719424398</v>
      </c>
      <c r="Q24">
        <f t="shared" ref="Q24" si="96">F24*P24</f>
        <v>-971165.11726618523</v>
      </c>
      <c r="R24">
        <f t="shared" ref="R24" si="97">R25+Q24</f>
        <v>-81084417.756622493</v>
      </c>
      <c r="S24">
        <f t="shared" ref="S24" si="98">R24/100000</f>
        <v>-810.84417756622497</v>
      </c>
      <c r="T24">
        <f t="shared" ref="T24" si="99">S24/1000</f>
        <v>-0.81084417756622496</v>
      </c>
    </row>
    <row r="25" spans="1:20" x14ac:dyDescent="0.25">
      <c r="A25" s="5">
        <v>44568</v>
      </c>
      <c r="B25">
        <v>12.18</v>
      </c>
      <c r="C25">
        <v>12.24</v>
      </c>
      <c r="D25">
        <v>11.08</v>
      </c>
      <c r="E25">
        <v>11.32</v>
      </c>
      <c r="F25">
        <v>3832559.5</v>
      </c>
      <c r="G25">
        <v>11.32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-0.58620689655172387</v>
      </c>
      <c r="Q25">
        <f t="shared" ref="Q25" si="101">F25*P25</f>
        <v>-2246672.8103448264</v>
      </c>
      <c r="R25">
        <f t="shared" ref="R25" si="102">R26+Q25</f>
        <v>-80113252.639356315</v>
      </c>
      <c r="S25">
        <f t="shared" ref="S25" si="103">R25/100000</f>
        <v>-801.13252639356313</v>
      </c>
      <c r="T25">
        <f t="shared" ref="T25" si="104">S25/1000</f>
        <v>-0.80113252639356314</v>
      </c>
    </row>
    <row r="26" spans="1:20" x14ac:dyDescent="0.25">
      <c r="A26" s="5">
        <v>44567</v>
      </c>
      <c r="B26">
        <v>12.23</v>
      </c>
      <c r="C26">
        <v>12.36</v>
      </c>
      <c r="D26">
        <v>11.6</v>
      </c>
      <c r="E26">
        <v>12.17</v>
      </c>
      <c r="F26">
        <v>3715706.83</v>
      </c>
      <c r="G26">
        <v>12.17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0.50000000000000122</v>
      </c>
      <c r="Q26">
        <f t="shared" ref="Q26" si="106">F26*P26</f>
        <v>1857853.4150000045</v>
      </c>
      <c r="R26">
        <f t="shared" ref="R26" si="107">R27+Q26</f>
        <v>-77866579.829011485</v>
      </c>
      <c r="S26">
        <f t="shared" ref="S26" si="108">R26/100000</f>
        <v>-778.66579829011482</v>
      </c>
      <c r="T26">
        <f t="shared" ref="T26" si="109">S26/1000</f>
        <v>-0.77866579829011484</v>
      </c>
    </row>
    <row r="27" spans="1:20" x14ac:dyDescent="0.25">
      <c r="A27" s="5">
        <v>44566</v>
      </c>
      <c r="B27">
        <v>13.63</v>
      </c>
      <c r="C27">
        <v>14.34</v>
      </c>
      <c r="D27">
        <v>11.5</v>
      </c>
      <c r="E27">
        <v>12.23</v>
      </c>
      <c r="F27">
        <v>6040034.4400000004</v>
      </c>
      <c r="G27">
        <v>12.23</v>
      </c>
      <c r="L27" t="s">
        <v>8</v>
      </c>
      <c r="M27" t="s">
        <v>7</v>
      </c>
      <c r="N27" t="s">
        <v>7</v>
      </c>
      <c r="P27">
        <f t="shared" ref="P27" si="110">IF(C27=D27,0,((E27-D27)-(C27-E27))/(C27-D27))</f>
        <v>-0.48591549295774616</v>
      </c>
      <c r="Q27">
        <f t="shared" ref="Q27" si="111">F27*P27</f>
        <v>-2934946.3123943643</v>
      </c>
      <c r="R27">
        <f t="shared" ref="R27" si="112">R28+Q27</f>
        <v>-79724433.244011492</v>
      </c>
      <c r="S27">
        <f t="shared" ref="S27" si="113">R27/100000</f>
        <v>-797.24433244011493</v>
      </c>
      <c r="T27">
        <f t="shared" ref="T27" si="114">S27/1000</f>
        <v>-0.79724433244011494</v>
      </c>
    </row>
    <row r="28" spans="1:20" x14ac:dyDescent="0.25">
      <c r="A28" s="5">
        <v>44565</v>
      </c>
      <c r="B28">
        <v>12.63</v>
      </c>
      <c r="C28">
        <v>14.04</v>
      </c>
      <c r="D28">
        <v>12.24</v>
      </c>
      <c r="E28">
        <v>13.65</v>
      </c>
      <c r="F28">
        <v>4276200.07</v>
      </c>
      <c r="G28">
        <v>13.65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0.56666666666666776</v>
      </c>
      <c r="Q28">
        <f t="shared" ref="Q28" si="116">F28*P28</f>
        <v>2423180.0396666713</v>
      </c>
      <c r="R28">
        <f t="shared" ref="R28" si="117">R29+Q28</f>
        <v>-76789486.931617126</v>
      </c>
      <c r="S28">
        <f t="shared" ref="S28" si="118">R28/100000</f>
        <v>-767.89486931617125</v>
      </c>
      <c r="T28">
        <f t="shared" ref="T28" si="119">S28/1000</f>
        <v>-0.76789486931617124</v>
      </c>
    </row>
    <row r="29" spans="1:20" x14ac:dyDescent="0.25">
      <c r="A29" s="5">
        <v>44564</v>
      </c>
      <c r="B29">
        <v>13.04</v>
      </c>
      <c r="C29">
        <v>13.06</v>
      </c>
      <c r="D29">
        <v>12.33</v>
      </c>
      <c r="E29">
        <v>12.64</v>
      </c>
      <c r="F29">
        <v>2332110.17</v>
      </c>
      <c r="G29">
        <v>12.64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-0.15068493150684845</v>
      </c>
      <c r="Q29">
        <f t="shared" ref="Q29" si="121">F29*P29</f>
        <v>-351413.86123287468</v>
      </c>
      <c r="R29">
        <f t="shared" ref="R29" si="122">R30+Q29</f>
        <v>-79212666.971283793</v>
      </c>
      <c r="S29">
        <f t="shared" ref="S29" si="123">R29/100000</f>
        <v>-792.12666971283795</v>
      </c>
      <c r="T29">
        <f t="shared" ref="T29" si="124">S29/1000</f>
        <v>-0.79212666971283796</v>
      </c>
    </row>
    <row r="30" spans="1:20" x14ac:dyDescent="0.25">
      <c r="A30" s="5">
        <v>44563</v>
      </c>
      <c r="B30">
        <v>13.38</v>
      </c>
      <c r="C30">
        <v>13.49</v>
      </c>
      <c r="D30">
        <v>12.81</v>
      </c>
      <c r="E30">
        <v>13.06</v>
      </c>
      <c r="F30">
        <v>1703253.6</v>
      </c>
      <c r="G30">
        <v>13.06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-0.26470588235294085</v>
      </c>
      <c r="Q30">
        <f t="shared" ref="Q30" si="126">F30*P30</f>
        <v>-450861.24705882301</v>
      </c>
      <c r="R30">
        <f t="shared" ref="R30" si="127">R31+Q30</f>
        <v>-78861253.110050917</v>
      </c>
      <c r="S30">
        <f t="shared" ref="S30" si="128">R30/100000</f>
        <v>-788.61253110050916</v>
      </c>
      <c r="T30">
        <f t="shared" ref="T30" si="129">S30/1000</f>
        <v>-0.78861253110050911</v>
      </c>
    </row>
    <row r="31" spans="1:20" x14ac:dyDescent="0.25">
      <c r="A31" s="5">
        <v>44562</v>
      </c>
      <c r="B31">
        <v>12.49</v>
      </c>
      <c r="C31">
        <v>13.38</v>
      </c>
      <c r="D31">
        <v>12.48</v>
      </c>
      <c r="E31">
        <v>13.38</v>
      </c>
      <c r="F31">
        <v>2055566.74</v>
      </c>
      <c r="G31">
        <v>13.38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1</v>
      </c>
      <c r="Q31">
        <f t="shared" ref="Q31" si="131">F31*P31</f>
        <v>2055566.74</v>
      </c>
      <c r="R31">
        <f t="shared" ref="R31" si="132">R32+Q31</f>
        <v>-78410391.862992093</v>
      </c>
      <c r="S31">
        <f t="shared" ref="S31" si="133">R31/100000</f>
        <v>-784.10391862992094</v>
      </c>
      <c r="T31">
        <f t="shared" ref="T31" si="134">S31/1000</f>
        <v>-0.7841039186299209</v>
      </c>
    </row>
    <row r="32" spans="1:20" x14ac:dyDescent="0.25">
      <c r="A32" s="5">
        <v>44561</v>
      </c>
      <c r="B32">
        <v>12.47</v>
      </c>
      <c r="C32">
        <v>13.04</v>
      </c>
      <c r="D32">
        <v>12.13</v>
      </c>
      <c r="E32">
        <v>12.48</v>
      </c>
      <c r="F32">
        <v>2766004.47</v>
      </c>
      <c r="G32">
        <v>12.48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-0.23076923076923017</v>
      </c>
      <c r="Q32">
        <f t="shared" ref="Q32" si="136">F32*P32</f>
        <v>-638308.72384615219</v>
      </c>
      <c r="R32">
        <f t="shared" ref="R32" si="137">R33+Q32</f>
        <v>-80465958.602992088</v>
      </c>
      <c r="S32">
        <f t="shared" ref="S32" si="138">R32/100000</f>
        <v>-804.65958602992089</v>
      </c>
      <c r="T32">
        <f t="shared" ref="T32" si="139">S32/1000</f>
        <v>-0.80465958602992094</v>
      </c>
    </row>
    <row r="33" spans="1:20" x14ac:dyDescent="0.25">
      <c r="A33" s="5">
        <v>44560</v>
      </c>
      <c r="B33">
        <v>12.43</v>
      </c>
      <c r="C33">
        <v>12.92</v>
      </c>
      <c r="D33">
        <v>11.95</v>
      </c>
      <c r="E33">
        <v>12.48</v>
      </c>
      <c r="F33">
        <v>2530252.83</v>
      </c>
      <c r="G33">
        <v>12.48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9.2783505154640802E-2</v>
      </c>
      <c r="Q33">
        <f t="shared" ref="Q33" si="141">F33*P33</f>
        <v>234765.72649484948</v>
      </c>
      <c r="R33">
        <f t="shared" ref="R33" si="142">R34+Q33</f>
        <v>-79827649.879145935</v>
      </c>
      <c r="S33">
        <f t="shared" ref="S33" si="143">R33/100000</f>
        <v>-798.2764987914594</v>
      </c>
      <c r="T33">
        <f t="shared" ref="T33" si="144">S33/1000</f>
        <v>-0.79827649879145945</v>
      </c>
    </row>
    <row r="34" spans="1:20" x14ac:dyDescent="0.25">
      <c r="A34" s="5">
        <v>44559</v>
      </c>
      <c r="B34">
        <v>12.78</v>
      </c>
      <c r="C34">
        <v>13.24</v>
      </c>
      <c r="D34">
        <v>12.15</v>
      </c>
      <c r="E34">
        <v>12.43</v>
      </c>
      <c r="F34">
        <v>3738339.67</v>
      </c>
      <c r="G34">
        <v>12.43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-0.48623853211009282</v>
      </c>
      <c r="Q34">
        <f t="shared" ref="Q34" si="146">F34*P34</f>
        <v>-1817724.7936697288</v>
      </c>
      <c r="R34">
        <f t="shared" ref="R34" si="147">R35+Q34</f>
        <v>-80062415.605640784</v>
      </c>
      <c r="S34">
        <f t="shared" ref="S34" si="148">R34/100000</f>
        <v>-800.62415605640786</v>
      </c>
      <c r="T34">
        <f t="shared" ref="T34" si="149">S34/1000</f>
        <v>-0.80062415605640791</v>
      </c>
    </row>
    <row r="35" spans="1:20" x14ac:dyDescent="0.25">
      <c r="A35" s="5">
        <v>44558</v>
      </c>
      <c r="B35">
        <v>14.44</v>
      </c>
      <c r="C35">
        <v>14.45</v>
      </c>
      <c r="D35">
        <v>12.68</v>
      </c>
      <c r="E35">
        <v>12.78</v>
      </c>
      <c r="F35">
        <v>4681289.5199999996</v>
      </c>
      <c r="G35">
        <v>12.78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-0.8870056497175145</v>
      </c>
      <c r="Q35">
        <f t="shared" ref="Q35" si="151">F35*P35</f>
        <v>-4152330.2522033914</v>
      </c>
      <c r="R35">
        <f t="shared" ref="R35" si="152">R36+Q35</f>
        <v>-78244690.811971053</v>
      </c>
      <c r="S35">
        <f t="shared" ref="S35" si="153">R35/100000</f>
        <v>-782.44690811971054</v>
      </c>
      <c r="T35">
        <f t="shared" ref="T35" si="154">S35/1000</f>
        <v>-0.78244690811971052</v>
      </c>
    </row>
    <row r="36" spans="1:20" x14ac:dyDescent="0.25">
      <c r="A36" s="5">
        <v>44557</v>
      </c>
      <c r="B36">
        <v>15.14</v>
      </c>
      <c r="C36">
        <v>15.7</v>
      </c>
      <c r="D36">
        <v>14.25</v>
      </c>
      <c r="E36">
        <v>14.45</v>
      </c>
      <c r="F36">
        <v>3460571.76</v>
      </c>
      <c r="G36">
        <v>14.45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-0.72413793103448365</v>
      </c>
      <c r="Q36">
        <f t="shared" ref="Q36" si="156">F36*P36</f>
        <v>-2505931.2744827615</v>
      </c>
      <c r="R36">
        <f t="shared" ref="R36" si="157">R37+Q36</f>
        <v>-74092360.559767663</v>
      </c>
      <c r="S36">
        <f t="shared" ref="S36" si="158">R36/100000</f>
        <v>-740.92360559767667</v>
      </c>
      <c r="T36">
        <f t="shared" ref="T36" si="159">S36/1000</f>
        <v>-0.74092360559767667</v>
      </c>
    </row>
    <row r="37" spans="1:20" x14ac:dyDescent="0.25">
      <c r="A37" s="5">
        <v>44556</v>
      </c>
      <c r="B37">
        <v>14.63</v>
      </c>
      <c r="C37">
        <v>15.55</v>
      </c>
      <c r="D37">
        <v>13.95</v>
      </c>
      <c r="E37">
        <v>15.13</v>
      </c>
      <c r="F37">
        <v>4594331.74</v>
      </c>
      <c r="G37">
        <v>15.13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0.47500000000000053</v>
      </c>
      <c r="Q37">
        <f t="shared" ref="Q37" si="161">F37*P37</f>
        <v>2182307.5765000028</v>
      </c>
      <c r="R37">
        <f t="shared" ref="R37" si="162">R38+Q37</f>
        <v>-71586429.285284907</v>
      </c>
      <c r="S37">
        <f t="shared" ref="S37" si="163">R37/100000</f>
        <v>-715.86429285284908</v>
      </c>
      <c r="T37">
        <f t="shared" ref="T37" si="164">S37/1000</f>
        <v>-0.71586429285284903</v>
      </c>
    </row>
    <row r="38" spans="1:20" x14ac:dyDescent="0.25">
      <c r="A38" s="5">
        <v>44555</v>
      </c>
      <c r="B38">
        <v>13.69</v>
      </c>
      <c r="C38">
        <v>14.94</v>
      </c>
      <c r="D38">
        <v>13.56</v>
      </c>
      <c r="E38">
        <v>14.63</v>
      </c>
      <c r="F38">
        <v>3635769.9</v>
      </c>
      <c r="G38">
        <v>14.63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0.55072463768116098</v>
      </c>
      <c r="Q38">
        <f t="shared" ref="Q38" si="166">F38*P38</f>
        <v>2002308.0608695708</v>
      </c>
      <c r="R38">
        <f t="shared" ref="R38" si="167">R39+Q38</f>
        <v>-73768736.861784905</v>
      </c>
      <c r="S38">
        <f t="shared" ref="S38" si="168">R38/100000</f>
        <v>-737.68736861784907</v>
      </c>
      <c r="T38">
        <f t="shared" ref="T38" si="169">S38/1000</f>
        <v>-0.73768736861784912</v>
      </c>
    </row>
    <row r="39" spans="1:20" x14ac:dyDescent="0.25">
      <c r="A39" s="5">
        <v>44554</v>
      </c>
      <c r="B39">
        <v>14.4</v>
      </c>
      <c r="C39">
        <v>15.12</v>
      </c>
      <c r="D39">
        <v>13.4</v>
      </c>
      <c r="E39">
        <v>13.69</v>
      </c>
      <c r="F39">
        <v>4750712.9400000004</v>
      </c>
      <c r="G39">
        <v>13.69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-0.66279069767441934</v>
      </c>
      <c r="Q39">
        <f t="shared" ref="Q39" si="171">F39*P39</f>
        <v>-3148728.3439534921</v>
      </c>
      <c r="R39">
        <f t="shared" ref="R39" si="172">R40+Q39</f>
        <v>-75771044.92265448</v>
      </c>
      <c r="S39">
        <f t="shared" ref="S39" si="173">R39/100000</f>
        <v>-757.71044922654482</v>
      </c>
      <c r="T39">
        <f t="shared" ref="T39" si="174">S39/1000</f>
        <v>-0.75771044922654485</v>
      </c>
    </row>
    <row r="40" spans="1:20" x14ac:dyDescent="0.25">
      <c r="A40" s="5">
        <v>44553</v>
      </c>
      <c r="B40">
        <v>13.25</v>
      </c>
      <c r="C40">
        <v>14.6</v>
      </c>
      <c r="D40">
        <v>12.74</v>
      </c>
      <c r="E40">
        <v>14.39</v>
      </c>
      <c r="F40">
        <v>6170636.4500000002</v>
      </c>
      <c r="G40">
        <v>14.39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0.77419354838709775</v>
      </c>
      <c r="Q40">
        <f t="shared" ref="Q40" si="176">F40*P40</f>
        <v>4777266.9290322643</v>
      </c>
      <c r="R40">
        <f t="shared" ref="R40" si="177">R41+Q40</f>
        <v>-72622316.578700989</v>
      </c>
      <c r="S40">
        <f t="shared" ref="S40" si="178">R40/100000</f>
        <v>-726.22316578700986</v>
      </c>
      <c r="T40">
        <f t="shared" ref="T40" si="179">S40/1000</f>
        <v>-0.72622316578700985</v>
      </c>
    </row>
    <row r="41" spans="1:20" x14ac:dyDescent="0.25">
      <c r="A41" s="5">
        <v>44552</v>
      </c>
      <c r="B41">
        <v>12.63</v>
      </c>
      <c r="C41">
        <v>13.5</v>
      </c>
      <c r="D41">
        <v>12.47</v>
      </c>
      <c r="E41">
        <v>13.23</v>
      </c>
      <c r="F41">
        <v>3746759.78</v>
      </c>
      <c r="G41">
        <v>13.23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0.47572815533980634</v>
      </c>
      <c r="Q41">
        <f t="shared" ref="Q41" si="181">F41*P41</f>
        <v>1782439.1186407786</v>
      </c>
      <c r="R41">
        <f t="shared" ref="R41" si="182">R42+Q41</f>
        <v>-77399583.507733256</v>
      </c>
      <c r="S41">
        <f t="shared" ref="S41" si="183">R41/100000</f>
        <v>-773.99583507733257</v>
      </c>
      <c r="T41">
        <f t="shared" ref="T41" si="184">S41/1000</f>
        <v>-0.77399583507733261</v>
      </c>
    </row>
    <row r="42" spans="1:20" x14ac:dyDescent="0.25">
      <c r="A42" s="5">
        <v>44551</v>
      </c>
      <c r="B42">
        <v>11.85</v>
      </c>
      <c r="C42">
        <v>12.75</v>
      </c>
      <c r="D42">
        <v>11.58</v>
      </c>
      <c r="E42">
        <v>12.63</v>
      </c>
      <c r="F42">
        <v>2894713.51</v>
      </c>
      <c r="G42">
        <v>12.63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0.79487179487179616</v>
      </c>
      <c r="Q42">
        <f t="shared" ref="Q42" si="186">F42*P42</f>
        <v>2300926.1233333368</v>
      </c>
      <c r="R42">
        <f t="shared" ref="R42" si="187">R43+Q42</f>
        <v>-79182022.626374036</v>
      </c>
      <c r="S42">
        <f t="shared" ref="S42" si="188">R42/100000</f>
        <v>-791.82022626374032</v>
      </c>
      <c r="T42">
        <f t="shared" ref="T42" si="189">S42/1000</f>
        <v>-0.79182022626374038</v>
      </c>
    </row>
    <row r="43" spans="1:20" x14ac:dyDescent="0.25">
      <c r="A43" s="5">
        <v>44550</v>
      </c>
      <c r="B43">
        <v>11.95</v>
      </c>
      <c r="C43">
        <v>12.09</v>
      </c>
      <c r="D43">
        <v>11</v>
      </c>
      <c r="E43">
        <v>11.83</v>
      </c>
      <c r="F43">
        <v>3282355.46</v>
      </c>
      <c r="G43">
        <v>11.83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0.52293577981651407</v>
      </c>
      <c r="Q43">
        <f t="shared" ref="Q43" si="191">F43*P43</f>
        <v>1716461.1121100928</v>
      </c>
      <c r="R43">
        <f t="shared" ref="R43" si="192">R44+Q43</f>
        <v>-81482948.749707371</v>
      </c>
      <c r="S43">
        <f t="shared" ref="S43" si="193">R43/100000</f>
        <v>-814.82948749707373</v>
      </c>
      <c r="T43">
        <f t="shared" ref="T43" si="194">S43/1000</f>
        <v>-0.81482948749707373</v>
      </c>
    </row>
    <row r="44" spans="1:20" x14ac:dyDescent="0.25">
      <c r="A44" s="5">
        <v>44549</v>
      </c>
      <c r="B44">
        <v>12.35</v>
      </c>
      <c r="C44">
        <v>12.59</v>
      </c>
      <c r="D44">
        <v>11.78</v>
      </c>
      <c r="E44">
        <v>11.95</v>
      </c>
      <c r="F44">
        <v>2064707.6</v>
      </c>
      <c r="G44">
        <v>11.95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-0.58024691358024738</v>
      </c>
      <c r="Q44">
        <f t="shared" ref="Q44" si="196">F44*P44</f>
        <v>-1198040.21234568</v>
      </c>
      <c r="R44">
        <f t="shared" ref="R44" si="197">R45+Q44</f>
        <v>-83199409.861817464</v>
      </c>
      <c r="S44">
        <f t="shared" ref="S44" si="198">R44/100000</f>
        <v>-831.99409861817469</v>
      </c>
      <c r="T44">
        <f t="shared" ref="T44" si="199">S44/1000</f>
        <v>-0.83199409861817464</v>
      </c>
    </row>
    <row r="45" spans="1:20" x14ac:dyDescent="0.25">
      <c r="A45" s="5">
        <v>44548</v>
      </c>
      <c r="B45">
        <v>12.01</v>
      </c>
      <c r="C45">
        <v>12.53</v>
      </c>
      <c r="D45">
        <v>11.73</v>
      </c>
      <c r="E45">
        <v>12.35</v>
      </c>
      <c r="F45">
        <v>2507362.12</v>
      </c>
      <c r="G45">
        <v>12.35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0.55000000000000016</v>
      </c>
      <c r="Q45">
        <f t="shared" ref="Q45" si="201">F45*P45</f>
        <v>1379049.1660000004</v>
      </c>
      <c r="R45">
        <f t="shared" ref="R45" si="202">R46+Q45</f>
        <v>-82001369.64947179</v>
      </c>
      <c r="S45">
        <f t="shared" ref="S45" si="203">R45/100000</f>
        <v>-820.01369649471792</v>
      </c>
      <c r="T45">
        <f t="shared" ref="T45" si="204">S45/1000</f>
        <v>-0.82001369649471789</v>
      </c>
    </row>
    <row r="46" spans="1:20" x14ac:dyDescent="0.25">
      <c r="A46" s="5">
        <v>44547</v>
      </c>
      <c r="B46">
        <v>12.64</v>
      </c>
      <c r="C46">
        <v>13.2</v>
      </c>
      <c r="D46">
        <v>11.62</v>
      </c>
      <c r="E46">
        <v>12.02</v>
      </c>
      <c r="F46">
        <v>3253692.56</v>
      </c>
      <c r="G46">
        <v>12.02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-0.49367088607594894</v>
      </c>
      <c r="Q46">
        <f t="shared" ref="Q46" si="206">F46*P46</f>
        <v>-1606253.2891139227</v>
      </c>
      <c r="R46">
        <f t="shared" ref="R46" si="207">R47+Q46</f>
        <v>-83380418.815471783</v>
      </c>
      <c r="S46">
        <f t="shared" ref="S46" si="208">R46/100000</f>
        <v>-833.80418815471785</v>
      </c>
      <c r="T46">
        <f t="shared" ref="T46" si="209">S46/1000</f>
        <v>-0.8338041881547178</v>
      </c>
    </row>
    <row r="47" spans="1:20" x14ac:dyDescent="0.25">
      <c r="A47" s="5">
        <v>44546</v>
      </c>
      <c r="B47">
        <v>12.56</v>
      </c>
      <c r="C47">
        <v>13.27</v>
      </c>
      <c r="D47">
        <v>12.51</v>
      </c>
      <c r="E47">
        <v>12.65</v>
      </c>
      <c r="F47">
        <v>3124984.48</v>
      </c>
      <c r="G47">
        <v>12.65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-0.63157894736841946</v>
      </c>
      <c r="Q47">
        <f t="shared" ref="Q47" si="211">F47*P47</f>
        <v>-1973674.4084210477</v>
      </c>
      <c r="R47">
        <f t="shared" ref="R47" si="212">R48+Q47</f>
        <v>-81774165.526357859</v>
      </c>
      <c r="S47">
        <f t="shared" ref="S47" si="213">R47/100000</f>
        <v>-817.74165526357865</v>
      </c>
      <c r="T47">
        <f t="shared" ref="T47" si="214">S47/1000</f>
        <v>-0.81774165526357867</v>
      </c>
    </row>
    <row r="48" spans="1:20" x14ac:dyDescent="0.25">
      <c r="A48" s="5">
        <v>44545</v>
      </c>
      <c r="B48">
        <v>12.04</v>
      </c>
      <c r="C48">
        <v>12.82</v>
      </c>
      <c r="D48">
        <v>11.34</v>
      </c>
      <c r="E48">
        <v>12.56</v>
      </c>
      <c r="F48">
        <v>3893441.65</v>
      </c>
      <c r="G48">
        <v>12.56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0.64864864864864902</v>
      </c>
      <c r="Q48">
        <f t="shared" ref="Q48" si="216">F48*P48</f>
        <v>2525475.6648648661</v>
      </c>
      <c r="R48">
        <f t="shared" ref="R48" si="217">R49+Q48</f>
        <v>-79800491.117936805</v>
      </c>
      <c r="S48">
        <f t="shared" ref="S48" si="218">R48/100000</f>
        <v>-798.00491117936804</v>
      </c>
      <c r="T48">
        <f t="shared" ref="T48" si="219">S48/1000</f>
        <v>-0.798004911179368</v>
      </c>
    </row>
    <row r="49" spans="1:20" x14ac:dyDescent="0.25">
      <c r="A49" s="5">
        <v>44544</v>
      </c>
      <c r="B49">
        <v>11.79</v>
      </c>
      <c r="C49">
        <v>12.17</v>
      </c>
      <c r="D49">
        <v>11.26</v>
      </c>
      <c r="E49">
        <v>12.04</v>
      </c>
      <c r="F49">
        <v>3918555.19</v>
      </c>
      <c r="G49">
        <v>12.04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0.71428571428571264</v>
      </c>
      <c r="Q49">
        <f t="shared" ref="Q49" si="221">F49*P49</f>
        <v>2798967.9928571363</v>
      </c>
      <c r="R49">
        <f t="shared" ref="R49" si="222">R50+Q49</f>
        <v>-82325966.782801673</v>
      </c>
      <c r="S49">
        <f t="shared" ref="S49" si="223">R49/100000</f>
        <v>-823.25966782801675</v>
      </c>
      <c r="T49">
        <f t="shared" ref="T49" si="224">S49/1000</f>
        <v>-0.82325966782801674</v>
      </c>
    </row>
    <row r="50" spans="1:20" x14ac:dyDescent="0.25">
      <c r="A50" s="5">
        <v>44543</v>
      </c>
      <c r="B50">
        <v>13.54</v>
      </c>
      <c r="C50">
        <v>13.79</v>
      </c>
      <c r="D50">
        <v>11.49</v>
      </c>
      <c r="E50">
        <v>11.79</v>
      </c>
      <c r="F50">
        <v>4158298.24</v>
      </c>
      <c r="G50">
        <v>11.79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-0.73913043478260954</v>
      </c>
      <c r="Q50">
        <f t="shared" ref="Q50" si="226">F50*P50</f>
        <v>-3073524.7860869602</v>
      </c>
      <c r="R50">
        <f t="shared" ref="R50" si="227">R51+Q50</f>
        <v>-85124934.775658816</v>
      </c>
      <c r="S50">
        <f t="shared" ref="S50" si="228">R50/100000</f>
        <v>-851.24934775658812</v>
      </c>
      <c r="T50">
        <f t="shared" ref="T50" si="229">S50/1000</f>
        <v>-0.85124934775658812</v>
      </c>
    </row>
    <row r="51" spans="1:20" x14ac:dyDescent="0.25">
      <c r="A51" s="5">
        <v>44542</v>
      </c>
      <c r="B51">
        <v>13.44</v>
      </c>
      <c r="C51">
        <v>13.99</v>
      </c>
      <c r="D51">
        <v>13.16</v>
      </c>
      <c r="E51">
        <v>13.53</v>
      </c>
      <c r="F51">
        <v>3502233.33</v>
      </c>
      <c r="G51">
        <v>13.53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-0.108433734939761</v>
      </c>
      <c r="Q51">
        <f t="shared" ref="Q51" si="231">F51*P51</f>
        <v>-379760.24060241651</v>
      </c>
      <c r="R51">
        <f t="shared" ref="R51" si="232">R52+Q51</f>
        <v>-82051409.989571854</v>
      </c>
      <c r="S51">
        <f t="shared" ref="S51" si="233">R51/100000</f>
        <v>-820.51409989571857</v>
      </c>
      <c r="T51">
        <f t="shared" ref="T51" si="234">S51/1000</f>
        <v>-0.82051409989571855</v>
      </c>
    </row>
    <row r="52" spans="1:20" x14ac:dyDescent="0.25">
      <c r="A52" s="5">
        <v>44541</v>
      </c>
      <c r="B52">
        <v>12.46</v>
      </c>
      <c r="C52">
        <v>12.71</v>
      </c>
      <c r="D52">
        <v>12.17</v>
      </c>
      <c r="E52">
        <v>12.59</v>
      </c>
      <c r="F52">
        <v>277387.23</v>
      </c>
      <c r="G52">
        <v>12.59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0.55555555555555258</v>
      </c>
      <c r="Q52">
        <f t="shared" ref="Q52" si="236">F52*P52</f>
        <v>154104.01666666582</v>
      </c>
      <c r="R52">
        <f t="shared" ref="R52" si="237">R53+Q52</f>
        <v>-81671649.748969436</v>
      </c>
      <c r="S52">
        <f t="shared" ref="S52" si="238">R52/100000</f>
        <v>-816.71649748969435</v>
      </c>
      <c r="T52">
        <f t="shared" ref="T52" si="239">S52/1000</f>
        <v>-0.81671649748969433</v>
      </c>
    </row>
    <row r="53" spans="1:20" x14ac:dyDescent="0.25">
      <c r="A53" s="5">
        <v>44540</v>
      </c>
      <c r="B53">
        <v>12.81</v>
      </c>
      <c r="C53">
        <v>13.88</v>
      </c>
      <c r="D53">
        <v>12.23</v>
      </c>
      <c r="E53">
        <v>12.46</v>
      </c>
      <c r="F53">
        <v>4936835.28</v>
      </c>
      <c r="G53">
        <v>12.46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-0.72121212121212075</v>
      </c>
      <c r="Q53">
        <f t="shared" ref="Q53" si="241">F53*P53</f>
        <v>-3560505.4443636341</v>
      </c>
      <c r="R53">
        <f t="shared" ref="R53" si="242">R54+Q53</f>
        <v>-81825753.765636101</v>
      </c>
      <c r="S53">
        <f t="shared" ref="S53" si="243">R53/100000</f>
        <v>-818.25753765636102</v>
      </c>
      <c r="T53">
        <f t="shared" ref="T53" si="244">S53/1000</f>
        <v>-0.818257537656361</v>
      </c>
    </row>
    <row r="54" spans="1:20" x14ac:dyDescent="0.25">
      <c r="A54" s="5">
        <v>44539</v>
      </c>
      <c r="B54">
        <v>14.19</v>
      </c>
      <c r="C54">
        <v>14.89</v>
      </c>
      <c r="D54">
        <v>12.59</v>
      </c>
      <c r="E54">
        <v>12.83</v>
      </c>
      <c r="F54">
        <v>7192646.8899999997</v>
      </c>
      <c r="G54">
        <v>12.83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-0.79130434782608683</v>
      </c>
      <c r="Q54">
        <f t="shared" ref="Q54" si="246">F54*P54</f>
        <v>-5691572.7564347815</v>
      </c>
      <c r="R54">
        <f t="shared" ref="R54" si="247">R55+Q54</f>
        <v>-78265248.321272463</v>
      </c>
      <c r="S54">
        <f t="shared" ref="S54" si="248">R54/100000</f>
        <v>-782.65248321272463</v>
      </c>
      <c r="T54">
        <f t="shared" ref="T54" si="249">S54/1000</f>
        <v>-0.78265248321272463</v>
      </c>
    </row>
    <row r="55" spans="1:20" x14ac:dyDescent="0.25">
      <c r="A55" s="5">
        <v>44538</v>
      </c>
      <c r="B55">
        <v>13.54</v>
      </c>
      <c r="C55">
        <v>14.3</v>
      </c>
      <c r="D55">
        <v>12.76</v>
      </c>
      <c r="E55">
        <v>14.19</v>
      </c>
      <c r="F55">
        <v>5343426.6900000004</v>
      </c>
      <c r="G55">
        <v>14.19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0.85714285714285565</v>
      </c>
      <c r="Q55">
        <f t="shared" ref="Q55" si="251">F55*P55</f>
        <v>4580080.0199999921</v>
      </c>
      <c r="R55">
        <f t="shared" ref="R55" si="252">R56+Q55</f>
        <v>-72573675.564837679</v>
      </c>
      <c r="S55">
        <f t="shared" ref="S55" si="253">R55/100000</f>
        <v>-725.73675564837674</v>
      </c>
      <c r="T55">
        <f t="shared" ref="T55" si="254">S55/1000</f>
        <v>-0.7257367556483767</v>
      </c>
    </row>
    <row r="56" spans="1:20" x14ac:dyDescent="0.25">
      <c r="A56" s="5">
        <v>44537</v>
      </c>
      <c r="B56">
        <v>14.21</v>
      </c>
      <c r="C56">
        <v>14.6</v>
      </c>
      <c r="D56">
        <v>13.25</v>
      </c>
      <c r="E56">
        <v>13.54</v>
      </c>
      <c r="F56">
        <v>5672738.5899999999</v>
      </c>
      <c r="G56">
        <v>13.54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-0.57037037037037153</v>
      </c>
      <c r="Q56">
        <f t="shared" ref="Q56" si="256">F56*P56</f>
        <v>-3235562.0105925989</v>
      </c>
      <c r="R56">
        <f t="shared" ref="R56" si="257">R57+Q56</f>
        <v>-77153755.584837675</v>
      </c>
      <c r="S56">
        <f t="shared" ref="S56" si="258">R56/100000</f>
        <v>-771.53755584837677</v>
      </c>
      <c r="T56">
        <f t="shared" ref="T56" si="259">S56/1000</f>
        <v>-0.7715375558483768</v>
      </c>
    </row>
    <row r="57" spans="1:20" x14ac:dyDescent="0.25">
      <c r="A57" s="5">
        <v>44536</v>
      </c>
      <c r="B57">
        <v>13.85</v>
      </c>
      <c r="C57">
        <v>14.5</v>
      </c>
      <c r="D57">
        <v>11.88</v>
      </c>
      <c r="E57">
        <v>14.21</v>
      </c>
      <c r="F57">
        <v>8678491.3300000001</v>
      </c>
      <c r="G57">
        <v>14.21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0.77862595419847391</v>
      </c>
      <c r="Q57">
        <f t="shared" ref="Q57" si="261">F57*P57</f>
        <v>6757298.592824433</v>
      </c>
      <c r="R57">
        <f t="shared" ref="R57" si="262">R58+Q57</f>
        <v>-73918193.57424508</v>
      </c>
      <c r="S57">
        <f t="shared" ref="S57" si="263">R57/100000</f>
        <v>-739.18193574245083</v>
      </c>
      <c r="T57">
        <f t="shared" ref="T57" si="264">S57/1000</f>
        <v>-0.73918193574245084</v>
      </c>
    </row>
    <row r="58" spans="1:20" x14ac:dyDescent="0.25">
      <c r="A58" s="5">
        <v>44535</v>
      </c>
      <c r="B58">
        <v>15.42</v>
      </c>
      <c r="C58">
        <v>15.98</v>
      </c>
      <c r="D58">
        <v>13.19</v>
      </c>
      <c r="E58">
        <v>13.84</v>
      </c>
      <c r="F58">
        <v>6449617.6799999997</v>
      </c>
      <c r="G58">
        <v>13.84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-0.53405017921146947</v>
      </c>
      <c r="Q58">
        <f t="shared" ref="Q58" si="266">F58*P58</f>
        <v>-3444419.4778494616</v>
      </c>
      <c r="R58">
        <f t="shared" ref="R58" si="267">R59+Q58</f>
        <v>-80675492.16706951</v>
      </c>
      <c r="S58">
        <f t="shared" ref="S58" si="268">R58/100000</f>
        <v>-806.75492167069513</v>
      </c>
      <c r="T58">
        <f t="shared" ref="T58" si="269">S58/1000</f>
        <v>-0.80675492167069518</v>
      </c>
    </row>
    <row r="59" spans="1:20" x14ac:dyDescent="0.25">
      <c r="A59" s="5">
        <v>44534</v>
      </c>
      <c r="B59">
        <v>18.73</v>
      </c>
      <c r="C59">
        <v>18.79</v>
      </c>
      <c r="D59">
        <v>11.4</v>
      </c>
      <c r="E59">
        <v>15.43</v>
      </c>
      <c r="F59">
        <v>15840250.789999999</v>
      </c>
      <c r="G59">
        <v>15.43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9.0663058186738837E-2</v>
      </c>
      <c r="Q59">
        <f t="shared" ref="Q59" si="271">F59*P59</f>
        <v>1436125.5790663057</v>
      </c>
      <c r="R59">
        <f t="shared" ref="R59" si="272">R60+Q59</f>
        <v>-77231072.689220041</v>
      </c>
      <c r="S59">
        <f t="shared" ref="S59" si="273">R59/100000</f>
        <v>-772.31072689220036</v>
      </c>
      <c r="T59">
        <f t="shared" ref="T59" si="274">S59/1000</f>
        <v>-0.77231072689220037</v>
      </c>
    </row>
    <row r="60" spans="1:20" x14ac:dyDescent="0.25">
      <c r="A60" s="5">
        <v>44533</v>
      </c>
      <c r="B60">
        <v>20.93</v>
      </c>
      <c r="C60">
        <v>21.39</v>
      </c>
      <c r="D60">
        <v>17.7</v>
      </c>
      <c r="E60">
        <v>18.739999999999998</v>
      </c>
      <c r="F60">
        <v>5732239.6399999997</v>
      </c>
      <c r="G60">
        <v>18.739999999999998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-0.43631436314363209</v>
      </c>
      <c r="Q60">
        <f t="shared" ref="Q60" si="276">F60*P60</f>
        <v>-2501058.4879132826</v>
      </c>
      <c r="R60">
        <f t="shared" ref="R60" si="277">R61+Q60</f>
        <v>-78667198.268286347</v>
      </c>
      <c r="S60">
        <f t="shared" ref="S60" si="278">R60/100000</f>
        <v>-786.67198268286347</v>
      </c>
      <c r="T60">
        <f t="shared" ref="T60" si="279">S60/1000</f>
        <v>-0.78667198268286342</v>
      </c>
    </row>
    <row r="61" spans="1:20" x14ac:dyDescent="0.25">
      <c r="A61" s="5">
        <v>44532</v>
      </c>
      <c r="B61">
        <v>21.7</v>
      </c>
      <c r="C61">
        <v>24.2</v>
      </c>
      <c r="D61">
        <v>20.38</v>
      </c>
      <c r="E61">
        <v>20.95</v>
      </c>
      <c r="F61">
        <v>11061233.57</v>
      </c>
      <c r="G61">
        <v>20.95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-0.7015706806282721</v>
      </c>
      <c r="Q61">
        <f t="shared" ref="Q61" si="281">F61*P61</f>
        <v>-7760237.1642931923</v>
      </c>
      <c r="R61">
        <f t="shared" ref="R61" si="282">R62+Q61</f>
        <v>-76166139.780373067</v>
      </c>
      <c r="S61">
        <f t="shared" ref="S61" si="283">R61/100000</f>
        <v>-761.66139780373067</v>
      </c>
      <c r="T61">
        <f t="shared" ref="T61" si="284">S61/1000</f>
        <v>-0.76166139780373066</v>
      </c>
    </row>
    <row r="62" spans="1:20" x14ac:dyDescent="0.25">
      <c r="A62" s="5">
        <v>44531</v>
      </c>
      <c r="B62">
        <v>20.260000000000002</v>
      </c>
      <c r="C62">
        <v>23.26</v>
      </c>
      <c r="D62">
        <v>19.88</v>
      </c>
      <c r="E62">
        <v>21.68</v>
      </c>
      <c r="F62">
        <v>13579784.48</v>
      </c>
      <c r="G62">
        <v>21.68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6.5088757396449315E-2</v>
      </c>
      <c r="Q62">
        <f t="shared" ref="Q62" si="286">F62*P62</f>
        <v>883891.29751478764</v>
      </c>
      <c r="R62">
        <f t="shared" ref="R62" si="287">R63+Q62</f>
        <v>-68405902.616079867</v>
      </c>
      <c r="S62">
        <f t="shared" ref="S62" si="288">R62/100000</f>
        <v>-684.05902616079868</v>
      </c>
      <c r="T62">
        <f t="shared" ref="T62" si="289">S62/1000</f>
        <v>-0.68405902616079872</v>
      </c>
    </row>
    <row r="63" spans="1:20" x14ac:dyDescent="0.25">
      <c r="A63" s="5">
        <v>44530</v>
      </c>
      <c r="B63">
        <v>19.420000000000002</v>
      </c>
      <c r="C63">
        <v>20.41</v>
      </c>
      <c r="D63">
        <v>18.440000000000001</v>
      </c>
      <c r="E63">
        <v>20.25</v>
      </c>
      <c r="F63">
        <v>6680570.0099999998</v>
      </c>
      <c r="G63">
        <v>20.25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0.83756345177664948</v>
      </c>
      <c r="Q63">
        <f t="shared" ref="Q63" si="291">F63*P63</f>
        <v>5595401.2774111656</v>
      </c>
      <c r="R63">
        <f t="shared" ref="R63" si="292">R64+Q63</f>
        <v>-69289793.913594648</v>
      </c>
      <c r="S63">
        <f t="shared" ref="S63" si="293">R63/100000</f>
        <v>-692.89793913594644</v>
      </c>
      <c r="T63">
        <f t="shared" ref="T63" si="294">S63/1000</f>
        <v>-0.69289793913594644</v>
      </c>
    </row>
    <row r="64" spans="1:20" x14ac:dyDescent="0.25">
      <c r="A64" s="5">
        <v>44529</v>
      </c>
      <c r="B64">
        <v>21.13</v>
      </c>
      <c r="C64">
        <v>21.89</v>
      </c>
      <c r="D64">
        <v>19.36</v>
      </c>
      <c r="E64">
        <v>19.41</v>
      </c>
      <c r="F64">
        <v>8222053.0700000003</v>
      </c>
      <c r="G64">
        <v>19.41</v>
      </c>
      <c r="L64" t="s">
        <v>7</v>
      </c>
      <c r="M64" t="s">
        <v>8</v>
      </c>
      <c r="N64" t="s">
        <v>7</v>
      </c>
      <c r="P64">
        <f t="shared" ref="P64" si="295">IF(C64=D64,0,((E64-D64)-(C64-E64))/(C64-D64))</f>
        <v>-0.96047430830039471</v>
      </c>
      <c r="Q64">
        <f t="shared" ref="Q64" si="296">F64*P64</f>
        <v>-7897070.7352173869</v>
      </c>
      <c r="R64">
        <f t="shared" ref="R64" si="297">R65+Q64</f>
        <v>-74885195.191005811</v>
      </c>
      <c r="S64">
        <f t="shared" ref="S64" si="298">R64/100000</f>
        <v>-748.85195191005812</v>
      </c>
      <c r="T64">
        <f t="shared" ref="T64" si="299">S64/1000</f>
        <v>-0.74885195191005816</v>
      </c>
    </row>
    <row r="65" spans="1:20" x14ac:dyDescent="0.25">
      <c r="A65" s="5">
        <v>44528</v>
      </c>
      <c r="B65">
        <v>19.239999999999998</v>
      </c>
      <c r="C65">
        <v>21.61</v>
      </c>
      <c r="D65">
        <v>17.13</v>
      </c>
      <c r="E65">
        <v>21.15</v>
      </c>
      <c r="F65">
        <v>10689843.99</v>
      </c>
      <c r="G65">
        <v>21.15</v>
      </c>
      <c r="L65" t="s">
        <v>8</v>
      </c>
      <c r="M65" t="s">
        <v>7</v>
      </c>
      <c r="N65" t="s">
        <v>7</v>
      </c>
      <c r="P65">
        <f t="shared" ref="P65" si="300">IF(C65=D65,0,((E65-D65)-(C65-E65))/(C65-D65))</f>
        <v>0.79464285714285676</v>
      </c>
      <c r="Q65">
        <f t="shared" ref="Q65" si="301">F65*P65</f>
        <v>8494608.1706249956</v>
      </c>
      <c r="R65">
        <f t="shared" ref="R65" si="302">R66+Q65</f>
        <v>-66988124.455788426</v>
      </c>
      <c r="S65">
        <f t="shared" ref="S65" si="303">R65/100000</f>
        <v>-669.88124455788432</v>
      </c>
      <c r="T65">
        <f t="shared" ref="T65" si="304">S65/1000</f>
        <v>-0.66988124455788434</v>
      </c>
    </row>
    <row r="66" spans="1:20" x14ac:dyDescent="0.25">
      <c r="A66" s="5">
        <v>44527</v>
      </c>
      <c r="B66">
        <v>20.14</v>
      </c>
      <c r="C66">
        <v>21.5</v>
      </c>
      <c r="D66">
        <v>18.690000000000001</v>
      </c>
      <c r="E66">
        <v>19.25</v>
      </c>
      <c r="F66">
        <v>5548215.9699999997</v>
      </c>
      <c r="G66">
        <v>19.25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-0.60142348754448471</v>
      </c>
      <c r="Q66">
        <f t="shared" ref="Q66" si="306">F66*P66</f>
        <v>-3336827.398327406</v>
      </c>
      <c r="R66">
        <f t="shared" ref="R66" si="307">R67+Q66</f>
        <v>-75482732.62641342</v>
      </c>
      <c r="S66">
        <f t="shared" ref="S66" si="308">R66/100000</f>
        <v>-754.82732626413417</v>
      </c>
      <c r="T66">
        <f t="shared" ref="T66" si="309">S66/1000</f>
        <v>-0.75482732626413418</v>
      </c>
    </row>
    <row r="67" spans="1:20" x14ac:dyDescent="0.25">
      <c r="A67" s="5">
        <v>44526</v>
      </c>
      <c r="B67">
        <v>23.65</v>
      </c>
      <c r="C67">
        <v>25.11</v>
      </c>
      <c r="D67">
        <v>18.739999999999998</v>
      </c>
      <c r="E67">
        <v>20.16</v>
      </c>
      <c r="F67">
        <v>14652546.98</v>
      </c>
      <c r="G67">
        <v>20.16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-0.55416012558869654</v>
      </c>
      <c r="Q67">
        <f t="shared" ref="Q67" si="311">F67*P67</f>
        <v>-8119857.2746310765</v>
      </c>
      <c r="R67">
        <f t="shared" ref="R67" si="312">R68+Q67</f>
        <v>-72145905.22808601</v>
      </c>
      <c r="S67">
        <f t="shared" ref="S67" si="313">R67/100000</f>
        <v>-721.45905228086008</v>
      </c>
      <c r="T67">
        <f t="shared" ref="T67" si="314">S67/1000</f>
        <v>-0.72145905228086005</v>
      </c>
    </row>
    <row r="68" spans="1:20" x14ac:dyDescent="0.25">
      <c r="A68" s="5">
        <v>44525</v>
      </c>
      <c r="B68">
        <v>27.24</v>
      </c>
      <c r="C68">
        <v>28.66</v>
      </c>
      <c r="D68">
        <v>22.95</v>
      </c>
      <c r="E68">
        <v>23.66</v>
      </c>
      <c r="F68">
        <v>14447821.01</v>
      </c>
      <c r="G68">
        <v>23.66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-0.75131348511383511</v>
      </c>
      <c r="Q68">
        <f t="shared" ref="Q68" si="316">F68*P68</f>
        <v>-10854842.755323989</v>
      </c>
      <c r="R68">
        <f t="shared" ref="R68" si="317">R69+Q68</f>
        <v>-64026047.953454934</v>
      </c>
      <c r="S68">
        <f t="shared" ref="S68" si="318">R68/100000</f>
        <v>-640.26047953454929</v>
      </c>
      <c r="T68">
        <f t="shared" ref="T68" si="319">S68/1000</f>
        <v>-0.64026047953454934</v>
      </c>
    </row>
    <row r="69" spans="1:20" x14ac:dyDescent="0.25">
      <c r="A69" s="5">
        <v>44524</v>
      </c>
      <c r="B69">
        <v>24.07</v>
      </c>
      <c r="C69">
        <v>25.96</v>
      </c>
      <c r="D69">
        <v>23.29</v>
      </c>
      <c r="E69">
        <v>23.69</v>
      </c>
      <c r="F69">
        <v>6912232.8600000003</v>
      </c>
      <c r="G69">
        <v>23.69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-0.70037453183520459</v>
      </c>
      <c r="Q69">
        <f t="shared" ref="Q69" si="321">F69*P69</f>
        <v>-4841151.8532584179</v>
      </c>
      <c r="R69">
        <f t="shared" ref="R69" si="322">R70+Q69</f>
        <v>-53171205.198130943</v>
      </c>
      <c r="S69">
        <f t="shared" ref="S69" si="323">R69/100000</f>
        <v>-531.7120519813094</v>
      </c>
      <c r="T69">
        <f t="shared" ref="T69" si="324">S69/1000</f>
        <v>-0.53171205198130944</v>
      </c>
    </row>
    <row r="70" spans="1:20" x14ac:dyDescent="0.25">
      <c r="A70" s="5">
        <v>44523</v>
      </c>
      <c r="B70">
        <v>19.079999999999998</v>
      </c>
      <c r="C70">
        <v>24.79</v>
      </c>
      <c r="D70">
        <v>18.79</v>
      </c>
      <c r="E70">
        <v>24.08</v>
      </c>
      <c r="F70">
        <v>20518910.629999999</v>
      </c>
      <c r="G70">
        <v>24.08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0.76333333333333309</v>
      </c>
      <c r="Q70">
        <f t="shared" ref="Q70" si="326">F70*P70</f>
        <v>15662768.44756666</v>
      </c>
      <c r="R70">
        <f t="shared" ref="R70" si="327">R71+Q70</f>
        <v>-48330053.344872527</v>
      </c>
      <c r="S70">
        <f t="shared" ref="S70" si="328">R70/100000</f>
        <v>-483.30053344872528</v>
      </c>
      <c r="T70">
        <f t="shared" ref="T70" si="329">S70/1000</f>
        <v>-0.48330053344872526</v>
      </c>
    </row>
    <row r="71" spans="1:20" x14ac:dyDescent="0.25">
      <c r="A71" s="5">
        <v>44522</v>
      </c>
      <c r="B71">
        <v>18.309999999999999</v>
      </c>
      <c r="C71">
        <v>19.86</v>
      </c>
      <c r="D71">
        <v>17.399999999999999</v>
      </c>
      <c r="E71">
        <v>19.11</v>
      </c>
      <c r="F71">
        <v>10104673.789999999</v>
      </c>
      <c r="G71">
        <v>19.11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0.39024390243902463</v>
      </c>
      <c r="Q71">
        <f t="shared" ref="Q71" si="331">F71*P71</f>
        <v>3943287.332682929</v>
      </c>
      <c r="R71">
        <f t="shared" ref="R71" si="332">R72+Q71</f>
        <v>-63992821.792439185</v>
      </c>
      <c r="S71">
        <f t="shared" ref="S71" si="333">R71/100000</f>
        <v>-639.9282179243919</v>
      </c>
      <c r="T71">
        <f t="shared" ref="T71" si="334">S71/1000</f>
        <v>-0.63992821792439192</v>
      </c>
    </row>
    <row r="72" spans="1:20" x14ac:dyDescent="0.25">
      <c r="A72" s="5">
        <v>44521</v>
      </c>
      <c r="B72">
        <v>19.37</v>
      </c>
      <c r="C72">
        <v>22.17</v>
      </c>
      <c r="D72">
        <v>18</v>
      </c>
      <c r="E72">
        <v>18.309999999999999</v>
      </c>
      <c r="F72">
        <v>16349816.6</v>
      </c>
      <c r="G72">
        <v>18.309999999999999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-0.8513189448441254</v>
      </c>
      <c r="Q72">
        <f t="shared" ref="Q72" si="336">F72*P72</f>
        <v>-13918908.616306966</v>
      </c>
      <c r="R72">
        <f t="shared" ref="R72" si="337">R73+Q72</f>
        <v>-67936109.125122115</v>
      </c>
      <c r="S72">
        <f t="shared" ref="S72" si="338">R72/100000</f>
        <v>-679.36109125122118</v>
      </c>
      <c r="T72">
        <f t="shared" ref="T72" si="339">S72/1000</f>
        <v>-0.67936109125122113</v>
      </c>
    </row>
    <row r="73" spans="1:20" x14ac:dyDescent="0.25">
      <c r="A73" s="5">
        <v>44520</v>
      </c>
      <c r="B73">
        <v>16.55</v>
      </c>
      <c r="C73">
        <v>20.350000000000001</v>
      </c>
      <c r="D73">
        <v>16.46</v>
      </c>
      <c r="E73">
        <v>19.37</v>
      </c>
      <c r="F73">
        <v>16809056.690000001</v>
      </c>
      <c r="G73">
        <v>19.37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0.49614395886889445</v>
      </c>
      <c r="Q73">
        <f t="shared" ref="Q73" si="341">F73*P73</f>
        <v>8339711.9310282758</v>
      </c>
      <c r="R73">
        <f t="shared" ref="R73" si="342">R74+Q73</f>
        <v>-54017200.508815147</v>
      </c>
      <c r="S73">
        <f t="shared" ref="S73" si="343">R73/100000</f>
        <v>-540.17200508815142</v>
      </c>
      <c r="T73">
        <f t="shared" ref="T73" si="344">S73/1000</f>
        <v>-0.54017200508815144</v>
      </c>
    </row>
    <row r="74" spans="1:20" x14ac:dyDescent="0.25">
      <c r="A74" s="5">
        <v>44519</v>
      </c>
      <c r="B74">
        <v>16.95</v>
      </c>
      <c r="C74">
        <v>17.95</v>
      </c>
      <c r="D74">
        <v>15.31</v>
      </c>
      <c r="E74">
        <v>16.55</v>
      </c>
      <c r="F74">
        <v>13769876.609999999</v>
      </c>
      <c r="G74">
        <v>16.55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-6.0606060606060018E-2</v>
      </c>
      <c r="Q74">
        <f t="shared" ref="Q74" si="346">F74*P74</f>
        <v>-834537.97636362817</v>
      </c>
      <c r="R74">
        <f t="shared" ref="R74" si="347">R75+Q74</f>
        <v>-62356912.439843424</v>
      </c>
      <c r="S74">
        <f t="shared" ref="S74" si="348">R74/100000</f>
        <v>-623.56912439843427</v>
      </c>
      <c r="T74">
        <f t="shared" ref="T74" si="349">S74/1000</f>
        <v>-0.62356912439843426</v>
      </c>
    </row>
    <row r="75" spans="1:20" x14ac:dyDescent="0.25">
      <c r="A75" s="5">
        <v>44518</v>
      </c>
      <c r="B75">
        <v>14.46</v>
      </c>
      <c r="C75">
        <v>17.93</v>
      </c>
      <c r="D75">
        <v>13.6</v>
      </c>
      <c r="E75">
        <v>16.940000000000001</v>
      </c>
      <c r="F75">
        <v>24094295.73</v>
      </c>
      <c r="G75">
        <v>16.940000000000001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0.54272517321016234</v>
      </c>
      <c r="Q75">
        <f t="shared" ref="Q75" si="351">F75*P75</f>
        <v>13076580.823441125</v>
      </c>
      <c r="R75">
        <f t="shared" ref="R75" si="352">R76+Q75</f>
        <v>-61522374.463479795</v>
      </c>
      <c r="S75">
        <f t="shared" ref="S75" si="353">R75/100000</f>
        <v>-615.22374463479798</v>
      </c>
      <c r="T75">
        <f t="shared" ref="T75" si="354">S75/1000</f>
        <v>-0.61522374463479801</v>
      </c>
    </row>
    <row r="76" spans="1:20" x14ac:dyDescent="0.25">
      <c r="A76" s="5">
        <v>44517</v>
      </c>
      <c r="B76">
        <v>12.82</v>
      </c>
      <c r="C76">
        <v>14.88</v>
      </c>
      <c r="D76">
        <v>12.18</v>
      </c>
      <c r="E76">
        <v>14.44</v>
      </c>
      <c r="F76">
        <v>9286388.4399999995</v>
      </c>
      <c r="G76">
        <v>14.44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0.67407407407407327</v>
      </c>
      <c r="Q76">
        <f t="shared" ref="Q76" si="356">F76*P76</f>
        <v>6259713.689185177</v>
      </c>
      <c r="R76">
        <f t="shared" ref="R76" si="357">R77+Q76</f>
        <v>-74598955.28692092</v>
      </c>
      <c r="S76">
        <f t="shared" ref="S76" si="358">R76/100000</f>
        <v>-745.98955286920921</v>
      </c>
      <c r="T76">
        <f t="shared" ref="T76" si="359">S76/1000</f>
        <v>-0.7459895528692092</v>
      </c>
    </row>
    <row r="77" spans="1:20" x14ac:dyDescent="0.25">
      <c r="A77" s="5">
        <v>44516</v>
      </c>
      <c r="B77">
        <v>14.29</v>
      </c>
      <c r="C77">
        <v>14.3</v>
      </c>
      <c r="D77">
        <v>11.59</v>
      </c>
      <c r="E77">
        <v>12.83</v>
      </c>
      <c r="F77">
        <v>7446002.6799999997</v>
      </c>
      <c r="G77">
        <v>12.83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-8.4870848708487212E-2</v>
      </c>
      <c r="Q77">
        <f t="shared" ref="Q77" si="361">F77*P77</f>
        <v>-631948.56693727034</v>
      </c>
      <c r="R77">
        <f t="shared" ref="R77" si="362">R78+Q77</f>
        <v>-80858668.976106092</v>
      </c>
      <c r="S77">
        <f t="shared" ref="S77" si="363">R77/100000</f>
        <v>-808.58668976106094</v>
      </c>
      <c r="T77">
        <f t="shared" ref="T77" si="364">S77/1000</f>
        <v>-0.80858668976106096</v>
      </c>
    </row>
    <row r="78" spans="1:20" x14ac:dyDescent="0.25">
      <c r="A78" s="5">
        <v>44515</v>
      </c>
      <c r="B78">
        <v>14.33</v>
      </c>
      <c r="C78">
        <v>15.29</v>
      </c>
      <c r="D78">
        <v>14.03</v>
      </c>
      <c r="E78">
        <v>14.3</v>
      </c>
      <c r="F78">
        <v>4717548.83</v>
      </c>
      <c r="G78">
        <v>14.3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-0.57142857142856918</v>
      </c>
      <c r="Q78">
        <f t="shared" ref="Q78" si="366">F78*P78</f>
        <v>-2695742.1885714182</v>
      </c>
      <c r="R78">
        <f t="shared" ref="R78" si="367">R79+Q78</f>
        <v>-80226720.409168825</v>
      </c>
      <c r="S78">
        <f t="shared" ref="S78" si="368">R78/100000</f>
        <v>-802.2672040916882</v>
      </c>
      <c r="T78">
        <f t="shared" ref="T78" si="369">S78/1000</f>
        <v>-0.80226720409168817</v>
      </c>
    </row>
    <row r="79" spans="1:20" x14ac:dyDescent="0.25">
      <c r="A79" s="5">
        <v>44514</v>
      </c>
      <c r="B79">
        <v>14.27</v>
      </c>
      <c r="C79">
        <v>14.86</v>
      </c>
      <c r="D79">
        <v>13.91</v>
      </c>
      <c r="E79">
        <v>14.33</v>
      </c>
      <c r="F79">
        <v>3294798.19</v>
      </c>
      <c r="G79">
        <v>14.33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-0.11578947368421001</v>
      </c>
      <c r="Q79">
        <f t="shared" ref="Q79" si="371">F79*P79</f>
        <v>-381502.94831578777</v>
      </c>
      <c r="R79">
        <f t="shared" ref="R79" si="372">R80+Q79</f>
        <v>-77530978.220597401</v>
      </c>
      <c r="S79">
        <f t="shared" ref="S79" si="373">R79/100000</f>
        <v>-775.30978220597399</v>
      </c>
      <c r="T79">
        <f t="shared" ref="T79" si="374">S79/1000</f>
        <v>-0.77530978220597402</v>
      </c>
    </row>
    <row r="80" spans="1:20" x14ac:dyDescent="0.25">
      <c r="A80" s="5">
        <v>44513</v>
      </c>
      <c r="B80">
        <v>14.12</v>
      </c>
      <c r="C80">
        <v>15.11</v>
      </c>
      <c r="D80">
        <v>14.06</v>
      </c>
      <c r="E80">
        <v>14.27</v>
      </c>
      <c r="F80">
        <v>5057821.08</v>
      </c>
      <c r="G80">
        <v>14.27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-0.60000000000000131</v>
      </c>
      <c r="Q80">
        <f t="shared" ref="Q80" si="376">F80*P80</f>
        <v>-3034692.6480000066</v>
      </c>
      <c r="R80">
        <f t="shared" ref="R80" si="377">R81+Q80</f>
        <v>-77149475.272281617</v>
      </c>
      <c r="S80">
        <f t="shared" ref="S80" si="378">R80/100000</f>
        <v>-771.4947527228162</v>
      </c>
      <c r="T80">
        <f t="shared" ref="T80" si="379">S80/1000</f>
        <v>-0.7714947527228162</v>
      </c>
    </row>
    <row r="81" spans="1:20" x14ac:dyDescent="0.25">
      <c r="A81" s="5">
        <v>44512</v>
      </c>
      <c r="B81">
        <v>13.87</v>
      </c>
      <c r="C81">
        <v>14.96</v>
      </c>
      <c r="D81">
        <v>13.19</v>
      </c>
      <c r="E81">
        <v>14.12</v>
      </c>
      <c r="F81">
        <v>7474289.2699999996</v>
      </c>
      <c r="G81">
        <v>14.12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5.0847457627117523E-2</v>
      </c>
      <c r="Q81">
        <f t="shared" ref="Q81" si="381">F81*P81</f>
        <v>380048.60694914416</v>
      </c>
      <c r="R81">
        <f t="shared" ref="R81" si="382">R82+Q81</f>
        <v>-74114782.624281615</v>
      </c>
      <c r="S81">
        <f t="shared" ref="S81" si="383">R81/100000</f>
        <v>-741.14782624281611</v>
      </c>
      <c r="T81">
        <f t="shared" ref="T81" si="384">S81/1000</f>
        <v>-0.74114782624281605</v>
      </c>
    </row>
    <row r="82" spans="1:20" x14ac:dyDescent="0.25">
      <c r="A82" s="5">
        <v>44511</v>
      </c>
      <c r="B82">
        <v>13.37</v>
      </c>
      <c r="C82">
        <v>14.29</v>
      </c>
      <c r="D82">
        <v>13.17</v>
      </c>
      <c r="E82">
        <v>13.86</v>
      </c>
      <c r="F82">
        <v>3879069.86</v>
      </c>
      <c r="G82">
        <v>13.86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0.23214285714285712</v>
      </c>
      <c r="Q82">
        <f t="shared" ref="Q82" si="386">F82*P82</f>
        <v>900498.36035714275</v>
      </c>
      <c r="R82">
        <f t="shared" ref="R82" si="387">R83+Q82</f>
        <v>-74494831.231230766</v>
      </c>
      <c r="S82">
        <f t="shared" ref="S82" si="388">R82/100000</f>
        <v>-744.94831231230762</v>
      </c>
      <c r="T82">
        <f t="shared" ref="T82" si="389">S82/1000</f>
        <v>-0.74494831231230763</v>
      </c>
    </row>
    <row r="83" spans="1:20" x14ac:dyDescent="0.25">
      <c r="A83" s="5">
        <v>44510</v>
      </c>
      <c r="B83">
        <v>14.95</v>
      </c>
      <c r="C83">
        <v>15.77</v>
      </c>
      <c r="D83">
        <v>12.02</v>
      </c>
      <c r="E83">
        <v>13.35</v>
      </c>
      <c r="F83">
        <v>7370007.9400000004</v>
      </c>
      <c r="G83">
        <v>13.35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-0.29066666666666663</v>
      </c>
      <c r="Q83">
        <f t="shared" ref="Q83" si="391">F83*P83</f>
        <v>-2142215.6412266665</v>
      </c>
      <c r="R83">
        <f t="shared" ref="R83" si="392">R84+Q83</f>
        <v>-75395329.591587901</v>
      </c>
      <c r="S83">
        <f t="shared" ref="S83" si="393">R83/100000</f>
        <v>-753.95329591587904</v>
      </c>
      <c r="T83">
        <f t="shared" ref="T83" si="394">S83/1000</f>
        <v>-0.75395329591587901</v>
      </c>
    </row>
    <row r="84" spans="1:20" x14ac:dyDescent="0.25">
      <c r="A84" s="5">
        <v>44509</v>
      </c>
      <c r="B84">
        <v>15.9</v>
      </c>
      <c r="C84">
        <v>16.579999999999998</v>
      </c>
      <c r="D84">
        <v>14.88</v>
      </c>
      <c r="E84">
        <v>14.94</v>
      </c>
      <c r="F84">
        <v>5118407.25</v>
      </c>
      <c r="G84">
        <v>14.94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-0.92941176470588371</v>
      </c>
      <c r="Q84">
        <f t="shared" ref="Q84" si="396">F84*P84</f>
        <v>-4757107.9147058893</v>
      </c>
      <c r="R84">
        <f t="shared" ref="R84" si="397">R85+Q84</f>
        <v>-73253113.950361237</v>
      </c>
      <c r="S84">
        <f t="shared" ref="S84" si="398">R84/100000</f>
        <v>-732.53113950361239</v>
      </c>
      <c r="T84">
        <f t="shared" ref="T84" si="399">S84/1000</f>
        <v>-0.73253113950361237</v>
      </c>
    </row>
    <row r="85" spans="1:20" x14ac:dyDescent="0.25">
      <c r="A85" s="5">
        <v>44508</v>
      </c>
      <c r="B85">
        <v>16.149999999999999</v>
      </c>
      <c r="C85">
        <v>16.93</v>
      </c>
      <c r="D85">
        <v>15.45</v>
      </c>
      <c r="E85">
        <v>15.91</v>
      </c>
      <c r="F85">
        <v>6226136.5199999996</v>
      </c>
      <c r="G85">
        <v>15.91</v>
      </c>
      <c r="L85" t="s">
        <v>7</v>
      </c>
      <c r="M85" t="s">
        <v>8</v>
      </c>
      <c r="N85" t="s">
        <v>7</v>
      </c>
      <c r="P85">
        <f t="shared" ref="P85" si="400">IF(C85=D85,0,((E85-D85)-(C85-E85))/(C85-D85))</f>
        <v>-0.3783783783783774</v>
      </c>
      <c r="Q85">
        <f t="shared" ref="Q85" si="401">F85*P85</f>
        <v>-2355835.4399999939</v>
      </c>
      <c r="R85">
        <f t="shared" ref="R85" si="402">R86+Q85</f>
        <v>-68496006.035655349</v>
      </c>
      <c r="S85">
        <f t="shared" ref="S85" si="403">R85/100000</f>
        <v>-684.96006035655353</v>
      </c>
      <c r="T85">
        <f t="shared" ref="T85" si="404">S85/1000</f>
        <v>-0.68496006035655355</v>
      </c>
    </row>
    <row r="86" spans="1:20" x14ac:dyDescent="0.25">
      <c r="A86" s="5">
        <v>44507</v>
      </c>
      <c r="B86">
        <v>14.33</v>
      </c>
      <c r="C86">
        <v>16.75</v>
      </c>
      <c r="D86">
        <v>14.07</v>
      </c>
      <c r="E86">
        <v>16.149999999999999</v>
      </c>
      <c r="F86">
        <v>7194540.7400000002</v>
      </c>
      <c r="G86">
        <v>16.149999999999999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0.55223880597014818</v>
      </c>
      <c r="Q86">
        <f t="shared" ref="Q86" si="406">F86*P86</f>
        <v>3973104.5877611865</v>
      </c>
      <c r="R86">
        <f t="shared" ref="R86" si="407">R87+Q86</f>
        <v>-66140170.595655359</v>
      </c>
      <c r="S86">
        <f t="shared" ref="S86" si="408">R86/100000</f>
        <v>-661.40170595655354</v>
      </c>
      <c r="T86">
        <f t="shared" ref="T86" si="409">S86/1000</f>
        <v>-0.66140170595655357</v>
      </c>
    </row>
    <row r="87" spans="1:20" x14ac:dyDescent="0.25">
      <c r="A87" s="5">
        <v>44506</v>
      </c>
      <c r="B87">
        <v>14.28</v>
      </c>
      <c r="C87">
        <v>14.8</v>
      </c>
      <c r="D87">
        <v>13.5</v>
      </c>
      <c r="E87">
        <v>14.34</v>
      </c>
      <c r="F87">
        <v>3185524.16</v>
      </c>
      <c r="G87">
        <v>14.34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0.29230769230769138</v>
      </c>
      <c r="Q87">
        <f t="shared" ref="Q87" si="411">F87*P87</f>
        <v>931153.2159999971</v>
      </c>
      <c r="R87">
        <f t="shared" ref="R87" si="412">R88+Q87</f>
        <v>-70113275.183416545</v>
      </c>
      <c r="S87">
        <f t="shared" ref="S87" si="413">R87/100000</f>
        <v>-701.13275183416545</v>
      </c>
      <c r="T87">
        <f t="shared" ref="T87" si="414">S87/1000</f>
        <v>-0.70113275183416546</v>
      </c>
    </row>
    <row r="88" spans="1:20" x14ac:dyDescent="0.25">
      <c r="A88" s="5">
        <v>44505</v>
      </c>
      <c r="B88">
        <v>15.23</v>
      </c>
      <c r="C88">
        <v>15.99</v>
      </c>
      <c r="D88">
        <v>14.03</v>
      </c>
      <c r="E88">
        <v>14.29</v>
      </c>
      <c r="F88">
        <v>4704967.8499999996</v>
      </c>
      <c r="G88">
        <v>14.29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-0.73469387755102078</v>
      </c>
      <c r="Q88">
        <f t="shared" ref="Q88" si="416">F88*P88</f>
        <v>-3456711.0734693892</v>
      </c>
      <c r="R88">
        <f t="shared" ref="R88" si="417">R89+Q88</f>
        <v>-71044428.399416536</v>
      </c>
      <c r="S88">
        <f t="shared" ref="S88" si="418">R88/100000</f>
        <v>-710.4442839941654</v>
      </c>
      <c r="T88">
        <f t="shared" ref="T88" si="419">S88/1000</f>
        <v>-0.71044428399416537</v>
      </c>
    </row>
    <row r="89" spans="1:20" x14ac:dyDescent="0.25">
      <c r="A89" s="5">
        <v>44504</v>
      </c>
      <c r="B89">
        <v>14.21</v>
      </c>
      <c r="C89">
        <v>15.62</v>
      </c>
      <c r="D89">
        <v>13.75</v>
      </c>
      <c r="E89">
        <v>15.24</v>
      </c>
      <c r="F89">
        <v>6941295.5499999998</v>
      </c>
      <c r="G89">
        <v>15.24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0.59358288770053569</v>
      </c>
      <c r="Q89">
        <f t="shared" ref="Q89" si="421">F89*P89</f>
        <v>4120234.2569518778</v>
      </c>
      <c r="R89">
        <f t="shared" ref="R89" si="422">R90+Q89</f>
        <v>-67587717.325947151</v>
      </c>
      <c r="S89">
        <f t="shared" ref="S89" si="423">R89/100000</f>
        <v>-675.87717325947153</v>
      </c>
      <c r="T89">
        <f t="shared" ref="T89" si="424">S89/1000</f>
        <v>-0.6758771732594715</v>
      </c>
    </row>
    <row r="90" spans="1:20" x14ac:dyDescent="0.25">
      <c r="A90" s="5">
        <v>44503</v>
      </c>
      <c r="B90">
        <v>14.68</v>
      </c>
      <c r="C90">
        <v>14.85</v>
      </c>
      <c r="D90">
        <v>13.29</v>
      </c>
      <c r="E90">
        <v>14.21</v>
      </c>
      <c r="F90">
        <v>5316901.0599999996</v>
      </c>
      <c r="G90">
        <v>14.21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0.17948717948718129</v>
      </c>
      <c r="Q90">
        <f t="shared" ref="Q90" si="426">F90*P90</f>
        <v>954315.57487180445</v>
      </c>
      <c r="R90">
        <f t="shared" ref="R90" si="427">R91+Q90</f>
        <v>-71707951.582899034</v>
      </c>
      <c r="S90">
        <f t="shared" ref="S90" si="428">R90/100000</f>
        <v>-717.07951582899034</v>
      </c>
      <c r="T90">
        <f t="shared" ref="T90" si="429">S90/1000</f>
        <v>-0.71707951582899032</v>
      </c>
    </row>
    <row r="91" spans="1:20" x14ac:dyDescent="0.25">
      <c r="A91" s="5">
        <v>44502</v>
      </c>
      <c r="B91">
        <v>14.06</v>
      </c>
      <c r="C91">
        <v>15.89</v>
      </c>
      <c r="D91">
        <v>13.9</v>
      </c>
      <c r="E91">
        <v>14.68</v>
      </c>
      <c r="F91">
        <v>10334557.130000001</v>
      </c>
      <c r="G91">
        <v>14.68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-0.21608040201005096</v>
      </c>
      <c r="Q91">
        <f t="shared" ref="Q91" si="431">F91*P91</f>
        <v>-2233095.2592462385</v>
      </c>
      <c r="R91">
        <f t="shared" ref="R91" si="432">R92+Q91</f>
        <v>-72662267.157770842</v>
      </c>
      <c r="S91">
        <f t="shared" ref="S91" si="433">R91/100000</f>
        <v>-726.62267157770839</v>
      </c>
      <c r="T91">
        <f t="shared" ref="T91" si="434">S91/1000</f>
        <v>-0.72662267157770843</v>
      </c>
    </row>
    <row r="92" spans="1:20" x14ac:dyDescent="0.25">
      <c r="A92" s="5">
        <v>44501</v>
      </c>
      <c r="B92">
        <v>13.78</v>
      </c>
      <c r="C92">
        <v>14.8</v>
      </c>
      <c r="D92">
        <v>12.89</v>
      </c>
      <c r="E92">
        <v>14.05</v>
      </c>
      <c r="F92">
        <v>7089043.1799999997</v>
      </c>
      <c r="G92">
        <v>14.05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0.21465968586387441</v>
      </c>
      <c r="Q92">
        <f t="shared" ref="Q92" si="436">F92*P92</f>
        <v>1521731.7820942411</v>
      </c>
      <c r="R92">
        <f t="shared" ref="R92" si="437">R93+Q92</f>
        <v>-70429171.898524597</v>
      </c>
      <c r="S92">
        <f t="shared" ref="S92" si="438">R92/100000</f>
        <v>-704.29171898524601</v>
      </c>
      <c r="T92">
        <f t="shared" ref="T92" si="439">S92/1000</f>
        <v>-0.70429171898524601</v>
      </c>
    </row>
    <row r="93" spans="1:20" x14ac:dyDescent="0.25">
      <c r="A93" s="5">
        <v>44500</v>
      </c>
      <c r="B93">
        <v>16.36</v>
      </c>
      <c r="C93">
        <v>17.600000000000001</v>
      </c>
      <c r="D93">
        <v>13.14</v>
      </c>
      <c r="E93">
        <v>13.8</v>
      </c>
      <c r="F93">
        <v>13770822.529999999</v>
      </c>
      <c r="G93">
        <v>13.8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-0.70403587443946192</v>
      </c>
      <c r="Q93">
        <f t="shared" ref="Q93" si="441">F93*P93</f>
        <v>-9695153.0816591922</v>
      </c>
      <c r="R93">
        <f t="shared" ref="R93" si="442">R94+Q93</f>
        <v>-71950903.680618837</v>
      </c>
      <c r="S93">
        <f t="shared" ref="S93" si="443">R93/100000</f>
        <v>-719.50903680618842</v>
      </c>
      <c r="T93">
        <f t="shared" ref="T93" si="444">S93/1000</f>
        <v>-0.71950903680618838</v>
      </c>
    </row>
    <row r="94" spans="1:20" x14ac:dyDescent="0.25">
      <c r="A94" s="5">
        <v>44499</v>
      </c>
      <c r="B94">
        <v>12.99</v>
      </c>
      <c r="C94">
        <v>17.3</v>
      </c>
      <c r="D94">
        <v>12.66</v>
      </c>
      <c r="E94">
        <v>16.34</v>
      </c>
      <c r="F94">
        <v>21591433.379999999</v>
      </c>
      <c r="G94">
        <v>16.34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0.58620689655172387</v>
      </c>
      <c r="Q94">
        <f t="shared" ref="Q94" si="446">F94*P94</f>
        <v>12657047.153793097</v>
      </c>
      <c r="R94">
        <f t="shared" ref="R94" si="447">R95+Q94</f>
        <v>-62255750.59895964</v>
      </c>
      <c r="S94">
        <f t="shared" ref="S94" si="448">R94/100000</f>
        <v>-622.55750598959639</v>
      </c>
      <c r="T94">
        <f t="shared" ref="T94" si="449">S94/1000</f>
        <v>-0.62255750598959636</v>
      </c>
    </row>
    <row r="95" spans="1:20" x14ac:dyDescent="0.25">
      <c r="A95" s="5">
        <v>44498</v>
      </c>
      <c r="B95">
        <v>11.03</v>
      </c>
      <c r="C95">
        <v>13.54</v>
      </c>
      <c r="D95">
        <v>10.87</v>
      </c>
      <c r="E95">
        <v>12.98</v>
      </c>
      <c r="F95">
        <v>11671868.57</v>
      </c>
      <c r="G95">
        <v>12.98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0.58052434456928936</v>
      </c>
      <c r="Q95">
        <f t="shared" ref="Q95" si="451">F95*P95</f>
        <v>6775803.8514981391</v>
      </c>
      <c r="R95">
        <f t="shared" ref="R95" si="452">R96+Q95</f>
        <v>-74912797.752752736</v>
      </c>
      <c r="S95">
        <f t="shared" ref="S95" si="453">R95/100000</f>
        <v>-749.12797752752738</v>
      </c>
      <c r="T95">
        <f t="shared" ref="T95" si="454">S95/1000</f>
        <v>-0.74912797752752736</v>
      </c>
    </row>
    <row r="96" spans="1:20" x14ac:dyDescent="0.25">
      <c r="A96" s="5">
        <v>44497</v>
      </c>
      <c r="B96">
        <v>10.5</v>
      </c>
      <c r="C96">
        <v>11.25</v>
      </c>
      <c r="D96">
        <v>10.39</v>
      </c>
      <c r="E96">
        <v>11.03</v>
      </c>
      <c r="F96">
        <v>3418975.35</v>
      </c>
      <c r="G96">
        <v>11.03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0.48837209302325396</v>
      </c>
      <c r="Q96">
        <f t="shared" ref="Q96" si="456">F96*P96</f>
        <v>1669732.1476744122</v>
      </c>
      <c r="R96">
        <f t="shared" ref="R96" si="457">R97+Q96</f>
        <v>-81688601.604250878</v>
      </c>
      <c r="S96">
        <f t="shared" ref="S96" si="458">R96/100000</f>
        <v>-816.8860160425088</v>
      </c>
      <c r="T96">
        <f t="shared" ref="T96" si="459">S96/1000</f>
        <v>-0.81688601604250877</v>
      </c>
    </row>
    <row r="97" spans="1:20" x14ac:dyDescent="0.25">
      <c r="A97" s="5">
        <v>44496</v>
      </c>
      <c r="B97">
        <v>12.27</v>
      </c>
      <c r="C97">
        <v>13.5</v>
      </c>
      <c r="D97">
        <v>9.4</v>
      </c>
      <c r="E97">
        <v>10.48</v>
      </c>
      <c r="F97">
        <v>7633925.0300000003</v>
      </c>
      <c r="G97">
        <v>10.48</v>
      </c>
      <c r="L97" t="s">
        <v>8</v>
      </c>
      <c r="M97" t="s">
        <v>8</v>
      </c>
      <c r="N97" t="s">
        <v>7</v>
      </c>
      <c r="P97">
        <f t="shared" ref="P97" si="460">IF(C97=D97,0,((E97-D97)-(C97-E97))/(C97-D97))</f>
        <v>-0.47317073170731699</v>
      </c>
      <c r="Q97">
        <f t="shared" ref="Q97" si="461">F97*P97</f>
        <v>-3612149.8922439017</v>
      </c>
      <c r="R97">
        <f t="shared" ref="R97" si="462">R98+Q97</f>
        <v>-83358333.75192529</v>
      </c>
      <c r="S97">
        <f t="shared" ref="S97" si="463">R97/100000</f>
        <v>-833.58333751925295</v>
      </c>
      <c r="T97">
        <f t="shared" ref="T97" si="464">S97/1000</f>
        <v>-0.83358333751925295</v>
      </c>
    </row>
    <row r="98" spans="1:20" x14ac:dyDescent="0.25">
      <c r="A98" s="5">
        <v>44495</v>
      </c>
      <c r="B98">
        <v>12.28</v>
      </c>
      <c r="C98">
        <v>12.87</v>
      </c>
      <c r="D98">
        <v>12.04</v>
      </c>
      <c r="E98">
        <v>12.25</v>
      </c>
      <c r="F98">
        <v>3084584.06</v>
      </c>
      <c r="G98">
        <v>12.25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-0.49397590361445581</v>
      </c>
      <c r="Q98">
        <f t="shared" ref="Q98" si="466">F98*P98</f>
        <v>-1523710.1983132467</v>
      </c>
      <c r="R98">
        <f t="shared" ref="R98" si="467">R99+Q98</f>
        <v>-79746183.859681383</v>
      </c>
      <c r="S98">
        <f t="shared" ref="S98" si="468">R98/100000</f>
        <v>-797.46183859681378</v>
      </c>
      <c r="T98">
        <f t="shared" ref="T98" si="469">S98/1000</f>
        <v>-0.79746183859681374</v>
      </c>
    </row>
    <row r="99" spans="1:20" x14ac:dyDescent="0.25">
      <c r="A99" s="5">
        <v>44494</v>
      </c>
      <c r="B99">
        <v>11.68</v>
      </c>
      <c r="C99">
        <v>12.38</v>
      </c>
      <c r="D99">
        <v>11.63</v>
      </c>
      <c r="E99">
        <v>12.29</v>
      </c>
      <c r="F99">
        <v>2147745.64</v>
      </c>
      <c r="G99">
        <v>12.29</v>
      </c>
      <c r="L99" t="s">
        <v>8</v>
      </c>
      <c r="M99" t="s">
        <v>8</v>
      </c>
      <c r="N99" t="s">
        <v>7</v>
      </c>
      <c r="P99">
        <f t="shared" ref="P99" si="470">IF(C99=D99,0,((E99-D99)-(C99-E99))/(C99-D99))</f>
        <v>0.75999999999999568</v>
      </c>
      <c r="Q99">
        <f t="shared" ref="Q99" si="471">F99*P99</f>
        <v>1632286.6863999909</v>
      </c>
      <c r="R99">
        <f t="shared" ref="R99" si="472">R100+Q99</f>
        <v>-78222473.661368132</v>
      </c>
      <c r="S99">
        <f t="shared" ref="S99" si="473">R99/100000</f>
        <v>-782.22473661368133</v>
      </c>
      <c r="T99">
        <f t="shared" ref="T99" si="474">S99/1000</f>
        <v>-0.7822247366136813</v>
      </c>
    </row>
    <row r="100" spans="1:20" x14ac:dyDescent="0.25">
      <c r="A100" s="5">
        <v>44493</v>
      </c>
      <c r="B100">
        <v>12.15</v>
      </c>
      <c r="C100">
        <v>12.17</v>
      </c>
      <c r="D100">
        <v>11.32</v>
      </c>
      <c r="E100">
        <v>11.69</v>
      </c>
      <c r="F100">
        <v>1739150.04</v>
      </c>
      <c r="G100">
        <v>11.69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-0.12941176470588384</v>
      </c>
      <c r="Q100">
        <f t="shared" ref="Q100" si="476">F100*P100</f>
        <v>-225066.47576470848</v>
      </c>
      <c r="R100">
        <f t="shared" ref="R100" si="477">R101+Q100</f>
        <v>-79854760.347768128</v>
      </c>
      <c r="S100">
        <f t="shared" ref="S100" si="478">R100/100000</f>
        <v>-798.54760347768126</v>
      </c>
      <c r="T100">
        <f t="shared" ref="T100" si="479">S100/1000</f>
        <v>-0.79854760347768128</v>
      </c>
    </row>
    <row r="101" spans="1:20" x14ac:dyDescent="0.25">
      <c r="A101" s="5">
        <v>44492</v>
      </c>
      <c r="B101">
        <v>12.18</v>
      </c>
      <c r="C101">
        <v>12.23</v>
      </c>
      <c r="D101">
        <v>11.78</v>
      </c>
      <c r="E101">
        <v>12.14</v>
      </c>
      <c r="F101">
        <v>1350647.07</v>
      </c>
      <c r="G101">
        <v>12.14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0.60000000000000153</v>
      </c>
      <c r="Q101">
        <f t="shared" ref="Q101" si="481">F101*P101</f>
        <v>810388.24200000206</v>
      </c>
      <c r="R101">
        <f t="shared" ref="R101" si="482">R102+Q101</f>
        <v>-79629693.872003421</v>
      </c>
      <c r="S101">
        <f t="shared" ref="S101" si="483">R101/100000</f>
        <v>-796.29693872003418</v>
      </c>
      <c r="T101">
        <f t="shared" ref="T101" si="484">S101/1000</f>
        <v>-0.79629693872003415</v>
      </c>
    </row>
    <row r="102" spans="1:20" x14ac:dyDescent="0.25">
      <c r="A102" s="5">
        <v>44491</v>
      </c>
      <c r="B102">
        <v>11.91</v>
      </c>
      <c r="C102">
        <v>12.28</v>
      </c>
      <c r="D102">
        <v>11.76</v>
      </c>
      <c r="E102">
        <v>12.19</v>
      </c>
      <c r="F102">
        <v>2289592.1</v>
      </c>
      <c r="G102">
        <v>12.19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0.65384615384615408</v>
      </c>
      <c r="Q102">
        <f t="shared" ref="Q102" si="486">F102*P102</f>
        <v>1497040.9884615391</v>
      </c>
      <c r="R102">
        <f t="shared" ref="R102" si="487">R103+Q102</f>
        <v>-80440082.11400342</v>
      </c>
      <c r="S102">
        <f t="shared" ref="S102" si="488">R102/100000</f>
        <v>-804.40082114003417</v>
      </c>
      <c r="T102">
        <f t="shared" ref="T102" si="489">S102/1000</f>
        <v>-0.80440082114003419</v>
      </c>
    </row>
    <row r="103" spans="1:20" x14ac:dyDescent="0.25">
      <c r="A103" s="5">
        <v>44490</v>
      </c>
      <c r="B103">
        <v>12.2</v>
      </c>
      <c r="C103">
        <v>12.7</v>
      </c>
      <c r="D103">
        <v>11.57</v>
      </c>
      <c r="E103">
        <v>11.9</v>
      </c>
      <c r="F103">
        <v>3477748.44</v>
      </c>
      <c r="G103">
        <v>11.9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-0.41592920353982238</v>
      </c>
      <c r="Q103">
        <f t="shared" ref="Q103" si="491">F103*P103</f>
        <v>-1446497.1387610598</v>
      </c>
      <c r="R103">
        <f t="shared" ref="R103" si="492">R104+Q103</f>
        <v>-81937123.102464959</v>
      </c>
      <c r="S103">
        <f t="shared" ref="S103" si="493">R103/100000</f>
        <v>-819.37123102464955</v>
      </c>
      <c r="T103">
        <f t="shared" ref="T103" si="494">S103/1000</f>
        <v>-0.81937123102464959</v>
      </c>
    </row>
    <row r="104" spans="1:20" x14ac:dyDescent="0.25">
      <c r="A104" s="5">
        <v>44489</v>
      </c>
      <c r="B104">
        <v>11.56</v>
      </c>
      <c r="C104">
        <v>12.34</v>
      </c>
      <c r="D104">
        <v>11.43</v>
      </c>
      <c r="E104">
        <v>12.19</v>
      </c>
      <c r="F104">
        <v>2750927.65</v>
      </c>
      <c r="G104">
        <v>12.19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0.67032967032966961</v>
      </c>
      <c r="Q104">
        <f t="shared" ref="Q104" si="496">F104*P104</f>
        <v>1844028.4247252727</v>
      </c>
      <c r="R104">
        <f t="shared" ref="R104" si="497">R105+Q104</f>
        <v>-80490625.963703901</v>
      </c>
      <c r="S104">
        <f t="shared" ref="S104" si="498">R104/100000</f>
        <v>-804.90625963703906</v>
      </c>
      <c r="T104">
        <f t="shared" ref="T104" si="499">S104/1000</f>
        <v>-0.8049062596370391</v>
      </c>
    </row>
    <row r="105" spans="1:20" x14ac:dyDescent="0.25">
      <c r="A105" s="5">
        <v>44488</v>
      </c>
      <c r="B105">
        <v>11.61</v>
      </c>
      <c r="C105">
        <v>11.75</v>
      </c>
      <c r="D105">
        <v>11.26</v>
      </c>
      <c r="E105">
        <v>11.57</v>
      </c>
      <c r="F105">
        <v>1240015.53</v>
      </c>
      <c r="G105">
        <v>11.57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0.26530612244898105</v>
      </c>
      <c r="Q105">
        <f t="shared" ref="Q105" si="501">F105*P105</f>
        <v>328983.71204081812</v>
      </c>
      <c r="R105">
        <f t="shared" ref="R105" si="502">R106+Q105</f>
        <v>-82334654.38842918</v>
      </c>
      <c r="S105">
        <f t="shared" ref="S105" si="503">R105/100000</f>
        <v>-823.3465438842918</v>
      </c>
      <c r="T105">
        <f t="shared" ref="T105" si="504">S105/1000</f>
        <v>-0.82334654388429185</v>
      </c>
    </row>
    <row r="106" spans="1:20" x14ac:dyDescent="0.25">
      <c r="A106" s="5">
        <v>44487</v>
      </c>
      <c r="B106">
        <v>11.77</v>
      </c>
      <c r="C106">
        <v>11.87</v>
      </c>
      <c r="D106">
        <v>11.19</v>
      </c>
      <c r="E106">
        <v>11.62</v>
      </c>
      <c r="F106">
        <v>1460152.98</v>
      </c>
      <c r="G106">
        <v>11.62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0.26470588235294085</v>
      </c>
      <c r="Q106">
        <f t="shared" ref="Q106" si="506">F106*P106</f>
        <v>386511.08294117596</v>
      </c>
      <c r="R106">
        <f t="shared" ref="R106" si="507">R107+Q106</f>
        <v>-82663638.100469992</v>
      </c>
      <c r="S106">
        <f t="shared" ref="S106" si="508">R106/100000</f>
        <v>-826.63638100469996</v>
      </c>
      <c r="T106">
        <f t="shared" ref="T106" si="509">S106/1000</f>
        <v>-0.82663638100469994</v>
      </c>
    </row>
    <row r="107" spans="1:20" x14ac:dyDescent="0.25">
      <c r="A107" s="5">
        <v>44486</v>
      </c>
      <c r="B107">
        <v>12.16</v>
      </c>
      <c r="C107">
        <v>12.23</v>
      </c>
      <c r="D107">
        <v>11.3</v>
      </c>
      <c r="E107">
        <v>11.77</v>
      </c>
      <c r="F107">
        <v>1947032.16</v>
      </c>
      <c r="G107">
        <v>11.77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1.0752688172040874E-2</v>
      </c>
      <c r="Q107">
        <f t="shared" ref="Q107" si="511">F107*P107</f>
        <v>20935.829677415193</v>
      </c>
      <c r="R107">
        <f t="shared" ref="R107" si="512">R108+Q107</f>
        <v>-83050149.183411166</v>
      </c>
      <c r="S107">
        <f t="shared" ref="S107" si="513">R107/100000</f>
        <v>-830.50149183411168</v>
      </c>
      <c r="T107">
        <f t="shared" ref="T107" si="514">S107/1000</f>
        <v>-0.8305014918341117</v>
      </c>
    </row>
    <row r="108" spans="1:20" x14ac:dyDescent="0.25">
      <c r="A108" s="5">
        <v>44485</v>
      </c>
      <c r="B108">
        <v>12.17</v>
      </c>
      <c r="C108">
        <v>12.73</v>
      </c>
      <c r="D108">
        <v>12.04</v>
      </c>
      <c r="E108">
        <v>12.17</v>
      </c>
      <c r="F108">
        <v>2726059.84</v>
      </c>
      <c r="G108">
        <v>12.17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-0.62318840579709989</v>
      </c>
      <c r="Q108">
        <f t="shared" ref="Q108" si="516">F108*P108</f>
        <v>-1698848.8857970971</v>
      </c>
      <c r="R108">
        <f t="shared" ref="R108" si="517">R109+Q108</f>
        <v>-83071085.013088584</v>
      </c>
      <c r="S108">
        <f t="shared" ref="S108" si="518">R108/100000</f>
        <v>-830.71085013088589</v>
      </c>
      <c r="T108">
        <f t="shared" ref="T108" si="519">S108/1000</f>
        <v>-0.83071085013088586</v>
      </c>
    </row>
    <row r="109" spans="1:20" x14ac:dyDescent="0.25">
      <c r="A109" s="5">
        <v>44484</v>
      </c>
      <c r="B109">
        <v>12.48</v>
      </c>
      <c r="C109">
        <v>12.49</v>
      </c>
      <c r="D109">
        <v>11.53</v>
      </c>
      <c r="E109">
        <v>12.17</v>
      </c>
      <c r="F109">
        <v>3775581.14</v>
      </c>
      <c r="G109">
        <v>12.17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0.33333333333333331</v>
      </c>
      <c r="Q109">
        <f t="shared" ref="Q109" si="521">F109*P109</f>
        <v>1258527.0466666666</v>
      </c>
      <c r="R109">
        <f t="shared" ref="R109" si="522">R110+Q109</f>
        <v>-81372236.127291486</v>
      </c>
      <c r="S109">
        <f t="shared" ref="S109" si="523">R109/100000</f>
        <v>-813.7223612729149</v>
      </c>
      <c r="T109">
        <f t="shared" ref="T109" si="524">S109/1000</f>
        <v>-0.81372236127291486</v>
      </c>
    </row>
    <row r="110" spans="1:20" x14ac:dyDescent="0.25">
      <c r="A110" s="5">
        <v>44483</v>
      </c>
      <c r="B110">
        <v>11.72</v>
      </c>
      <c r="C110">
        <v>12.88</v>
      </c>
      <c r="D110">
        <v>11.6</v>
      </c>
      <c r="E110">
        <v>12.48</v>
      </c>
      <c r="F110">
        <v>4568865</v>
      </c>
      <c r="G110">
        <v>12.48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0.375</v>
      </c>
      <c r="Q110">
        <f t="shared" ref="Q110" si="526">F110*P110</f>
        <v>1713324.375</v>
      </c>
      <c r="R110">
        <f t="shared" ref="R110" si="527">R111+Q110</f>
        <v>-82630763.173958153</v>
      </c>
      <c r="S110">
        <f t="shared" ref="S110" si="528">R110/100000</f>
        <v>-826.30763173958155</v>
      </c>
      <c r="T110">
        <f t="shared" ref="T110" si="529">S110/1000</f>
        <v>-0.82630763173958155</v>
      </c>
    </row>
    <row r="111" spans="1:20" x14ac:dyDescent="0.25">
      <c r="A111" s="5">
        <v>44482</v>
      </c>
      <c r="B111">
        <v>11.66</v>
      </c>
      <c r="C111">
        <v>12.04</v>
      </c>
      <c r="D111">
        <v>11.21</v>
      </c>
      <c r="E111">
        <v>11.72</v>
      </c>
      <c r="F111">
        <v>3279045.22</v>
      </c>
      <c r="G111">
        <v>11.72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0.22891566265060442</v>
      </c>
      <c r="Q111">
        <f t="shared" ref="Q111" si="531">F111*P111</f>
        <v>750624.80939759698</v>
      </c>
      <c r="R111">
        <f t="shared" ref="R111" si="532">R112+Q111</f>
        <v>-84344087.548958153</v>
      </c>
      <c r="S111">
        <f t="shared" ref="S111" si="533">R111/100000</f>
        <v>-843.44087548958157</v>
      </c>
      <c r="T111">
        <f t="shared" ref="T111" si="534">S111/1000</f>
        <v>-0.84344087548958158</v>
      </c>
    </row>
    <row r="112" spans="1:20" x14ac:dyDescent="0.25">
      <c r="A112" s="5">
        <v>44481</v>
      </c>
      <c r="B112">
        <v>11.71</v>
      </c>
      <c r="C112">
        <v>11.86</v>
      </c>
      <c r="D112">
        <v>10.55</v>
      </c>
      <c r="E112">
        <v>11.65</v>
      </c>
      <c r="F112">
        <v>4645149.0599999996</v>
      </c>
      <c r="G112">
        <v>11.65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0.67938931297710037</v>
      </c>
      <c r="Q112">
        <f t="shared" ref="Q112" si="536">F112*P112</f>
        <v>3155864.6285496233</v>
      </c>
      <c r="R112">
        <f t="shared" ref="R112" si="537">R113+Q112</f>
        <v>-85094712.358355746</v>
      </c>
      <c r="S112">
        <f t="shared" ref="S112" si="538">R112/100000</f>
        <v>-850.94712358355741</v>
      </c>
      <c r="T112">
        <f t="shared" ref="T112" si="539">S112/1000</f>
        <v>-0.8509471235835574</v>
      </c>
    </row>
    <row r="113" spans="1:20" x14ac:dyDescent="0.25">
      <c r="A113" s="5">
        <v>44480</v>
      </c>
      <c r="B113">
        <v>11.81</v>
      </c>
      <c r="C113">
        <v>12.38</v>
      </c>
      <c r="D113">
        <v>11.24</v>
      </c>
      <c r="E113">
        <v>11.71</v>
      </c>
      <c r="F113">
        <v>2795219.49</v>
      </c>
      <c r="G113">
        <v>11.71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-0.17543859649122737</v>
      </c>
      <c r="Q113">
        <f t="shared" ref="Q113" si="541">F113*P113</f>
        <v>-490389.38421052438</v>
      </c>
      <c r="R113">
        <f t="shared" ref="R113" si="542">R114+Q113</f>
        <v>-88250576.986905366</v>
      </c>
      <c r="S113">
        <f t="shared" ref="S113" si="543">R113/100000</f>
        <v>-882.50576986905367</v>
      </c>
      <c r="T113">
        <f t="shared" ref="T113" si="544">S113/1000</f>
        <v>-0.88250576986905371</v>
      </c>
    </row>
    <row r="114" spans="1:20" x14ac:dyDescent="0.25">
      <c r="A114" s="5">
        <v>44479</v>
      </c>
      <c r="B114">
        <v>12.9</v>
      </c>
      <c r="C114">
        <v>12.91</v>
      </c>
      <c r="D114">
        <v>11.71</v>
      </c>
      <c r="E114">
        <v>11.83</v>
      </c>
      <c r="F114">
        <v>2628626.1800000002</v>
      </c>
      <c r="G114">
        <v>11.83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-0.80000000000000115</v>
      </c>
      <c r="Q114">
        <f t="shared" ref="Q114" si="546">F114*P114</f>
        <v>-2102900.9440000034</v>
      </c>
      <c r="R114">
        <f t="shared" ref="R114" si="547">R115+Q114</f>
        <v>-87760187.602694839</v>
      </c>
      <c r="S114">
        <f t="shared" ref="S114" si="548">R114/100000</f>
        <v>-877.60187602694839</v>
      </c>
      <c r="T114">
        <f t="shared" ref="T114" si="549">S114/1000</f>
        <v>-0.87760187602694839</v>
      </c>
    </row>
    <row r="115" spans="1:20" x14ac:dyDescent="0.25">
      <c r="A115" s="5">
        <v>44478</v>
      </c>
      <c r="B115">
        <v>12.86</v>
      </c>
      <c r="C115">
        <v>13.19</v>
      </c>
      <c r="D115">
        <v>12.6</v>
      </c>
      <c r="E115">
        <v>12.9</v>
      </c>
      <c r="F115">
        <v>2643098.33</v>
      </c>
      <c r="G115">
        <v>12.9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1.6949152542375535E-2</v>
      </c>
      <c r="Q115">
        <f t="shared" ref="Q115" si="551">F115*P115</f>
        <v>44798.276779668035</v>
      </c>
      <c r="R115">
        <f t="shared" ref="R115" si="552">R116+Q115</f>
        <v>-85657286.658694834</v>
      </c>
      <c r="S115">
        <f t="shared" ref="S115" si="553">R115/100000</f>
        <v>-856.57286658694829</v>
      </c>
      <c r="T115">
        <f t="shared" ref="T115" si="554">S115/1000</f>
        <v>-0.85657286658694831</v>
      </c>
    </row>
    <row r="116" spans="1:20" x14ac:dyDescent="0.25">
      <c r="A116" s="5">
        <v>44477</v>
      </c>
      <c r="B116">
        <v>13.14</v>
      </c>
      <c r="C116">
        <v>13.42</v>
      </c>
      <c r="D116">
        <v>12.59</v>
      </c>
      <c r="E116">
        <v>12.86</v>
      </c>
      <c r="F116">
        <v>3339526.2</v>
      </c>
      <c r="G116">
        <v>12.86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-0.34939759036144685</v>
      </c>
      <c r="Q116">
        <f t="shared" ref="Q116" si="556">F116*P116</f>
        <v>-1166822.4072289192</v>
      </c>
      <c r="R116">
        <f t="shared" ref="R116" si="557">R117+Q116</f>
        <v>-85702084.9354745</v>
      </c>
      <c r="S116">
        <f t="shared" ref="S116" si="558">R116/100000</f>
        <v>-857.020849354745</v>
      </c>
      <c r="T116">
        <f t="shared" ref="T116" si="559">S116/1000</f>
        <v>-0.85702084935474498</v>
      </c>
    </row>
    <row r="117" spans="1:20" x14ac:dyDescent="0.25">
      <c r="A117" s="5">
        <v>44476</v>
      </c>
      <c r="B117">
        <v>13</v>
      </c>
      <c r="C117">
        <v>13.74</v>
      </c>
      <c r="D117">
        <v>12.6</v>
      </c>
      <c r="E117">
        <v>13.14</v>
      </c>
      <c r="F117">
        <v>3251200.96</v>
      </c>
      <c r="G117">
        <v>13.14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-5.2631578947367273E-2</v>
      </c>
      <c r="Q117">
        <f t="shared" ref="Q117" si="561">F117*P117</f>
        <v>-171115.83999999627</v>
      </c>
      <c r="R117">
        <f t="shared" ref="R117" si="562">R118+Q117</f>
        <v>-84535262.528245583</v>
      </c>
      <c r="S117">
        <f t="shared" ref="S117" si="563">R117/100000</f>
        <v>-845.35262528245585</v>
      </c>
      <c r="T117">
        <f t="shared" ref="T117" si="564">S117/1000</f>
        <v>-0.84535262528245581</v>
      </c>
    </row>
    <row r="118" spans="1:20" x14ac:dyDescent="0.25">
      <c r="A118" s="5">
        <v>44475</v>
      </c>
      <c r="B118">
        <v>13.57</v>
      </c>
      <c r="C118">
        <v>14.11</v>
      </c>
      <c r="D118">
        <v>12.41</v>
      </c>
      <c r="E118">
        <v>12.98</v>
      </c>
      <c r="F118">
        <v>4533047.32</v>
      </c>
      <c r="G118">
        <v>12.98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-0.32941176470588174</v>
      </c>
      <c r="Q118">
        <f t="shared" ref="Q118" si="566">F118*P118</f>
        <v>-1493239.1171764678</v>
      </c>
      <c r="R118">
        <f t="shared" ref="R118" si="567">R119+Q118</f>
        <v>-84364146.68824558</v>
      </c>
      <c r="S118">
        <f t="shared" ref="S118" si="568">R118/100000</f>
        <v>-843.6414668824558</v>
      </c>
      <c r="T118">
        <f t="shared" ref="T118" si="569">S118/1000</f>
        <v>-0.84364146688245578</v>
      </c>
    </row>
    <row r="119" spans="1:20" x14ac:dyDescent="0.25">
      <c r="A119" s="5">
        <v>44474</v>
      </c>
      <c r="B119">
        <v>14.12</v>
      </c>
      <c r="C119">
        <v>14.7</v>
      </c>
      <c r="D119">
        <v>13.23</v>
      </c>
      <c r="E119">
        <v>13.58</v>
      </c>
      <c r="F119">
        <v>3974779.54</v>
      </c>
      <c r="G119">
        <v>13.58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-0.52380952380952395</v>
      </c>
      <c r="Q119">
        <f t="shared" ref="Q119" si="571">F119*P119</f>
        <v>-2082027.3780952387</v>
      </c>
      <c r="R119">
        <f t="shared" ref="R119" si="572">R120+Q119</f>
        <v>-82870907.571069106</v>
      </c>
      <c r="S119">
        <f t="shared" ref="S119" si="573">R119/100000</f>
        <v>-828.70907571069108</v>
      </c>
      <c r="T119">
        <f t="shared" ref="T119" si="574">S119/1000</f>
        <v>-0.82870907571069108</v>
      </c>
    </row>
    <row r="120" spans="1:20" x14ac:dyDescent="0.25">
      <c r="A120" s="5">
        <v>44473</v>
      </c>
      <c r="B120">
        <v>14.34</v>
      </c>
      <c r="C120">
        <v>15.66</v>
      </c>
      <c r="D120">
        <v>13.6</v>
      </c>
      <c r="E120">
        <v>14.24</v>
      </c>
      <c r="F120">
        <v>10877914.050000001</v>
      </c>
      <c r="G120">
        <v>14.24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-0.37864077669902874</v>
      </c>
      <c r="Q120">
        <f t="shared" ref="Q120" si="576">F120*P120</f>
        <v>-4118821.8247572775</v>
      </c>
      <c r="R120">
        <f t="shared" ref="R120" si="577">R121+Q120</f>
        <v>-80788880.192973867</v>
      </c>
      <c r="S120">
        <f t="shared" ref="S120" si="578">R120/100000</f>
        <v>-807.88880192973863</v>
      </c>
      <c r="T120">
        <f t="shared" ref="T120" si="579">S120/1000</f>
        <v>-0.80788880192973866</v>
      </c>
    </row>
    <row r="121" spans="1:20" x14ac:dyDescent="0.25">
      <c r="A121" s="5">
        <v>44472</v>
      </c>
      <c r="B121">
        <v>13.24</v>
      </c>
      <c r="C121">
        <v>14.39</v>
      </c>
      <c r="D121">
        <v>12.81</v>
      </c>
      <c r="E121">
        <v>14.29</v>
      </c>
      <c r="F121">
        <v>5327528.79</v>
      </c>
      <c r="G121">
        <v>14.29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0.87341772151898556</v>
      </c>
      <c r="Q121">
        <f t="shared" ref="Q121" si="581">F121*P121</f>
        <v>4653158.0570885977</v>
      </c>
      <c r="R121">
        <f t="shared" ref="R121" si="582">R122+Q121</f>
        <v>-76670058.368216589</v>
      </c>
      <c r="S121">
        <f t="shared" ref="S121" si="583">R121/100000</f>
        <v>-766.70058368216587</v>
      </c>
      <c r="T121">
        <f t="shared" ref="T121" si="584">S121/1000</f>
        <v>-0.76670058368216587</v>
      </c>
    </row>
    <row r="122" spans="1:20" x14ac:dyDescent="0.25">
      <c r="A122" s="5">
        <v>44471</v>
      </c>
      <c r="B122">
        <v>14.51</v>
      </c>
      <c r="C122">
        <v>14.74</v>
      </c>
      <c r="D122">
        <v>13.02</v>
      </c>
      <c r="E122">
        <v>13.25</v>
      </c>
      <c r="F122">
        <v>5938244.9000000004</v>
      </c>
      <c r="G122">
        <v>13.25</v>
      </c>
      <c r="L122" t="s">
        <v>7</v>
      </c>
      <c r="M122" t="s">
        <v>8</v>
      </c>
      <c r="N122" t="s">
        <v>8</v>
      </c>
      <c r="P122">
        <f t="shared" ref="P122" si="585">IF(C122=D122,0,((E122-D122)-(C122-E122))/(C122-D122))</f>
        <v>-0.73255813953488336</v>
      </c>
      <c r="Q122">
        <f t="shared" ref="Q122" si="586">F122*P122</f>
        <v>-4350109.6360465102</v>
      </c>
      <c r="R122">
        <f t="shared" ref="R122" si="587">R123+Q122</f>
        <v>-81323216.425305188</v>
      </c>
      <c r="S122">
        <f t="shared" ref="S122" si="588">R122/100000</f>
        <v>-813.23216425305191</v>
      </c>
      <c r="T122">
        <f t="shared" ref="T122" si="589">S122/1000</f>
        <v>-0.81323216425305189</v>
      </c>
    </row>
    <row r="123" spans="1:20" x14ac:dyDescent="0.25">
      <c r="A123" s="5">
        <v>44470</v>
      </c>
      <c r="B123">
        <v>11.76</v>
      </c>
      <c r="C123">
        <v>14.7</v>
      </c>
      <c r="D123">
        <v>11.44</v>
      </c>
      <c r="E123">
        <v>14.5</v>
      </c>
      <c r="F123">
        <v>9404432.7699999996</v>
      </c>
      <c r="G123">
        <v>14.5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0.87730061349693289</v>
      </c>
      <c r="Q123">
        <f t="shared" ref="Q123" si="591">F123*P123</f>
        <v>8250514.6387116592</v>
      </c>
      <c r="R123">
        <f t="shared" ref="R123" si="592">R124+Q123</f>
        <v>-76973106.789258674</v>
      </c>
      <c r="S123">
        <f t="shared" ref="S123" si="593">R123/100000</f>
        <v>-769.73106789258679</v>
      </c>
      <c r="T123">
        <f t="shared" ref="T123" si="594">S123/1000</f>
        <v>-0.76973106789258683</v>
      </c>
    </row>
    <row r="124" spans="1:20" x14ac:dyDescent="0.25">
      <c r="A124" s="5">
        <v>44469</v>
      </c>
      <c r="B124">
        <v>10.32</v>
      </c>
      <c r="C124">
        <v>12.09</v>
      </c>
      <c r="D124">
        <v>10.24</v>
      </c>
      <c r="E124">
        <v>11.76</v>
      </c>
      <c r="F124">
        <v>6973638.1500000004</v>
      </c>
      <c r="G124">
        <v>11.76</v>
      </c>
      <c r="L124" t="s">
        <v>8</v>
      </c>
      <c r="M124" t="s">
        <v>8</v>
      </c>
      <c r="N124" t="s">
        <v>8</v>
      </c>
      <c r="P124">
        <f t="shared" ref="P124" si="595">IF(C124=D124,0,((E124-D124)-(C124-E124))/(C124-D124))</f>
        <v>0.64324324324324311</v>
      </c>
      <c r="Q124">
        <f t="shared" ref="Q124" si="596">F124*P124</f>
        <v>4485745.6208108105</v>
      </c>
      <c r="R124">
        <f t="shared" ref="R124" si="597">R125+Q124</f>
        <v>-85223621.427970335</v>
      </c>
      <c r="S124">
        <f t="shared" ref="S124" si="598">R124/100000</f>
        <v>-852.2362142797034</v>
      </c>
      <c r="T124">
        <f t="shared" ref="T124" si="599">S124/1000</f>
        <v>-0.85223621427970342</v>
      </c>
    </row>
    <row r="125" spans="1:20" x14ac:dyDescent="0.25">
      <c r="A125" s="5">
        <v>44468</v>
      </c>
      <c r="B125">
        <v>10.220000000000001</v>
      </c>
      <c r="C125">
        <v>11.29</v>
      </c>
      <c r="D125">
        <v>10.11</v>
      </c>
      <c r="E125">
        <v>10.3</v>
      </c>
      <c r="F125">
        <v>6041916.3600000003</v>
      </c>
      <c r="G125">
        <v>10.3</v>
      </c>
      <c r="L125" t="s">
        <v>8</v>
      </c>
      <c r="M125" t="s">
        <v>8</v>
      </c>
      <c r="N125" t="s">
        <v>7</v>
      </c>
      <c r="P125">
        <f t="shared" ref="P125" si="600">IF(C125=D125,0,((E125-D125)-(C125-E125))/(C125-D125))</f>
        <v>-0.677966101694913</v>
      </c>
      <c r="Q125">
        <f t="shared" ref="Q125" si="601">F125*P125</f>
        <v>-4096214.481355919</v>
      </c>
      <c r="R125">
        <f t="shared" ref="R125" si="602">R126+Q125</f>
        <v>-89709367.048781142</v>
      </c>
      <c r="S125">
        <f t="shared" ref="S125" si="603">R125/100000</f>
        <v>-897.09367048781144</v>
      </c>
      <c r="T125">
        <f t="shared" ref="T125" si="604">S125/1000</f>
        <v>-0.89709367048781141</v>
      </c>
    </row>
    <row r="126" spans="1:20" x14ac:dyDescent="0.25">
      <c r="A126" s="5">
        <v>44467</v>
      </c>
      <c r="B126">
        <v>9.4600000000000009</v>
      </c>
      <c r="C126">
        <v>10.87</v>
      </c>
      <c r="D126">
        <v>9.27</v>
      </c>
      <c r="E126">
        <v>10.220000000000001</v>
      </c>
      <c r="F126">
        <v>5815141</v>
      </c>
      <c r="G126">
        <v>10.220000000000001</v>
      </c>
      <c r="L126" t="s">
        <v>8</v>
      </c>
      <c r="M126" t="s">
        <v>8</v>
      </c>
      <c r="N126" t="s">
        <v>7</v>
      </c>
      <c r="P126">
        <f t="shared" ref="P126" si="605">IF(C126=D126,0,((E126-D126)-(C126-E126))/(C126-D126))</f>
        <v>0.18750000000000161</v>
      </c>
      <c r="Q126">
        <f t="shared" ref="Q126" si="606">F126*P126</f>
        <v>1090338.9375000093</v>
      </c>
      <c r="R126">
        <f t="shared" ref="R126" si="607">R127+Q126</f>
        <v>-85613152.567425221</v>
      </c>
      <c r="S126">
        <f t="shared" ref="S126" si="608">R126/100000</f>
        <v>-856.1315256742522</v>
      </c>
      <c r="T126">
        <f t="shared" ref="T126" si="609">S126/1000</f>
        <v>-0.85613152567425221</v>
      </c>
    </row>
    <row r="127" spans="1:20" x14ac:dyDescent="0.25">
      <c r="A127" s="5">
        <v>44466</v>
      </c>
      <c r="B127">
        <v>9.91</v>
      </c>
      <c r="C127">
        <v>10.5</v>
      </c>
      <c r="D127">
        <v>9.43</v>
      </c>
      <c r="E127">
        <v>9.4700000000000006</v>
      </c>
      <c r="F127">
        <v>3263388.22</v>
      </c>
      <c r="G127">
        <v>9.4700000000000006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-0.92523364485981141</v>
      </c>
      <c r="Q127">
        <f t="shared" ref="Q127" si="611">F127*P127</f>
        <v>-3019396.5773831722</v>
      </c>
      <c r="R127">
        <f t="shared" ref="R127" si="612">R128+Q127</f>
        <v>-86703491.504925236</v>
      </c>
      <c r="S127">
        <f t="shared" ref="S127" si="613">R127/100000</f>
        <v>-867.03491504925239</v>
      </c>
      <c r="T127">
        <f t="shared" ref="T127" si="614">S127/1000</f>
        <v>-0.86703491504925234</v>
      </c>
    </row>
    <row r="128" spans="1:20" x14ac:dyDescent="0.25">
      <c r="A128" s="5">
        <v>44465</v>
      </c>
      <c r="B128">
        <v>9.8800000000000008</v>
      </c>
      <c r="C128">
        <v>10.48</v>
      </c>
      <c r="D128">
        <v>8.73</v>
      </c>
      <c r="E128">
        <v>9.91</v>
      </c>
      <c r="F128">
        <v>4399212.24</v>
      </c>
      <c r="G128">
        <v>9.91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0.34857142857142825</v>
      </c>
      <c r="Q128">
        <f t="shared" ref="Q128" si="616">F128*P128</f>
        <v>1533439.6950857129</v>
      </c>
      <c r="R128">
        <f t="shared" ref="R128" si="617">R129+Q128</f>
        <v>-83684094.927542061</v>
      </c>
      <c r="S128">
        <f t="shared" ref="S128" si="618">R128/100000</f>
        <v>-836.8409492754206</v>
      </c>
      <c r="T128">
        <f t="shared" ref="T128" si="619">S128/1000</f>
        <v>-0.83684094927542063</v>
      </c>
    </row>
    <row r="129" spans="1:20" x14ac:dyDescent="0.25">
      <c r="A129" s="5">
        <v>44464</v>
      </c>
      <c r="B129">
        <v>10.119999999999999</v>
      </c>
      <c r="C129">
        <v>10.35</v>
      </c>
      <c r="D129">
        <v>9.5399999999999991</v>
      </c>
      <c r="E129">
        <v>9.8800000000000008</v>
      </c>
      <c r="F129">
        <v>2161198.77</v>
      </c>
      <c r="G129">
        <v>9.8800000000000008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-0.16049382716049032</v>
      </c>
      <c r="Q129">
        <f t="shared" ref="Q129" si="621">F129*P129</f>
        <v>-346859.06185184425</v>
      </c>
      <c r="R129">
        <f t="shared" ref="R129" si="622">R130+Q129</f>
        <v>-85217534.62262778</v>
      </c>
      <c r="S129">
        <f t="shared" ref="S129" si="623">R129/100000</f>
        <v>-852.17534622627784</v>
      </c>
      <c r="T129">
        <f t="shared" ref="T129" si="624">S129/1000</f>
        <v>-0.85217534622627789</v>
      </c>
    </row>
    <row r="130" spans="1:20" x14ac:dyDescent="0.25">
      <c r="A130" s="5">
        <v>44463</v>
      </c>
      <c r="B130">
        <v>11.35</v>
      </c>
      <c r="C130">
        <v>11.69</v>
      </c>
      <c r="D130">
        <v>9.43</v>
      </c>
      <c r="E130">
        <v>10.130000000000001</v>
      </c>
      <c r="F130">
        <v>4776654.79</v>
      </c>
      <c r="G130">
        <v>10.130000000000001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-0.38053097345132642</v>
      </c>
      <c r="Q130">
        <f t="shared" ref="Q130" si="626">F130*P130</f>
        <v>-1817665.0970796412</v>
      </c>
      <c r="R130">
        <f t="shared" ref="R130" si="627">R131+Q130</f>
        <v>-84870675.560775936</v>
      </c>
      <c r="S130">
        <f t="shared" ref="S130" si="628">R130/100000</f>
        <v>-848.70675560775931</v>
      </c>
      <c r="T130">
        <f t="shared" ref="T130" si="629">S130/1000</f>
        <v>-0.84870675560775932</v>
      </c>
    </row>
    <row r="131" spans="1:20" x14ac:dyDescent="0.25">
      <c r="A131" s="5">
        <v>44462</v>
      </c>
      <c r="B131">
        <v>11.25</v>
      </c>
      <c r="C131">
        <v>11.83</v>
      </c>
      <c r="D131">
        <v>10.66</v>
      </c>
      <c r="E131">
        <v>11.35</v>
      </c>
      <c r="F131">
        <v>4268343.59</v>
      </c>
      <c r="G131">
        <v>11.35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0.17948717948717871</v>
      </c>
      <c r="Q131">
        <f t="shared" ref="Q131" si="631">F131*P131</f>
        <v>766112.95205127867</v>
      </c>
      <c r="R131">
        <f t="shared" ref="R131" si="632">R132+Q131</f>
        <v>-83053010.463696301</v>
      </c>
      <c r="S131">
        <f t="shared" ref="S131" si="633">R131/100000</f>
        <v>-830.53010463696296</v>
      </c>
      <c r="T131">
        <f t="shared" ref="T131" si="634">S131/1000</f>
        <v>-0.83053010463696297</v>
      </c>
    </row>
    <row r="132" spans="1:20" x14ac:dyDescent="0.25">
      <c r="A132" s="5">
        <v>44461</v>
      </c>
      <c r="B132">
        <v>9.35</v>
      </c>
      <c r="C132">
        <v>11.8</v>
      </c>
      <c r="D132">
        <v>9.16</v>
      </c>
      <c r="E132">
        <v>11.26</v>
      </c>
      <c r="F132">
        <v>5392706.4100000001</v>
      </c>
      <c r="G132">
        <v>11.26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0.59090909090909027</v>
      </c>
      <c r="Q132">
        <f t="shared" ref="Q132" si="636">F132*P132</f>
        <v>3186599.2422727239</v>
      </c>
      <c r="R132">
        <f t="shared" ref="R132" si="637">R133+Q132</f>
        <v>-83819123.415747583</v>
      </c>
      <c r="S132">
        <f t="shared" ref="S132" si="638">R132/100000</f>
        <v>-838.19123415747583</v>
      </c>
      <c r="T132">
        <f t="shared" ref="T132" si="639">S132/1000</f>
        <v>-0.83819123415747587</v>
      </c>
    </row>
    <row r="133" spans="1:20" x14ac:dyDescent="0.25">
      <c r="A133" s="5">
        <v>44460</v>
      </c>
      <c r="B133">
        <v>10.19</v>
      </c>
      <c r="C133">
        <v>10.9</v>
      </c>
      <c r="D133">
        <v>9.11</v>
      </c>
      <c r="E133">
        <v>9.35</v>
      </c>
      <c r="F133">
        <v>4682318.6500000004</v>
      </c>
      <c r="G133">
        <v>9.35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-0.73184357541899436</v>
      </c>
      <c r="Q133">
        <f t="shared" ref="Q133" si="641">F133*P133</f>
        <v>-3426724.8220670391</v>
      </c>
      <c r="R133">
        <f t="shared" ref="R133" si="642">R134+Q133</f>
        <v>-87005722.658020303</v>
      </c>
      <c r="S133">
        <f t="shared" ref="S133" si="643">R133/100000</f>
        <v>-870.05722658020306</v>
      </c>
      <c r="T133">
        <f t="shared" ref="T133" si="644">S133/1000</f>
        <v>-0.87005722658020301</v>
      </c>
    </row>
    <row r="134" spans="1:20" x14ac:dyDescent="0.25">
      <c r="A134" s="5">
        <v>44459</v>
      </c>
      <c r="B134">
        <v>12.55</v>
      </c>
      <c r="C134">
        <v>12.59</v>
      </c>
      <c r="D134">
        <v>10.78</v>
      </c>
      <c r="E134">
        <v>11.21</v>
      </c>
      <c r="F134">
        <v>2637785.9700000002</v>
      </c>
      <c r="G134">
        <v>11.21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-0.52486187845303711</v>
      </c>
      <c r="Q134">
        <f t="shared" ref="Q134" si="646">F134*P134</f>
        <v>-1384473.2991712666</v>
      </c>
      <c r="R134">
        <f t="shared" ref="R134" si="647">R135+Q134</f>
        <v>-83578997.835953265</v>
      </c>
      <c r="S134">
        <f t="shared" ref="S134" si="648">R134/100000</f>
        <v>-835.78997835953271</v>
      </c>
      <c r="T134">
        <f t="shared" ref="T134" si="649">S134/1000</f>
        <v>-0.83578997835953273</v>
      </c>
    </row>
    <row r="135" spans="1:20" x14ac:dyDescent="0.25">
      <c r="A135" s="5">
        <v>44458</v>
      </c>
      <c r="B135">
        <v>13.22</v>
      </c>
      <c r="C135">
        <v>13.26</v>
      </c>
      <c r="D135">
        <v>12.23</v>
      </c>
      <c r="E135">
        <v>12.55</v>
      </c>
      <c r="F135">
        <v>2197871.0099999998</v>
      </c>
      <c r="G135">
        <v>12.55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-0.37864077669902818</v>
      </c>
      <c r="Q135">
        <f t="shared" ref="Q135" si="651">F135*P135</f>
        <v>-832203.58631067746</v>
      </c>
      <c r="R135">
        <f t="shared" ref="R135" si="652">R136+Q135</f>
        <v>-82194524.536781996</v>
      </c>
      <c r="S135">
        <f t="shared" ref="S135" si="653">R135/100000</f>
        <v>-821.94524536782001</v>
      </c>
      <c r="T135">
        <f t="shared" ref="T135" si="654">S135/1000</f>
        <v>-0.82194524536781999</v>
      </c>
    </row>
    <row r="136" spans="1:20" x14ac:dyDescent="0.25">
      <c r="A136" s="5">
        <v>44457</v>
      </c>
      <c r="B136">
        <v>13.21</v>
      </c>
      <c r="C136">
        <v>13.86</v>
      </c>
      <c r="D136">
        <v>12.93</v>
      </c>
      <c r="E136">
        <v>13.22</v>
      </c>
      <c r="F136">
        <v>2713153.64</v>
      </c>
      <c r="G136">
        <v>13.22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-0.37634408602150321</v>
      </c>
      <c r="Q136">
        <f t="shared" ref="Q136" si="656">F136*P136</f>
        <v>-1021079.3268817146</v>
      </c>
      <c r="R136">
        <f t="shared" ref="R136" si="657">R137+Q136</f>
        <v>-81362320.950471312</v>
      </c>
      <c r="S136">
        <f t="shared" ref="S136" si="658">R136/100000</f>
        <v>-813.62320950471315</v>
      </c>
      <c r="T136">
        <f t="shared" ref="T136" si="659">S136/1000</f>
        <v>-0.81362320950471312</v>
      </c>
    </row>
    <row r="137" spans="1:20" x14ac:dyDescent="0.25">
      <c r="A137" s="5">
        <v>44456</v>
      </c>
      <c r="B137">
        <v>14.06</v>
      </c>
      <c r="C137">
        <v>15.29</v>
      </c>
      <c r="D137">
        <v>12.91</v>
      </c>
      <c r="E137">
        <v>13.21</v>
      </c>
      <c r="F137">
        <v>7611932.2999999998</v>
      </c>
      <c r="G137">
        <v>13.21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-0.74789915966386489</v>
      </c>
      <c r="Q137">
        <f t="shared" ref="Q137" si="661">F137*P137</f>
        <v>-5692957.7705882303</v>
      </c>
      <c r="R137">
        <f t="shared" ref="R137" si="662">R138+Q137</f>
        <v>-80341241.62358959</v>
      </c>
      <c r="S137">
        <f t="shared" ref="S137" si="663">R137/100000</f>
        <v>-803.41241623589588</v>
      </c>
      <c r="T137">
        <f t="shared" ref="T137" si="664">S137/1000</f>
        <v>-0.80341241623589588</v>
      </c>
    </row>
    <row r="138" spans="1:20" x14ac:dyDescent="0.25">
      <c r="A138" s="5">
        <v>44455</v>
      </c>
      <c r="B138">
        <v>13.24</v>
      </c>
      <c r="C138">
        <v>14.48</v>
      </c>
      <c r="D138">
        <v>12.55</v>
      </c>
      <c r="E138">
        <v>14.06</v>
      </c>
      <c r="F138">
        <v>7553322.3499999996</v>
      </c>
      <c r="G138">
        <v>14.06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0.56476683937823835</v>
      </c>
      <c r="Q138">
        <f t="shared" ref="Q138" si="666">F138*P138</f>
        <v>4265865.9904145077</v>
      </c>
      <c r="R138">
        <f t="shared" ref="R138" si="667">R139+Q138</f>
        <v>-74648283.853001356</v>
      </c>
      <c r="S138">
        <f t="shared" ref="S138" si="668">R138/100000</f>
        <v>-746.48283853001351</v>
      </c>
      <c r="T138">
        <f t="shared" ref="T138" si="669">S138/1000</f>
        <v>-0.74648283853001351</v>
      </c>
    </row>
    <row r="139" spans="1:20" x14ac:dyDescent="0.25">
      <c r="A139" s="5">
        <v>44454</v>
      </c>
      <c r="B139">
        <v>12.31</v>
      </c>
      <c r="C139">
        <v>13.45</v>
      </c>
      <c r="D139">
        <v>12.16</v>
      </c>
      <c r="E139">
        <v>13.22</v>
      </c>
      <c r="F139">
        <v>4011775.11</v>
      </c>
      <c r="G139">
        <v>13.22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0.6434108527131801</v>
      </c>
      <c r="Q139">
        <f t="shared" ref="Q139" si="671">F139*P139</f>
        <v>2581219.6444186117</v>
      </c>
      <c r="R139">
        <f t="shared" ref="R139" si="672">R140+Q139</f>
        <v>-78914149.843415871</v>
      </c>
      <c r="S139">
        <f t="shared" ref="S139" si="673">R139/100000</f>
        <v>-789.14149843415873</v>
      </c>
      <c r="T139">
        <f t="shared" ref="T139" si="674">S139/1000</f>
        <v>-0.78914149843415871</v>
      </c>
    </row>
    <row r="140" spans="1:20" x14ac:dyDescent="0.25">
      <c r="A140" s="5">
        <v>44453</v>
      </c>
      <c r="B140">
        <v>11.98</v>
      </c>
      <c r="C140">
        <v>12.51</v>
      </c>
      <c r="D140">
        <v>11.23</v>
      </c>
      <c r="E140">
        <v>12.31</v>
      </c>
      <c r="F140">
        <v>3067446.89</v>
      </c>
      <c r="G140">
        <v>12.31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0.687500000000001</v>
      </c>
      <c r="Q140">
        <f t="shared" ref="Q140" si="676">F140*P140</f>
        <v>2108869.7368750032</v>
      </c>
      <c r="R140">
        <f t="shared" ref="R140" si="677">R141+Q140</f>
        <v>-81495369.487834483</v>
      </c>
      <c r="S140">
        <f t="shared" ref="S140" si="678">R140/100000</f>
        <v>-814.95369487834489</v>
      </c>
      <c r="T140">
        <f t="shared" ref="T140" si="679">S140/1000</f>
        <v>-0.8149536948783449</v>
      </c>
    </row>
    <row r="141" spans="1:20" x14ac:dyDescent="0.25">
      <c r="A141" s="5">
        <v>44452</v>
      </c>
      <c r="B141">
        <v>13.16</v>
      </c>
      <c r="C141">
        <v>13.33</v>
      </c>
      <c r="D141">
        <v>11.11</v>
      </c>
      <c r="E141">
        <v>11.98</v>
      </c>
      <c r="F141">
        <v>4554799.7300000004</v>
      </c>
      <c r="G141">
        <v>11.98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-0.21621621621621553</v>
      </c>
      <c r="Q141">
        <f t="shared" ref="Q141" si="681">F141*P141</f>
        <v>-984821.56324324023</v>
      </c>
      <c r="R141">
        <f t="shared" ref="R141" si="682">R142+Q141</f>
        <v>-83604239.224709481</v>
      </c>
      <c r="S141">
        <f t="shared" ref="S141" si="683">R141/100000</f>
        <v>-836.04239224709477</v>
      </c>
      <c r="T141">
        <f t="shared" ref="T141" si="684">S141/1000</f>
        <v>-0.83604239224709476</v>
      </c>
    </row>
    <row r="142" spans="1:20" x14ac:dyDescent="0.25">
      <c r="A142" s="5">
        <v>44451</v>
      </c>
      <c r="B142">
        <v>12.87</v>
      </c>
      <c r="C142">
        <v>13.53</v>
      </c>
      <c r="D142">
        <v>12.52</v>
      </c>
      <c r="E142">
        <v>13.16</v>
      </c>
      <c r="F142">
        <v>3469607.33</v>
      </c>
      <c r="G142">
        <v>13.16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0.26732673267326873</v>
      </c>
      <c r="Q142">
        <f t="shared" ref="Q142" si="686">F142*P142</f>
        <v>927518.79118812375</v>
      </c>
      <c r="R142">
        <f t="shared" ref="R142" si="687">R143+Q142</f>
        <v>-82619417.661466241</v>
      </c>
      <c r="S142">
        <f t="shared" ref="S142" si="688">R142/100000</f>
        <v>-826.19417661466241</v>
      </c>
      <c r="T142">
        <f t="shared" ref="T142" si="689">S142/1000</f>
        <v>-0.82619417661466243</v>
      </c>
    </row>
    <row r="143" spans="1:20" x14ac:dyDescent="0.25">
      <c r="A143" s="5">
        <v>44450</v>
      </c>
      <c r="B143">
        <v>12.45</v>
      </c>
      <c r="C143">
        <v>14</v>
      </c>
      <c r="D143">
        <v>12.18</v>
      </c>
      <c r="E143">
        <v>12.87</v>
      </c>
      <c r="F143">
        <v>4320765.2</v>
      </c>
      <c r="G143">
        <v>12.87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-0.24175824175824243</v>
      </c>
      <c r="Q143">
        <f t="shared" ref="Q143" si="691">F143*P143</f>
        <v>-1044580.5978022007</v>
      </c>
      <c r="R143">
        <f t="shared" ref="R143" si="692">R144+Q143</f>
        <v>-83546936.452654362</v>
      </c>
      <c r="S143">
        <f t="shared" ref="S143" si="693">R143/100000</f>
        <v>-835.46936452654359</v>
      </c>
      <c r="T143">
        <f t="shared" ref="T143" si="694">S143/1000</f>
        <v>-0.83546936452654363</v>
      </c>
    </row>
    <row r="144" spans="1:20" x14ac:dyDescent="0.25">
      <c r="A144" s="5">
        <v>44449</v>
      </c>
      <c r="B144">
        <v>13.26</v>
      </c>
      <c r="C144">
        <v>13.8</v>
      </c>
      <c r="D144">
        <v>11.75</v>
      </c>
      <c r="E144">
        <v>12.45</v>
      </c>
      <c r="F144">
        <v>4888314.82</v>
      </c>
      <c r="G144">
        <v>12.45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-0.31707317073170826</v>
      </c>
      <c r="Q144">
        <f t="shared" ref="Q144" si="696">F144*P144</f>
        <v>-1549953.4795121998</v>
      </c>
      <c r="R144">
        <f t="shared" ref="R144" si="697">R145+Q144</f>
        <v>-82502355.854852155</v>
      </c>
      <c r="S144">
        <f t="shared" ref="S144" si="698">R144/100000</f>
        <v>-825.02355854852158</v>
      </c>
      <c r="T144">
        <f t="shared" ref="T144" si="699">S144/1000</f>
        <v>-0.82502355854852161</v>
      </c>
    </row>
    <row r="145" spans="1:20" x14ac:dyDescent="0.25">
      <c r="A145" s="5">
        <v>44448</v>
      </c>
      <c r="B145">
        <v>13.45</v>
      </c>
      <c r="C145">
        <v>14.68</v>
      </c>
      <c r="D145">
        <v>12.5</v>
      </c>
      <c r="E145">
        <v>13.26</v>
      </c>
      <c r="F145">
        <v>7426171.2400000002</v>
      </c>
      <c r="G145">
        <v>13.26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-0.30275229357798178</v>
      </c>
      <c r="Q145">
        <f t="shared" ref="Q145" si="701">F145*P145</f>
        <v>-2248290.3754128451</v>
      </c>
      <c r="R145">
        <f t="shared" ref="R145" si="702">R146+Q145</f>
        <v>-80952402.375339955</v>
      </c>
      <c r="S145">
        <f t="shared" ref="S145" si="703">R145/100000</f>
        <v>-809.52402375339955</v>
      </c>
      <c r="T145">
        <f t="shared" ref="T145" si="704">S145/1000</f>
        <v>-0.8095240237533996</v>
      </c>
    </row>
    <row r="146" spans="1:20" x14ac:dyDescent="0.25">
      <c r="A146" s="5">
        <v>44447</v>
      </c>
      <c r="B146">
        <v>13.56</v>
      </c>
      <c r="C146">
        <v>14.1</v>
      </c>
      <c r="D146">
        <v>11.52</v>
      </c>
      <c r="E146">
        <v>13.44</v>
      </c>
      <c r="F146">
        <v>11517640.07</v>
      </c>
      <c r="G146">
        <v>13.44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0.48837209302325574</v>
      </c>
      <c r="Q146">
        <f t="shared" ref="Q146" si="706">F146*P146</f>
        <v>5624893.9876744179</v>
      </c>
      <c r="R146">
        <f t="shared" ref="R146" si="707">R147+Q146</f>
        <v>-78704111.999927104</v>
      </c>
      <c r="S146">
        <f t="shared" ref="S146" si="708">R146/100000</f>
        <v>-787.04111999927102</v>
      </c>
      <c r="T146">
        <f t="shared" ref="T146" si="709">S146/1000</f>
        <v>-0.78704111999927107</v>
      </c>
    </row>
    <row r="147" spans="1:20" x14ac:dyDescent="0.25">
      <c r="A147" s="5">
        <v>44446</v>
      </c>
      <c r="B147">
        <v>17.97</v>
      </c>
      <c r="C147">
        <v>18.14</v>
      </c>
      <c r="D147">
        <v>11.49</v>
      </c>
      <c r="E147">
        <v>13.54</v>
      </c>
      <c r="F147">
        <v>20591371.43</v>
      </c>
      <c r="G147">
        <v>13.54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-0.38345864661654172</v>
      </c>
      <c r="Q147">
        <f t="shared" ref="Q147" si="711">F147*P147</f>
        <v>-7895939.4205263229</v>
      </c>
      <c r="R147">
        <f t="shared" ref="R147" si="712">R148+Q147</f>
        <v>-84329005.987601519</v>
      </c>
      <c r="S147">
        <f t="shared" ref="S147" si="713">R147/100000</f>
        <v>-843.29005987601522</v>
      </c>
      <c r="T147">
        <f t="shared" ref="T147" si="714">S147/1000</f>
        <v>-0.84329005987601524</v>
      </c>
    </row>
    <row r="148" spans="1:20" x14ac:dyDescent="0.25">
      <c r="A148" s="5">
        <v>44445</v>
      </c>
      <c r="B148">
        <v>18.79</v>
      </c>
      <c r="C148">
        <v>19.399999999999999</v>
      </c>
      <c r="D148">
        <v>16.43</v>
      </c>
      <c r="E148">
        <v>17.98</v>
      </c>
      <c r="F148">
        <v>7648447.4500000002</v>
      </c>
      <c r="G148">
        <v>17.98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4.3771043771044647E-2</v>
      </c>
      <c r="Q148">
        <f t="shared" ref="Q148" si="716">F148*P148</f>
        <v>334780.5281144848</v>
      </c>
      <c r="R148">
        <f t="shared" ref="R148" si="717">R149+Q148</f>
        <v>-76433066.567075193</v>
      </c>
      <c r="S148">
        <f t="shared" ref="S148" si="718">R148/100000</f>
        <v>-764.33066567075196</v>
      </c>
      <c r="T148">
        <f t="shared" ref="T148" si="719">S148/1000</f>
        <v>-0.76433066567075192</v>
      </c>
    </row>
    <row r="149" spans="1:20" x14ac:dyDescent="0.25">
      <c r="A149" s="5">
        <v>44444</v>
      </c>
      <c r="B149">
        <v>18.48</v>
      </c>
      <c r="C149">
        <v>19.21</v>
      </c>
      <c r="D149">
        <v>18.2</v>
      </c>
      <c r="E149">
        <v>18.79</v>
      </c>
      <c r="F149">
        <v>4865694.21</v>
      </c>
      <c r="G149">
        <v>18.79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0.16831683168316622</v>
      </c>
      <c r="Q149">
        <f t="shared" ref="Q149" si="721">F149*P149</f>
        <v>818978.23336632643</v>
      </c>
      <c r="R149">
        <f t="shared" ref="R149" si="722">R150+Q149</f>
        <v>-76767847.095189676</v>
      </c>
      <c r="S149">
        <f t="shared" ref="S149" si="723">R149/100000</f>
        <v>-767.67847095189677</v>
      </c>
      <c r="T149">
        <f t="shared" ref="T149" si="724">S149/1000</f>
        <v>-0.76767847095189679</v>
      </c>
    </row>
    <row r="150" spans="1:20" x14ac:dyDescent="0.25">
      <c r="A150" s="5">
        <v>44443</v>
      </c>
      <c r="B150">
        <v>18.03</v>
      </c>
      <c r="C150">
        <v>20.51</v>
      </c>
      <c r="D150">
        <v>17.87</v>
      </c>
      <c r="E150">
        <v>18.489999999999998</v>
      </c>
      <c r="F150">
        <v>9339398.9299999997</v>
      </c>
      <c r="G150">
        <v>18.489999999999998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-0.53030303030303239</v>
      </c>
      <c r="Q150">
        <f t="shared" ref="Q150" si="726">F150*P150</f>
        <v>-4952711.5537878983</v>
      </c>
      <c r="R150">
        <f t="shared" ref="R150" si="727">R151+Q150</f>
        <v>-77586825.328556001</v>
      </c>
      <c r="S150">
        <f t="shared" ref="S150" si="728">R150/100000</f>
        <v>-775.86825328556006</v>
      </c>
      <c r="T150">
        <f t="shared" ref="T150" si="729">S150/1000</f>
        <v>-0.77586825328556008</v>
      </c>
    </row>
    <row r="151" spans="1:20" x14ac:dyDescent="0.25">
      <c r="A151" s="5">
        <v>44442</v>
      </c>
      <c r="B151">
        <v>18.079999999999998</v>
      </c>
      <c r="C151">
        <v>18.78</v>
      </c>
      <c r="D151">
        <v>17.5</v>
      </c>
      <c r="E151">
        <v>18.02</v>
      </c>
      <c r="F151">
        <v>5111113.28</v>
      </c>
      <c r="G151">
        <v>18.02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-0.18750000000000139</v>
      </c>
      <c r="Q151">
        <f t="shared" ref="Q151" si="731">F151*P151</f>
        <v>-958333.74000000709</v>
      </c>
      <c r="R151">
        <f t="shared" ref="R151" si="732">R152+Q151</f>
        <v>-72634113.774768099</v>
      </c>
      <c r="S151">
        <f t="shared" ref="S151" si="733">R151/100000</f>
        <v>-726.34113774768105</v>
      </c>
      <c r="T151">
        <f t="shared" ref="T151" si="734">S151/1000</f>
        <v>-0.72634113774768105</v>
      </c>
    </row>
    <row r="152" spans="1:20" x14ac:dyDescent="0.25">
      <c r="A152" s="5">
        <v>44441</v>
      </c>
      <c r="B152">
        <v>18.29</v>
      </c>
      <c r="C152">
        <v>19.7</v>
      </c>
      <c r="D152">
        <v>17.8</v>
      </c>
      <c r="E152">
        <v>18.079999999999998</v>
      </c>
      <c r="F152">
        <v>8053422.0599999996</v>
      </c>
      <c r="G152">
        <v>18.079999999999998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-0.70526315789473915</v>
      </c>
      <c r="Q152">
        <f t="shared" ref="Q152" si="736">F152*P152</f>
        <v>-5679781.8738947548</v>
      </c>
      <c r="R152">
        <f t="shared" ref="R152" si="737">R153+Q152</f>
        <v>-71675780.03476809</v>
      </c>
      <c r="S152">
        <f t="shared" ref="S152" si="738">R152/100000</f>
        <v>-716.75780034768093</v>
      </c>
      <c r="T152">
        <f t="shared" ref="T152" si="739">S152/1000</f>
        <v>-0.71675780034768088</v>
      </c>
    </row>
    <row r="153" spans="1:20" x14ac:dyDescent="0.25">
      <c r="A153" s="5">
        <v>44440</v>
      </c>
      <c r="B153">
        <v>18.059999999999999</v>
      </c>
      <c r="C153">
        <v>18.989999999999998</v>
      </c>
      <c r="D153">
        <v>17.36</v>
      </c>
      <c r="E153">
        <v>18.29</v>
      </c>
      <c r="F153">
        <v>7188478.3700000001</v>
      </c>
      <c r="G153">
        <v>18.29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0.14110429447852796</v>
      </c>
      <c r="Q153">
        <f t="shared" ref="Q153" si="741">F153*P153</f>
        <v>1014325.1687730086</v>
      </c>
      <c r="R153">
        <f t="shared" ref="R153" si="742">R154+Q153</f>
        <v>-65995998.160873339</v>
      </c>
      <c r="S153">
        <f t="shared" ref="S153" si="743">R153/100000</f>
        <v>-659.95998160873341</v>
      </c>
      <c r="T153">
        <f t="shared" ref="T153" si="744">S153/1000</f>
        <v>-0.65995998160873337</v>
      </c>
    </row>
    <row r="154" spans="1:20" x14ac:dyDescent="0.25">
      <c r="A154" s="5">
        <v>44439</v>
      </c>
      <c r="B154">
        <v>19.420000000000002</v>
      </c>
      <c r="C154">
        <v>19.53</v>
      </c>
      <c r="D154">
        <v>17.25</v>
      </c>
      <c r="E154">
        <v>18.07</v>
      </c>
      <c r="F154">
        <v>8061388.0300000003</v>
      </c>
      <c r="G154">
        <v>18.07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-0.28070175438596501</v>
      </c>
      <c r="Q154">
        <f t="shared" ref="Q154" si="746">F154*P154</f>
        <v>-2262845.7628070186</v>
      </c>
      <c r="R154">
        <f t="shared" ref="R154" si="747">R155+Q154</f>
        <v>-67010323.329646349</v>
      </c>
      <c r="S154">
        <f t="shared" ref="S154" si="748">R154/100000</f>
        <v>-670.10323329646349</v>
      </c>
      <c r="T154">
        <f t="shared" ref="T154" si="749">S154/1000</f>
        <v>-0.67010323329646349</v>
      </c>
    </row>
    <row r="155" spans="1:20" x14ac:dyDescent="0.25">
      <c r="A155" s="5">
        <v>44438</v>
      </c>
      <c r="B155">
        <v>20.52</v>
      </c>
      <c r="C155">
        <v>21.65</v>
      </c>
      <c r="D155">
        <v>19.100000000000001</v>
      </c>
      <c r="E155">
        <v>19.399999999999999</v>
      </c>
      <c r="F155">
        <v>11205836.6</v>
      </c>
      <c r="G155">
        <v>19.399999999999999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-0.76470588235294312</v>
      </c>
      <c r="Q155">
        <f t="shared" ref="Q155" si="751">F155*P155</f>
        <v>-8569169.1647059042</v>
      </c>
      <c r="R155">
        <f t="shared" ref="R155" si="752">R156+Q155</f>
        <v>-64747477.56683933</v>
      </c>
      <c r="S155">
        <f t="shared" ref="S155" si="753">R155/100000</f>
        <v>-647.47477566839325</v>
      </c>
      <c r="T155">
        <f t="shared" ref="T155" si="754">S155/1000</f>
        <v>-0.64747477566839329</v>
      </c>
    </row>
    <row r="156" spans="1:20" x14ac:dyDescent="0.25">
      <c r="A156" s="5">
        <v>44437</v>
      </c>
      <c r="B156">
        <v>21.2</v>
      </c>
      <c r="C156">
        <v>22.42</v>
      </c>
      <c r="D156">
        <v>19.77</v>
      </c>
      <c r="E156">
        <v>20.53</v>
      </c>
      <c r="F156">
        <v>10524008.960000001</v>
      </c>
      <c r="G156">
        <v>20.53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-0.42641509433962194</v>
      </c>
      <c r="Q156">
        <f t="shared" ref="Q156" si="756">F156*P156</f>
        <v>-4487596.273509427</v>
      </c>
      <c r="R156">
        <f t="shared" ref="R156" si="757">R157+Q156</f>
        <v>-56178308.402133428</v>
      </c>
      <c r="S156">
        <f t="shared" ref="S156" si="758">R156/100000</f>
        <v>-561.78308402133428</v>
      </c>
      <c r="T156">
        <f t="shared" ref="T156" si="759">S156/1000</f>
        <v>-0.56178308402133426</v>
      </c>
    </row>
    <row r="157" spans="1:20" x14ac:dyDescent="0.25">
      <c r="A157" s="5">
        <v>44436</v>
      </c>
      <c r="B157">
        <v>20.09</v>
      </c>
      <c r="C157">
        <v>23.83</v>
      </c>
      <c r="D157">
        <v>20.010000000000002</v>
      </c>
      <c r="E157">
        <v>21.21</v>
      </c>
      <c r="F157">
        <v>13105412.720000001</v>
      </c>
      <c r="G157">
        <v>21.21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-0.37172774869109931</v>
      </c>
      <c r="Q157">
        <f t="shared" ref="Q157" si="761">F157*P157</f>
        <v>-4871645.5660732966</v>
      </c>
      <c r="R157">
        <f t="shared" ref="R157" si="762">R158+Q157</f>
        <v>-51690712.128624</v>
      </c>
      <c r="S157">
        <f t="shared" ref="S157" si="763">R157/100000</f>
        <v>-516.90712128624</v>
      </c>
      <c r="T157">
        <f t="shared" ref="T157" si="764">S157/1000</f>
        <v>-0.51690712128623995</v>
      </c>
    </row>
    <row r="158" spans="1:20" x14ac:dyDescent="0.25">
      <c r="A158" s="5">
        <v>44435</v>
      </c>
      <c r="B158">
        <v>19.239999999999998</v>
      </c>
      <c r="C158">
        <v>20.703199999999999</v>
      </c>
      <c r="D158">
        <v>17.13</v>
      </c>
      <c r="E158">
        <v>20.100000000000001</v>
      </c>
      <c r="F158">
        <v>13732416.140000001</v>
      </c>
      <c r="G158">
        <v>20.100000000000001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0.66237546177096296</v>
      </c>
      <c r="Q158">
        <f t="shared" ref="Q158" si="766">F158*P158</f>
        <v>9096015.4819635246</v>
      </c>
      <c r="R158">
        <f t="shared" ref="R158" si="767">R159+Q158</f>
        <v>-46819066.562550701</v>
      </c>
      <c r="S158">
        <f t="shared" ref="S158" si="768">R158/100000</f>
        <v>-468.19066562550699</v>
      </c>
      <c r="T158">
        <f t="shared" ref="T158" si="769">S158/1000</f>
        <v>-0.46819066562550699</v>
      </c>
    </row>
    <row r="159" spans="1:20" x14ac:dyDescent="0.25">
      <c r="A159" s="5">
        <v>44434</v>
      </c>
      <c r="B159">
        <v>20.986000000000001</v>
      </c>
      <c r="C159">
        <v>21.928000000000001</v>
      </c>
      <c r="D159">
        <v>18.21</v>
      </c>
      <c r="E159">
        <v>19.239999999999998</v>
      </c>
      <c r="F159">
        <v>13090631.439999999</v>
      </c>
      <c r="G159">
        <v>19.239999999999998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-0.44593867670790877</v>
      </c>
      <c r="Q159">
        <f t="shared" ref="Q159" si="771">F159*P159</f>
        <v>-5837618.8616245463</v>
      </c>
      <c r="R159">
        <f t="shared" ref="R159" si="772">R160+Q159</f>
        <v>-55915082.044514224</v>
      </c>
      <c r="S159">
        <f t="shared" ref="S159" si="773">R159/100000</f>
        <v>-559.15082044514224</v>
      </c>
      <c r="T159">
        <f t="shared" ref="T159" si="774">S159/1000</f>
        <v>-0.55915082044514219</v>
      </c>
    </row>
    <row r="160" spans="1:20" x14ac:dyDescent="0.25">
      <c r="A160" s="5">
        <v>44433</v>
      </c>
      <c r="B160">
        <v>16.020700000000001</v>
      </c>
      <c r="C160">
        <v>22.938700000000001</v>
      </c>
      <c r="D160">
        <v>15.9621</v>
      </c>
      <c r="E160">
        <v>21.0078</v>
      </c>
      <c r="F160">
        <v>29984884.600000001</v>
      </c>
      <c r="G160">
        <v>21.0078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0.4464638935871339</v>
      </c>
      <c r="Q160">
        <f t="shared" ref="Q160" si="776">F160*P160</f>
        <v>13387168.327276891</v>
      </c>
      <c r="R160">
        <f t="shared" ref="R160" si="777">R161+Q160</f>
        <v>-50077463.182889678</v>
      </c>
      <c r="S160">
        <f t="shared" ref="S160" si="778">R160/100000</f>
        <v>-500.77463182889676</v>
      </c>
      <c r="T160">
        <f t="shared" ref="T160" si="779">S160/1000</f>
        <v>-0.50077463182889681</v>
      </c>
    </row>
    <row r="161" spans="1:20" x14ac:dyDescent="0.25">
      <c r="A161" s="5">
        <v>44432</v>
      </c>
      <c r="B161">
        <v>17.239999999999998</v>
      </c>
      <c r="C161">
        <v>17.687999999999999</v>
      </c>
      <c r="D161">
        <v>15.08</v>
      </c>
      <c r="E161">
        <v>16.040400000000002</v>
      </c>
      <c r="F161">
        <v>9610125.0500000007</v>
      </c>
      <c r="G161">
        <v>16.040400000000002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-0.26349693251533579</v>
      </c>
      <c r="Q161">
        <f t="shared" ref="Q161" si="781">F161*P161</f>
        <v>-2532238.4717637883</v>
      </c>
      <c r="R161">
        <f t="shared" ref="R161" si="782">R162+Q161</f>
        <v>-63464631.510166571</v>
      </c>
      <c r="S161">
        <f t="shared" ref="S161" si="783">R161/100000</f>
        <v>-634.64631510166566</v>
      </c>
      <c r="T161">
        <f t="shared" ref="T161" si="784">S161/1000</f>
        <v>-0.63464631510166569</v>
      </c>
    </row>
    <row r="162" spans="1:20" x14ac:dyDescent="0.25">
      <c r="A162" s="5">
        <v>44431</v>
      </c>
      <c r="B162">
        <v>16.213699999999999</v>
      </c>
      <c r="C162">
        <v>18.690000000000001</v>
      </c>
      <c r="D162">
        <v>15.9374</v>
      </c>
      <c r="E162">
        <v>17.239999999999998</v>
      </c>
      <c r="F162">
        <v>13851877.23</v>
      </c>
      <c r="G162">
        <v>17.239999999999998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-5.354937150330763E-2</v>
      </c>
      <c r="Q162">
        <f t="shared" ref="Q162" si="786">F162*P162</f>
        <v>-741759.31980747788</v>
      </c>
      <c r="R162">
        <f t="shared" ref="R162" si="787">R163+Q162</f>
        <v>-60932393.038402781</v>
      </c>
      <c r="S162">
        <f t="shared" ref="S162" si="788">R162/100000</f>
        <v>-609.32393038402779</v>
      </c>
      <c r="T162">
        <f t="shared" ref="T162" si="789">S162/1000</f>
        <v>-0.60932393038402777</v>
      </c>
    </row>
    <row r="163" spans="1:20" x14ac:dyDescent="0.25">
      <c r="A163" s="5">
        <v>44430</v>
      </c>
      <c r="B163">
        <v>17.061599999999999</v>
      </c>
      <c r="C163">
        <v>17.432400000000001</v>
      </c>
      <c r="D163">
        <v>15.7</v>
      </c>
      <c r="E163">
        <v>16.214400000000001</v>
      </c>
      <c r="F163">
        <v>4386367.07</v>
      </c>
      <c r="G163">
        <v>16.214400000000001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-0.40614176864465323</v>
      </c>
      <c r="Q163">
        <f t="shared" ref="Q163" si="791">F163*P163</f>
        <v>-1781486.8797344656</v>
      </c>
      <c r="R163">
        <f t="shared" ref="R163" si="792">R164+Q163</f>
        <v>-60190633.718595304</v>
      </c>
      <c r="S163">
        <f t="shared" ref="S163" si="793">R163/100000</f>
        <v>-601.90633718595302</v>
      </c>
      <c r="T163">
        <f t="shared" ref="T163" si="794">S163/1000</f>
        <v>-0.60190633718595299</v>
      </c>
    </row>
    <row r="164" spans="1:20" x14ac:dyDescent="0.25">
      <c r="A164" s="5">
        <v>44429</v>
      </c>
      <c r="B164">
        <v>13.053599999999999</v>
      </c>
      <c r="C164">
        <v>18.168600000000001</v>
      </c>
      <c r="D164">
        <v>12.946</v>
      </c>
      <c r="E164">
        <v>17.060700000000001</v>
      </c>
      <c r="F164">
        <v>29924237.920000002</v>
      </c>
      <c r="G164">
        <v>17.060700000000001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0.57572856431662378</v>
      </c>
      <c r="Q164">
        <f t="shared" ref="Q164" si="796">F164*P164</f>
        <v>17228238.535950672</v>
      </c>
      <c r="R164">
        <f t="shared" ref="R164" si="797">R165+Q164</f>
        <v>-58409146.83886084</v>
      </c>
      <c r="S164">
        <f t="shared" ref="S164" si="798">R164/100000</f>
        <v>-584.0914683886084</v>
      </c>
      <c r="T164">
        <f t="shared" ref="T164" si="799">S164/1000</f>
        <v>-0.58409146838860837</v>
      </c>
    </row>
    <row r="165" spans="1:20" x14ac:dyDescent="0.25">
      <c r="A165" s="5">
        <v>44428</v>
      </c>
      <c r="B165">
        <v>12.410600000000001</v>
      </c>
      <c r="C165">
        <v>13.29</v>
      </c>
      <c r="D165">
        <v>12.3957</v>
      </c>
      <c r="E165">
        <v>13.0512</v>
      </c>
      <c r="F165">
        <v>6512684</v>
      </c>
      <c r="G165">
        <v>13.0512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0.46595102314659598</v>
      </c>
      <c r="Q165">
        <f t="shared" ref="Q165" si="801">F165*P165</f>
        <v>3034591.7732304651</v>
      </c>
      <c r="R165">
        <f t="shared" ref="R165" si="802">R166+Q165</f>
        <v>-75637385.374811515</v>
      </c>
      <c r="S165">
        <f t="shared" ref="S165" si="803">R165/100000</f>
        <v>-756.37385374811515</v>
      </c>
      <c r="T165">
        <f t="shared" ref="T165" si="804">S165/1000</f>
        <v>-0.75637385374811517</v>
      </c>
    </row>
    <row r="166" spans="1:20" x14ac:dyDescent="0.25">
      <c r="A166" s="5">
        <v>44427</v>
      </c>
      <c r="B166">
        <v>11.8329</v>
      </c>
      <c r="C166">
        <v>12.8</v>
      </c>
      <c r="D166">
        <v>11.53</v>
      </c>
      <c r="E166">
        <v>12.4062</v>
      </c>
      <c r="F166">
        <v>6858490.4699999997</v>
      </c>
      <c r="G166">
        <v>12.4062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0.37984251968503907</v>
      </c>
      <c r="Q166">
        <f t="shared" ref="Q166" si="806">F166*P166</f>
        <v>2605146.3013606276</v>
      </c>
      <c r="R166">
        <f t="shared" ref="R166" si="807">R167+Q166</f>
        <v>-78671977.148041978</v>
      </c>
      <c r="S166">
        <f t="shared" ref="S166" si="808">R166/100000</f>
        <v>-786.71977148041981</v>
      </c>
      <c r="T166">
        <f t="shared" ref="T166" si="809">S166/1000</f>
        <v>-0.78671977148041983</v>
      </c>
    </row>
    <row r="167" spans="1:20" x14ac:dyDescent="0.25">
      <c r="A167" s="5">
        <v>44426</v>
      </c>
      <c r="B167">
        <v>12.542</v>
      </c>
      <c r="C167">
        <v>12.696999999999999</v>
      </c>
      <c r="D167">
        <v>11.277699999999999</v>
      </c>
      <c r="E167">
        <v>11.827500000000001</v>
      </c>
      <c r="F167">
        <v>7215095.3799999999</v>
      </c>
      <c r="G167">
        <v>11.827500000000001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-0.22525188473190833</v>
      </c>
      <c r="Q167">
        <f t="shared" ref="Q167" si="811">F167*P167</f>
        <v>-1625213.8328654843</v>
      </c>
      <c r="R167">
        <f t="shared" ref="R167" si="812">R168+Q167</f>
        <v>-81277123.449402601</v>
      </c>
      <c r="S167">
        <f t="shared" ref="S167" si="813">R167/100000</f>
        <v>-812.77123449402598</v>
      </c>
      <c r="T167">
        <f t="shared" ref="T167" si="814">S167/1000</f>
        <v>-0.812771234494026</v>
      </c>
    </row>
    <row r="168" spans="1:20" x14ac:dyDescent="0.25">
      <c r="A168" s="5">
        <v>44425</v>
      </c>
      <c r="B168">
        <v>12.8759</v>
      </c>
      <c r="C168">
        <v>13.95</v>
      </c>
      <c r="D168">
        <v>12.4107</v>
      </c>
      <c r="E168">
        <v>12.5351</v>
      </c>
      <c r="F168">
        <v>10638643.609999999</v>
      </c>
      <c r="G168">
        <v>12.5351</v>
      </c>
      <c r="L168" t="s">
        <v>7</v>
      </c>
      <c r="M168" t="s">
        <v>8</v>
      </c>
      <c r="N168" t="s">
        <v>7</v>
      </c>
      <c r="P168">
        <f t="shared" ref="P168" si="815">IF(C168=D168,0,((E168-D168)-(C168-E168))/(C168-D168))</f>
        <v>-0.83836808939128216</v>
      </c>
      <c r="Q168">
        <f t="shared" ref="Q168" si="816">F168*P168</f>
        <v>-8919099.3170304727</v>
      </c>
      <c r="R168">
        <f t="shared" ref="R168" si="817">R169+Q168</f>
        <v>-79651909.616537109</v>
      </c>
      <c r="S168">
        <f t="shared" ref="S168" si="818">R168/100000</f>
        <v>-796.51909616537114</v>
      </c>
      <c r="T168">
        <f t="shared" ref="T168" si="819">S168/1000</f>
        <v>-0.79651909616537109</v>
      </c>
    </row>
    <row r="169" spans="1:20" x14ac:dyDescent="0.25">
      <c r="A169" s="5">
        <v>44424</v>
      </c>
      <c r="B169">
        <v>13.35</v>
      </c>
      <c r="C169">
        <v>14.4</v>
      </c>
      <c r="D169">
        <v>12.8</v>
      </c>
      <c r="E169">
        <v>12.8772</v>
      </c>
      <c r="F169">
        <v>8731790.5500000007</v>
      </c>
      <c r="G169">
        <v>12.8772</v>
      </c>
      <c r="L169" t="s">
        <v>8</v>
      </c>
      <c r="M169" t="s">
        <v>8</v>
      </c>
      <c r="N169" t="s">
        <v>7</v>
      </c>
      <c r="P169">
        <f t="shared" ref="P169" si="820">IF(C169=D169,0,((E169-D169)-(C169-E169))/(C169-D169))</f>
        <v>-0.90350000000000064</v>
      </c>
      <c r="Q169">
        <f t="shared" ref="Q169" si="821">F169*P169</f>
        <v>-7889172.7619250063</v>
      </c>
      <c r="R169">
        <f t="shared" ref="R169" si="822">R170+Q169</f>
        <v>-70732810.299506634</v>
      </c>
      <c r="S169">
        <f t="shared" ref="S169" si="823">R169/100000</f>
        <v>-707.32810299506639</v>
      </c>
      <c r="T169">
        <f t="shared" ref="T169" si="824">S169/1000</f>
        <v>-0.70732810299506643</v>
      </c>
    </row>
    <row r="170" spans="1:20" x14ac:dyDescent="0.25">
      <c r="A170" s="5">
        <v>44423</v>
      </c>
      <c r="B170">
        <v>12.9779</v>
      </c>
      <c r="C170">
        <v>13.856400000000001</v>
      </c>
      <c r="D170">
        <v>12.024100000000001</v>
      </c>
      <c r="E170">
        <v>13.35</v>
      </c>
      <c r="F170">
        <v>8055863.1399999997</v>
      </c>
      <c r="G170">
        <v>13.35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0.44725208754024881</v>
      </c>
      <c r="Q170">
        <f t="shared" ref="Q170" si="826">F170*P170</f>
        <v>3603001.6063035433</v>
      </c>
      <c r="R170">
        <f t="shared" ref="R170" si="827">R171+Q170</f>
        <v>-62843637.537581623</v>
      </c>
      <c r="S170">
        <f t="shared" ref="S170" si="828">R170/100000</f>
        <v>-628.43637537581617</v>
      </c>
      <c r="T170">
        <f t="shared" ref="T170" si="829">S170/1000</f>
        <v>-0.6284363753758162</v>
      </c>
    </row>
    <row r="171" spans="1:20" x14ac:dyDescent="0.25">
      <c r="A171" s="5">
        <v>44422</v>
      </c>
      <c r="B171">
        <v>13.313499999999999</v>
      </c>
      <c r="C171">
        <v>13.8788</v>
      </c>
      <c r="D171">
        <v>12.7203</v>
      </c>
      <c r="E171">
        <v>12.984500000000001</v>
      </c>
      <c r="F171">
        <v>5413928.3300000001</v>
      </c>
      <c r="G171">
        <v>12.984500000000001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-0.54389296504100015</v>
      </c>
      <c r="Q171">
        <f t="shared" ref="Q171" si="831">F171*P171</f>
        <v>-2944597.5319231702</v>
      </c>
      <c r="R171">
        <f t="shared" ref="R171" si="832">R172+Q171</f>
        <v>-66446639.143885165</v>
      </c>
      <c r="S171">
        <f t="shared" ref="S171" si="833">R171/100000</f>
        <v>-664.4663914388517</v>
      </c>
      <c r="T171">
        <f t="shared" ref="T171" si="834">S171/1000</f>
        <v>-0.66446639143885167</v>
      </c>
    </row>
    <row r="172" spans="1:20" x14ac:dyDescent="0.25">
      <c r="A172" s="5">
        <v>44421</v>
      </c>
      <c r="B172">
        <v>12.6183</v>
      </c>
      <c r="C172">
        <v>13.705399999999999</v>
      </c>
      <c r="D172">
        <v>12.388199999999999</v>
      </c>
      <c r="E172">
        <v>13.313499999999999</v>
      </c>
      <c r="F172">
        <v>6419525.7999999998</v>
      </c>
      <c r="G172">
        <v>13.313499999999999</v>
      </c>
      <c r="L172" t="s">
        <v>8</v>
      </c>
      <c r="M172" t="s">
        <v>7</v>
      </c>
      <c r="N172" t="s">
        <v>7</v>
      </c>
      <c r="P172">
        <f t="shared" ref="P172" si="835">IF(C172=D172,0,((E172-D172)-(C172-E172))/(C172-D172))</f>
        <v>0.40494989371393897</v>
      </c>
      <c r="Q172">
        <f t="shared" ref="Q172" si="836">F172*P172</f>
        <v>2599586.290403889</v>
      </c>
      <c r="R172">
        <f t="shared" ref="R172" si="837">R173+Q172</f>
        <v>-63502041.611961998</v>
      </c>
      <c r="S172">
        <f t="shared" ref="S172" si="838">R172/100000</f>
        <v>-635.02041611961999</v>
      </c>
      <c r="T172">
        <f t="shared" ref="T172" si="839">S172/1000</f>
        <v>-0.63502041611962001</v>
      </c>
    </row>
    <row r="173" spans="1:20" x14ac:dyDescent="0.25">
      <c r="A173" s="5">
        <v>44420</v>
      </c>
      <c r="B173">
        <v>13.239599999999999</v>
      </c>
      <c r="C173">
        <v>13.9444</v>
      </c>
      <c r="D173">
        <v>12.2775</v>
      </c>
      <c r="E173">
        <v>12.617599999999999</v>
      </c>
      <c r="F173">
        <v>6683199.6799999997</v>
      </c>
      <c r="G173">
        <v>12.617599999999999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-0.59193712880196814</v>
      </c>
      <c r="Q173">
        <f t="shared" ref="Q173" si="841">F173*P173</f>
        <v>-3956034.029789432</v>
      </c>
      <c r="R173">
        <f t="shared" ref="R173" si="842">R174+Q173</f>
        <v>-66101627.902365886</v>
      </c>
      <c r="S173">
        <f t="shared" ref="S173" si="843">R173/100000</f>
        <v>-661.01627902365885</v>
      </c>
      <c r="T173">
        <f t="shared" ref="T173" si="844">S173/1000</f>
        <v>-0.66101627902365889</v>
      </c>
    </row>
    <row r="174" spans="1:20" x14ac:dyDescent="0.25">
      <c r="A174" s="5">
        <v>44419</v>
      </c>
      <c r="B174">
        <v>14.2455</v>
      </c>
      <c r="C174">
        <v>15.118399999999999</v>
      </c>
      <c r="D174">
        <v>13</v>
      </c>
      <c r="E174">
        <v>13.235099999999999</v>
      </c>
      <c r="F174">
        <v>12014194.529999999</v>
      </c>
      <c r="G174">
        <v>13.235099999999999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-0.77804003021148105</v>
      </c>
      <c r="Q174">
        <f t="shared" ref="Q174" si="846">F174*P174</f>
        <v>-9347524.2750878092</v>
      </c>
      <c r="R174">
        <f t="shared" ref="R174" si="847">R175+Q174</f>
        <v>-62145593.872576453</v>
      </c>
      <c r="S174">
        <f t="shared" ref="S174" si="848">R174/100000</f>
        <v>-621.45593872576455</v>
      </c>
      <c r="T174">
        <f t="shared" ref="T174" si="849">S174/1000</f>
        <v>-0.62145593872576455</v>
      </c>
    </row>
    <row r="175" spans="1:20" x14ac:dyDescent="0.25">
      <c r="A175" s="5">
        <v>44418</v>
      </c>
      <c r="B175">
        <v>11.823</v>
      </c>
      <c r="C175">
        <v>14.4612</v>
      </c>
      <c r="D175">
        <v>11.6271</v>
      </c>
      <c r="E175">
        <v>14.2492</v>
      </c>
      <c r="F175">
        <v>19124526.640000001</v>
      </c>
      <c r="G175">
        <v>14.2492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0.8503934229561414</v>
      </c>
      <c r="Q175">
        <f t="shared" ref="Q175" si="851">F175*P175</f>
        <v>16263371.671805514</v>
      </c>
      <c r="R175">
        <f t="shared" ref="R175" si="852">R176+Q175</f>
        <v>-52798069.597488642</v>
      </c>
      <c r="S175">
        <f t="shared" ref="S175" si="853">R175/100000</f>
        <v>-527.98069597488643</v>
      </c>
      <c r="T175">
        <f t="shared" ref="T175" si="854">S175/1000</f>
        <v>-0.52798069597488639</v>
      </c>
    </row>
    <row r="176" spans="1:20" x14ac:dyDescent="0.25">
      <c r="A176" s="5">
        <v>44417</v>
      </c>
      <c r="B176">
        <v>11.630800000000001</v>
      </c>
      <c r="C176">
        <v>12.2492</v>
      </c>
      <c r="D176">
        <v>11.08</v>
      </c>
      <c r="E176">
        <v>11.831200000000001</v>
      </c>
      <c r="F176">
        <v>7245714.3899999997</v>
      </c>
      <c r="G176">
        <v>11.831200000000001</v>
      </c>
      <c r="L176" t="s">
        <v>8</v>
      </c>
      <c r="M176" t="s">
        <v>7</v>
      </c>
      <c r="N176" t="s">
        <v>7</v>
      </c>
      <c r="P176">
        <f t="shared" ref="P176" si="855">IF(C176=D176,0,((E176-D176)-(C176-E176))/(C176-D176))</f>
        <v>0.28498118371536219</v>
      </c>
      <c r="Q176">
        <f t="shared" ref="Q176" si="856">F176*P176</f>
        <v>2064892.2637256333</v>
      </c>
      <c r="R176">
        <f t="shared" ref="R176" si="857">R177+Q176</f>
        <v>-69061441.269294158</v>
      </c>
      <c r="S176">
        <f t="shared" ref="S176" si="858">R176/100000</f>
        <v>-690.61441269294153</v>
      </c>
      <c r="T176">
        <f t="shared" ref="T176" si="859">S176/1000</f>
        <v>-0.69061441269294155</v>
      </c>
    </row>
    <row r="177" spans="1:20" x14ac:dyDescent="0.25">
      <c r="A177" s="5">
        <v>44416</v>
      </c>
      <c r="B177">
        <v>12.293900000000001</v>
      </c>
      <c r="C177">
        <v>13.155900000000001</v>
      </c>
      <c r="D177">
        <v>11.0397</v>
      </c>
      <c r="E177">
        <v>11.632300000000001</v>
      </c>
      <c r="F177">
        <v>9322098.8100000005</v>
      </c>
      <c r="G177">
        <v>11.632300000000001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-0.43993951422360777</v>
      </c>
      <c r="Q177">
        <f t="shared" ref="Q177" si="861">F177*P177</f>
        <v>-4101159.6220158725</v>
      </c>
      <c r="R177">
        <f t="shared" ref="R177" si="862">R178+Q177</f>
        <v>-71126333.533019796</v>
      </c>
      <c r="S177">
        <f t="shared" ref="S177" si="863">R177/100000</f>
        <v>-711.26333533019795</v>
      </c>
      <c r="T177">
        <f t="shared" ref="T177" si="864">S177/1000</f>
        <v>-0.71126333533019792</v>
      </c>
    </row>
    <row r="178" spans="1:20" x14ac:dyDescent="0.25">
      <c r="A178" s="5">
        <v>44415</v>
      </c>
      <c r="B178">
        <v>12.6312</v>
      </c>
      <c r="C178">
        <v>13.35</v>
      </c>
      <c r="D178">
        <v>12.07</v>
      </c>
      <c r="E178">
        <v>12.2936</v>
      </c>
      <c r="F178">
        <v>8348577.4100000001</v>
      </c>
      <c r="G178">
        <v>12.2936</v>
      </c>
      <c r="L178" t="s">
        <v>7</v>
      </c>
      <c r="M178" t="s">
        <v>7</v>
      </c>
      <c r="N178" t="s">
        <v>7</v>
      </c>
      <c r="P178">
        <f t="shared" ref="P178" si="865">IF(C178=D178,0,((E178-D178)-(C178-E178))/(C178-D178))</f>
        <v>-0.65062500000000079</v>
      </c>
      <c r="Q178">
        <f t="shared" ref="Q178" si="866">F178*P178</f>
        <v>-5431793.1773812566</v>
      </c>
      <c r="R178">
        <f t="shared" ref="R178" si="867">R179+Q178</f>
        <v>-67025173.911003917</v>
      </c>
      <c r="S178">
        <f t="shared" ref="S178" si="868">R178/100000</f>
        <v>-670.25173911003913</v>
      </c>
      <c r="T178">
        <f t="shared" ref="T178" si="869">S178/1000</f>
        <v>-0.6702517391100391</v>
      </c>
    </row>
    <row r="179" spans="1:20" x14ac:dyDescent="0.25">
      <c r="A179" s="5">
        <v>44414</v>
      </c>
      <c r="B179">
        <v>12.519</v>
      </c>
      <c r="C179">
        <v>13.4</v>
      </c>
      <c r="D179">
        <v>12.27</v>
      </c>
      <c r="E179">
        <v>12.632300000000001</v>
      </c>
      <c r="F179">
        <v>8183685.1900000004</v>
      </c>
      <c r="G179">
        <v>12.632300000000001</v>
      </c>
      <c r="L179" t="s">
        <v>8</v>
      </c>
      <c r="M179" t="s">
        <v>7</v>
      </c>
      <c r="N179" t="s">
        <v>7</v>
      </c>
      <c r="P179">
        <f t="shared" ref="P179" si="870">IF(C179=D179,0,((E179-D179)-(C179-E179))/(C179-D179))</f>
        <v>-0.35876106194690099</v>
      </c>
      <c r="Q179">
        <f t="shared" ref="Q179" si="871">F179*P179</f>
        <v>-2935987.5894035264</v>
      </c>
      <c r="R179">
        <f t="shared" ref="R179" si="872">R180+Q179</f>
        <v>-61593380.733622663</v>
      </c>
      <c r="S179">
        <f t="shared" ref="S179" si="873">R179/100000</f>
        <v>-615.93380733622666</v>
      </c>
      <c r="T179">
        <f t="shared" ref="T179" si="874">S179/1000</f>
        <v>-0.61593380733622671</v>
      </c>
    </row>
    <row r="180" spans="1:20" x14ac:dyDescent="0.25">
      <c r="A180" s="5">
        <v>44413</v>
      </c>
      <c r="B180">
        <v>12.838200000000001</v>
      </c>
      <c r="C180">
        <v>13.08</v>
      </c>
      <c r="D180">
        <v>12.110200000000001</v>
      </c>
      <c r="E180">
        <v>12.519299999999999</v>
      </c>
      <c r="F180">
        <v>7700025.3700000001</v>
      </c>
      <c r="G180">
        <v>12.519299999999999</v>
      </c>
      <c r="L180" t="s">
        <v>7</v>
      </c>
      <c r="M180" t="s">
        <v>7</v>
      </c>
      <c r="N180" t="s">
        <v>7</v>
      </c>
      <c r="P180">
        <f t="shared" ref="P180" si="875">IF(C180=D180,0,((E180-D180)-(C180-E180))/(C180-D180))</f>
        <v>-0.15632089090534343</v>
      </c>
      <c r="Q180">
        <f t="shared" ref="Q180" si="876">F180*P180</f>
        <v>-1203674.8258321467</v>
      </c>
      <c r="R180">
        <f t="shared" ref="R180" si="877">R181+Q180</f>
        <v>-58657393.144219138</v>
      </c>
      <c r="S180">
        <f t="shared" ref="S180" si="878">R180/100000</f>
        <v>-586.57393144219134</v>
      </c>
      <c r="T180">
        <f t="shared" ref="T180" si="879">S180/1000</f>
        <v>-0.58657393144219139</v>
      </c>
    </row>
    <row r="181" spans="1:20" x14ac:dyDescent="0.25">
      <c r="A181" s="5">
        <v>44412</v>
      </c>
      <c r="B181">
        <v>12.204000000000001</v>
      </c>
      <c r="C181">
        <v>13.6388</v>
      </c>
      <c r="D181">
        <v>11.9055</v>
      </c>
      <c r="E181">
        <v>12.8383</v>
      </c>
      <c r="F181">
        <v>13108343.08</v>
      </c>
      <c r="G181">
        <v>12.8383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7.6328390930595263E-2</v>
      </c>
      <c r="Q181">
        <f t="shared" ref="Q181" si="881">F181*P181</f>
        <v>1000538.7350626031</v>
      </c>
      <c r="R181">
        <f t="shared" ref="R181" si="882">R182+Q181</f>
        <v>-57453718.318386994</v>
      </c>
      <c r="S181">
        <f t="shared" ref="S181" si="883">R181/100000</f>
        <v>-574.53718318386996</v>
      </c>
      <c r="T181">
        <f t="shared" ref="T181" si="884">S181/1000</f>
        <v>-0.57453718318386993</v>
      </c>
    </row>
    <row r="182" spans="1:20" x14ac:dyDescent="0.25">
      <c r="A182" s="5">
        <v>44411</v>
      </c>
      <c r="B182">
        <v>12.9152</v>
      </c>
      <c r="C182">
        <v>13.314</v>
      </c>
      <c r="D182">
        <v>11.8</v>
      </c>
      <c r="E182">
        <v>12.2096</v>
      </c>
      <c r="F182">
        <v>10293943.9</v>
      </c>
      <c r="G182">
        <v>12.2096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-0.45891677675033093</v>
      </c>
      <c r="Q182">
        <f t="shared" ref="Q182" si="886">F182*P182</f>
        <v>-4724063.5546367308</v>
      </c>
      <c r="R182">
        <f t="shared" ref="R182" si="887">R183+Q182</f>
        <v>-58454257.053449601</v>
      </c>
      <c r="S182">
        <f t="shared" ref="S182" si="888">R182/100000</f>
        <v>-584.54257053449601</v>
      </c>
      <c r="T182">
        <f t="shared" ref="T182" si="889">S182/1000</f>
        <v>-0.58454257053449599</v>
      </c>
    </row>
    <row r="183" spans="1:20" x14ac:dyDescent="0.25">
      <c r="A183" s="5">
        <v>44410</v>
      </c>
      <c r="B183">
        <v>11.9634</v>
      </c>
      <c r="C183">
        <v>14.338900000000001</v>
      </c>
      <c r="D183">
        <v>11.9025</v>
      </c>
      <c r="E183">
        <v>12.9129</v>
      </c>
      <c r="F183">
        <v>20618105.210000001</v>
      </c>
      <c r="G183">
        <v>12.9129</v>
      </c>
      <c r="L183" t="s">
        <v>8</v>
      </c>
      <c r="M183" t="s">
        <v>8</v>
      </c>
      <c r="N183" t="s">
        <v>7</v>
      </c>
      <c r="P183">
        <f t="shared" ref="P183" si="890">IF(C183=D183,0,((E183-D183)-(C183-E183))/(C183-D183))</f>
        <v>-0.1705795435889014</v>
      </c>
      <c r="Q183">
        <f t="shared" ref="Q183" si="891">F183*P183</f>
        <v>-3517026.9763897504</v>
      </c>
      <c r="R183">
        <f t="shared" ref="R183" si="892">R184+Q183</f>
        <v>-53730193.498812869</v>
      </c>
      <c r="S183">
        <f t="shared" ref="S183" si="893">R183/100000</f>
        <v>-537.30193498812866</v>
      </c>
      <c r="T183">
        <f t="shared" ref="T183" si="894">S183/1000</f>
        <v>-0.53730193498812862</v>
      </c>
    </row>
    <row r="184" spans="1:20" x14ac:dyDescent="0.25">
      <c r="A184" s="5">
        <v>44409</v>
      </c>
      <c r="B184">
        <v>13.6227</v>
      </c>
      <c r="C184">
        <v>13.669600000000001</v>
      </c>
      <c r="D184">
        <v>11.6153</v>
      </c>
      <c r="E184">
        <v>11.950900000000001</v>
      </c>
      <c r="F184">
        <v>13849858.109999999</v>
      </c>
      <c r="G184">
        <v>11.950900000000001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-0.67327070048191495</v>
      </c>
      <c r="Q184">
        <f t="shared" ref="Q184" si="896">F184*P184</f>
        <v>-9324703.6712948307</v>
      </c>
      <c r="R184">
        <f t="shared" ref="R184" si="897">R185+Q184</f>
        <v>-50213166.522423118</v>
      </c>
      <c r="S184">
        <f t="shared" ref="S184" si="898">R184/100000</f>
        <v>-502.1316652242312</v>
      </c>
      <c r="T184">
        <f t="shared" ref="T184" si="899">S184/1000</f>
        <v>-0.50213166522423125</v>
      </c>
    </row>
    <row r="185" spans="1:20" x14ac:dyDescent="0.25">
      <c r="A185" s="5">
        <v>44408</v>
      </c>
      <c r="B185">
        <v>14.9003</v>
      </c>
      <c r="C185">
        <v>14.9277</v>
      </c>
      <c r="D185">
        <v>13.4015</v>
      </c>
      <c r="E185">
        <v>13.6228</v>
      </c>
      <c r="F185">
        <v>12018391.43</v>
      </c>
      <c r="G185">
        <v>13.6228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-0.70999868955576007</v>
      </c>
      <c r="Q185">
        <f t="shared" ref="Q185" si="901">F185*P185</f>
        <v>-8533042.1658681761</v>
      </c>
      <c r="R185">
        <f t="shared" ref="R185" si="902">R186+Q185</f>
        <v>-40888462.851128288</v>
      </c>
      <c r="S185">
        <f t="shared" ref="S185" si="903">R185/100000</f>
        <v>-408.88462851128287</v>
      </c>
      <c r="T185">
        <f t="shared" ref="T185" si="904">S185/1000</f>
        <v>-0.40888462851128288</v>
      </c>
    </row>
    <row r="186" spans="1:20" x14ac:dyDescent="0.25">
      <c r="A186" s="5">
        <v>44407</v>
      </c>
      <c r="B186">
        <v>14.852600000000001</v>
      </c>
      <c r="C186">
        <v>15.2</v>
      </c>
      <c r="D186">
        <v>13.176399999999999</v>
      </c>
      <c r="E186">
        <v>14.9093</v>
      </c>
      <c r="F186">
        <v>19499310.050000001</v>
      </c>
      <c r="G186">
        <v>14.9093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0.71269025499110572</v>
      </c>
      <c r="Q186">
        <f t="shared" ref="Q186" si="906">F186*P186</f>
        <v>13896968.251685131</v>
      </c>
      <c r="R186">
        <f t="shared" ref="R186" si="907">R187+Q186</f>
        <v>-32355420.685260113</v>
      </c>
      <c r="S186">
        <f t="shared" ref="S186" si="908">R186/100000</f>
        <v>-323.55420685260111</v>
      </c>
      <c r="T186">
        <f t="shared" ref="T186" si="909">S186/1000</f>
        <v>-0.32355420685260111</v>
      </c>
    </row>
    <row r="187" spans="1:20" x14ac:dyDescent="0.25">
      <c r="A187" s="5">
        <v>44406</v>
      </c>
      <c r="B187">
        <v>13.603400000000001</v>
      </c>
      <c r="C187">
        <v>16.5</v>
      </c>
      <c r="D187">
        <v>13.114599999999999</v>
      </c>
      <c r="E187">
        <v>14.851000000000001</v>
      </c>
      <c r="F187">
        <v>31263671.75</v>
      </c>
      <c r="G187">
        <v>14.851000000000001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2.5816742482425221E-2</v>
      </c>
      <c r="Q187">
        <f t="shared" ref="Q187" si="911">F187*P187</f>
        <v>807126.16262482223</v>
      </c>
      <c r="R187">
        <f t="shared" ref="R187" si="912">R188+Q187</f>
        <v>-46252388.936945245</v>
      </c>
      <c r="S187">
        <f t="shared" ref="S187" si="913">R187/100000</f>
        <v>-462.52388936945243</v>
      </c>
      <c r="T187">
        <f t="shared" ref="T187" si="914">S187/1000</f>
        <v>-0.46252388936945243</v>
      </c>
    </row>
    <row r="188" spans="1:20" x14ac:dyDescent="0.25">
      <c r="A188" s="5">
        <v>44405</v>
      </c>
      <c r="B188">
        <v>13.589399999999999</v>
      </c>
      <c r="C188">
        <v>15.2</v>
      </c>
      <c r="D188">
        <v>12.5351</v>
      </c>
      <c r="E188">
        <v>13.589399999999999</v>
      </c>
      <c r="F188">
        <v>30464671.399999999</v>
      </c>
      <c r="G188">
        <v>13.589399999999999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-0.20875079740327981</v>
      </c>
      <c r="Q188">
        <f t="shared" ref="Q188" si="916">F188*P188</f>
        <v>-6359524.4473788925</v>
      </c>
      <c r="R188">
        <f t="shared" ref="R188" si="917">R189+Q188</f>
        <v>-47059515.099570066</v>
      </c>
      <c r="S188">
        <f t="shared" ref="S188" si="918">R188/100000</f>
        <v>-470.59515099570064</v>
      </c>
      <c r="T188">
        <f t="shared" ref="T188" si="919">S188/1000</f>
        <v>-0.47059515099570065</v>
      </c>
    </row>
    <row r="189" spans="1:20" x14ac:dyDescent="0.25">
      <c r="A189" s="5">
        <v>44404</v>
      </c>
      <c r="B189">
        <v>9.3423999999999996</v>
      </c>
      <c r="C189">
        <v>14.58</v>
      </c>
      <c r="D189">
        <v>8.6000999999999994</v>
      </c>
      <c r="E189">
        <v>13.595000000000001</v>
      </c>
      <c r="F189">
        <v>51351634.490000002</v>
      </c>
      <c r="G189">
        <v>13.595000000000001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0.67056305289386131</v>
      </c>
      <c r="Q189">
        <f t="shared" ref="Q189" si="921">F189*P189</f>
        <v>34434508.794704102</v>
      </c>
      <c r="R189">
        <f t="shared" ref="R189" si="922">R190+Q189</f>
        <v>-40699990.65219117</v>
      </c>
      <c r="S189">
        <f t="shared" ref="S189" si="923">R189/100000</f>
        <v>-406.99990652191167</v>
      </c>
      <c r="T189">
        <f t="shared" ref="T189" si="924">S189/1000</f>
        <v>-0.40699990652191165</v>
      </c>
    </row>
    <row r="190" spans="1:20" x14ac:dyDescent="0.25">
      <c r="A190" s="5">
        <v>44403</v>
      </c>
      <c r="B190">
        <v>11.5839</v>
      </c>
      <c r="C190">
        <v>11.6061</v>
      </c>
      <c r="D190">
        <v>8.8051999999999992</v>
      </c>
      <c r="E190">
        <v>9.3385999999999996</v>
      </c>
      <c r="F190">
        <v>24686017.57</v>
      </c>
      <c r="G190">
        <v>9.3385999999999996</v>
      </c>
      <c r="L190" t="s">
        <v>7</v>
      </c>
      <c r="M190" t="s">
        <v>7</v>
      </c>
      <c r="N190" t="s">
        <v>7</v>
      </c>
      <c r="P190">
        <f t="shared" ref="P190" si="925">IF(C190=D190,0,((E190-D190)-(C190-E190))/(C190-D190))</f>
        <v>-0.61912242493484215</v>
      </c>
      <c r="Q190">
        <f t="shared" ref="Q190" si="926">F190*P190</f>
        <v>-15283667.05992252</v>
      </c>
      <c r="R190">
        <f t="shared" ref="R190" si="927">R191+Q190</f>
        <v>-75134499.446895272</v>
      </c>
      <c r="S190">
        <f t="shared" ref="S190" si="928">R190/100000</f>
        <v>-751.34499446895268</v>
      </c>
      <c r="T190">
        <f t="shared" ref="T190" si="929">S190/1000</f>
        <v>-0.75134499446895264</v>
      </c>
    </row>
    <row r="191" spans="1:20" x14ac:dyDescent="0.25">
      <c r="A191" s="5">
        <v>44402</v>
      </c>
      <c r="B191">
        <v>10.4777</v>
      </c>
      <c r="C191">
        <v>12.7799</v>
      </c>
      <c r="D191">
        <v>9.0843000000000007</v>
      </c>
      <c r="E191">
        <v>11.584</v>
      </c>
      <c r="F191">
        <v>43068342.270000003</v>
      </c>
      <c r="G191">
        <v>11.584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0.35279792185301423</v>
      </c>
      <c r="Q191">
        <f t="shared" ref="Q191" si="931">F191*P191</f>
        <v>15194421.65051033</v>
      </c>
      <c r="R191">
        <f t="shared" ref="R191" si="932">R192+Q191</f>
        <v>-59850832.386972755</v>
      </c>
      <c r="S191">
        <f t="shared" ref="S191" si="933">R191/100000</f>
        <v>-598.50832386972752</v>
      </c>
      <c r="T191">
        <f t="shared" ref="T191:T197" si="934">S191/1000</f>
        <v>-0.59850832386972752</v>
      </c>
    </row>
    <row r="192" spans="1:20" x14ac:dyDescent="0.25">
      <c r="A192" s="5">
        <v>44401</v>
      </c>
      <c r="B192">
        <v>7.6620999999999997</v>
      </c>
      <c r="C192">
        <v>11.3484</v>
      </c>
      <c r="D192">
        <v>7.2027999999999999</v>
      </c>
      <c r="E192">
        <v>10.4777</v>
      </c>
      <c r="F192">
        <v>35770009.299999997</v>
      </c>
      <c r="G192">
        <v>10.4777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0.57994017753763061</v>
      </c>
      <c r="Q192">
        <f t="shared" ref="Q192" si="936">F192*P192</f>
        <v>20744465.543964695</v>
      </c>
      <c r="R192">
        <f t="shared" ref="R192" si="937">R193+Q192</f>
        <v>-75045254.037483081</v>
      </c>
      <c r="S192">
        <f t="shared" ref="S192" si="938">R192/100000</f>
        <v>-750.45254037483085</v>
      </c>
      <c r="T192">
        <f t="shared" si="934"/>
        <v>-0.75045254037483089</v>
      </c>
    </row>
    <row r="193" spans="1:20" x14ac:dyDescent="0.25">
      <c r="A193" s="5">
        <v>44400</v>
      </c>
      <c r="B193">
        <v>5.9122000000000003</v>
      </c>
      <c r="C193">
        <v>8.0649999999999995</v>
      </c>
      <c r="D193">
        <v>5.7385000000000002</v>
      </c>
      <c r="E193">
        <v>7.6510999999999996</v>
      </c>
      <c r="F193">
        <v>21012848.77</v>
      </c>
      <c r="G193">
        <v>7.6510999999999996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0.6441865463142058</v>
      </c>
      <c r="Q193">
        <f t="shared" ref="Q193" si="940">F193*P193</f>
        <v>13536194.477369007</v>
      </c>
      <c r="R193">
        <f t="shared" ref="R193" si="941">R194+Q193</f>
        <v>-95789719.58144778</v>
      </c>
      <c r="S193">
        <f t="shared" ref="S193" si="942">R193/100000</f>
        <v>-957.89719581447775</v>
      </c>
      <c r="T193">
        <f t="shared" si="934"/>
        <v>-0.95789719581447774</v>
      </c>
    </row>
    <row r="194" spans="1:20" x14ac:dyDescent="0.25">
      <c r="A194" s="5">
        <v>44399</v>
      </c>
      <c r="B194">
        <v>5.2332000000000001</v>
      </c>
      <c r="C194">
        <v>6.23</v>
      </c>
      <c r="D194">
        <v>5.1227</v>
      </c>
      <c r="E194">
        <v>5.9162999999999997</v>
      </c>
      <c r="F194">
        <v>15119964.07</v>
      </c>
      <c r="G194">
        <v>5.9162999999999997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0.4333965501670719</v>
      </c>
      <c r="Q194">
        <f t="shared" ref="Q194" si="944">F194*P194</f>
        <v>6552940.2665880797</v>
      </c>
      <c r="R194">
        <f t="shared" ref="R194" si="945">R195+Q194</f>
        <v>-109325914.05881679</v>
      </c>
      <c r="S194">
        <f t="shared" ref="S194" si="946">R194/100000</f>
        <v>-1093.2591405881678</v>
      </c>
      <c r="T194">
        <f t="shared" si="934"/>
        <v>-1.0932591405881678</v>
      </c>
    </row>
    <row r="195" spans="1:20" x14ac:dyDescent="0.25">
      <c r="A195" s="5">
        <v>44398</v>
      </c>
      <c r="B195">
        <v>4.4253999999999998</v>
      </c>
      <c r="C195">
        <v>5.3803000000000001</v>
      </c>
      <c r="D195">
        <v>4.2481999999999998</v>
      </c>
      <c r="E195">
        <v>5.23</v>
      </c>
      <c r="F195">
        <v>11177612.25</v>
      </c>
      <c r="G195">
        <v>5.23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0.73447575302535184</v>
      </c>
      <c r="Q195">
        <f t="shared" ref="Q195" si="948">F195*P195</f>
        <v>8209685.1743441476</v>
      </c>
      <c r="R195">
        <f t="shared" ref="R195" si="949">R196+Q195</f>
        <v>-115878854.32540487</v>
      </c>
      <c r="S195">
        <f t="shared" ref="S195" si="950">R195/100000</f>
        <v>-1158.7885432540486</v>
      </c>
      <c r="T195">
        <f t="shared" si="934"/>
        <v>-1.1587885432540486</v>
      </c>
    </row>
    <row r="196" spans="1:20" x14ac:dyDescent="0.25">
      <c r="A196" s="5">
        <v>44397</v>
      </c>
      <c r="B196">
        <v>4.806</v>
      </c>
      <c r="C196">
        <v>4.8239000000000001</v>
      </c>
      <c r="D196">
        <v>4.0262000000000002</v>
      </c>
      <c r="E196">
        <v>4.4231999999999996</v>
      </c>
      <c r="F196">
        <v>8026859.04</v>
      </c>
      <c r="G196">
        <v>4.4231999999999996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-4.6383352137409394E-3</v>
      </c>
      <c r="Q196">
        <f t="shared" ref="Q196" si="952">F196*P196</f>
        <v>-37231.262940966793</v>
      </c>
      <c r="R196">
        <f t="shared" ref="R196" si="953">R197+Q196</f>
        <v>-124088539.49974902</v>
      </c>
      <c r="S196">
        <f t="shared" ref="S196" si="954">R196/100000</f>
        <v>-1240.8853949974903</v>
      </c>
      <c r="T196">
        <f t="shared" si="934"/>
        <v>-1.2408853949974903</v>
      </c>
    </row>
    <row r="197" spans="1:20" x14ac:dyDescent="0.25">
      <c r="A197" s="5">
        <v>44396</v>
      </c>
      <c r="B197">
        <v>5.6106999999999996</v>
      </c>
      <c r="C197">
        <v>5.6294000000000004</v>
      </c>
      <c r="D197">
        <v>4.72</v>
      </c>
      <c r="E197">
        <v>4.8059000000000003</v>
      </c>
      <c r="F197">
        <v>5462012.3300000001</v>
      </c>
      <c r="G197">
        <v>-14.34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-0.81108423136133612</v>
      </c>
      <c r="Q197">
        <f t="shared" ref="Q197" si="956">F197*P197</f>
        <v>-4430152.0723641906</v>
      </c>
      <c r="R197">
        <f t="shared" ref="R197" si="957">R198+Q197</f>
        <v>-124051308.23680805</v>
      </c>
      <c r="S197">
        <f t="shared" ref="S197" si="958">R197/100000</f>
        <v>-1240.5130823680804</v>
      </c>
      <c r="T197">
        <f t="shared" si="934"/>
        <v>-1.2405130823680803</v>
      </c>
    </row>
    <row r="198" spans="1:20" x14ac:dyDescent="0.25">
      <c r="A198" s="5">
        <v>44395</v>
      </c>
      <c r="B198">
        <v>5.6239999999999997</v>
      </c>
      <c r="C198">
        <v>6.25</v>
      </c>
      <c r="D198">
        <v>5.3323</v>
      </c>
      <c r="E198">
        <v>5.6083999999999996</v>
      </c>
      <c r="F198">
        <v>6728827.9900000002</v>
      </c>
      <c r="G198">
        <v>-0.28000000000000003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-0.39827830445679507</v>
      </c>
      <c r="Q198">
        <f t="shared" ref="Q198:Q261" si="960">F198*P198</f>
        <v>-2679946.2028386244</v>
      </c>
      <c r="R198">
        <f t="shared" ref="R198:R261" si="961">R199+Q198</f>
        <v>-119621156.16444385</v>
      </c>
      <c r="S198">
        <f t="shared" ref="S198:S261" si="962">R198/100000</f>
        <v>-1196.2115616444385</v>
      </c>
      <c r="T198">
        <f t="shared" ref="T198:T261" si="963">S198/1000</f>
        <v>-1.1962115616444384</v>
      </c>
    </row>
    <row r="199" spans="1:20" x14ac:dyDescent="0.25">
      <c r="A199" s="5">
        <v>44394</v>
      </c>
      <c r="B199">
        <v>5.7529000000000003</v>
      </c>
      <c r="C199">
        <v>5.9082999999999997</v>
      </c>
      <c r="D199">
        <v>5.2967000000000004</v>
      </c>
      <c r="E199">
        <v>5.6313000000000004</v>
      </c>
      <c r="F199">
        <v>7206156.9699999997</v>
      </c>
      <c r="G199">
        <v>-2.11</v>
      </c>
      <c r="L199" t="s">
        <v>7</v>
      </c>
      <c r="M199" t="s">
        <v>7</v>
      </c>
      <c r="N199" t="s">
        <v>7</v>
      </c>
      <c r="P199">
        <f t="shared" si="959"/>
        <v>9.4179202092872519E-2</v>
      </c>
      <c r="Q199">
        <f t="shared" si="960"/>
        <v>678670.11359059182</v>
      </c>
      <c r="R199">
        <f t="shared" si="961"/>
        <v>-116941209.96160522</v>
      </c>
      <c r="S199">
        <f t="shared" si="962"/>
        <v>-1169.4120996160523</v>
      </c>
      <c r="T199">
        <f t="shared" si="963"/>
        <v>-1.1694120996160522</v>
      </c>
    </row>
    <row r="200" spans="1:20" x14ac:dyDescent="0.25">
      <c r="A200" s="5">
        <v>44393</v>
      </c>
      <c r="B200">
        <v>6.9481999999999999</v>
      </c>
      <c r="C200">
        <v>7.3</v>
      </c>
      <c r="D200">
        <v>5.72</v>
      </c>
      <c r="E200">
        <v>5.7515999999999998</v>
      </c>
      <c r="F200">
        <v>12017680.41</v>
      </c>
      <c r="G200">
        <v>-17.22</v>
      </c>
      <c r="L200" t="s">
        <v>7</v>
      </c>
      <c r="M200" t="s">
        <v>7</v>
      </c>
      <c r="N200" t="s">
        <v>7</v>
      </c>
      <c r="P200">
        <f t="shared" si="959"/>
        <v>-0.96</v>
      </c>
      <c r="Q200">
        <f t="shared" si="960"/>
        <v>-11536973.193599999</v>
      </c>
      <c r="R200">
        <f t="shared" si="961"/>
        <v>-117619880.07519582</v>
      </c>
      <c r="S200">
        <f t="shared" si="962"/>
        <v>-1176.1988007519583</v>
      </c>
      <c r="T200">
        <f t="shared" si="963"/>
        <v>-1.1761988007519584</v>
      </c>
    </row>
    <row r="201" spans="1:20" x14ac:dyDescent="0.25">
      <c r="A201" s="5">
        <v>44392</v>
      </c>
      <c r="B201">
        <v>7.2690999999999999</v>
      </c>
      <c r="C201">
        <v>8.5777999999999999</v>
      </c>
      <c r="D201">
        <v>6.8373999999999997</v>
      </c>
      <c r="E201">
        <v>6.9481999999999999</v>
      </c>
      <c r="F201">
        <v>26175519.329999998</v>
      </c>
      <c r="G201">
        <v>-4.41</v>
      </c>
      <c r="L201" t="s">
        <v>8</v>
      </c>
      <c r="M201" t="s">
        <v>8</v>
      </c>
      <c r="N201" t="s">
        <v>8</v>
      </c>
      <c r="P201">
        <f t="shared" si="959"/>
        <v>-0.87267294874741408</v>
      </c>
      <c r="Q201">
        <f t="shared" si="960"/>
        <v>-22842667.638706036</v>
      </c>
      <c r="R201">
        <f t="shared" si="961"/>
        <v>-106082906.88159582</v>
      </c>
      <c r="S201">
        <f t="shared" si="962"/>
        <v>-1060.8290688159582</v>
      </c>
      <c r="T201">
        <f t="shared" si="963"/>
        <v>-1.0608290688159583</v>
      </c>
    </row>
    <row r="202" spans="1:20" x14ac:dyDescent="0.25">
      <c r="A202" s="5">
        <v>44391</v>
      </c>
      <c r="B202">
        <v>6.8876999999999997</v>
      </c>
      <c r="C202">
        <v>7.5</v>
      </c>
      <c r="D202">
        <v>5.9062000000000001</v>
      </c>
      <c r="E202">
        <v>7.2728999999999999</v>
      </c>
      <c r="F202">
        <v>14580932.76</v>
      </c>
      <c r="G202">
        <v>5.59</v>
      </c>
      <c r="L202" t="s">
        <v>7</v>
      </c>
      <c r="M202" t="s">
        <v>7</v>
      </c>
      <c r="N202" t="s">
        <v>8</v>
      </c>
      <c r="P202">
        <f t="shared" si="959"/>
        <v>0.71502070523277694</v>
      </c>
      <c r="Q202">
        <f t="shared" si="960"/>
        <v>10425668.8250069</v>
      </c>
      <c r="R202">
        <f t="shared" si="961"/>
        <v>-83240239.242889792</v>
      </c>
      <c r="S202">
        <f t="shared" si="962"/>
        <v>-832.40239242889788</v>
      </c>
      <c r="T202">
        <f t="shared" si="963"/>
        <v>-0.83240239242889791</v>
      </c>
    </row>
    <row r="203" spans="1:20" x14ac:dyDescent="0.25">
      <c r="A203" s="5">
        <v>44390</v>
      </c>
      <c r="B203">
        <v>6.5639000000000003</v>
      </c>
      <c r="C203">
        <v>7.5712999999999999</v>
      </c>
      <c r="D203">
        <v>6.4280999999999997</v>
      </c>
      <c r="E203">
        <v>6.8872</v>
      </c>
      <c r="F203">
        <v>15754781.57</v>
      </c>
      <c r="G203">
        <v>4.93</v>
      </c>
      <c r="L203" t="s">
        <v>8</v>
      </c>
      <c r="M203" t="s">
        <v>8</v>
      </c>
      <c r="N203" t="s">
        <v>8</v>
      </c>
      <c r="P203">
        <f t="shared" si="959"/>
        <v>-0.19681595521343562</v>
      </c>
      <c r="Q203">
        <f t="shared" si="960"/>
        <v>-3100792.3838785808</v>
      </c>
      <c r="R203">
        <f t="shared" si="961"/>
        <v>-93665908.067896694</v>
      </c>
      <c r="S203">
        <f t="shared" si="962"/>
        <v>-936.65908067896692</v>
      </c>
      <c r="T203">
        <f t="shared" si="963"/>
        <v>-0.93665908067896697</v>
      </c>
    </row>
    <row r="204" spans="1:20" x14ac:dyDescent="0.25">
      <c r="A204" s="5">
        <v>44389</v>
      </c>
      <c r="B204">
        <v>7.0510000000000002</v>
      </c>
      <c r="C204">
        <v>7.2969999999999997</v>
      </c>
      <c r="D204">
        <v>6.2534000000000001</v>
      </c>
      <c r="E204">
        <v>6.5545999999999998</v>
      </c>
      <c r="F204">
        <v>7838479.29</v>
      </c>
      <c r="G204">
        <v>-7.04</v>
      </c>
      <c r="L204" t="s">
        <v>7</v>
      </c>
      <c r="M204" t="s">
        <v>7</v>
      </c>
      <c r="N204" t="s">
        <v>8</v>
      </c>
      <c r="P204">
        <f t="shared" si="959"/>
        <v>-0.42276734380988923</v>
      </c>
      <c r="Q204">
        <f t="shared" si="960"/>
        <v>-3313853.0689421264</v>
      </c>
      <c r="R204">
        <f t="shared" si="961"/>
        <v>-90565115.68401812</v>
      </c>
      <c r="S204">
        <f t="shared" si="962"/>
        <v>-905.65115684018122</v>
      </c>
      <c r="T204">
        <f t="shared" si="963"/>
        <v>-0.90565115684018127</v>
      </c>
    </row>
    <row r="205" spans="1:20" x14ac:dyDescent="0.25">
      <c r="A205" s="5">
        <v>44388</v>
      </c>
      <c r="B205">
        <v>6.2979000000000003</v>
      </c>
      <c r="C205">
        <v>7.4203999999999999</v>
      </c>
      <c r="D205">
        <v>6.1929999999999996</v>
      </c>
      <c r="E205">
        <v>7.0408999999999997</v>
      </c>
      <c r="F205">
        <v>11289956.68</v>
      </c>
      <c r="G205">
        <v>11.8</v>
      </c>
      <c r="L205" t="s">
        <v>8</v>
      </c>
      <c r="M205" t="s">
        <v>8</v>
      </c>
      <c r="N205" t="s">
        <v>8</v>
      </c>
      <c r="P205">
        <f t="shared" si="959"/>
        <v>0.38161968388463402</v>
      </c>
      <c r="Q205">
        <f t="shared" si="960"/>
        <v>4308469.6992928125</v>
      </c>
      <c r="R205">
        <f t="shared" si="961"/>
        <v>-87251262.615075991</v>
      </c>
      <c r="S205">
        <f t="shared" si="962"/>
        <v>-872.51262615075996</v>
      </c>
      <c r="T205">
        <f t="shared" si="963"/>
        <v>-0.87251262615075997</v>
      </c>
    </row>
    <row r="206" spans="1:20" x14ac:dyDescent="0.25">
      <c r="A206" s="5">
        <v>44387</v>
      </c>
      <c r="B206">
        <v>6.4711999999999996</v>
      </c>
      <c r="C206">
        <v>7.35</v>
      </c>
      <c r="D206">
        <v>6.0350000000000001</v>
      </c>
      <c r="E206">
        <v>6.2968000000000002</v>
      </c>
      <c r="F206">
        <v>13408087.32</v>
      </c>
      <c r="G206">
        <v>-2.7</v>
      </c>
      <c r="L206" t="s">
        <v>8</v>
      </c>
      <c r="M206" t="s">
        <v>8</v>
      </c>
      <c r="N206" t="s">
        <v>8</v>
      </c>
      <c r="P206">
        <f t="shared" si="959"/>
        <v>-0.60182509505703397</v>
      </c>
      <c r="Q206">
        <f t="shared" si="960"/>
        <v>-8069323.4258920122</v>
      </c>
      <c r="R206">
        <f t="shared" si="961"/>
        <v>-91559732.314368799</v>
      </c>
      <c r="S206">
        <f t="shared" si="962"/>
        <v>-915.59732314368796</v>
      </c>
      <c r="T206">
        <f t="shared" si="963"/>
        <v>-0.91559732314368791</v>
      </c>
    </row>
    <row r="207" spans="1:20" x14ac:dyDescent="0.25">
      <c r="A207" s="5">
        <v>44386</v>
      </c>
      <c r="B207">
        <v>5.4946000000000002</v>
      </c>
      <c r="C207">
        <v>6.7869000000000002</v>
      </c>
      <c r="D207">
        <v>5.0221999999999998</v>
      </c>
      <c r="E207">
        <v>6.4710999999999999</v>
      </c>
      <c r="F207">
        <v>12635311.949999999</v>
      </c>
      <c r="G207">
        <v>17.77</v>
      </c>
      <c r="L207" t="s">
        <v>7</v>
      </c>
      <c r="M207" t="s">
        <v>7</v>
      </c>
      <c r="N207" t="s">
        <v>7</v>
      </c>
      <c r="P207">
        <f t="shared" si="959"/>
        <v>0.64209214030713413</v>
      </c>
      <c r="Q207">
        <f t="shared" si="960"/>
        <v>8113034.4934238084</v>
      </c>
      <c r="R207">
        <f t="shared" si="961"/>
        <v>-83490408.888476789</v>
      </c>
      <c r="S207">
        <f t="shared" si="962"/>
        <v>-834.90408888476793</v>
      </c>
      <c r="T207">
        <f t="shared" si="963"/>
        <v>-0.83490408888476797</v>
      </c>
    </row>
    <row r="208" spans="1:20" x14ac:dyDescent="0.25">
      <c r="A208" s="5">
        <v>44385</v>
      </c>
      <c r="B208">
        <v>5.6829000000000001</v>
      </c>
      <c r="C208">
        <v>7.0552999999999999</v>
      </c>
      <c r="D208">
        <v>5.3731999999999998</v>
      </c>
      <c r="E208">
        <v>5.5019</v>
      </c>
      <c r="F208">
        <v>18415370.309999999</v>
      </c>
      <c r="G208">
        <v>-3.18</v>
      </c>
      <c r="L208" t="s">
        <v>8</v>
      </c>
      <c r="M208" t="s">
        <v>8</v>
      </c>
      <c r="N208" t="s">
        <v>8</v>
      </c>
      <c r="P208">
        <f t="shared" si="959"/>
        <v>-0.84697699304440843</v>
      </c>
      <c r="Q208">
        <f t="shared" si="960"/>
        <v>-15597394.970963074</v>
      </c>
      <c r="R208">
        <f t="shared" si="961"/>
        <v>-91603443.381900594</v>
      </c>
      <c r="S208">
        <f t="shared" si="962"/>
        <v>-916.03443381900593</v>
      </c>
      <c r="T208">
        <f t="shared" si="963"/>
        <v>-0.91603443381900596</v>
      </c>
    </row>
    <row r="209" spans="1:20" x14ac:dyDescent="0.25">
      <c r="A209" s="5">
        <v>44384</v>
      </c>
      <c r="B209">
        <v>5.8586999999999998</v>
      </c>
      <c r="C209">
        <v>6.49</v>
      </c>
      <c r="D209">
        <v>5.5571999999999999</v>
      </c>
      <c r="E209">
        <v>5.69</v>
      </c>
      <c r="F209">
        <v>9632079.7100000009</v>
      </c>
      <c r="G209">
        <v>-2.88</v>
      </c>
      <c r="L209" t="s">
        <v>8</v>
      </c>
      <c r="M209" t="s">
        <v>8</v>
      </c>
      <c r="N209" t="s">
        <v>8</v>
      </c>
      <c r="P209">
        <f t="shared" si="959"/>
        <v>-0.71526586620926147</v>
      </c>
      <c r="Q209">
        <f t="shared" si="960"/>
        <v>-6889497.8371698027</v>
      </c>
      <c r="R209">
        <f t="shared" si="961"/>
        <v>-76006048.410937518</v>
      </c>
      <c r="S209">
        <f t="shared" si="962"/>
        <v>-760.06048410937512</v>
      </c>
      <c r="T209">
        <f t="shared" si="963"/>
        <v>-0.7600604841093751</v>
      </c>
    </row>
    <row r="210" spans="1:20" x14ac:dyDescent="0.25">
      <c r="A210" s="5">
        <v>44383</v>
      </c>
      <c r="B210">
        <v>4.6624999999999996</v>
      </c>
      <c r="C210">
        <v>6</v>
      </c>
      <c r="D210">
        <v>4.6544999999999996</v>
      </c>
      <c r="E210">
        <v>5.8520000000000003</v>
      </c>
      <c r="F210">
        <v>12564353.859999999</v>
      </c>
      <c r="G210">
        <v>25.51</v>
      </c>
      <c r="L210" t="s">
        <v>8</v>
      </c>
      <c r="M210" t="s">
        <v>8</v>
      </c>
      <c r="N210" t="s">
        <v>8</v>
      </c>
      <c r="P210">
        <f t="shared" si="959"/>
        <v>0.78000743218134572</v>
      </c>
      <c r="Q210">
        <f t="shared" si="960"/>
        <v>9800289.3913563788</v>
      </c>
      <c r="R210">
        <f t="shared" si="961"/>
        <v>-69116550.573767722</v>
      </c>
      <c r="S210">
        <f t="shared" si="962"/>
        <v>-691.16550573767722</v>
      </c>
      <c r="T210">
        <f t="shared" si="963"/>
        <v>-0.69116550573767721</v>
      </c>
    </row>
    <row r="211" spans="1:20" x14ac:dyDescent="0.25">
      <c r="A211" s="5">
        <v>44382</v>
      </c>
      <c r="B211">
        <v>4.7950999999999997</v>
      </c>
      <c r="C211">
        <v>4.88</v>
      </c>
      <c r="D211">
        <v>4.3148999999999997</v>
      </c>
      <c r="E211">
        <v>4.6596000000000002</v>
      </c>
      <c r="F211">
        <v>6537881.2199999997</v>
      </c>
      <c r="G211">
        <v>-2.83</v>
      </c>
      <c r="L211" t="s">
        <v>7</v>
      </c>
      <c r="M211" t="s">
        <v>7</v>
      </c>
      <c r="N211" t="s">
        <v>8</v>
      </c>
      <c r="P211">
        <f t="shared" si="959"/>
        <v>0.21996106883737518</v>
      </c>
      <c r="Q211">
        <f t="shared" si="960"/>
        <v>1438079.3410830023</v>
      </c>
      <c r="R211">
        <f t="shared" si="961"/>
        <v>-78916839.9651241</v>
      </c>
      <c r="S211">
        <f t="shared" si="962"/>
        <v>-789.16839965124097</v>
      </c>
      <c r="T211">
        <f t="shared" si="963"/>
        <v>-0.78916839965124097</v>
      </c>
    </row>
    <row r="212" spans="1:20" x14ac:dyDescent="0.25">
      <c r="A212" s="5">
        <v>44381</v>
      </c>
      <c r="B212">
        <v>4.0556000000000001</v>
      </c>
      <c r="C212">
        <v>5.25</v>
      </c>
      <c r="D212">
        <v>3.9765999999999999</v>
      </c>
      <c r="E212">
        <v>4.7922000000000002</v>
      </c>
      <c r="F212">
        <v>11258057.890000001</v>
      </c>
      <c r="G212">
        <v>18.16</v>
      </c>
      <c r="L212" t="s">
        <v>8</v>
      </c>
      <c r="M212" t="s">
        <v>8</v>
      </c>
      <c r="N212" t="s">
        <v>8</v>
      </c>
      <c r="P212">
        <f t="shared" si="959"/>
        <v>0.28098005340034593</v>
      </c>
      <c r="Q212">
        <f t="shared" si="960"/>
        <v>3163289.7071163859</v>
      </c>
      <c r="R212">
        <f t="shared" si="961"/>
        <v>-80354919.306207106</v>
      </c>
      <c r="S212">
        <f t="shared" si="962"/>
        <v>-803.54919306207103</v>
      </c>
      <c r="T212">
        <f t="shared" si="963"/>
        <v>-0.80354919306207107</v>
      </c>
    </row>
    <row r="213" spans="1:20" x14ac:dyDescent="0.25">
      <c r="A213" s="5">
        <v>44380</v>
      </c>
      <c r="B213">
        <v>3.9489999999999998</v>
      </c>
      <c r="C213">
        <v>4.1999000000000004</v>
      </c>
      <c r="D213">
        <v>3.8361000000000001</v>
      </c>
      <c r="E213">
        <v>4.0563000000000002</v>
      </c>
      <c r="F213">
        <v>2428527.38</v>
      </c>
      <c r="G213">
        <v>2.72</v>
      </c>
      <c r="L213" t="s">
        <v>8</v>
      </c>
      <c r="M213" t="s">
        <v>8</v>
      </c>
      <c r="N213" t="s">
        <v>7</v>
      </c>
      <c r="P213">
        <f t="shared" si="959"/>
        <v>0.21055525013743795</v>
      </c>
      <c r="Q213">
        <f t="shared" si="960"/>
        <v>511339.18996151682</v>
      </c>
      <c r="R213">
        <f t="shared" si="961"/>
        <v>-83518209.013323486</v>
      </c>
      <c r="S213">
        <f t="shared" si="962"/>
        <v>-835.18209013323485</v>
      </c>
      <c r="T213">
        <f t="shared" si="963"/>
        <v>-0.83518209013323486</v>
      </c>
    </row>
    <row r="214" spans="1:20" x14ac:dyDescent="0.25">
      <c r="A214" s="5">
        <v>44379</v>
      </c>
      <c r="B214">
        <v>4.1150000000000002</v>
      </c>
      <c r="C214">
        <v>4.2709000000000001</v>
      </c>
      <c r="D214">
        <v>3.79</v>
      </c>
      <c r="E214">
        <v>3.9489999999999998</v>
      </c>
      <c r="F214">
        <v>3058292.24</v>
      </c>
      <c r="G214">
        <v>-4.03</v>
      </c>
      <c r="L214" t="s">
        <v>7</v>
      </c>
      <c r="M214" t="s">
        <v>8</v>
      </c>
      <c r="N214" t="s">
        <v>7</v>
      </c>
      <c r="P214">
        <f t="shared" si="959"/>
        <v>-0.33873986275733092</v>
      </c>
      <c r="Q214">
        <f t="shared" si="960"/>
        <v>-1035965.4936494102</v>
      </c>
      <c r="R214">
        <f t="shared" si="961"/>
        <v>-84029548.203285009</v>
      </c>
      <c r="S214">
        <f t="shared" si="962"/>
        <v>-840.29548203285003</v>
      </c>
      <c r="T214">
        <f t="shared" si="963"/>
        <v>-0.84029548203284998</v>
      </c>
    </row>
    <row r="215" spans="1:20" x14ac:dyDescent="0.25">
      <c r="A215" s="5">
        <v>44378</v>
      </c>
      <c r="B215">
        <v>3.9209999999999998</v>
      </c>
      <c r="C215">
        <v>4.3587999999999996</v>
      </c>
      <c r="D215">
        <v>3.8104</v>
      </c>
      <c r="E215">
        <v>4.1150000000000002</v>
      </c>
      <c r="F215">
        <v>7364131.8300000001</v>
      </c>
      <c r="G215">
        <v>4.95</v>
      </c>
      <c r="L215" t="s">
        <v>8</v>
      </c>
      <c r="M215" t="s">
        <v>8</v>
      </c>
      <c r="N215" t="s">
        <v>7</v>
      </c>
      <c r="P215">
        <f t="shared" si="959"/>
        <v>0.11086797957695278</v>
      </c>
      <c r="Q215">
        <f t="shared" si="960"/>
        <v>816446.41733042791</v>
      </c>
      <c r="R215">
        <f t="shared" si="961"/>
        <v>-82993582.7096356</v>
      </c>
      <c r="S215">
        <f t="shared" si="962"/>
        <v>-829.93582709635598</v>
      </c>
      <c r="T215">
        <f t="shared" si="963"/>
        <v>-0.82993582709635594</v>
      </c>
    </row>
    <row r="216" spans="1:20" x14ac:dyDescent="0.25">
      <c r="A216" s="5">
        <v>44377</v>
      </c>
      <c r="B216">
        <v>3.9931999999999999</v>
      </c>
      <c r="C216">
        <v>4.0477999999999996</v>
      </c>
      <c r="D216">
        <v>3.6292</v>
      </c>
      <c r="E216">
        <v>3.9209999999999998</v>
      </c>
      <c r="F216">
        <v>3017026.15</v>
      </c>
      <c r="G216">
        <v>-1.81</v>
      </c>
      <c r="L216" t="s">
        <v>7</v>
      </c>
      <c r="M216" t="s">
        <v>8</v>
      </c>
      <c r="N216" t="s">
        <v>7</v>
      </c>
      <c r="P216">
        <f t="shared" si="959"/>
        <v>0.39417104634495981</v>
      </c>
      <c r="Q216">
        <f t="shared" si="960"/>
        <v>1189224.3543956056</v>
      </c>
      <c r="R216">
        <f t="shared" si="961"/>
        <v>-83810029.126966029</v>
      </c>
      <c r="S216">
        <f t="shared" si="962"/>
        <v>-838.10029126966026</v>
      </c>
      <c r="T216">
        <f t="shared" si="963"/>
        <v>-0.83810029126966024</v>
      </c>
    </row>
    <row r="217" spans="1:20" x14ac:dyDescent="0.25">
      <c r="A217" s="5">
        <v>44376</v>
      </c>
      <c r="B217">
        <v>3.9098000000000002</v>
      </c>
      <c r="C217">
        <v>4.2493999999999996</v>
      </c>
      <c r="D217">
        <v>3.8332000000000002</v>
      </c>
      <c r="E217">
        <v>3.9925999999999999</v>
      </c>
      <c r="F217">
        <v>3041013.36</v>
      </c>
      <c r="G217">
        <v>2.12</v>
      </c>
      <c r="L217" t="s">
        <v>8</v>
      </c>
      <c r="M217" t="s">
        <v>8</v>
      </c>
      <c r="N217" t="s">
        <v>7</v>
      </c>
      <c r="P217">
        <f t="shared" si="959"/>
        <v>-0.23402210475732835</v>
      </c>
      <c r="Q217">
        <f t="shared" si="960"/>
        <v>-711664.34710235498</v>
      </c>
      <c r="R217">
        <f t="shared" si="961"/>
        <v>-84999253.481361642</v>
      </c>
      <c r="S217">
        <f t="shared" si="962"/>
        <v>-849.99253481361643</v>
      </c>
      <c r="T217">
        <f t="shared" si="963"/>
        <v>-0.84999253481361647</v>
      </c>
    </row>
    <row r="218" spans="1:20" x14ac:dyDescent="0.25">
      <c r="A218" s="5">
        <v>44375</v>
      </c>
      <c r="B218">
        <v>3.8069999999999999</v>
      </c>
      <c r="C218">
        <v>4.0523999999999996</v>
      </c>
      <c r="D218">
        <v>3.7360000000000002</v>
      </c>
      <c r="E218">
        <v>3.8965000000000001</v>
      </c>
      <c r="F218">
        <v>2945313.19</v>
      </c>
      <c r="G218">
        <v>2.35</v>
      </c>
      <c r="L218" t="s">
        <v>8</v>
      </c>
      <c r="M218" t="s">
        <v>7</v>
      </c>
      <c r="N218" t="s">
        <v>7</v>
      </c>
      <c r="P218">
        <f t="shared" si="959"/>
        <v>1.4538558786347633E-2</v>
      </c>
      <c r="Q218">
        <f t="shared" si="960"/>
        <v>42820.608957020071</v>
      </c>
      <c r="R218">
        <f t="shared" si="961"/>
        <v>-84287589.134259284</v>
      </c>
      <c r="S218">
        <f t="shared" si="962"/>
        <v>-842.87589134259281</v>
      </c>
      <c r="T218">
        <f t="shared" si="963"/>
        <v>-0.84287589134259278</v>
      </c>
    </row>
    <row r="219" spans="1:20" x14ac:dyDescent="0.25">
      <c r="A219" s="5">
        <v>44374</v>
      </c>
      <c r="B219">
        <v>3.6758000000000002</v>
      </c>
      <c r="C219">
        <v>3.8126000000000002</v>
      </c>
      <c r="D219">
        <v>3.4575</v>
      </c>
      <c r="E219">
        <v>3.8035999999999999</v>
      </c>
      <c r="F219">
        <v>2734608.39</v>
      </c>
      <c r="G219">
        <v>3.48</v>
      </c>
      <c r="L219" t="s">
        <v>8</v>
      </c>
      <c r="M219" t="s">
        <v>7</v>
      </c>
      <c r="N219" t="s">
        <v>7</v>
      </c>
      <c r="P219">
        <f t="shared" si="959"/>
        <v>0.94931005350605269</v>
      </c>
      <c r="Q219">
        <f t="shared" si="960"/>
        <v>2595991.2370290007</v>
      </c>
      <c r="R219">
        <f t="shared" si="961"/>
        <v>-84330409.743216306</v>
      </c>
      <c r="S219">
        <f t="shared" si="962"/>
        <v>-843.30409743216308</v>
      </c>
      <c r="T219">
        <f t="shared" si="963"/>
        <v>-0.84330409743216306</v>
      </c>
    </row>
    <row r="220" spans="1:20" x14ac:dyDescent="0.25">
      <c r="A220" s="5">
        <v>44373</v>
      </c>
      <c r="B220">
        <v>3.7789000000000001</v>
      </c>
      <c r="C220">
        <v>3.9068999999999998</v>
      </c>
      <c r="D220">
        <v>3.3976000000000002</v>
      </c>
      <c r="E220">
        <v>3.6726000000000001</v>
      </c>
      <c r="F220">
        <v>3028728.1</v>
      </c>
      <c r="G220">
        <v>-2.81</v>
      </c>
      <c r="L220" t="s">
        <v>7</v>
      </c>
      <c r="M220" t="s">
        <v>7</v>
      </c>
      <c r="N220" t="s">
        <v>7</v>
      </c>
      <c r="P220">
        <f t="shared" si="959"/>
        <v>7.9913606911447499E-2</v>
      </c>
      <c r="Q220">
        <f t="shared" si="960"/>
        <v>242036.58682505524</v>
      </c>
      <c r="R220">
        <f t="shared" si="961"/>
        <v>-86926400.980245307</v>
      </c>
      <c r="S220">
        <f t="shared" si="962"/>
        <v>-869.26400980245307</v>
      </c>
      <c r="T220">
        <f t="shared" si="963"/>
        <v>-0.86926400980245311</v>
      </c>
    </row>
    <row r="221" spans="1:20" x14ac:dyDescent="0.25">
      <c r="A221" s="5">
        <v>44372</v>
      </c>
      <c r="B221">
        <v>4.4423000000000004</v>
      </c>
      <c r="C221">
        <v>4.5149999999999997</v>
      </c>
      <c r="D221">
        <v>3.74</v>
      </c>
      <c r="E221">
        <v>3.7822</v>
      </c>
      <c r="F221">
        <v>3274586.51</v>
      </c>
      <c r="G221">
        <v>-14.86</v>
      </c>
      <c r="L221" t="s">
        <v>7</v>
      </c>
      <c r="M221" t="s">
        <v>7</v>
      </c>
      <c r="N221" t="s">
        <v>8</v>
      </c>
      <c r="P221">
        <f t="shared" si="959"/>
        <v>-0.89109677419354882</v>
      </c>
      <c r="Q221">
        <f t="shared" si="960"/>
        <v>-2917973.4758787109</v>
      </c>
      <c r="R221">
        <f t="shared" si="961"/>
        <v>-87168437.567070365</v>
      </c>
      <c r="S221">
        <f t="shared" si="962"/>
        <v>-871.68437567070362</v>
      </c>
      <c r="T221">
        <f t="shared" si="963"/>
        <v>-0.87168437567070367</v>
      </c>
    </row>
    <row r="222" spans="1:20" x14ac:dyDescent="0.25">
      <c r="A222" s="5">
        <v>44371</v>
      </c>
      <c r="B222">
        <v>4.7317999999999998</v>
      </c>
      <c r="C222">
        <v>4.7478999999999996</v>
      </c>
      <c r="D222">
        <v>4.3135000000000003</v>
      </c>
      <c r="E222">
        <v>4.4470000000000001</v>
      </c>
      <c r="F222">
        <v>4166423.35</v>
      </c>
      <c r="G222">
        <v>-6.02</v>
      </c>
      <c r="L222" t="s">
        <v>7</v>
      </c>
      <c r="M222" t="s">
        <v>8</v>
      </c>
      <c r="N222" t="s">
        <v>8</v>
      </c>
      <c r="P222">
        <f t="shared" si="959"/>
        <v>-0.3853591160220996</v>
      </c>
      <c r="Q222">
        <f t="shared" si="960"/>
        <v>-1605569.219129835</v>
      </c>
      <c r="R222">
        <f t="shared" si="961"/>
        <v>-84250464.091191649</v>
      </c>
      <c r="S222">
        <f t="shared" si="962"/>
        <v>-842.50464091191645</v>
      </c>
      <c r="T222">
        <f t="shared" si="963"/>
        <v>-0.84250464091191646</v>
      </c>
    </row>
    <row r="223" spans="1:20" x14ac:dyDescent="0.25">
      <c r="A223" s="5">
        <v>44370</v>
      </c>
      <c r="B223">
        <v>3.5935000000000001</v>
      </c>
      <c r="C223">
        <v>4.8174999999999999</v>
      </c>
      <c r="D223">
        <v>3.48</v>
      </c>
      <c r="E223">
        <v>4.7385999999999999</v>
      </c>
      <c r="F223">
        <v>6491461.3799999999</v>
      </c>
      <c r="G223">
        <v>31.87</v>
      </c>
      <c r="L223" t="s">
        <v>8</v>
      </c>
      <c r="M223" t="s">
        <v>8</v>
      </c>
      <c r="N223" t="s">
        <v>8</v>
      </c>
      <c r="P223">
        <f t="shared" si="959"/>
        <v>0.8820186915887851</v>
      </c>
      <c r="Q223">
        <f t="shared" si="960"/>
        <v>5725590.2728867289</v>
      </c>
      <c r="R223">
        <f t="shared" si="961"/>
        <v>-82644894.872061819</v>
      </c>
      <c r="S223">
        <f t="shared" si="962"/>
        <v>-826.4489487206182</v>
      </c>
      <c r="T223">
        <f t="shared" si="963"/>
        <v>-0.82644894872061825</v>
      </c>
    </row>
    <row r="224" spans="1:20" x14ac:dyDescent="0.25">
      <c r="A224" s="5">
        <v>44369</v>
      </c>
      <c r="B224">
        <v>3.7561</v>
      </c>
      <c r="C224">
        <v>4.0770999999999997</v>
      </c>
      <c r="D224">
        <v>3.17</v>
      </c>
      <c r="E224">
        <v>3.5903999999999998</v>
      </c>
      <c r="F224">
        <v>6055290.8899999997</v>
      </c>
      <c r="G224">
        <v>-4.41</v>
      </c>
      <c r="L224" t="s">
        <v>7</v>
      </c>
      <c r="M224" t="s">
        <v>7</v>
      </c>
      <c r="N224" t="s">
        <v>7</v>
      </c>
      <c r="P224">
        <f t="shared" si="959"/>
        <v>-7.3090067247271573E-2</v>
      </c>
      <c r="Q224">
        <f t="shared" si="960"/>
        <v>-442581.61835189088</v>
      </c>
      <c r="R224">
        <f t="shared" si="961"/>
        <v>-88370485.144948542</v>
      </c>
      <c r="S224">
        <f t="shared" si="962"/>
        <v>-883.70485144948543</v>
      </c>
      <c r="T224">
        <f t="shared" si="963"/>
        <v>-0.88370485144948541</v>
      </c>
    </row>
    <row r="225" spans="1:20" x14ac:dyDescent="0.25">
      <c r="A225" s="5">
        <v>44368</v>
      </c>
      <c r="B225">
        <v>4.9916</v>
      </c>
      <c r="C225">
        <v>5.0330000000000004</v>
      </c>
      <c r="D225">
        <v>3.7</v>
      </c>
      <c r="E225">
        <v>3.7570000000000001</v>
      </c>
      <c r="F225">
        <v>4594282.78</v>
      </c>
      <c r="G225">
        <v>-24.73</v>
      </c>
      <c r="L225" t="s">
        <v>7</v>
      </c>
      <c r="M225" t="s">
        <v>7</v>
      </c>
      <c r="N225" t="s">
        <v>7</v>
      </c>
      <c r="P225">
        <f t="shared" si="959"/>
        <v>-0.91447861965491384</v>
      </c>
      <c r="Q225">
        <f t="shared" si="960"/>
        <v>-4201373.3749587405</v>
      </c>
      <c r="R225">
        <f t="shared" si="961"/>
        <v>-87927903.52659665</v>
      </c>
      <c r="S225">
        <f t="shared" si="962"/>
        <v>-879.27903526596651</v>
      </c>
      <c r="T225">
        <f t="shared" si="963"/>
        <v>-0.87927903526596651</v>
      </c>
    </row>
    <row r="226" spans="1:20" x14ac:dyDescent="0.25">
      <c r="A226" s="5">
        <v>44367</v>
      </c>
      <c r="B226">
        <v>4.9690000000000003</v>
      </c>
      <c r="C226">
        <v>5.1919000000000004</v>
      </c>
      <c r="D226">
        <v>4.5</v>
      </c>
      <c r="E226">
        <v>4.9898999999999996</v>
      </c>
      <c r="F226">
        <v>2971656.27</v>
      </c>
      <c r="G226">
        <v>0.42</v>
      </c>
      <c r="L226" t="s">
        <v>7</v>
      </c>
      <c r="M226" t="s">
        <v>7</v>
      </c>
      <c r="N226" t="s">
        <v>7</v>
      </c>
      <c r="P226">
        <f t="shared" si="959"/>
        <v>0.41610059257117871</v>
      </c>
      <c r="Q226">
        <f t="shared" si="960"/>
        <v>1236507.9348648586</v>
      </c>
      <c r="R226">
        <f t="shared" si="961"/>
        <v>-83726530.151637912</v>
      </c>
      <c r="S226">
        <f t="shared" si="962"/>
        <v>-837.26530151637917</v>
      </c>
      <c r="T226">
        <f t="shared" si="963"/>
        <v>-0.83726530151637912</v>
      </c>
    </row>
    <row r="227" spans="1:20" x14ac:dyDescent="0.25">
      <c r="A227" s="5">
        <v>44366</v>
      </c>
      <c r="B227">
        <v>5.2534999999999998</v>
      </c>
      <c r="C227">
        <v>5.33</v>
      </c>
      <c r="D227">
        <v>4.9278000000000004</v>
      </c>
      <c r="E227">
        <v>4.9640000000000004</v>
      </c>
      <c r="F227">
        <v>2166047.33</v>
      </c>
      <c r="G227">
        <v>-5.51</v>
      </c>
      <c r="L227" t="s">
        <v>7</v>
      </c>
      <c r="M227" t="s">
        <v>7</v>
      </c>
      <c r="N227" t="s">
        <v>7</v>
      </c>
      <c r="P227">
        <f t="shared" si="959"/>
        <v>-0.81999005469915442</v>
      </c>
      <c r="Q227">
        <f t="shared" si="960"/>
        <v>-1776137.2686076574</v>
      </c>
      <c r="R227">
        <f t="shared" si="961"/>
        <v>-84963038.086502776</v>
      </c>
      <c r="S227">
        <f t="shared" si="962"/>
        <v>-849.63038086502775</v>
      </c>
      <c r="T227">
        <f t="shared" si="963"/>
        <v>-0.84963038086502773</v>
      </c>
    </row>
    <row r="228" spans="1:20" x14ac:dyDescent="0.25">
      <c r="A228" s="5">
        <v>44365</v>
      </c>
      <c r="B228">
        <v>5.6675000000000004</v>
      </c>
      <c r="C228">
        <v>5.8448000000000002</v>
      </c>
      <c r="D228">
        <v>5.1235999999999997</v>
      </c>
      <c r="E228">
        <v>5.2576000000000001</v>
      </c>
      <c r="F228">
        <v>4154037.72</v>
      </c>
      <c r="G228">
        <v>-7.23</v>
      </c>
      <c r="L228" t="s">
        <v>7</v>
      </c>
      <c r="M228" t="s">
        <v>7</v>
      </c>
      <c r="N228" t="s">
        <v>7</v>
      </c>
      <c r="P228">
        <f t="shared" si="959"/>
        <v>-0.62839711591791392</v>
      </c>
      <c r="Q228">
        <f t="shared" si="960"/>
        <v>-2610385.3226622269</v>
      </c>
      <c r="R228">
        <f t="shared" si="961"/>
        <v>-83186900.817895114</v>
      </c>
      <c r="S228">
        <f t="shared" si="962"/>
        <v>-831.86900817895116</v>
      </c>
      <c r="T228">
        <f t="shared" si="963"/>
        <v>-0.83186900817895115</v>
      </c>
    </row>
    <row r="229" spans="1:20" x14ac:dyDescent="0.25">
      <c r="A229" s="5">
        <v>44364</v>
      </c>
      <c r="B229">
        <v>5.2952000000000004</v>
      </c>
      <c r="C229">
        <v>5.9798999999999998</v>
      </c>
      <c r="D229">
        <v>5.2735000000000003</v>
      </c>
      <c r="E229">
        <v>5.67</v>
      </c>
      <c r="F229">
        <v>7518809.5899999999</v>
      </c>
      <c r="G229">
        <v>7.08</v>
      </c>
      <c r="L229" t="s">
        <v>8</v>
      </c>
      <c r="M229" t="s">
        <v>7</v>
      </c>
      <c r="N229" t="s">
        <v>7</v>
      </c>
      <c r="P229">
        <f t="shared" si="959"/>
        <v>0.1225934314835785</v>
      </c>
      <c r="Q229">
        <f t="shared" si="960"/>
        <v>921756.66830973793</v>
      </c>
      <c r="R229">
        <f t="shared" si="961"/>
        <v>-80576515.49523288</v>
      </c>
      <c r="S229">
        <f t="shared" si="962"/>
        <v>-805.76515495232877</v>
      </c>
      <c r="T229">
        <f t="shared" si="963"/>
        <v>-0.80576515495232881</v>
      </c>
    </row>
    <row r="230" spans="1:20" x14ac:dyDescent="0.25">
      <c r="A230" s="5">
        <v>44363</v>
      </c>
      <c r="B230">
        <v>5.6394000000000002</v>
      </c>
      <c r="C230">
        <v>6.0193000000000003</v>
      </c>
      <c r="D230">
        <v>5.21</v>
      </c>
      <c r="E230">
        <v>5.2952000000000004</v>
      </c>
      <c r="F230">
        <v>4860338.38</v>
      </c>
      <c r="G230">
        <v>-6.1</v>
      </c>
      <c r="L230" t="s">
        <v>7</v>
      </c>
      <c r="M230" t="s">
        <v>7</v>
      </c>
      <c r="N230" t="s">
        <v>7</v>
      </c>
      <c r="P230">
        <f t="shared" si="959"/>
        <v>-0.78944767082663947</v>
      </c>
      <c r="Q230">
        <f t="shared" si="960"/>
        <v>-3836982.8135203221</v>
      </c>
      <c r="R230">
        <f t="shared" si="961"/>
        <v>-81498272.163542613</v>
      </c>
      <c r="S230">
        <f t="shared" si="962"/>
        <v>-814.98272163542617</v>
      </c>
      <c r="T230">
        <f t="shared" si="963"/>
        <v>-0.81498272163542618</v>
      </c>
    </row>
    <row r="231" spans="1:20" x14ac:dyDescent="0.25">
      <c r="A231" s="5">
        <v>44362</v>
      </c>
      <c r="B231">
        <v>5.8407999999999998</v>
      </c>
      <c r="C231">
        <v>6.19</v>
      </c>
      <c r="D231">
        <v>5.5178000000000003</v>
      </c>
      <c r="E231">
        <v>5.6360000000000001</v>
      </c>
      <c r="F231">
        <v>4184911.07</v>
      </c>
      <c r="G231">
        <v>-3.51</v>
      </c>
      <c r="L231" t="s">
        <v>8</v>
      </c>
      <c r="M231" t="s">
        <v>8</v>
      </c>
      <c r="N231" t="s">
        <v>7</v>
      </c>
      <c r="P231">
        <f t="shared" si="959"/>
        <v>-0.6483189526926515</v>
      </c>
      <c r="Q231">
        <f t="shared" si="960"/>
        <v>-2713157.1620142832</v>
      </c>
      <c r="R231">
        <f t="shared" si="961"/>
        <v>-77661289.350022286</v>
      </c>
      <c r="S231">
        <f t="shared" si="962"/>
        <v>-776.61289350022287</v>
      </c>
      <c r="T231">
        <f t="shared" si="963"/>
        <v>-0.77661289350022289</v>
      </c>
    </row>
    <row r="232" spans="1:20" x14ac:dyDescent="0.25">
      <c r="A232" s="5">
        <v>44361</v>
      </c>
      <c r="B232">
        <v>6.0464000000000002</v>
      </c>
      <c r="C232">
        <v>6.1056999999999997</v>
      </c>
      <c r="D232">
        <v>5.5814000000000004</v>
      </c>
      <c r="E232">
        <v>5.8398000000000003</v>
      </c>
      <c r="F232">
        <v>3291429.94</v>
      </c>
      <c r="G232">
        <v>-3.42</v>
      </c>
      <c r="L232" t="s">
        <v>7</v>
      </c>
      <c r="M232" t="s">
        <v>8</v>
      </c>
      <c r="N232" t="s">
        <v>7</v>
      </c>
      <c r="P232">
        <f t="shared" si="959"/>
        <v>-1.4304787335493813E-2</v>
      </c>
      <c r="Q232">
        <f t="shared" si="960"/>
        <v>-47083.205321377158</v>
      </c>
      <c r="R232">
        <f t="shared" si="961"/>
        <v>-74948132.188007995</v>
      </c>
      <c r="S232">
        <f t="shared" si="962"/>
        <v>-749.48132188007992</v>
      </c>
      <c r="T232">
        <f t="shared" si="963"/>
        <v>-0.74948132188007988</v>
      </c>
    </row>
    <row r="233" spans="1:20" x14ac:dyDescent="0.25">
      <c r="A233" s="5">
        <v>44360</v>
      </c>
      <c r="B233">
        <v>5.3197000000000001</v>
      </c>
      <c r="C233">
        <v>6.25</v>
      </c>
      <c r="D233">
        <v>5.1688000000000001</v>
      </c>
      <c r="E233">
        <v>6.0426000000000002</v>
      </c>
      <c r="F233">
        <v>3014206.81</v>
      </c>
      <c r="G233">
        <v>13.59</v>
      </c>
      <c r="L233" t="s">
        <v>8</v>
      </c>
      <c r="M233" t="s">
        <v>8</v>
      </c>
      <c r="N233" t="s">
        <v>7</v>
      </c>
      <c r="P233">
        <f t="shared" si="959"/>
        <v>0.61635220125786194</v>
      </c>
      <c r="Q233">
        <f t="shared" si="960"/>
        <v>1857813.0023899381</v>
      </c>
      <c r="R233">
        <f t="shared" si="961"/>
        <v>-74901048.982686624</v>
      </c>
      <c r="S233">
        <f t="shared" si="962"/>
        <v>-749.01048982686621</v>
      </c>
      <c r="T233">
        <f t="shared" si="963"/>
        <v>-0.74901048982686624</v>
      </c>
    </row>
    <row r="234" spans="1:20" x14ac:dyDescent="0.25">
      <c r="A234" s="5">
        <v>44359</v>
      </c>
      <c r="B234">
        <v>6.0696000000000003</v>
      </c>
      <c r="C234">
        <v>6.0964</v>
      </c>
      <c r="D234">
        <v>5.1250999999999998</v>
      </c>
      <c r="E234">
        <v>5.3133999999999997</v>
      </c>
      <c r="F234">
        <v>3823093.14</v>
      </c>
      <c r="G234">
        <v>-12.46</v>
      </c>
      <c r="L234" t="s">
        <v>7</v>
      </c>
      <c r="M234" t="s">
        <v>7</v>
      </c>
      <c r="N234" t="s">
        <v>7</v>
      </c>
      <c r="P234">
        <f t="shared" si="959"/>
        <v>-0.61227221249871333</v>
      </c>
      <c r="Q234">
        <f t="shared" si="960"/>
        <v>-2340773.6954164533</v>
      </c>
      <c r="R234">
        <f t="shared" si="961"/>
        <v>-76758861.985076562</v>
      </c>
      <c r="S234">
        <f t="shared" si="962"/>
        <v>-767.58861985076567</v>
      </c>
      <c r="T234">
        <f t="shared" si="963"/>
        <v>-0.76758861985076565</v>
      </c>
    </row>
    <row r="235" spans="1:20" x14ac:dyDescent="0.25">
      <c r="A235" s="5">
        <v>44358</v>
      </c>
      <c r="B235">
        <v>5.5467000000000004</v>
      </c>
      <c r="C235">
        <v>6.71</v>
      </c>
      <c r="D235">
        <v>5.3120000000000003</v>
      </c>
      <c r="E235">
        <v>6.0536000000000003</v>
      </c>
      <c r="F235">
        <v>7082658.7400000002</v>
      </c>
      <c r="G235">
        <v>9.14</v>
      </c>
      <c r="L235" t="s">
        <v>8</v>
      </c>
      <c r="M235" t="s">
        <v>8</v>
      </c>
      <c r="N235" t="s">
        <v>7</v>
      </c>
      <c r="P235">
        <f t="shared" si="959"/>
        <v>6.0944206008583982E-2</v>
      </c>
      <c r="Q235">
        <f t="shared" si="960"/>
        <v>431647.01333905786</v>
      </c>
      <c r="R235">
        <f t="shared" si="961"/>
        <v>-74418088.289660111</v>
      </c>
      <c r="S235">
        <f t="shared" si="962"/>
        <v>-744.18088289660113</v>
      </c>
      <c r="T235">
        <f t="shared" si="963"/>
        <v>-0.74418088289660111</v>
      </c>
    </row>
    <row r="236" spans="1:20" x14ac:dyDescent="0.25">
      <c r="A236" s="5">
        <v>44357</v>
      </c>
      <c r="B236">
        <v>5.7220000000000004</v>
      </c>
      <c r="C236">
        <v>5.9</v>
      </c>
      <c r="D236">
        <v>5.2717999999999998</v>
      </c>
      <c r="E236">
        <v>5.5340999999999996</v>
      </c>
      <c r="F236">
        <v>2375437.39</v>
      </c>
      <c r="G236">
        <v>-3.28</v>
      </c>
      <c r="L236" t="s">
        <v>8</v>
      </c>
      <c r="M236" t="s">
        <v>8</v>
      </c>
      <c r="N236" t="s">
        <v>7</v>
      </c>
      <c r="P236">
        <f t="shared" si="959"/>
        <v>-0.16491563196434406</v>
      </c>
      <c r="Q236">
        <f t="shared" si="960"/>
        <v>-391746.75836358202</v>
      </c>
      <c r="R236">
        <f t="shared" si="961"/>
        <v>-74849735.302999169</v>
      </c>
      <c r="S236">
        <f t="shared" si="962"/>
        <v>-748.4973530299917</v>
      </c>
      <c r="T236">
        <f t="shared" si="963"/>
        <v>-0.74849735302999165</v>
      </c>
    </row>
    <row r="237" spans="1:20" x14ac:dyDescent="0.25">
      <c r="A237" s="5">
        <v>44356</v>
      </c>
      <c r="B237">
        <v>5.3418999999999999</v>
      </c>
      <c r="C237">
        <v>5.8</v>
      </c>
      <c r="D237">
        <v>4.9695999999999998</v>
      </c>
      <c r="E237">
        <v>5.7149999999999999</v>
      </c>
      <c r="F237">
        <v>2730511.55</v>
      </c>
      <c r="G237">
        <v>6.98</v>
      </c>
      <c r="L237" t="s">
        <v>8</v>
      </c>
      <c r="M237" t="s">
        <v>8</v>
      </c>
      <c r="N237" t="s">
        <v>7</v>
      </c>
      <c r="P237">
        <f t="shared" si="959"/>
        <v>0.79527938342967253</v>
      </c>
      <c r="Q237">
        <f t="shared" si="960"/>
        <v>2171519.5419315994</v>
      </c>
      <c r="R237">
        <f t="shared" si="961"/>
        <v>-74457988.544635594</v>
      </c>
      <c r="S237">
        <f t="shared" si="962"/>
        <v>-744.57988544635589</v>
      </c>
      <c r="T237">
        <f t="shared" si="963"/>
        <v>-0.74457988544635589</v>
      </c>
    </row>
    <row r="238" spans="1:20" x14ac:dyDescent="0.25">
      <c r="A238" s="5">
        <v>44355</v>
      </c>
      <c r="B238">
        <v>5.6177999999999999</v>
      </c>
      <c r="C238">
        <v>5.6718000000000002</v>
      </c>
      <c r="D238">
        <v>4.8499999999999996</v>
      </c>
      <c r="E238">
        <v>5.3470000000000004</v>
      </c>
      <c r="F238">
        <v>3194827.42</v>
      </c>
      <c r="G238">
        <v>-4.82</v>
      </c>
      <c r="L238" t="s">
        <v>7</v>
      </c>
      <c r="M238" t="s">
        <v>7</v>
      </c>
      <c r="N238" t="s">
        <v>7</v>
      </c>
      <c r="P238">
        <f t="shared" si="959"/>
        <v>0.20954003407155136</v>
      </c>
      <c r="Q238">
        <f t="shared" si="960"/>
        <v>669444.24643952656</v>
      </c>
      <c r="R238">
        <f t="shared" si="961"/>
        <v>-76629508.086567193</v>
      </c>
      <c r="S238">
        <f t="shared" si="962"/>
        <v>-766.29508086567193</v>
      </c>
      <c r="T238">
        <f t="shared" si="963"/>
        <v>-0.76629508086567188</v>
      </c>
    </row>
    <row r="239" spans="1:20" x14ac:dyDescent="0.25">
      <c r="A239" s="5">
        <v>44354</v>
      </c>
      <c r="B239">
        <v>6.1071</v>
      </c>
      <c r="C239">
        <v>6.5244</v>
      </c>
      <c r="D239">
        <v>5.4</v>
      </c>
      <c r="E239">
        <v>5.6151</v>
      </c>
      <c r="F239">
        <v>3394539.36</v>
      </c>
      <c r="G239">
        <v>-8.06</v>
      </c>
      <c r="L239" t="s">
        <v>8</v>
      </c>
      <c r="M239" t="s">
        <v>7</v>
      </c>
      <c r="N239" t="s">
        <v>7</v>
      </c>
      <c r="P239">
        <f t="shared" si="959"/>
        <v>-0.61739594450373592</v>
      </c>
      <c r="Q239">
        <f t="shared" si="960"/>
        <v>-2095774.8343223073</v>
      </c>
      <c r="R239">
        <f t="shared" si="961"/>
        <v>-77298952.333006725</v>
      </c>
      <c r="S239">
        <f t="shared" si="962"/>
        <v>-772.9895233300673</v>
      </c>
      <c r="T239">
        <f t="shared" si="963"/>
        <v>-0.77298952333006732</v>
      </c>
    </row>
    <row r="240" spans="1:20" x14ac:dyDescent="0.25">
      <c r="A240" s="5">
        <v>44353</v>
      </c>
      <c r="B240">
        <v>6.0585000000000004</v>
      </c>
      <c r="C240">
        <v>6.2390999999999996</v>
      </c>
      <c r="D240">
        <v>5.9405999999999999</v>
      </c>
      <c r="E240">
        <v>6.0998000000000001</v>
      </c>
      <c r="F240">
        <v>1472648.82</v>
      </c>
      <c r="G240">
        <v>0.68</v>
      </c>
      <c r="L240" t="s">
        <v>8</v>
      </c>
      <c r="M240" t="s">
        <v>7</v>
      </c>
      <c r="N240" t="s">
        <v>8</v>
      </c>
      <c r="P240">
        <f t="shared" si="959"/>
        <v>6.6666666666669053E-2</v>
      </c>
      <c r="Q240">
        <f t="shared" si="960"/>
        <v>98176.588000003525</v>
      </c>
      <c r="R240">
        <f t="shared" si="961"/>
        <v>-75203177.498684421</v>
      </c>
      <c r="S240">
        <f t="shared" si="962"/>
        <v>-752.0317749868442</v>
      </c>
      <c r="T240">
        <f t="shared" si="963"/>
        <v>-0.75203177498684415</v>
      </c>
    </row>
    <row r="241" spans="1:20" x14ac:dyDescent="0.25">
      <c r="A241" s="5">
        <v>44352</v>
      </c>
      <c r="B241">
        <v>6.2671999999999999</v>
      </c>
      <c r="C241">
        <v>6.8</v>
      </c>
      <c r="D241">
        <v>5.7500999999999998</v>
      </c>
      <c r="E241">
        <v>6.0585000000000004</v>
      </c>
      <c r="F241">
        <v>3635094.75</v>
      </c>
      <c r="G241">
        <v>-3.33</v>
      </c>
      <c r="L241" t="s">
        <v>7</v>
      </c>
      <c r="M241" t="s">
        <v>7</v>
      </c>
      <c r="N241" t="s">
        <v>8</v>
      </c>
      <c r="P241">
        <f t="shared" si="959"/>
        <v>-0.41251547766453822</v>
      </c>
      <c r="Q241">
        <f t="shared" si="960"/>
        <v>-1499532.8471521051</v>
      </c>
      <c r="R241">
        <f t="shared" si="961"/>
        <v>-75301354.086684421</v>
      </c>
      <c r="S241">
        <f t="shared" si="962"/>
        <v>-753.01354086684421</v>
      </c>
      <c r="T241">
        <f t="shared" si="963"/>
        <v>-0.75301354086684424</v>
      </c>
    </row>
    <row r="242" spans="1:20" x14ac:dyDescent="0.25">
      <c r="A242" s="5">
        <v>44351</v>
      </c>
      <c r="B242">
        <v>7.2275</v>
      </c>
      <c r="C242">
        <v>7.2489999999999997</v>
      </c>
      <c r="D242">
        <v>5.8836000000000004</v>
      </c>
      <c r="E242">
        <v>6.2709000000000001</v>
      </c>
      <c r="F242">
        <v>4524915.2</v>
      </c>
      <c r="G242">
        <v>-13.24</v>
      </c>
      <c r="L242" t="s">
        <v>7</v>
      </c>
      <c r="M242" t="s">
        <v>7</v>
      </c>
      <c r="N242" t="s">
        <v>8</v>
      </c>
      <c r="P242">
        <f t="shared" si="959"/>
        <v>-0.4326937161271423</v>
      </c>
      <c r="Q242">
        <f t="shared" si="960"/>
        <v>-1957902.3730481914</v>
      </c>
      <c r="R242">
        <f t="shared" si="961"/>
        <v>-73801821.239532322</v>
      </c>
      <c r="S242">
        <f t="shared" si="962"/>
        <v>-738.01821239532319</v>
      </c>
      <c r="T242">
        <f t="shared" si="963"/>
        <v>-0.73801821239532317</v>
      </c>
    </row>
    <row r="243" spans="1:20" x14ac:dyDescent="0.25">
      <c r="A243" s="5">
        <v>44350</v>
      </c>
      <c r="B243">
        <v>6.8009000000000004</v>
      </c>
      <c r="C243">
        <v>7.4298999999999999</v>
      </c>
      <c r="D243">
        <v>6.7179000000000002</v>
      </c>
      <c r="E243">
        <v>7.2199</v>
      </c>
      <c r="F243">
        <v>4674262.83</v>
      </c>
      <c r="G243">
        <v>6.16</v>
      </c>
      <c r="L243" t="s">
        <v>8</v>
      </c>
      <c r="M243" t="s">
        <v>8</v>
      </c>
      <c r="N243" t="s">
        <v>8</v>
      </c>
      <c r="P243">
        <f t="shared" si="959"/>
        <v>0.41011235955056169</v>
      </c>
      <c r="Q243">
        <f t="shared" si="960"/>
        <v>1916972.9583707859</v>
      </c>
      <c r="R243">
        <f t="shared" si="961"/>
        <v>-71843918.866484135</v>
      </c>
      <c r="S243">
        <f t="shared" si="962"/>
        <v>-718.43918866484137</v>
      </c>
      <c r="T243">
        <f t="shared" si="963"/>
        <v>-0.71843918866484135</v>
      </c>
    </row>
    <row r="244" spans="1:20" x14ac:dyDescent="0.25">
      <c r="A244" s="5">
        <v>44349</v>
      </c>
      <c r="B244">
        <v>6.9218000000000002</v>
      </c>
      <c r="C244">
        <v>7.2</v>
      </c>
      <c r="D244">
        <v>6.6</v>
      </c>
      <c r="E244">
        <v>6.81</v>
      </c>
      <c r="F244">
        <v>3549678.37</v>
      </c>
      <c r="G244">
        <v>-1.62</v>
      </c>
      <c r="L244" t="s">
        <v>7</v>
      </c>
      <c r="M244" t="s">
        <v>8</v>
      </c>
      <c r="N244" t="s">
        <v>8</v>
      </c>
      <c r="P244">
        <f t="shared" si="959"/>
        <v>-0.30000000000000077</v>
      </c>
      <c r="Q244">
        <f t="shared" si="960"/>
        <v>-1064903.5110000027</v>
      </c>
      <c r="R244">
        <f t="shared" si="961"/>
        <v>-73760891.824854925</v>
      </c>
      <c r="S244">
        <f t="shared" si="962"/>
        <v>-737.60891824854923</v>
      </c>
      <c r="T244">
        <f t="shared" si="963"/>
        <v>-0.73760891824854924</v>
      </c>
    </row>
    <row r="245" spans="1:20" x14ac:dyDescent="0.25">
      <c r="A245" s="5">
        <v>44348</v>
      </c>
      <c r="B245">
        <v>7.4195000000000002</v>
      </c>
      <c r="C245">
        <v>7.72</v>
      </c>
      <c r="D245">
        <v>6.66</v>
      </c>
      <c r="E245">
        <v>6.9202000000000004</v>
      </c>
      <c r="F245">
        <v>4745506.4000000004</v>
      </c>
      <c r="G245">
        <v>-6.73</v>
      </c>
      <c r="L245" t="s">
        <v>8</v>
      </c>
      <c r="M245" t="s">
        <v>8</v>
      </c>
      <c r="N245" t="s">
        <v>8</v>
      </c>
      <c r="P245">
        <f t="shared" si="959"/>
        <v>-0.5090566037735843</v>
      </c>
      <c r="Q245">
        <f t="shared" si="960"/>
        <v>-2415731.3711698088</v>
      </c>
      <c r="R245">
        <f t="shared" si="961"/>
        <v>-72695988.313854918</v>
      </c>
      <c r="S245">
        <f t="shared" si="962"/>
        <v>-726.95988313854923</v>
      </c>
      <c r="T245">
        <f t="shared" si="963"/>
        <v>-0.7269598831385492</v>
      </c>
    </row>
    <row r="246" spans="1:20" x14ac:dyDescent="0.25">
      <c r="A246" s="5">
        <v>44347</v>
      </c>
      <c r="B246">
        <v>6.9962</v>
      </c>
      <c r="C246">
        <v>7.5</v>
      </c>
      <c r="D246">
        <v>6.4740000000000002</v>
      </c>
      <c r="E246">
        <v>7.4391999999999996</v>
      </c>
      <c r="F246">
        <v>6176222.6699999999</v>
      </c>
      <c r="G246">
        <v>6.33</v>
      </c>
      <c r="L246" t="s">
        <v>7</v>
      </c>
      <c r="M246" t="s">
        <v>8</v>
      </c>
      <c r="N246" t="s">
        <v>8</v>
      </c>
      <c r="P246">
        <f t="shared" si="959"/>
        <v>0.88148148148148064</v>
      </c>
      <c r="Q246">
        <f t="shared" si="960"/>
        <v>5444225.9091111058</v>
      </c>
      <c r="R246">
        <f t="shared" si="961"/>
        <v>-70280256.942685112</v>
      </c>
      <c r="S246">
        <f t="shared" si="962"/>
        <v>-702.80256942685116</v>
      </c>
      <c r="T246">
        <f t="shared" si="963"/>
        <v>-0.70280256942685115</v>
      </c>
    </row>
    <row r="247" spans="1:20" x14ac:dyDescent="0.25">
      <c r="A247" s="5">
        <v>44346</v>
      </c>
      <c r="B247">
        <v>5.9634999999999998</v>
      </c>
      <c r="C247">
        <v>7.6</v>
      </c>
      <c r="D247">
        <v>5.5117000000000003</v>
      </c>
      <c r="E247">
        <v>6.9962</v>
      </c>
      <c r="F247">
        <v>7227619.7999999998</v>
      </c>
      <c r="G247">
        <v>17.32</v>
      </c>
      <c r="L247" t="s">
        <v>8</v>
      </c>
      <c r="M247" t="s">
        <v>7</v>
      </c>
      <c r="N247" t="s">
        <v>8</v>
      </c>
      <c r="P247">
        <f t="shared" si="959"/>
        <v>0.42173059426327647</v>
      </c>
      <c r="Q247">
        <f t="shared" si="960"/>
        <v>3048108.3933630232</v>
      </c>
      <c r="R247">
        <f t="shared" si="961"/>
        <v>-75724482.851796225</v>
      </c>
      <c r="S247">
        <f t="shared" si="962"/>
        <v>-757.24482851796222</v>
      </c>
      <c r="T247">
        <f t="shared" si="963"/>
        <v>-0.75724482851796227</v>
      </c>
    </row>
    <row r="248" spans="1:20" x14ac:dyDescent="0.25">
      <c r="A248" s="5">
        <v>44345</v>
      </c>
      <c r="B248">
        <v>6.8860000000000001</v>
      </c>
      <c r="C248">
        <v>7.3917000000000002</v>
      </c>
      <c r="D248">
        <v>5.5364000000000004</v>
      </c>
      <c r="E248">
        <v>5.9385000000000003</v>
      </c>
      <c r="F248">
        <v>4445841.83</v>
      </c>
      <c r="G248">
        <v>-13.76</v>
      </c>
      <c r="L248" t="s">
        <v>7</v>
      </c>
      <c r="M248" t="s">
        <v>7</v>
      </c>
      <c r="N248" t="s">
        <v>7</v>
      </c>
      <c r="P248">
        <f t="shared" si="959"/>
        <v>-0.56653910418800202</v>
      </c>
      <c r="Q248">
        <f t="shared" si="960"/>
        <v>-2518743.2477297476</v>
      </c>
      <c r="R248">
        <f t="shared" si="961"/>
        <v>-78772591.245159253</v>
      </c>
      <c r="S248">
        <f t="shared" si="962"/>
        <v>-787.72591245159254</v>
      </c>
      <c r="T248">
        <f t="shared" si="963"/>
        <v>-0.78772591245159251</v>
      </c>
    </row>
    <row r="249" spans="1:20" x14ac:dyDescent="0.25">
      <c r="A249" s="5">
        <v>44344</v>
      </c>
      <c r="B249">
        <v>7.7790999999999997</v>
      </c>
      <c r="C249">
        <v>8.3710000000000004</v>
      </c>
      <c r="D249">
        <v>6.3250999999999999</v>
      </c>
      <c r="E249">
        <v>6.8863000000000003</v>
      </c>
      <c r="F249">
        <v>7337843.04</v>
      </c>
      <c r="G249">
        <v>-11.48</v>
      </c>
      <c r="L249" t="s">
        <v>7</v>
      </c>
      <c r="M249" t="s">
        <v>7</v>
      </c>
      <c r="N249" t="s">
        <v>8</v>
      </c>
      <c r="P249">
        <f t="shared" si="959"/>
        <v>-0.45139058605014887</v>
      </c>
      <c r="Q249">
        <f t="shared" si="960"/>
        <v>-3312233.270169606</v>
      </c>
      <c r="R249">
        <f t="shared" si="961"/>
        <v>-76253847.997429505</v>
      </c>
      <c r="S249">
        <f t="shared" si="962"/>
        <v>-762.538479974295</v>
      </c>
      <c r="T249">
        <f t="shared" si="963"/>
        <v>-0.76253847997429502</v>
      </c>
    </row>
    <row r="250" spans="1:20" x14ac:dyDescent="0.25">
      <c r="A250" s="5">
        <v>44343</v>
      </c>
      <c r="B250">
        <v>7.5704000000000002</v>
      </c>
      <c r="C250">
        <v>8.9039999999999999</v>
      </c>
      <c r="D250">
        <v>6.7009999999999996</v>
      </c>
      <c r="E250">
        <v>7.76</v>
      </c>
      <c r="F250">
        <v>8284846.6600000001</v>
      </c>
      <c r="G250">
        <v>2.5</v>
      </c>
      <c r="L250" t="s">
        <v>8</v>
      </c>
      <c r="M250" t="s">
        <v>8</v>
      </c>
      <c r="N250" t="s">
        <v>8</v>
      </c>
      <c r="P250">
        <f t="shared" si="959"/>
        <v>-3.85837494325919E-2</v>
      </c>
      <c r="Q250">
        <f t="shared" si="960"/>
        <v>-319660.44761688588</v>
      </c>
      <c r="R250">
        <f t="shared" si="961"/>
        <v>-72941614.727259904</v>
      </c>
      <c r="S250">
        <f t="shared" si="962"/>
        <v>-729.41614727259901</v>
      </c>
      <c r="T250">
        <f t="shared" si="963"/>
        <v>-0.72941614727259896</v>
      </c>
    </row>
    <row r="251" spans="1:20" x14ac:dyDescent="0.25">
      <c r="A251" s="5">
        <v>44342</v>
      </c>
      <c r="B251">
        <v>6.8215000000000003</v>
      </c>
      <c r="C251">
        <v>7.75</v>
      </c>
      <c r="D251">
        <v>6.52</v>
      </c>
      <c r="E251">
        <v>7.5704000000000002</v>
      </c>
      <c r="F251">
        <v>7283168.5800000001</v>
      </c>
      <c r="G251">
        <v>10.98</v>
      </c>
      <c r="L251" t="s">
        <v>8</v>
      </c>
      <c r="M251" t="s">
        <v>8</v>
      </c>
      <c r="N251" t="s">
        <v>8</v>
      </c>
      <c r="P251">
        <f t="shared" si="959"/>
        <v>0.70796747967479723</v>
      </c>
      <c r="Q251">
        <f t="shared" si="960"/>
        <v>5156246.5036292719</v>
      </c>
      <c r="R251">
        <f t="shared" si="961"/>
        <v>-72621954.279643014</v>
      </c>
      <c r="S251">
        <f t="shared" si="962"/>
        <v>-726.21954279643012</v>
      </c>
      <c r="T251">
        <f t="shared" si="963"/>
        <v>-0.72621954279643008</v>
      </c>
    </row>
    <row r="252" spans="1:20" x14ac:dyDescent="0.25">
      <c r="A252" s="5">
        <v>44341</v>
      </c>
      <c r="B252">
        <v>6.1489000000000003</v>
      </c>
      <c r="C252">
        <v>7.09</v>
      </c>
      <c r="D252">
        <v>5.2770000000000001</v>
      </c>
      <c r="E252">
        <v>6.82</v>
      </c>
      <c r="F252">
        <v>6887731.79</v>
      </c>
      <c r="G252">
        <v>10.91</v>
      </c>
      <c r="L252" t="s">
        <v>8</v>
      </c>
      <c r="M252" t="s">
        <v>8</v>
      </c>
      <c r="N252" t="s">
        <v>8</v>
      </c>
      <c r="P252">
        <f t="shared" si="959"/>
        <v>0.70215113072255975</v>
      </c>
      <c r="Q252">
        <f t="shared" si="960"/>
        <v>4836228.6644622209</v>
      </c>
      <c r="R252">
        <f t="shared" si="961"/>
        <v>-77778200.783272281</v>
      </c>
      <c r="S252">
        <f t="shared" si="962"/>
        <v>-777.7820078327228</v>
      </c>
      <c r="T252">
        <f t="shared" si="963"/>
        <v>-0.77778200783272278</v>
      </c>
    </row>
    <row r="253" spans="1:20" x14ac:dyDescent="0.25">
      <c r="A253" s="5">
        <v>44340</v>
      </c>
      <c r="B253">
        <v>5.1100000000000003</v>
      </c>
      <c r="C253">
        <v>6.2</v>
      </c>
      <c r="D253">
        <v>4.9184999999999999</v>
      </c>
      <c r="E253">
        <v>6.1489000000000003</v>
      </c>
      <c r="F253">
        <v>5544418.6600000001</v>
      </c>
      <c r="G253">
        <v>20.329999999999998</v>
      </c>
      <c r="L253" t="s">
        <v>8</v>
      </c>
      <c r="M253" t="s">
        <v>8</v>
      </c>
      <c r="N253" t="s">
        <v>8</v>
      </c>
      <c r="P253">
        <f t="shared" si="959"/>
        <v>0.920249707374171</v>
      </c>
      <c r="Q253">
        <f t="shared" si="960"/>
        <v>5102249.6494248938</v>
      </c>
      <c r="R253">
        <f t="shared" si="961"/>
        <v>-82614429.447734505</v>
      </c>
      <c r="S253">
        <f t="shared" si="962"/>
        <v>-826.14429447734506</v>
      </c>
      <c r="T253">
        <f t="shared" si="963"/>
        <v>-0.82614429447734505</v>
      </c>
    </row>
    <row r="254" spans="1:20" x14ac:dyDescent="0.25">
      <c r="A254" s="5">
        <v>44339</v>
      </c>
      <c r="B254">
        <v>6.0946999999999996</v>
      </c>
      <c r="C254">
        <v>6.2499000000000002</v>
      </c>
      <c r="D254">
        <v>3.7616999999999998</v>
      </c>
      <c r="E254">
        <v>5.1050000000000004</v>
      </c>
      <c r="F254">
        <v>7259012.5499999998</v>
      </c>
      <c r="G254">
        <v>-16.239999999999998</v>
      </c>
      <c r="L254" t="s">
        <v>7</v>
      </c>
      <c r="M254" t="s">
        <v>7</v>
      </c>
      <c r="N254" t="s">
        <v>7</v>
      </c>
      <c r="P254">
        <f t="shared" si="959"/>
        <v>7.9736355598424874E-2</v>
      </c>
      <c r="Q254">
        <f t="shared" si="960"/>
        <v>578807.20598022896</v>
      </c>
      <c r="R254">
        <f t="shared" si="961"/>
        <v>-87716679.097159401</v>
      </c>
      <c r="S254">
        <f t="shared" si="962"/>
        <v>-877.16679097159397</v>
      </c>
      <c r="T254">
        <f t="shared" si="963"/>
        <v>-0.877166790971594</v>
      </c>
    </row>
    <row r="255" spans="1:20" x14ac:dyDescent="0.25">
      <c r="A255" s="5">
        <v>44338</v>
      </c>
      <c r="B255">
        <v>6.3224999999999998</v>
      </c>
      <c r="C255">
        <v>6.4981999999999998</v>
      </c>
      <c r="D255">
        <v>5.25</v>
      </c>
      <c r="E255">
        <v>6.0946999999999996</v>
      </c>
      <c r="F255">
        <v>4620574.92</v>
      </c>
      <c r="G255">
        <v>-3.6</v>
      </c>
      <c r="L255" t="s">
        <v>8</v>
      </c>
      <c r="M255" t="s">
        <v>8</v>
      </c>
      <c r="N255" t="s">
        <v>7</v>
      </c>
      <c r="P255">
        <f t="shared" si="959"/>
        <v>0.35346899535330834</v>
      </c>
      <c r="Q255">
        <f t="shared" si="960"/>
        <v>1633229.9749270929</v>
      </c>
      <c r="R255">
        <f t="shared" si="961"/>
        <v>-88295486.303139627</v>
      </c>
      <c r="S255">
        <f t="shared" si="962"/>
        <v>-882.95486303139626</v>
      </c>
      <c r="T255">
        <f t="shared" si="963"/>
        <v>-0.88295486303139625</v>
      </c>
    </row>
    <row r="256" spans="1:20" x14ac:dyDescent="0.25">
      <c r="A256" s="5">
        <v>44337</v>
      </c>
      <c r="B256">
        <v>7.4484000000000004</v>
      </c>
      <c r="C256">
        <v>8.0507000000000009</v>
      </c>
      <c r="D256">
        <v>5.2100999999999997</v>
      </c>
      <c r="E256">
        <v>6.3574000000000002</v>
      </c>
      <c r="F256">
        <v>6346490.6699999999</v>
      </c>
      <c r="G256">
        <v>-14.65</v>
      </c>
      <c r="L256" t="s">
        <v>7</v>
      </c>
      <c r="M256" t="s">
        <v>7</v>
      </c>
      <c r="N256" t="s">
        <v>7</v>
      </c>
      <c r="P256">
        <f t="shared" si="959"/>
        <v>-0.19221291276490884</v>
      </c>
      <c r="Q256">
        <f t="shared" si="960"/>
        <v>-1219877.4575160178</v>
      </c>
      <c r="R256">
        <f t="shared" si="961"/>
        <v>-89928716.278066725</v>
      </c>
      <c r="S256">
        <f t="shared" si="962"/>
        <v>-899.28716278066724</v>
      </c>
      <c r="T256">
        <f t="shared" si="963"/>
        <v>-0.89928716278066723</v>
      </c>
    </row>
    <row r="257" spans="1:20" x14ac:dyDescent="0.25">
      <c r="A257" s="5">
        <v>44336</v>
      </c>
      <c r="B257">
        <v>6.7609000000000004</v>
      </c>
      <c r="C257">
        <v>8.3209999999999997</v>
      </c>
      <c r="D257">
        <v>6.0307000000000004</v>
      </c>
      <c r="E257">
        <v>7.4573</v>
      </c>
      <c r="F257">
        <v>6386889.0300000003</v>
      </c>
      <c r="G257">
        <v>10.3</v>
      </c>
      <c r="L257" t="s">
        <v>8</v>
      </c>
      <c r="M257" t="s">
        <v>8</v>
      </c>
      <c r="N257" t="s">
        <v>8</v>
      </c>
      <c r="P257">
        <f t="shared" si="959"/>
        <v>0.24577566257695505</v>
      </c>
      <c r="Q257">
        <f t="shared" si="960"/>
        <v>1569741.8831537357</v>
      </c>
      <c r="R257">
        <f t="shared" si="961"/>
        <v>-88708838.82055071</v>
      </c>
      <c r="S257">
        <f t="shared" si="962"/>
        <v>-887.08838820550704</v>
      </c>
      <c r="T257">
        <f t="shared" si="963"/>
        <v>-0.88708838820550706</v>
      </c>
    </row>
    <row r="258" spans="1:20" x14ac:dyDescent="0.25">
      <c r="A258" s="5">
        <v>44335</v>
      </c>
      <c r="B258">
        <v>11.5997</v>
      </c>
      <c r="C258">
        <v>12.03</v>
      </c>
      <c r="D258">
        <v>5.8</v>
      </c>
      <c r="E258">
        <v>6.7655000000000003</v>
      </c>
      <c r="F258">
        <v>10801157.300000001</v>
      </c>
      <c r="G258">
        <v>-41.68</v>
      </c>
      <c r="L258" t="s">
        <v>7</v>
      </c>
      <c r="M258" t="s">
        <v>7</v>
      </c>
      <c r="N258" t="s">
        <v>7</v>
      </c>
      <c r="P258">
        <f t="shared" si="959"/>
        <v>-0.69004815409309772</v>
      </c>
      <c r="Q258">
        <f t="shared" si="960"/>
        <v>-7453318.6569341877</v>
      </c>
      <c r="R258">
        <f t="shared" si="961"/>
        <v>-90278580.703704447</v>
      </c>
      <c r="S258">
        <f t="shared" si="962"/>
        <v>-902.78580703704449</v>
      </c>
      <c r="T258">
        <f t="shared" si="963"/>
        <v>-0.90278580703704447</v>
      </c>
    </row>
    <row r="259" spans="1:20" x14ac:dyDescent="0.25">
      <c r="A259" s="5">
        <v>44334</v>
      </c>
      <c r="B259">
        <v>13.0618</v>
      </c>
      <c r="C259">
        <v>13.7659</v>
      </c>
      <c r="D259">
        <v>11.3111</v>
      </c>
      <c r="E259">
        <v>11.5961</v>
      </c>
      <c r="F259">
        <v>7045014.5899999999</v>
      </c>
      <c r="G259">
        <v>-11.22</v>
      </c>
      <c r="L259" t="s">
        <v>8</v>
      </c>
      <c r="M259" t="s">
        <v>7</v>
      </c>
      <c r="N259" t="s">
        <v>8</v>
      </c>
      <c r="P259">
        <f t="shared" si="959"/>
        <v>-0.7678018575851393</v>
      </c>
      <c r="Q259">
        <f t="shared" si="960"/>
        <v>-5409175.2889164081</v>
      </c>
      <c r="R259">
        <f t="shared" si="961"/>
        <v>-82825262.04677026</v>
      </c>
      <c r="S259">
        <f t="shared" si="962"/>
        <v>-828.25262046770263</v>
      </c>
      <c r="T259">
        <f t="shared" si="963"/>
        <v>-0.82825262046770265</v>
      </c>
    </row>
    <row r="260" spans="1:20" x14ac:dyDescent="0.25">
      <c r="A260" s="5">
        <v>44333</v>
      </c>
      <c r="B260">
        <v>10.984400000000001</v>
      </c>
      <c r="C260">
        <v>13.53</v>
      </c>
      <c r="D260">
        <v>9.5</v>
      </c>
      <c r="E260">
        <v>13.082800000000001</v>
      </c>
      <c r="F260">
        <v>11063836.449999999</v>
      </c>
      <c r="G260">
        <v>19.100000000000001</v>
      </c>
      <c r="L260" t="s">
        <v>8</v>
      </c>
      <c r="M260" t="s">
        <v>8</v>
      </c>
      <c r="N260" t="s">
        <v>8</v>
      </c>
      <c r="P260">
        <f t="shared" si="959"/>
        <v>0.77806451612903282</v>
      </c>
      <c r="Q260">
        <f t="shared" si="960"/>
        <v>8608378.5540000051</v>
      </c>
      <c r="R260">
        <f t="shared" si="961"/>
        <v>-77416086.757853851</v>
      </c>
      <c r="S260">
        <f t="shared" si="962"/>
        <v>-774.1608675785385</v>
      </c>
      <c r="T260">
        <f t="shared" si="963"/>
        <v>-0.77416086757853853</v>
      </c>
    </row>
    <row r="261" spans="1:20" x14ac:dyDescent="0.25">
      <c r="A261" s="5">
        <v>44332</v>
      </c>
      <c r="B261">
        <v>10.0389</v>
      </c>
      <c r="C261">
        <v>11.99</v>
      </c>
      <c r="D261">
        <v>9.9835999999999991</v>
      </c>
      <c r="E261">
        <v>10.993399999999999</v>
      </c>
      <c r="F261">
        <v>4068162.4</v>
      </c>
      <c r="G261">
        <v>9.51</v>
      </c>
      <c r="L261" t="s">
        <v>8</v>
      </c>
      <c r="M261" t="s">
        <v>8</v>
      </c>
      <c r="N261" t="s">
        <v>7</v>
      </c>
      <c r="P261">
        <f t="shared" si="959"/>
        <v>6.5789473684207669E-3</v>
      </c>
      <c r="Q261">
        <f t="shared" si="960"/>
        <v>26764.22631578831</v>
      </c>
      <c r="R261">
        <f t="shared" si="961"/>
        <v>-86024465.311853856</v>
      </c>
      <c r="S261">
        <f t="shared" si="962"/>
        <v>-860.24465311853851</v>
      </c>
      <c r="T261">
        <f t="shared" si="963"/>
        <v>-0.86024465311853848</v>
      </c>
    </row>
    <row r="262" spans="1:20" x14ac:dyDescent="0.25">
      <c r="A262" s="5">
        <v>44331</v>
      </c>
      <c r="B262">
        <v>11.237</v>
      </c>
      <c r="C262">
        <v>11.49</v>
      </c>
      <c r="D262">
        <v>9.8775999999999993</v>
      </c>
      <c r="E262">
        <v>10.0471</v>
      </c>
      <c r="F262">
        <v>2996148.06</v>
      </c>
      <c r="G262">
        <v>-10.59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-0.78975440337385139</v>
      </c>
      <c r="Q262">
        <f t="shared" ref="Q262:Q325" si="965">F262*P262</f>
        <v>-2366221.1235450222</v>
      </c>
      <c r="R262">
        <f t="shared" ref="R262:R325" si="966">R263+Q262</f>
        <v>-86051229.538169637</v>
      </c>
      <c r="S262">
        <f t="shared" ref="S262:S325" si="967">R262/100000</f>
        <v>-860.51229538169639</v>
      </c>
      <c r="T262">
        <f t="shared" ref="T262:T325" si="968">S262/1000</f>
        <v>-0.86051229538169638</v>
      </c>
    </row>
    <row r="263" spans="1:20" x14ac:dyDescent="0.25">
      <c r="A263" s="5">
        <v>44330</v>
      </c>
      <c r="B263">
        <v>10.376300000000001</v>
      </c>
      <c r="C263">
        <v>11.894299999999999</v>
      </c>
      <c r="D263">
        <v>10.2036</v>
      </c>
      <c r="E263">
        <v>11.220700000000001</v>
      </c>
      <c r="F263">
        <v>3343453.95</v>
      </c>
      <c r="G263">
        <v>8.14</v>
      </c>
      <c r="L263" t="s">
        <v>8</v>
      </c>
      <c r="M263" t="s">
        <v>8</v>
      </c>
      <c r="N263" t="s">
        <v>7</v>
      </c>
      <c r="P263">
        <f t="shared" si="964"/>
        <v>0.20317028449754684</v>
      </c>
      <c r="Q263">
        <f t="shared" si="965"/>
        <v>679290.49022594676</v>
      </c>
      <c r="R263">
        <f t="shared" si="966"/>
        <v>-83685008.414624617</v>
      </c>
      <c r="S263">
        <f t="shared" si="967"/>
        <v>-836.85008414624622</v>
      </c>
      <c r="T263">
        <f t="shared" si="968"/>
        <v>-0.83685008414624618</v>
      </c>
    </row>
    <row r="264" spans="1:20" x14ac:dyDescent="0.25">
      <c r="A264" s="5">
        <v>44329</v>
      </c>
      <c r="B264">
        <v>9.9754000000000005</v>
      </c>
      <c r="C264">
        <v>11.87</v>
      </c>
      <c r="D264">
        <v>9.48</v>
      </c>
      <c r="E264">
        <v>10.367100000000001</v>
      </c>
      <c r="F264">
        <v>4740286.9800000004</v>
      </c>
      <c r="G264">
        <v>3.93</v>
      </c>
      <c r="L264" t="s">
        <v>7</v>
      </c>
      <c r="M264" t="s">
        <v>7</v>
      </c>
      <c r="N264" t="s">
        <v>7</v>
      </c>
      <c r="P264">
        <f t="shared" si="964"/>
        <v>-0.25765690376568984</v>
      </c>
      <c r="Q264">
        <f t="shared" si="965"/>
        <v>-1221367.6662276126</v>
      </c>
      <c r="R264">
        <f t="shared" si="966"/>
        <v>-84364298.904850557</v>
      </c>
      <c r="S264">
        <f t="shared" si="967"/>
        <v>-843.64298904850557</v>
      </c>
      <c r="T264">
        <f t="shared" si="968"/>
        <v>-0.84364298904850554</v>
      </c>
    </row>
    <row r="265" spans="1:20" x14ac:dyDescent="0.25">
      <c r="A265" s="5">
        <v>44328</v>
      </c>
      <c r="B265">
        <v>12.9528</v>
      </c>
      <c r="C265">
        <v>14</v>
      </c>
      <c r="D265">
        <v>9.8309999999999995</v>
      </c>
      <c r="E265">
        <v>9.9749999999999996</v>
      </c>
      <c r="F265">
        <v>5236125.83</v>
      </c>
      <c r="G265">
        <v>-22.99</v>
      </c>
      <c r="L265" t="s">
        <v>8</v>
      </c>
      <c r="M265" t="s">
        <v>8</v>
      </c>
      <c r="N265" t="s">
        <v>7</v>
      </c>
      <c r="P265">
        <f t="shared" si="964"/>
        <v>-0.93091868553609969</v>
      </c>
      <c r="Q265">
        <f t="shared" si="965"/>
        <v>-4874407.3749652188</v>
      </c>
      <c r="R265">
        <f t="shared" si="966"/>
        <v>-83142931.238622949</v>
      </c>
      <c r="S265">
        <f t="shared" si="967"/>
        <v>-831.42931238622953</v>
      </c>
      <c r="T265">
        <f t="shared" si="968"/>
        <v>-0.83142931238622952</v>
      </c>
    </row>
    <row r="266" spans="1:20" x14ac:dyDescent="0.25">
      <c r="A266" s="5">
        <v>44327</v>
      </c>
      <c r="B266">
        <v>11.6554</v>
      </c>
      <c r="C266">
        <v>13.2</v>
      </c>
      <c r="D266">
        <v>11.2</v>
      </c>
      <c r="E266">
        <v>12.9655</v>
      </c>
      <c r="F266">
        <v>4127984.18</v>
      </c>
      <c r="G266">
        <v>11.24</v>
      </c>
      <c r="L266" t="s">
        <v>8</v>
      </c>
      <c r="M266" t="s">
        <v>8</v>
      </c>
      <c r="N266" t="s">
        <v>7</v>
      </c>
      <c r="P266">
        <f t="shared" si="964"/>
        <v>0.76550000000000118</v>
      </c>
      <c r="Q266">
        <f t="shared" si="965"/>
        <v>3159971.8897900051</v>
      </c>
      <c r="R266">
        <f t="shared" si="966"/>
        <v>-78268523.863657728</v>
      </c>
      <c r="S266">
        <f t="shared" si="967"/>
        <v>-782.68523863657731</v>
      </c>
      <c r="T266">
        <f t="shared" si="968"/>
        <v>-0.78268523863657735</v>
      </c>
    </row>
    <row r="267" spans="1:20" x14ac:dyDescent="0.25">
      <c r="A267" s="5">
        <v>44326</v>
      </c>
      <c r="B267">
        <v>13.793799999999999</v>
      </c>
      <c r="C267">
        <v>15.1837</v>
      </c>
      <c r="D267">
        <v>10.4</v>
      </c>
      <c r="E267">
        <v>11.667299999999999</v>
      </c>
      <c r="F267">
        <v>6086711.04</v>
      </c>
      <c r="G267">
        <v>-15.42</v>
      </c>
      <c r="L267" t="s">
        <v>7</v>
      </c>
      <c r="M267" t="s">
        <v>7</v>
      </c>
      <c r="N267" t="s">
        <v>7</v>
      </c>
      <c r="P267">
        <f t="shared" si="964"/>
        <v>-0.47015908188222555</v>
      </c>
      <c r="Q267">
        <f t="shared" si="965"/>
        <v>-2861722.474248806</v>
      </c>
      <c r="R267">
        <f t="shared" si="966"/>
        <v>-81428495.753447726</v>
      </c>
      <c r="S267">
        <f t="shared" si="967"/>
        <v>-814.28495753447726</v>
      </c>
      <c r="T267">
        <f t="shared" si="968"/>
        <v>-0.81428495753447727</v>
      </c>
    </row>
    <row r="268" spans="1:20" x14ac:dyDescent="0.25">
      <c r="A268" s="5">
        <v>44325</v>
      </c>
      <c r="B268">
        <v>14.309900000000001</v>
      </c>
      <c r="C268">
        <v>14.398099999999999</v>
      </c>
      <c r="D268">
        <v>13.04</v>
      </c>
      <c r="E268">
        <v>13.7957</v>
      </c>
      <c r="F268">
        <v>3533005.6</v>
      </c>
      <c r="G268">
        <v>-3.59</v>
      </c>
      <c r="L268" t="s">
        <v>7</v>
      </c>
      <c r="M268" t="s">
        <v>7</v>
      </c>
      <c r="N268" t="s">
        <v>7</v>
      </c>
      <c r="P268">
        <f t="shared" si="964"/>
        <v>0.1128782858405136</v>
      </c>
      <c r="Q268">
        <f t="shared" si="965"/>
        <v>398799.61599293526</v>
      </c>
      <c r="R268">
        <f t="shared" si="966"/>
        <v>-78566773.279198915</v>
      </c>
      <c r="S268">
        <f t="shared" si="967"/>
        <v>-785.66773279198912</v>
      </c>
      <c r="T268">
        <f t="shared" si="968"/>
        <v>-0.78566773279198909</v>
      </c>
    </row>
    <row r="269" spans="1:20" x14ac:dyDescent="0.25">
      <c r="A269" s="5">
        <v>44324</v>
      </c>
      <c r="B269">
        <v>13.5733</v>
      </c>
      <c r="C269">
        <v>15.753</v>
      </c>
      <c r="D269">
        <v>13.438700000000001</v>
      </c>
      <c r="E269">
        <v>14.286899999999999</v>
      </c>
      <c r="F269">
        <v>6924016.5700000003</v>
      </c>
      <c r="G269">
        <v>5.26</v>
      </c>
      <c r="L269" t="s">
        <v>8</v>
      </c>
      <c r="M269" t="s">
        <v>8</v>
      </c>
      <c r="N269" t="s">
        <v>7</v>
      </c>
      <c r="P269">
        <f t="shared" si="964"/>
        <v>-0.26699217906062417</v>
      </c>
      <c r="Q269">
        <f t="shared" si="965"/>
        <v>-1848658.2718761689</v>
      </c>
      <c r="R269">
        <f t="shared" si="966"/>
        <v>-78965572.895191848</v>
      </c>
      <c r="S269">
        <f t="shared" si="967"/>
        <v>-789.65572895191849</v>
      </c>
      <c r="T269">
        <f t="shared" si="968"/>
        <v>-0.78965572895191849</v>
      </c>
    </row>
    <row r="270" spans="1:20" x14ac:dyDescent="0.25">
      <c r="A270" s="5">
        <v>44323</v>
      </c>
      <c r="B270">
        <v>14.212199999999999</v>
      </c>
      <c r="C270">
        <v>14.765599999999999</v>
      </c>
      <c r="D270">
        <v>13</v>
      </c>
      <c r="E270">
        <v>13.5578</v>
      </c>
      <c r="F270">
        <v>4554534.26</v>
      </c>
      <c r="G270">
        <v>-4.5999999999999996</v>
      </c>
      <c r="L270" t="s">
        <v>7</v>
      </c>
      <c r="M270" t="s">
        <v>7</v>
      </c>
      <c r="N270" t="s">
        <v>7</v>
      </c>
      <c r="P270">
        <f t="shared" si="964"/>
        <v>-0.36814680561848601</v>
      </c>
      <c r="Q270">
        <f t="shared" si="965"/>
        <v>-1676737.2388989548</v>
      </c>
      <c r="R270">
        <f t="shared" si="966"/>
        <v>-77116914.623315677</v>
      </c>
      <c r="S270">
        <f t="shared" si="967"/>
        <v>-771.16914623315677</v>
      </c>
      <c r="T270">
        <f t="shared" si="968"/>
        <v>-0.7711691462331568</v>
      </c>
    </row>
    <row r="271" spans="1:20" x14ac:dyDescent="0.25">
      <c r="A271" s="5">
        <v>44322</v>
      </c>
      <c r="B271">
        <v>14.5877</v>
      </c>
      <c r="C271">
        <v>16.100000000000001</v>
      </c>
      <c r="D271">
        <v>13.61</v>
      </c>
      <c r="E271">
        <v>14.2121</v>
      </c>
      <c r="F271">
        <v>7182117.3899999997</v>
      </c>
      <c r="G271">
        <v>-2.57</v>
      </c>
      <c r="L271" t="s">
        <v>8</v>
      </c>
      <c r="M271" t="s">
        <v>7</v>
      </c>
      <c r="N271" t="s">
        <v>7</v>
      </c>
      <c r="P271">
        <f t="shared" si="964"/>
        <v>-0.51638554216867505</v>
      </c>
      <c r="Q271">
        <f t="shared" si="965"/>
        <v>-3708741.5823542192</v>
      </c>
      <c r="R271">
        <f t="shared" si="966"/>
        <v>-75440177.384416729</v>
      </c>
      <c r="S271">
        <f t="shared" si="967"/>
        <v>-754.40177384416734</v>
      </c>
      <c r="T271">
        <f t="shared" si="968"/>
        <v>-0.75440177384416729</v>
      </c>
    </row>
    <row r="272" spans="1:20" x14ac:dyDescent="0.25">
      <c r="A272" s="5">
        <v>44321</v>
      </c>
      <c r="B272">
        <v>13.8567</v>
      </c>
      <c r="C272">
        <v>15.6989</v>
      </c>
      <c r="D272">
        <v>13.6501</v>
      </c>
      <c r="E272">
        <v>14.5661</v>
      </c>
      <c r="F272">
        <v>6291154.3300000001</v>
      </c>
      <c r="G272">
        <v>5.12</v>
      </c>
      <c r="L272" t="s">
        <v>8</v>
      </c>
      <c r="M272" t="s">
        <v>7</v>
      </c>
      <c r="N272" t="s">
        <v>7</v>
      </c>
      <c r="P272">
        <f t="shared" si="964"/>
        <v>-0.10581803982819173</v>
      </c>
      <c r="Q272">
        <f t="shared" si="965"/>
        <v>-665717.6194572408</v>
      </c>
      <c r="R272">
        <f t="shared" si="966"/>
        <v>-71731435.802062511</v>
      </c>
      <c r="S272">
        <f t="shared" si="967"/>
        <v>-717.31435802062515</v>
      </c>
      <c r="T272">
        <f t="shared" si="968"/>
        <v>-0.71731435802062515</v>
      </c>
    </row>
    <row r="273" spans="1:20" x14ac:dyDescent="0.25">
      <c r="A273" s="5">
        <v>44320</v>
      </c>
      <c r="B273">
        <v>16.519600000000001</v>
      </c>
      <c r="C273">
        <v>17.199100000000001</v>
      </c>
      <c r="D273">
        <v>13.579000000000001</v>
      </c>
      <c r="E273">
        <v>13.869899999999999</v>
      </c>
      <c r="F273">
        <v>8882384.3900000006</v>
      </c>
      <c r="G273">
        <v>-16.04</v>
      </c>
      <c r="L273" t="s">
        <v>7</v>
      </c>
      <c r="M273" t="s">
        <v>7</v>
      </c>
      <c r="N273" t="s">
        <v>7</v>
      </c>
      <c r="P273">
        <f t="shared" si="964"/>
        <v>-0.83928620756332761</v>
      </c>
      <c r="Q273">
        <f t="shared" si="965"/>
        <v>-7454862.7088028016</v>
      </c>
      <c r="R273">
        <f t="shared" si="966"/>
        <v>-71065718.182605267</v>
      </c>
      <c r="S273">
        <f t="shared" si="967"/>
        <v>-710.65718182605269</v>
      </c>
      <c r="T273">
        <f t="shared" si="968"/>
        <v>-0.71065718182605264</v>
      </c>
    </row>
    <row r="274" spans="1:20" x14ac:dyDescent="0.25">
      <c r="A274" s="5">
        <v>44319</v>
      </c>
      <c r="B274">
        <v>17.477</v>
      </c>
      <c r="C274">
        <v>18.88</v>
      </c>
      <c r="D274">
        <v>15.876899999999999</v>
      </c>
      <c r="E274">
        <v>16.4998</v>
      </c>
      <c r="F274">
        <v>6677744.1399999997</v>
      </c>
      <c r="G274">
        <v>-5.59</v>
      </c>
      <c r="L274" t="s">
        <v>7</v>
      </c>
      <c r="M274" t="s">
        <v>7</v>
      </c>
      <c r="N274" t="s">
        <v>8</v>
      </c>
      <c r="P274">
        <f t="shared" si="964"/>
        <v>-0.58516199926742274</v>
      </c>
      <c r="Q274">
        <f t="shared" si="965"/>
        <v>-3907562.1115587163</v>
      </c>
      <c r="R274">
        <f t="shared" si="966"/>
        <v>-63610855.473802462</v>
      </c>
      <c r="S274">
        <f t="shared" si="967"/>
        <v>-636.10855473802462</v>
      </c>
      <c r="T274">
        <f t="shared" si="968"/>
        <v>-0.63610855473802463</v>
      </c>
    </row>
    <row r="275" spans="1:20" x14ac:dyDescent="0.25">
      <c r="A275" s="5">
        <v>44318</v>
      </c>
      <c r="B275">
        <v>18.210699999999999</v>
      </c>
      <c r="C275">
        <v>19.245000000000001</v>
      </c>
      <c r="D275">
        <v>16.6693</v>
      </c>
      <c r="E275">
        <v>17.4802</v>
      </c>
      <c r="F275">
        <v>8566837.9499999993</v>
      </c>
      <c r="G275">
        <v>-4.01</v>
      </c>
      <c r="L275" t="s">
        <v>7</v>
      </c>
      <c r="M275" t="s">
        <v>7</v>
      </c>
      <c r="N275" t="s">
        <v>8</v>
      </c>
      <c r="P275">
        <f t="shared" si="964"/>
        <v>-0.37034592537950867</v>
      </c>
      <c r="Q275">
        <f t="shared" si="965"/>
        <v>-3172693.5281690429</v>
      </c>
      <c r="R275">
        <f t="shared" si="966"/>
        <v>-59703293.362243749</v>
      </c>
      <c r="S275">
        <f t="shared" si="967"/>
        <v>-597.03293362243744</v>
      </c>
      <c r="T275">
        <f t="shared" si="968"/>
        <v>-0.59703293362243748</v>
      </c>
    </row>
    <row r="276" spans="1:20" x14ac:dyDescent="0.25">
      <c r="A276" s="5">
        <v>44317</v>
      </c>
      <c r="B276">
        <v>17.650200000000002</v>
      </c>
      <c r="C276">
        <v>19.666899999999998</v>
      </c>
      <c r="D276">
        <v>15.808</v>
      </c>
      <c r="E276">
        <v>18.210699999999999</v>
      </c>
      <c r="F276">
        <v>17477658.370000001</v>
      </c>
      <c r="G276">
        <v>3.18</v>
      </c>
      <c r="L276" t="s">
        <v>8</v>
      </c>
      <c r="M276" t="s">
        <v>8</v>
      </c>
      <c r="N276" t="s">
        <v>8</v>
      </c>
      <c r="P276">
        <f t="shared" si="964"/>
        <v>0.24527715151986337</v>
      </c>
      <c r="Q276">
        <f t="shared" si="965"/>
        <v>4286870.2602308989</v>
      </c>
      <c r="R276">
        <f t="shared" si="966"/>
        <v>-56530599.834074706</v>
      </c>
      <c r="S276">
        <f t="shared" si="967"/>
        <v>-565.30599834074701</v>
      </c>
      <c r="T276">
        <f t="shared" si="968"/>
        <v>-0.56530599834074702</v>
      </c>
    </row>
    <row r="277" spans="1:20" x14ac:dyDescent="0.25">
      <c r="A277" s="5">
        <v>44316</v>
      </c>
      <c r="B277">
        <v>13.4757</v>
      </c>
      <c r="C277">
        <v>18.7</v>
      </c>
      <c r="D277">
        <v>12.55</v>
      </c>
      <c r="E277">
        <v>17.653400000000001</v>
      </c>
      <c r="F277">
        <v>15947818.9</v>
      </c>
      <c r="G277">
        <v>31</v>
      </c>
      <c r="L277" t="s">
        <v>8</v>
      </c>
      <c r="M277" t="s">
        <v>8</v>
      </c>
      <c r="N277" t="s">
        <v>8</v>
      </c>
      <c r="P277">
        <f t="shared" si="964"/>
        <v>0.65964227642276485</v>
      </c>
      <c r="Q277">
        <f t="shared" si="965"/>
        <v>10519855.563173994</v>
      </c>
      <c r="R277">
        <f t="shared" si="966"/>
        <v>-60817470.094305605</v>
      </c>
      <c r="S277">
        <f t="shared" si="967"/>
        <v>-608.174700943056</v>
      </c>
      <c r="T277">
        <f t="shared" si="968"/>
        <v>-0.60817470094305603</v>
      </c>
    </row>
    <row r="278" spans="1:20" x14ac:dyDescent="0.25">
      <c r="A278" s="5">
        <v>44315</v>
      </c>
      <c r="B278">
        <v>13.019500000000001</v>
      </c>
      <c r="C278">
        <v>16.581199999999999</v>
      </c>
      <c r="D278">
        <v>12.891299999999999</v>
      </c>
      <c r="E278">
        <v>13.4582</v>
      </c>
      <c r="F278">
        <v>22115443.100000001</v>
      </c>
      <c r="G278">
        <v>3.37</v>
      </c>
      <c r="L278" t="s">
        <v>8</v>
      </c>
      <c r="M278" t="s">
        <v>8</v>
      </c>
      <c r="N278" t="s">
        <v>8</v>
      </c>
      <c r="P278">
        <f t="shared" si="964"/>
        <v>-0.6927288002384886</v>
      </c>
      <c r="Q278">
        <f t="shared" si="965"/>
        <v>-15320004.365405561</v>
      </c>
      <c r="R278">
        <f t="shared" si="966"/>
        <v>-71337325.657479599</v>
      </c>
      <c r="S278">
        <f t="shared" si="967"/>
        <v>-713.37325657479596</v>
      </c>
      <c r="T278">
        <f t="shared" si="968"/>
        <v>-0.713373256574796</v>
      </c>
    </row>
    <row r="279" spans="1:20" x14ac:dyDescent="0.25">
      <c r="A279" s="5">
        <v>44314</v>
      </c>
      <c r="B279">
        <v>10.419600000000001</v>
      </c>
      <c r="C279">
        <v>13.6198</v>
      </c>
      <c r="D279">
        <v>9.2231000000000005</v>
      </c>
      <c r="E279">
        <v>13.0199</v>
      </c>
      <c r="F279">
        <v>11058513.9</v>
      </c>
      <c r="G279">
        <v>24.96</v>
      </c>
      <c r="L279" t="s">
        <v>8</v>
      </c>
      <c r="M279" t="s">
        <v>8</v>
      </c>
      <c r="N279" t="s">
        <v>8</v>
      </c>
      <c r="P279">
        <f t="shared" si="964"/>
        <v>0.72711351695589876</v>
      </c>
      <c r="Q279">
        <f t="shared" si="965"/>
        <v>8040794.9341346929</v>
      </c>
      <c r="R279">
        <f t="shared" si="966"/>
        <v>-56017321.292074032</v>
      </c>
      <c r="S279">
        <f t="shared" si="967"/>
        <v>-560.1732129207403</v>
      </c>
      <c r="T279">
        <f t="shared" si="968"/>
        <v>-0.56017321292074029</v>
      </c>
    </row>
    <row r="280" spans="1:20" x14ac:dyDescent="0.25">
      <c r="A280" s="5">
        <v>44313</v>
      </c>
      <c r="B280">
        <v>8.9517000000000007</v>
      </c>
      <c r="C280">
        <v>10.99</v>
      </c>
      <c r="D280">
        <v>8.6399000000000008</v>
      </c>
      <c r="E280">
        <v>10.42</v>
      </c>
      <c r="F280">
        <v>7024755.3899999997</v>
      </c>
      <c r="G280">
        <v>16.399999999999999</v>
      </c>
      <c r="L280" t="s">
        <v>8</v>
      </c>
      <c r="M280" t="s">
        <v>8</v>
      </c>
      <c r="N280" t="s">
        <v>8</v>
      </c>
      <c r="P280">
        <f t="shared" si="964"/>
        <v>0.51491425896770315</v>
      </c>
      <c r="Q280">
        <f t="shared" si="965"/>
        <v>3617146.7160712285</v>
      </c>
      <c r="R280">
        <f t="shared" si="966"/>
        <v>-64058116.226208724</v>
      </c>
      <c r="S280">
        <f t="shared" si="967"/>
        <v>-640.58116226208722</v>
      </c>
      <c r="T280">
        <f t="shared" si="968"/>
        <v>-0.64058116226208717</v>
      </c>
    </row>
    <row r="281" spans="1:20" x14ac:dyDescent="0.25">
      <c r="A281" s="5">
        <v>44312</v>
      </c>
      <c r="B281">
        <v>8.1950000000000003</v>
      </c>
      <c r="C281">
        <v>9.5</v>
      </c>
      <c r="D281">
        <v>8.0200999999999993</v>
      </c>
      <c r="E281">
        <v>8.9440000000000008</v>
      </c>
      <c r="F281">
        <v>5013716</v>
      </c>
      <c r="G281">
        <v>9.14</v>
      </c>
      <c r="L281" t="s">
        <v>7</v>
      </c>
      <c r="M281" t="s">
        <v>7</v>
      </c>
      <c r="N281" t="s">
        <v>7</v>
      </c>
      <c r="P281">
        <f t="shared" si="964"/>
        <v>0.24859787823501736</v>
      </c>
      <c r="Q281">
        <f t="shared" si="965"/>
        <v>1246399.1596729583</v>
      </c>
      <c r="R281">
        <f t="shared" si="966"/>
        <v>-67675262.94227995</v>
      </c>
      <c r="S281">
        <f t="shared" si="967"/>
        <v>-676.75262942279949</v>
      </c>
      <c r="T281">
        <f t="shared" si="968"/>
        <v>-0.67675262942279946</v>
      </c>
    </row>
    <row r="282" spans="1:20" x14ac:dyDescent="0.25">
      <c r="A282" s="5">
        <v>44311</v>
      </c>
      <c r="B282">
        <v>7.2995999999999999</v>
      </c>
      <c r="C282">
        <v>12.53</v>
      </c>
      <c r="D282">
        <v>7.2782</v>
      </c>
      <c r="E282">
        <v>8.1948000000000008</v>
      </c>
      <c r="F282">
        <v>13439187.58</v>
      </c>
      <c r="G282">
        <v>12.26</v>
      </c>
      <c r="L282" t="s">
        <v>8</v>
      </c>
      <c r="M282" t="s">
        <v>8</v>
      </c>
      <c r="N282" t="s">
        <v>8</v>
      </c>
      <c r="P282">
        <f t="shared" si="964"/>
        <v>-0.65093872577021183</v>
      </c>
      <c r="Q282">
        <f t="shared" si="965"/>
        <v>-8748087.638712056</v>
      </c>
      <c r="R282">
        <f t="shared" si="966"/>
        <v>-68921662.10195291</v>
      </c>
      <c r="S282">
        <f t="shared" si="967"/>
        <v>-689.21662101952916</v>
      </c>
      <c r="T282">
        <f t="shared" si="968"/>
        <v>-0.68921662101952919</v>
      </c>
    </row>
    <row r="283" spans="1:20" x14ac:dyDescent="0.25">
      <c r="A283" s="5">
        <v>44310</v>
      </c>
      <c r="B283">
        <v>7.5323000000000002</v>
      </c>
      <c r="C283">
        <v>7.5507</v>
      </c>
      <c r="D283">
        <v>6.7103999999999999</v>
      </c>
      <c r="E283">
        <v>7.3</v>
      </c>
      <c r="F283">
        <v>2003046.42</v>
      </c>
      <c r="G283">
        <v>-3.08</v>
      </c>
      <c r="L283" t="s">
        <v>8</v>
      </c>
      <c r="M283" t="s">
        <v>8</v>
      </c>
      <c r="N283" t="s">
        <v>7</v>
      </c>
      <c r="P283">
        <f t="shared" si="964"/>
        <v>0.40330834225871681</v>
      </c>
      <c r="Q283">
        <f t="shared" si="965"/>
        <v>807845.33111745736</v>
      </c>
      <c r="R283">
        <f t="shared" si="966"/>
        <v>-60173574.463240854</v>
      </c>
      <c r="S283">
        <f t="shared" si="967"/>
        <v>-601.73574463240857</v>
      </c>
      <c r="T283">
        <f t="shared" si="968"/>
        <v>-0.60173574463240853</v>
      </c>
    </row>
    <row r="284" spans="1:20" x14ac:dyDescent="0.25">
      <c r="A284" s="5">
        <v>44309</v>
      </c>
      <c r="B284">
        <v>7.8605</v>
      </c>
      <c r="C284">
        <v>8.0143000000000004</v>
      </c>
      <c r="D284">
        <v>6.2</v>
      </c>
      <c r="E284">
        <v>7.5537000000000001</v>
      </c>
      <c r="F284">
        <v>2823561.36</v>
      </c>
      <c r="G284">
        <v>-3.9</v>
      </c>
      <c r="L284" t="s">
        <v>7</v>
      </c>
      <c r="M284" t="s">
        <v>7</v>
      </c>
      <c r="N284" t="s">
        <v>7</v>
      </c>
      <c r="P284">
        <f t="shared" si="964"/>
        <v>0.49225596648845255</v>
      </c>
      <c r="Q284">
        <f t="shared" si="965"/>
        <v>1389914.9262062495</v>
      </c>
      <c r="R284">
        <f t="shared" si="966"/>
        <v>-60981419.794358313</v>
      </c>
      <c r="S284">
        <f t="shared" si="967"/>
        <v>-609.81419794358317</v>
      </c>
      <c r="T284">
        <f t="shared" si="968"/>
        <v>-0.60981419794358316</v>
      </c>
    </row>
    <row r="285" spans="1:20" x14ac:dyDescent="0.25">
      <c r="A285" s="5">
        <v>44308</v>
      </c>
      <c r="B285">
        <v>8.5486000000000004</v>
      </c>
      <c r="C285">
        <v>9.5500000000000007</v>
      </c>
      <c r="D285">
        <v>7.6166999999999998</v>
      </c>
      <c r="E285">
        <v>7.8536000000000001</v>
      </c>
      <c r="F285">
        <v>2850063.52</v>
      </c>
      <c r="G285">
        <v>-8.1300000000000008</v>
      </c>
      <c r="L285" t="s">
        <v>8</v>
      </c>
      <c r="M285" t="s">
        <v>7</v>
      </c>
      <c r="N285" t="s">
        <v>7</v>
      </c>
      <c r="P285">
        <f t="shared" si="964"/>
        <v>-0.75492680908291498</v>
      </c>
      <c r="Q285">
        <f t="shared" si="965"/>
        <v>-2151589.3588372208</v>
      </c>
      <c r="R285">
        <f t="shared" si="966"/>
        <v>-62371334.720564559</v>
      </c>
      <c r="S285">
        <f t="shared" si="967"/>
        <v>-623.71334720564562</v>
      </c>
      <c r="T285">
        <f t="shared" si="968"/>
        <v>-0.62371334720564564</v>
      </c>
    </row>
    <row r="286" spans="1:20" x14ac:dyDescent="0.25">
      <c r="A286" s="5">
        <v>44307</v>
      </c>
      <c r="B286">
        <v>9.2240000000000002</v>
      </c>
      <c r="C286">
        <v>9.3552</v>
      </c>
      <c r="D286">
        <v>8.4502000000000006</v>
      </c>
      <c r="E286">
        <v>8.5302000000000007</v>
      </c>
      <c r="F286">
        <v>1816630.77</v>
      </c>
      <c r="G286">
        <v>-7.52</v>
      </c>
      <c r="L286" t="s">
        <v>8</v>
      </c>
      <c r="M286" t="s">
        <v>7</v>
      </c>
      <c r="N286" t="s">
        <v>7</v>
      </c>
      <c r="P286">
        <f t="shared" si="964"/>
        <v>-0.82320441988950244</v>
      </c>
      <c r="Q286">
        <f t="shared" si="965"/>
        <v>-1495458.47917127</v>
      </c>
      <c r="R286">
        <f t="shared" si="966"/>
        <v>-60219745.361727335</v>
      </c>
      <c r="S286">
        <f t="shared" si="967"/>
        <v>-602.19745361727337</v>
      </c>
      <c r="T286">
        <f t="shared" si="968"/>
        <v>-0.60219745361727339</v>
      </c>
    </row>
    <row r="287" spans="1:20" x14ac:dyDescent="0.25">
      <c r="A287" s="5">
        <v>44306</v>
      </c>
      <c r="B287">
        <v>8.6885999999999992</v>
      </c>
      <c r="C287">
        <v>9.4</v>
      </c>
      <c r="D287">
        <v>7.9123000000000001</v>
      </c>
      <c r="E287">
        <v>9.2281999999999993</v>
      </c>
      <c r="F287">
        <v>2784672.97</v>
      </c>
      <c r="G287">
        <v>6.21</v>
      </c>
      <c r="L287" t="s">
        <v>7</v>
      </c>
      <c r="M287" t="s">
        <v>7</v>
      </c>
      <c r="N287" t="s">
        <v>7</v>
      </c>
      <c r="P287">
        <f t="shared" si="964"/>
        <v>0.76903945687974584</v>
      </c>
      <c r="Q287">
        <f t="shared" si="965"/>
        <v>2141523.3884365088</v>
      </c>
      <c r="R287">
        <f t="shared" si="966"/>
        <v>-58724286.882556066</v>
      </c>
      <c r="S287">
        <f t="shared" si="967"/>
        <v>-587.24286882556066</v>
      </c>
      <c r="T287">
        <f t="shared" si="968"/>
        <v>-0.58724286882556065</v>
      </c>
    </row>
    <row r="288" spans="1:20" x14ac:dyDescent="0.25">
      <c r="A288" s="5">
        <v>44305</v>
      </c>
      <c r="B288">
        <v>9.7706</v>
      </c>
      <c r="C288">
        <v>10.5312</v>
      </c>
      <c r="D288">
        <v>8.6341000000000001</v>
      </c>
      <c r="E288">
        <v>8.6791</v>
      </c>
      <c r="F288">
        <v>3000135</v>
      </c>
      <c r="G288">
        <v>-11.17</v>
      </c>
      <c r="L288" t="s">
        <v>8</v>
      </c>
      <c r="M288" t="s">
        <v>8</v>
      </c>
      <c r="N288" t="s">
        <v>7</v>
      </c>
      <c r="P288">
        <f t="shared" si="964"/>
        <v>-0.95255916925834172</v>
      </c>
      <c r="Q288">
        <f t="shared" si="965"/>
        <v>-2857806.1032628752</v>
      </c>
      <c r="R288">
        <f t="shared" si="966"/>
        <v>-60865810.270992577</v>
      </c>
      <c r="S288">
        <f t="shared" si="967"/>
        <v>-608.65810270992574</v>
      </c>
      <c r="T288">
        <f t="shared" si="968"/>
        <v>-0.60865810270992571</v>
      </c>
    </row>
    <row r="289" spans="1:20" x14ac:dyDescent="0.25">
      <c r="A289" s="5">
        <v>44304</v>
      </c>
      <c r="B289">
        <v>11.7812</v>
      </c>
      <c r="C289">
        <v>12.037699999999999</v>
      </c>
      <c r="D289">
        <v>8.0784000000000002</v>
      </c>
      <c r="E289">
        <v>9.7706</v>
      </c>
      <c r="F289">
        <v>6153624.4199999999</v>
      </c>
      <c r="G289">
        <v>-17.07</v>
      </c>
      <c r="L289" t="s">
        <v>7</v>
      </c>
      <c r="M289" t="s">
        <v>7</v>
      </c>
      <c r="N289" t="s">
        <v>7</v>
      </c>
      <c r="P289">
        <f t="shared" si="964"/>
        <v>-0.14520243477382358</v>
      </c>
      <c r="Q289">
        <f t="shared" si="965"/>
        <v>-893521.24846765795</v>
      </c>
      <c r="R289">
        <f t="shared" si="966"/>
        <v>-58008004.167729698</v>
      </c>
      <c r="S289">
        <f t="shared" si="967"/>
        <v>-580.080041677297</v>
      </c>
      <c r="T289">
        <f t="shared" si="968"/>
        <v>-0.58008004167729699</v>
      </c>
    </row>
    <row r="290" spans="1:20" x14ac:dyDescent="0.25">
      <c r="A290" s="5">
        <v>44303</v>
      </c>
      <c r="B290">
        <v>11.8926</v>
      </c>
      <c r="C290">
        <v>12.4695</v>
      </c>
      <c r="D290">
        <v>11.6601</v>
      </c>
      <c r="E290">
        <v>11.7951</v>
      </c>
      <c r="F290">
        <v>1668028.39</v>
      </c>
      <c r="G290">
        <v>-0.82</v>
      </c>
      <c r="L290" t="s">
        <v>8</v>
      </c>
      <c r="M290" t="s">
        <v>7</v>
      </c>
      <c r="N290" t="s">
        <v>7</v>
      </c>
      <c r="P290">
        <f t="shared" si="964"/>
        <v>-0.6664195700518909</v>
      </c>
      <c r="Q290">
        <f t="shared" si="965"/>
        <v>-1111606.7624981478</v>
      </c>
      <c r="R290">
        <f t="shared" si="966"/>
        <v>-57114482.919262037</v>
      </c>
      <c r="S290">
        <f t="shared" si="967"/>
        <v>-571.14482919262036</v>
      </c>
      <c r="T290">
        <f t="shared" si="968"/>
        <v>-0.57114482919262033</v>
      </c>
    </row>
    <row r="291" spans="1:20" x14ac:dyDescent="0.25">
      <c r="A291" s="5">
        <v>44302</v>
      </c>
      <c r="B291">
        <v>12.513199999999999</v>
      </c>
      <c r="C291">
        <v>12.6836</v>
      </c>
      <c r="D291">
        <v>11.5</v>
      </c>
      <c r="E291">
        <v>11.885</v>
      </c>
      <c r="F291">
        <v>2209222.66</v>
      </c>
      <c r="G291">
        <v>-5.0199999999999996</v>
      </c>
      <c r="L291" t="s">
        <v>7</v>
      </c>
      <c r="M291" t="s">
        <v>7</v>
      </c>
      <c r="N291" t="s">
        <v>7</v>
      </c>
      <c r="P291">
        <f t="shared" si="964"/>
        <v>-0.34944237918215659</v>
      </c>
      <c r="Q291">
        <f t="shared" si="965"/>
        <v>-771996.02245353267</v>
      </c>
      <c r="R291">
        <f t="shared" si="966"/>
        <v>-56002876.156763889</v>
      </c>
      <c r="S291">
        <f t="shared" si="967"/>
        <v>-560.02876156763887</v>
      </c>
      <c r="T291">
        <f t="shared" si="968"/>
        <v>-0.56002876156763892</v>
      </c>
    </row>
    <row r="292" spans="1:20" x14ac:dyDescent="0.25">
      <c r="A292" s="5">
        <v>44301</v>
      </c>
      <c r="B292">
        <v>12.2399</v>
      </c>
      <c r="C292">
        <v>12.972799999999999</v>
      </c>
      <c r="D292">
        <v>12.029199999999999</v>
      </c>
      <c r="E292">
        <v>12.513199999999999</v>
      </c>
      <c r="F292">
        <v>2006950.08</v>
      </c>
      <c r="G292">
        <v>2.23</v>
      </c>
      <c r="L292" t="s">
        <v>8</v>
      </c>
      <c r="M292" t="s">
        <v>7</v>
      </c>
      <c r="N292" t="s">
        <v>7</v>
      </c>
      <c r="P292">
        <f t="shared" si="964"/>
        <v>2.5858414582450168E-2</v>
      </c>
      <c r="Q292">
        <f t="shared" si="965"/>
        <v>51896.547214921535</v>
      </c>
      <c r="R292">
        <f t="shared" si="966"/>
        <v>-55230880.134310357</v>
      </c>
      <c r="S292">
        <f t="shared" si="967"/>
        <v>-552.3088013431036</v>
      </c>
      <c r="T292">
        <f t="shared" si="968"/>
        <v>-0.55230880134310356</v>
      </c>
    </row>
    <row r="293" spans="1:20" x14ac:dyDescent="0.25">
      <c r="A293" s="5">
        <v>44300</v>
      </c>
      <c r="B293">
        <v>12.711</v>
      </c>
      <c r="C293">
        <v>13.1</v>
      </c>
      <c r="D293">
        <v>11.6</v>
      </c>
      <c r="E293">
        <v>12.2296</v>
      </c>
      <c r="F293">
        <v>2276642.54</v>
      </c>
      <c r="G293">
        <v>-3.79</v>
      </c>
      <c r="L293" t="s">
        <v>7</v>
      </c>
      <c r="M293" t="s">
        <v>7</v>
      </c>
      <c r="N293" t="s">
        <v>7</v>
      </c>
      <c r="P293">
        <f t="shared" si="964"/>
        <v>-0.16053333333333342</v>
      </c>
      <c r="Q293">
        <f t="shared" si="965"/>
        <v>-365477.01575466688</v>
      </c>
      <c r="R293">
        <f t="shared" si="966"/>
        <v>-55282776.681525275</v>
      </c>
      <c r="S293">
        <f t="shared" si="967"/>
        <v>-552.82776681525274</v>
      </c>
      <c r="T293">
        <f t="shared" si="968"/>
        <v>-0.5528277668152527</v>
      </c>
    </row>
    <row r="294" spans="1:20" x14ac:dyDescent="0.25">
      <c r="A294" s="5">
        <v>44299</v>
      </c>
      <c r="B294">
        <v>13.85</v>
      </c>
      <c r="C294">
        <v>14.6</v>
      </c>
      <c r="D294">
        <v>12.5883</v>
      </c>
      <c r="E294">
        <v>12.711</v>
      </c>
      <c r="F294">
        <v>2516236.7799999998</v>
      </c>
      <c r="G294">
        <v>-8.2200000000000006</v>
      </c>
      <c r="L294" t="s">
        <v>7</v>
      </c>
      <c r="M294" t="s">
        <v>7</v>
      </c>
      <c r="N294" t="s">
        <v>7</v>
      </c>
      <c r="P294">
        <f t="shared" si="964"/>
        <v>-0.8780136203211214</v>
      </c>
      <c r="Q294">
        <f t="shared" si="965"/>
        <v>-2209290.164792961</v>
      </c>
      <c r="R294">
        <f t="shared" si="966"/>
        <v>-54917299.665770605</v>
      </c>
      <c r="S294">
        <f t="shared" si="967"/>
        <v>-549.17299665770611</v>
      </c>
      <c r="T294">
        <f t="shared" si="968"/>
        <v>-0.54917299665770614</v>
      </c>
    </row>
    <row r="295" spans="1:20" x14ac:dyDescent="0.25">
      <c r="A295" s="5">
        <v>44298</v>
      </c>
      <c r="B295">
        <v>12.866899999999999</v>
      </c>
      <c r="C295">
        <v>15.359500000000001</v>
      </c>
      <c r="D295">
        <v>12.732699999999999</v>
      </c>
      <c r="E295">
        <v>13.9025</v>
      </c>
      <c r="F295">
        <v>6427778.6900000004</v>
      </c>
      <c r="G295">
        <v>8.0500000000000007</v>
      </c>
      <c r="L295" t="s">
        <v>8</v>
      </c>
      <c r="M295" t="s">
        <v>8</v>
      </c>
      <c r="N295" t="s">
        <v>7</v>
      </c>
      <c r="P295">
        <f t="shared" si="964"/>
        <v>-0.10933455154560691</v>
      </c>
      <c r="Q295">
        <f t="shared" si="965"/>
        <v>-702778.30050555873</v>
      </c>
      <c r="R295">
        <f t="shared" si="966"/>
        <v>-52708009.500977643</v>
      </c>
      <c r="S295">
        <f t="shared" si="967"/>
        <v>-527.08009500977641</v>
      </c>
      <c r="T295">
        <f t="shared" si="968"/>
        <v>-0.52708009500977637</v>
      </c>
    </row>
    <row r="296" spans="1:20" x14ac:dyDescent="0.25">
      <c r="A296" s="5">
        <v>44297</v>
      </c>
      <c r="B296">
        <v>12.565300000000001</v>
      </c>
      <c r="C296">
        <v>12.949199999999999</v>
      </c>
      <c r="D296">
        <v>12.1905</v>
      </c>
      <c r="E296">
        <v>12.8521</v>
      </c>
      <c r="F296">
        <v>1114573.1200000001</v>
      </c>
      <c r="G296">
        <v>2.2799999999999998</v>
      </c>
      <c r="L296" t="s">
        <v>7</v>
      </c>
      <c r="M296" t="s">
        <v>8</v>
      </c>
      <c r="N296" t="s">
        <v>7</v>
      </c>
      <c r="P296">
        <f t="shared" si="964"/>
        <v>0.74403585079741819</v>
      </c>
      <c r="Q296">
        <f t="shared" si="965"/>
        <v>829282.35961513291</v>
      </c>
      <c r="R296">
        <f t="shared" si="966"/>
        <v>-52005231.200472087</v>
      </c>
      <c r="S296">
        <f t="shared" si="967"/>
        <v>-520.05231200472087</v>
      </c>
      <c r="T296">
        <f t="shared" si="968"/>
        <v>-0.52005231200472091</v>
      </c>
    </row>
    <row r="297" spans="1:20" x14ac:dyDescent="0.25">
      <c r="A297" s="5">
        <v>44296</v>
      </c>
      <c r="B297">
        <v>12.718999999999999</v>
      </c>
      <c r="C297">
        <v>13.9495</v>
      </c>
      <c r="D297">
        <v>12.111000000000001</v>
      </c>
      <c r="E297">
        <v>12.5442</v>
      </c>
      <c r="F297">
        <v>2009557.81</v>
      </c>
      <c r="G297">
        <v>-1.37</v>
      </c>
      <c r="L297" t="s">
        <v>8</v>
      </c>
      <c r="M297" t="s">
        <v>8</v>
      </c>
      <c r="N297" t="s">
        <v>7</v>
      </c>
      <c r="P297">
        <f t="shared" si="964"/>
        <v>-0.52874626053848306</v>
      </c>
      <c r="Q297">
        <f t="shared" si="965"/>
        <v>-1062546.1773734035</v>
      </c>
      <c r="R297">
        <f t="shared" si="966"/>
        <v>-52834513.560087219</v>
      </c>
      <c r="S297">
        <f t="shared" si="967"/>
        <v>-528.34513560087214</v>
      </c>
      <c r="T297">
        <f t="shared" si="968"/>
        <v>-0.52834513560087215</v>
      </c>
    </row>
    <row r="298" spans="1:20" x14ac:dyDescent="0.25">
      <c r="A298" s="5">
        <v>44295</v>
      </c>
      <c r="B298">
        <v>12.885899999999999</v>
      </c>
      <c r="C298">
        <v>13.354900000000001</v>
      </c>
      <c r="D298">
        <v>12.45</v>
      </c>
      <c r="E298">
        <v>12.719099999999999</v>
      </c>
      <c r="F298">
        <v>1400771.12</v>
      </c>
      <c r="G298">
        <v>-1.29</v>
      </c>
      <c r="L298" t="s">
        <v>8</v>
      </c>
      <c r="M298" t="s">
        <v>7</v>
      </c>
      <c r="N298" t="s">
        <v>7</v>
      </c>
      <c r="P298">
        <f t="shared" si="964"/>
        <v>-0.40523814786164331</v>
      </c>
      <c r="Q298">
        <f t="shared" si="965"/>
        <v>-567645.89424687973</v>
      </c>
      <c r="R298">
        <f t="shared" si="966"/>
        <v>-51771967.382713817</v>
      </c>
      <c r="S298">
        <f t="shared" si="967"/>
        <v>-517.71967382713819</v>
      </c>
      <c r="T298">
        <f t="shared" si="968"/>
        <v>-0.51771967382713824</v>
      </c>
    </row>
    <row r="299" spans="1:20" x14ac:dyDescent="0.25">
      <c r="A299" s="5">
        <v>44294</v>
      </c>
      <c r="B299">
        <v>12.198700000000001</v>
      </c>
      <c r="C299">
        <v>13.315300000000001</v>
      </c>
      <c r="D299">
        <v>12.0595</v>
      </c>
      <c r="E299">
        <v>12.8567</v>
      </c>
      <c r="F299">
        <v>1363854.43</v>
      </c>
      <c r="G299">
        <v>5.39</v>
      </c>
      <c r="L299" t="s">
        <v>8</v>
      </c>
      <c r="M299" t="s">
        <v>7</v>
      </c>
      <c r="N299" t="s">
        <v>7</v>
      </c>
      <c r="P299">
        <f t="shared" si="964"/>
        <v>0.26962892180283438</v>
      </c>
      <c r="Q299">
        <f t="shared" si="965"/>
        <v>367734.59945691924</v>
      </c>
      <c r="R299">
        <f t="shared" si="966"/>
        <v>-51204321.488466941</v>
      </c>
      <c r="S299">
        <f t="shared" si="967"/>
        <v>-512.0432148846694</v>
      </c>
      <c r="T299">
        <f t="shared" si="968"/>
        <v>-0.51204321488466942</v>
      </c>
    </row>
    <row r="300" spans="1:20" x14ac:dyDescent="0.25">
      <c r="A300" s="5">
        <v>44293</v>
      </c>
      <c r="B300">
        <v>14.149100000000001</v>
      </c>
      <c r="C300">
        <v>14.25</v>
      </c>
      <c r="D300">
        <v>11.56</v>
      </c>
      <c r="E300">
        <v>12.197699999999999</v>
      </c>
      <c r="F300">
        <v>2184256.42</v>
      </c>
      <c r="G300">
        <v>-13.79</v>
      </c>
      <c r="L300" t="s">
        <v>7</v>
      </c>
      <c r="M300" t="s">
        <v>7</v>
      </c>
      <c r="N300" t="s">
        <v>7</v>
      </c>
      <c r="P300">
        <f t="shared" si="964"/>
        <v>-0.52587360594795618</v>
      </c>
      <c r="Q300">
        <f t="shared" si="965"/>
        <v>-1148642.7999003734</v>
      </c>
      <c r="R300">
        <f t="shared" si="966"/>
        <v>-51572056.087923862</v>
      </c>
      <c r="S300">
        <f t="shared" si="967"/>
        <v>-515.72056087923863</v>
      </c>
      <c r="T300">
        <f t="shared" si="968"/>
        <v>-0.51572056087923868</v>
      </c>
    </row>
    <row r="301" spans="1:20" x14ac:dyDescent="0.25">
      <c r="A301" s="5">
        <v>44292</v>
      </c>
      <c r="B301">
        <v>14.204000000000001</v>
      </c>
      <c r="C301">
        <v>15.4138</v>
      </c>
      <c r="D301">
        <v>13.81</v>
      </c>
      <c r="E301">
        <v>14.1492</v>
      </c>
      <c r="F301">
        <v>1675104.96</v>
      </c>
      <c r="G301">
        <v>-0.39</v>
      </c>
      <c r="L301" t="s">
        <v>8</v>
      </c>
      <c r="M301" t="s">
        <v>8</v>
      </c>
      <c r="N301" t="s">
        <v>8</v>
      </c>
      <c r="P301">
        <f t="shared" si="964"/>
        <v>-0.57700461404165104</v>
      </c>
      <c r="Q301">
        <f t="shared" si="965"/>
        <v>-966543.29092405527</v>
      </c>
      <c r="R301">
        <f t="shared" si="966"/>
        <v>-50423413.288023487</v>
      </c>
      <c r="S301">
        <f t="shared" si="967"/>
        <v>-504.23413288023488</v>
      </c>
      <c r="T301">
        <f t="shared" si="968"/>
        <v>-0.50423413288023489</v>
      </c>
    </row>
    <row r="302" spans="1:20" x14ac:dyDescent="0.25">
      <c r="A302" s="5">
        <v>44291</v>
      </c>
      <c r="B302">
        <v>14.3339</v>
      </c>
      <c r="C302">
        <v>15.1632</v>
      </c>
      <c r="D302">
        <v>13.5533</v>
      </c>
      <c r="E302">
        <v>14.204000000000001</v>
      </c>
      <c r="F302">
        <v>1279244.48</v>
      </c>
      <c r="G302">
        <v>-0.91</v>
      </c>
      <c r="L302" t="s">
        <v>8</v>
      </c>
      <c r="M302" t="s">
        <v>7</v>
      </c>
      <c r="N302" t="s">
        <v>8</v>
      </c>
      <c r="P302">
        <f t="shared" si="964"/>
        <v>-0.19162680911857802</v>
      </c>
      <c r="Q302">
        <f t="shared" si="965"/>
        <v>-245137.53778495459</v>
      </c>
      <c r="R302">
        <f t="shared" si="966"/>
        <v>-49456869.997099429</v>
      </c>
      <c r="S302">
        <f t="shared" si="967"/>
        <v>-494.56869997099432</v>
      </c>
      <c r="T302">
        <f t="shared" si="968"/>
        <v>-0.49456869997099434</v>
      </c>
    </row>
    <row r="303" spans="1:20" x14ac:dyDescent="0.25">
      <c r="A303" s="5">
        <v>44290</v>
      </c>
      <c r="B303">
        <v>13.489800000000001</v>
      </c>
      <c r="C303">
        <v>14.5</v>
      </c>
      <c r="D303">
        <v>13.264099999999999</v>
      </c>
      <c r="E303">
        <v>14.3339</v>
      </c>
      <c r="F303">
        <v>950552.66</v>
      </c>
      <c r="G303">
        <v>6.26</v>
      </c>
      <c r="L303" t="s">
        <v>8</v>
      </c>
      <c r="M303" t="s">
        <v>7</v>
      </c>
      <c r="N303" t="s">
        <v>8</v>
      </c>
      <c r="P303">
        <f t="shared" si="964"/>
        <v>0.73120802653936401</v>
      </c>
      <c r="Q303">
        <f t="shared" si="965"/>
        <v>695051.73464034311</v>
      </c>
      <c r="R303">
        <f t="shared" si="966"/>
        <v>-49211732.459314473</v>
      </c>
      <c r="S303">
        <f t="shared" si="967"/>
        <v>-492.1173245931447</v>
      </c>
      <c r="T303">
        <f t="shared" si="968"/>
        <v>-0.49211732459314472</v>
      </c>
    </row>
    <row r="304" spans="1:20" x14ac:dyDescent="0.25">
      <c r="A304" s="5">
        <v>44289</v>
      </c>
      <c r="B304">
        <v>14.7098</v>
      </c>
      <c r="C304">
        <v>15.489000000000001</v>
      </c>
      <c r="D304">
        <v>13.2</v>
      </c>
      <c r="E304">
        <v>13.4899</v>
      </c>
      <c r="F304">
        <v>1699146.53</v>
      </c>
      <c r="G304">
        <v>-8.2899999999999991</v>
      </c>
      <c r="L304" t="s">
        <v>7</v>
      </c>
      <c r="M304" t="s">
        <v>7</v>
      </c>
      <c r="N304" t="s">
        <v>8</v>
      </c>
      <c r="P304">
        <f t="shared" si="964"/>
        <v>-0.74670161642638622</v>
      </c>
      <c r="Q304">
        <f t="shared" si="965"/>
        <v>-1268755.4604962852</v>
      </c>
      <c r="R304">
        <f t="shared" si="966"/>
        <v>-49906784.193954818</v>
      </c>
      <c r="S304">
        <f t="shared" si="967"/>
        <v>-499.0678419395482</v>
      </c>
      <c r="T304">
        <f t="shared" si="968"/>
        <v>-0.49906784193954823</v>
      </c>
    </row>
    <row r="305" spans="1:20" x14ac:dyDescent="0.25">
      <c r="A305" s="5">
        <v>44288</v>
      </c>
      <c r="B305">
        <v>14.335000000000001</v>
      </c>
      <c r="C305">
        <v>15.100199999999999</v>
      </c>
      <c r="D305">
        <v>14.0601</v>
      </c>
      <c r="E305">
        <v>14.7097</v>
      </c>
      <c r="F305">
        <v>1466216.38</v>
      </c>
      <c r="G305">
        <v>2.61</v>
      </c>
      <c r="L305" t="s">
        <v>7</v>
      </c>
      <c r="M305" t="s">
        <v>7</v>
      </c>
      <c r="N305" t="s">
        <v>8</v>
      </c>
      <c r="P305">
        <f t="shared" si="964"/>
        <v>0.24911066243630456</v>
      </c>
      <c r="Q305">
        <f t="shared" si="965"/>
        <v>365250.1336967604</v>
      </c>
      <c r="R305">
        <f t="shared" si="966"/>
        <v>-48638028.733458534</v>
      </c>
      <c r="S305">
        <f t="shared" si="967"/>
        <v>-486.38028733458532</v>
      </c>
      <c r="T305">
        <f t="shared" si="968"/>
        <v>-0.48638028733458533</v>
      </c>
    </row>
    <row r="306" spans="1:20" x14ac:dyDescent="0.25">
      <c r="A306" s="5">
        <v>44287</v>
      </c>
      <c r="B306">
        <v>14.626899999999999</v>
      </c>
      <c r="C306">
        <v>15.31</v>
      </c>
      <c r="D306">
        <v>13.73</v>
      </c>
      <c r="E306">
        <v>14.3355</v>
      </c>
      <c r="F306">
        <v>1679477.97</v>
      </c>
      <c r="G306">
        <v>-1.99</v>
      </c>
      <c r="L306" t="s">
        <v>8</v>
      </c>
      <c r="M306" t="s">
        <v>7</v>
      </c>
      <c r="N306" t="s">
        <v>8</v>
      </c>
      <c r="P306">
        <f t="shared" si="964"/>
        <v>-0.23354430379746932</v>
      </c>
      <c r="Q306">
        <f t="shared" si="965"/>
        <v>-392232.51324683707</v>
      </c>
      <c r="R306">
        <f t="shared" si="966"/>
        <v>-49003278.867155291</v>
      </c>
      <c r="S306">
        <f t="shared" si="967"/>
        <v>-490.03278867155291</v>
      </c>
      <c r="T306">
        <f t="shared" si="968"/>
        <v>-0.49003278867155292</v>
      </c>
    </row>
    <row r="307" spans="1:20" x14ac:dyDescent="0.25">
      <c r="A307" s="5">
        <v>44286</v>
      </c>
      <c r="B307">
        <v>16.049600000000002</v>
      </c>
      <c r="C307">
        <v>16.541699999999999</v>
      </c>
      <c r="D307">
        <v>13.5</v>
      </c>
      <c r="E307">
        <v>14.6286</v>
      </c>
      <c r="F307">
        <v>2824221.59</v>
      </c>
      <c r="G307">
        <v>-8.85</v>
      </c>
      <c r="L307" t="s">
        <v>7</v>
      </c>
      <c r="M307" t="s">
        <v>7</v>
      </c>
      <c r="N307" t="s">
        <v>8</v>
      </c>
      <c r="P307">
        <f t="shared" si="964"/>
        <v>-0.25791498175362398</v>
      </c>
      <c r="Q307">
        <f t="shared" si="965"/>
        <v>-728409.05985304085</v>
      </c>
      <c r="R307">
        <f t="shared" si="966"/>
        <v>-48611046.353908457</v>
      </c>
      <c r="S307">
        <f t="shared" si="967"/>
        <v>-486.11046353908455</v>
      </c>
      <c r="T307">
        <f t="shared" si="968"/>
        <v>-0.48611046353908455</v>
      </c>
    </row>
    <row r="308" spans="1:20" x14ac:dyDescent="0.25">
      <c r="A308" s="5">
        <v>44285</v>
      </c>
      <c r="B308">
        <v>15.821300000000001</v>
      </c>
      <c r="C308">
        <v>17.276800000000001</v>
      </c>
      <c r="D308">
        <v>15.1509</v>
      </c>
      <c r="E308">
        <v>16.026800000000001</v>
      </c>
      <c r="F308">
        <v>2752347.09</v>
      </c>
      <c r="G308">
        <v>1.3</v>
      </c>
      <c r="L308" t="s">
        <v>8</v>
      </c>
      <c r="M308" t="s">
        <v>7</v>
      </c>
      <c r="N308" t="s">
        <v>8</v>
      </c>
      <c r="P308">
        <f t="shared" si="964"/>
        <v>-0.17597252928171517</v>
      </c>
      <c r="Q308">
        <f t="shared" si="965"/>
        <v>-484337.47888846853</v>
      </c>
      <c r="R308">
        <f t="shared" si="966"/>
        <v>-47882637.294055417</v>
      </c>
      <c r="S308">
        <f t="shared" si="967"/>
        <v>-478.82637294055417</v>
      </c>
      <c r="T308">
        <f t="shared" si="968"/>
        <v>-0.47882637294055419</v>
      </c>
    </row>
    <row r="309" spans="1:20" x14ac:dyDescent="0.25">
      <c r="A309" s="5">
        <v>44284</v>
      </c>
      <c r="B309">
        <v>16.669699999999999</v>
      </c>
      <c r="C309">
        <v>16.845600000000001</v>
      </c>
      <c r="D309">
        <v>15.250999999999999</v>
      </c>
      <c r="E309">
        <v>15.821300000000001</v>
      </c>
      <c r="F309">
        <v>2856379.82</v>
      </c>
      <c r="G309">
        <v>-5.09</v>
      </c>
      <c r="L309" t="s">
        <v>7</v>
      </c>
      <c r="M309" t="s">
        <v>7</v>
      </c>
      <c r="N309" t="s">
        <v>8</v>
      </c>
      <c r="P309">
        <f t="shared" si="964"/>
        <v>-0.28471089928508619</v>
      </c>
      <c r="Q309">
        <f t="shared" si="965"/>
        <v>-813242.46725197253</v>
      </c>
      <c r="R309">
        <f t="shared" si="966"/>
        <v>-47398299.81516695</v>
      </c>
      <c r="S309">
        <f t="shared" si="967"/>
        <v>-473.98299815166951</v>
      </c>
      <c r="T309">
        <f t="shared" si="968"/>
        <v>-0.4739829981516695</v>
      </c>
    </row>
    <row r="310" spans="1:20" x14ac:dyDescent="0.25">
      <c r="A310" s="5">
        <v>44283</v>
      </c>
      <c r="B310">
        <v>13.3973</v>
      </c>
      <c r="C310">
        <v>18.23</v>
      </c>
      <c r="D310">
        <v>13.3208</v>
      </c>
      <c r="E310">
        <v>16.686699999999998</v>
      </c>
      <c r="F310">
        <v>9202503.6799999997</v>
      </c>
      <c r="G310">
        <v>24.55</v>
      </c>
      <c r="L310" t="s">
        <v>8</v>
      </c>
      <c r="M310" t="s">
        <v>8</v>
      </c>
      <c r="N310" t="s">
        <v>8</v>
      </c>
      <c r="P310">
        <f t="shared" si="964"/>
        <v>0.37126212010103393</v>
      </c>
      <c r="Q310">
        <f t="shared" si="965"/>
        <v>3416541.0264743664</v>
      </c>
      <c r="R310">
        <f t="shared" si="966"/>
        <v>-46585057.347914979</v>
      </c>
      <c r="S310">
        <f t="shared" si="967"/>
        <v>-465.85057347914977</v>
      </c>
      <c r="T310">
        <f t="shared" si="968"/>
        <v>-0.46585057347914977</v>
      </c>
    </row>
    <row r="311" spans="1:20" x14ac:dyDescent="0.25">
      <c r="A311" s="5">
        <v>44282</v>
      </c>
      <c r="B311">
        <v>13.434900000000001</v>
      </c>
      <c r="C311">
        <v>14.508900000000001</v>
      </c>
      <c r="D311">
        <v>12.2</v>
      </c>
      <c r="E311">
        <v>13.4282</v>
      </c>
      <c r="F311">
        <v>3072062.26</v>
      </c>
      <c r="G311">
        <v>-0.05</v>
      </c>
      <c r="L311" t="s">
        <v>8</v>
      </c>
      <c r="M311" t="s">
        <v>8</v>
      </c>
      <c r="N311" t="s">
        <v>8</v>
      </c>
      <c r="P311">
        <f t="shared" si="964"/>
        <v>6.3883234440643061E-2</v>
      </c>
      <c r="Q311">
        <f t="shared" si="965"/>
        <v>196253.27357183176</v>
      </c>
      <c r="R311">
        <f t="shared" si="966"/>
        <v>-50001598.374389343</v>
      </c>
      <c r="S311">
        <f t="shared" si="967"/>
        <v>-500.01598374389346</v>
      </c>
      <c r="T311">
        <f t="shared" si="968"/>
        <v>-0.50001598374389344</v>
      </c>
    </row>
    <row r="312" spans="1:20" x14ac:dyDescent="0.25">
      <c r="A312" s="5">
        <v>44281</v>
      </c>
      <c r="B312">
        <v>10.9269</v>
      </c>
      <c r="C312">
        <v>13.85</v>
      </c>
      <c r="D312">
        <v>10.8856</v>
      </c>
      <c r="E312">
        <v>13.434900000000001</v>
      </c>
      <c r="F312">
        <v>3332412.65</v>
      </c>
      <c r="G312">
        <v>22.95</v>
      </c>
      <c r="L312" t="s">
        <v>8</v>
      </c>
      <c r="M312" t="s">
        <v>8</v>
      </c>
      <c r="N312" t="s">
        <v>7</v>
      </c>
      <c r="P312">
        <f t="shared" si="964"/>
        <v>0.71994332748616985</v>
      </c>
      <c r="Q312">
        <f t="shared" si="965"/>
        <v>2399148.2517980048</v>
      </c>
      <c r="R312">
        <f t="shared" si="966"/>
        <v>-50197851.647961177</v>
      </c>
      <c r="S312">
        <f t="shared" si="967"/>
        <v>-501.97851647961176</v>
      </c>
      <c r="T312">
        <f t="shared" si="968"/>
        <v>-0.50197851647961178</v>
      </c>
    </row>
    <row r="313" spans="1:20" x14ac:dyDescent="0.25">
      <c r="A313" s="5">
        <v>44280</v>
      </c>
      <c r="B313">
        <v>11.8748</v>
      </c>
      <c r="C313">
        <v>12.4991</v>
      </c>
      <c r="D313">
        <v>10.481999999999999</v>
      </c>
      <c r="E313">
        <v>10.9276</v>
      </c>
      <c r="F313">
        <v>2834747.74</v>
      </c>
      <c r="G313">
        <v>-7.98</v>
      </c>
      <c r="L313" t="s">
        <v>7</v>
      </c>
      <c r="M313" t="s">
        <v>7</v>
      </c>
      <c r="N313" t="s">
        <v>7</v>
      </c>
      <c r="P313">
        <f t="shared" si="964"/>
        <v>-0.55817758167666409</v>
      </c>
      <c r="Q313">
        <f t="shared" si="965"/>
        <v>-1582292.638176589</v>
      </c>
      <c r="R313">
        <f t="shared" si="966"/>
        <v>-52596999.899759181</v>
      </c>
      <c r="S313">
        <f t="shared" si="967"/>
        <v>-525.9699989975918</v>
      </c>
      <c r="T313">
        <f t="shared" si="968"/>
        <v>-0.52596999899759178</v>
      </c>
    </row>
    <row r="314" spans="1:20" x14ac:dyDescent="0.25">
      <c r="A314" s="5">
        <v>44279</v>
      </c>
      <c r="B314">
        <v>11.6029</v>
      </c>
      <c r="C314">
        <v>14.6731</v>
      </c>
      <c r="D314">
        <v>11.46</v>
      </c>
      <c r="E314">
        <v>11.8748</v>
      </c>
      <c r="F314">
        <v>4868241.3099999996</v>
      </c>
      <c r="G314">
        <v>2.34</v>
      </c>
      <c r="L314" t="s">
        <v>8</v>
      </c>
      <c r="M314" t="s">
        <v>8</v>
      </c>
      <c r="N314" t="s">
        <v>7</v>
      </c>
      <c r="P314">
        <f t="shared" si="964"/>
        <v>-0.74180697768510173</v>
      </c>
      <c r="Q314">
        <f t="shared" si="965"/>
        <v>-3611295.3728128602</v>
      </c>
      <c r="R314">
        <f t="shared" si="966"/>
        <v>-51014707.261582591</v>
      </c>
      <c r="S314">
        <f t="shared" si="967"/>
        <v>-510.14707261582589</v>
      </c>
      <c r="T314">
        <f t="shared" si="968"/>
        <v>-0.51014707261582593</v>
      </c>
    </row>
    <row r="315" spans="1:20" x14ac:dyDescent="0.25">
      <c r="A315" s="5">
        <v>44278</v>
      </c>
      <c r="B315">
        <v>12.076599999999999</v>
      </c>
      <c r="C315">
        <v>12.464399999999999</v>
      </c>
      <c r="D315">
        <v>11.4406</v>
      </c>
      <c r="E315">
        <v>11.601900000000001</v>
      </c>
      <c r="F315">
        <v>2531767.67</v>
      </c>
      <c r="G315">
        <v>-3.93</v>
      </c>
      <c r="L315" t="s">
        <v>7</v>
      </c>
      <c r="M315" t="s">
        <v>7</v>
      </c>
      <c r="N315" t="s">
        <v>7</v>
      </c>
      <c r="P315">
        <f t="shared" si="964"/>
        <v>-0.68489939441296988</v>
      </c>
      <c r="Q315">
        <f t="shared" si="965"/>
        <v>-1734006.1439773357</v>
      </c>
      <c r="R315">
        <f t="shared" si="966"/>
        <v>-47403411.888769731</v>
      </c>
      <c r="S315">
        <f t="shared" si="967"/>
        <v>-474.03411888769733</v>
      </c>
      <c r="T315">
        <f t="shared" si="968"/>
        <v>-0.47403411888769731</v>
      </c>
    </row>
    <row r="316" spans="1:20" x14ac:dyDescent="0.25">
      <c r="A316" s="5">
        <v>44277</v>
      </c>
      <c r="B316">
        <v>14.0595</v>
      </c>
      <c r="C316">
        <v>14.1569</v>
      </c>
      <c r="D316">
        <v>12</v>
      </c>
      <c r="E316">
        <v>12.05</v>
      </c>
      <c r="F316">
        <v>3028825.5</v>
      </c>
      <c r="G316">
        <v>-14.29</v>
      </c>
      <c r="L316" t="s">
        <v>7</v>
      </c>
      <c r="M316" t="s">
        <v>7</v>
      </c>
      <c r="N316" t="s">
        <v>7</v>
      </c>
      <c r="P316">
        <f t="shared" si="964"/>
        <v>-0.95363716444897706</v>
      </c>
      <c r="Q316">
        <f t="shared" si="965"/>
        <v>-2888400.5614307551</v>
      </c>
      <c r="R316">
        <f t="shared" si="966"/>
        <v>-45669405.744792394</v>
      </c>
      <c r="S316">
        <f t="shared" si="967"/>
        <v>-456.69405744792397</v>
      </c>
      <c r="T316">
        <f t="shared" si="968"/>
        <v>-0.45669405744792396</v>
      </c>
    </row>
    <row r="317" spans="1:20" x14ac:dyDescent="0.25">
      <c r="A317" s="5">
        <v>44276</v>
      </c>
      <c r="B317">
        <v>14.3576</v>
      </c>
      <c r="C317">
        <v>14.6557</v>
      </c>
      <c r="D317">
        <v>13.11</v>
      </c>
      <c r="E317">
        <v>14.061199999999999</v>
      </c>
      <c r="F317">
        <v>3167133.68</v>
      </c>
      <c r="G317">
        <v>-2.06</v>
      </c>
      <c r="L317" t="s">
        <v>7</v>
      </c>
      <c r="M317" t="s">
        <v>7</v>
      </c>
      <c r="N317" t="s">
        <v>7</v>
      </c>
      <c r="P317">
        <f t="shared" si="964"/>
        <v>0.23076923076923078</v>
      </c>
      <c r="Q317">
        <f t="shared" si="965"/>
        <v>730877.0030769232</v>
      </c>
      <c r="R317">
        <f t="shared" si="966"/>
        <v>-42781005.183361642</v>
      </c>
      <c r="S317">
        <f t="shared" si="967"/>
        <v>-427.8100518336164</v>
      </c>
      <c r="T317">
        <f t="shared" si="968"/>
        <v>-0.42781005183361642</v>
      </c>
    </row>
    <row r="318" spans="1:20" x14ac:dyDescent="0.25">
      <c r="A318" s="5">
        <v>44275</v>
      </c>
      <c r="B318">
        <v>15.163</v>
      </c>
      <c r="C318">
        <v>15.58</v>
      </c>
      <c r="D318">
        <v>14.27</v>
      </c>
      <c r="E318">
        <v>14.353999999999999</v>
      </c>
      <c r="F318">
        <v>2333038.7000000002</v>
      </c>
      <c r="G318">
        <v>-5.34</v>
      </c>
      <c r="L318" t="s">
        <v>7</v>
      </c>
      <c r="M318" t="s">
        <v>7</v>
      </c>
      <c r="N318" t="s">
        <v>7</v>
      </c>
      <c r="P318">
        <f t="shared" si="964"/>
        <v>-0.87175572519084032</v>
      </c>
      <c r="Q318">
        <f t="shared" si="965"/>
        <v>-2033839.8438167956</v>
      </c>
      <c r="R318">
        <f t="shared" si="966"/>
        <v>-43511882.186438568</v>
      </c>
      <c r="S318">
        <f t="shared" si="967"/>
        <v>-435.11882186438567</v>
      </c>
      <c r="T318">
        <f t="shared" si="968"/>
        <v>-0.43511882186438566</v>
      </c>
    </row>
    <row r="319" spans="1:20" x14ac:dyDescent="0.25">
      <c r="A319" s="5">
        <v>44274</v>
      </c>
      <c r="B319">
        <v>17.012499999999999</v>
      </c>
      <c r="C319">
        <v>17.9999</v>
      </c>
      <c r="D319">
        <v>14.96</v>
      </c>
      <c r="E319">
        <v>15.1616</v>
      </c>
      <c r="F319">
        <v>4100834.18</v>
      </c>
      <c r="G319">
        <v>-10.88</v>
      </c>
      <c r="L319" t="s">
        <v>7</v>
      </c>
      <c r="M319" t="s">
        <v>7</v>
      </c>
      <c r="N319" t="s">
        <v>8</v>
      </c>
      <c r="P319">
        <f t="shared" si="964"/>
        <v>-0.86736405802822514</v>
      </c>
      <c r="Q319">
        <f t="shared" si="965"/>
        <v>-3556916.1756656491</v>
      </c>
      <c r="R319">
        <f t="shared" si="966"/>
        <v>-41478042.342621773</v>
      </c>
      <c r="S319">
        <f t="shared" si="967"/>
        <v>-414.78042342621774</v>
      </c>
      <c r="T319">
        <f t="shared" si="968"/>
        <v>-0.41478042342621774</v>
      </c>
    </row>
    <row r="320" spans="1:20" x14ac:dyDescent="0.25">
      <c r="A320" s="5">
        <v>44273</v>
      </c>
      <c r="B320">
        <v>14.594799999999999</v>
      </c>
      <c r="C320">
        <v>19.924700000000001</v>
      </c>
      <c r="D320">
        <v>14.302300000000001</v>
      </c>
      <c r="E320">
        <v>17.014099999999999</v>
      </c>
      <c r="F320">
        <v>10497030.939999999</v>
      </c>
      <c r="G320">
        <v>16.579999999999998</v>
      </c>
      <c r="L320" t="s">
        <v>8</v>
      </c>
      <c r="M320" t="s">
        <v>8</v>
      </c>
      <c r="N320" t="s">
        <v>8</v>
      </c>
      <c r="P320">
        <f t="shared" si="964"/>
        <v>-3.5358565737052476E-2</v>
      </c>
      <c r="Q320">
        <f t="shared" si="965"/>
        <v>-371159.95853586373</v>
      </c>
      <c r="R320">
        <f t="shared" si="966"/>
        <v>-37921126.166956127</v>
      </c>
      <c r="S320">
        <f t="shared" si="967"/>
        <v>-379.21126166956128</v>
      </c>
      <c r="T320">
        <f t="shared" si="968"/>
        <v>-0.37921126166956126</v>
      </c>
    </row>
    <row r="321" spans="1:20" x14ac:dyDescent="0.25">
      <c r="A321" s="5">
        <v>44272</v>
      </c>
      <c r="B321">
        <v>17.014800000000001</v>
      </c>
      <c r="C321">
        <v>18.8171</v>
      </c>
      <c r="D321">
        <v>14.085100000000001</v>
      </c>
      <c r="E321">
        <v>14.594900000000001</v>
      </c>
      <c r="F321">
        <v>5959610.0800000001</v>
      </c>
      <c r="G321">
        <v>-14.22</v>
      </c>
      <c r="L321" t="s">
        <v>7</v>
      </c>
      <c r="M321" t="s">
        <v>7</v>
      </c>
      <c r="N321" t="s">
        <v>7</v>
      </c>
      <c r="P321">
        <f t="shared" si="964"/>
        <v>-0.7845308537616229</v>
      </c>
      <c r="Q321">
        <f t="shared" si="965"/>
        <v>-4675497.9841487743</v>
      </c>
      <c r="R321">
        <f t="shared" si="966"/>
        <v>-37549966.208420262</v>
      </c>
      <c r="S321">
        <f t="shared" si="967"/>
        <v>-375.49966208420261</v>
      </c>
      <c r="T321">
        <f t="shared" si="968"/>
        <v>-0.3754996620842026</v>
      </c>
    </row>
    <row r="322" spans="1:20" x14ac:dyDescent="0.25">
      <c r="A322" s="5">
        <v>44271</v>
      </c>
      <c r="B322">
        <v>20.740600000000001</v>
      </c>
      <c r="C322">
        <v>25.695799999999998</v>
      </c>
      <c r="D322">
        <v>15.500999999999999</v>
      </c>
      <c r="E322">
        <v>17.059000000000001</v>
      </c>
      <c r="F322">
        <v>15804792.98</v>
      </c>
      <c r="G322">
        <v>-17.75</v>
      </c>
      <c r="L322" t="s">
        <v>8</v>
      </c>
      <c r="M322" t="s">
        <v>8</v>
      </c>
      <c r="N322" t="s">
        <v>8</v>
      </c>
      <c r="P322">
        <f t="shared" si="964"/>
        <v>-0.69435398438419549</v>
      </c>
      <c r="Q322">
        <f t="shared" si="965"/>
        <v>-10974120.978030363</v>
      </c>
      <c r="R322">
        <f t="shared" si="966"/>
        <v>-32874468.224271491</v>
      </c>
      <c r="S322">
        <f t="shared" si="967"/>
        <v>-328.74468224271493</v>
      </c>
      <c r="T322">
        <f t="shared" si="968"/>
        <v>-0.32874468224271491</v>
      </c>
    </row>
    <row r="323" spans="1:20" x14ac:dyDescent="0.25">
      <c r="A323" s="5">
        <v>44270</v>
      </c>
      <c r="B323">
        <v>0.1</v>
      </c>
      <c r="C323">
        <v>60</v>
      </c>
      <c r="D323">
        <v>0.1</v>
      </c>
      <c r="E323">
        <v>20.740300000000001</v>
      </c>
      <c r="F323">
        <v>70455052.260000005</v>
      </c>
      <c r="G323">
        <v>20640.3</v>
      </c>
      <c r="P323">
        <f t="shared" si="964"/>
        <v>-0.31084140233722862</v>
      </c>
      <c r="Q323">
        <f t="shared" si="965"/>
        <v>-21900347.24624113</v>
      </c>
      <c r="R323">
        <f t="shared" si="966"/>
        <v>-21900347.24624113</v>
      </c>
      <c r="S323">
        <f t="shared" si="967"/>
        <v>-219.00347246241131</v>
      </c>
      <c r="T323">
        <f t="shared" si="968"/>
        <v>-0.21900347246241131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F491" sqref="GF49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$A$490</v>
      </c>
      <c r="D111" s="1" t="str">
        <f>ADDRESS(C121-1,D121,1,1)</f>
        <v>$GF$490</v>
      </c>
      <c r="E111"/>
    </row>
    <row r="112" spans="1:5" x14ac:dyDescent="0.25">
      <c r="A112" s="7">
        <v>12164.144957890772</v>
      </c>
      <c r="C112" s="1" t="str">
        <f>ADDRESS(C121,1,1,1)</f>
        <v>$A$491</v>
      </c>
      <c r="D112" s="1" t="str">
        <f>ADDRESS(C121,D121-1,1,1)</f>
        <v>$GE$491</v>
      </c>
      <c r="E112"/>
    </row>
    <row r="113" spans="1:5" x14ac:dyDescent="0.25">
      <c r="A113" s="7">
        <v>11925.63231165762</v>
      </c>
      <c r="C113" s="1" t="str">
        <f>ADDRESS(C121+1,1,1,1)</f>
        <v>$A$492</v>
      </c>
      <c r="D113" s="1" t="str">
        <f>ADDRESS(C121-1,D121+1,1,1)</f>
        <v>$GG$490</v>
      </c>
    </row>
    <row r="114" spans="1:5" x14ac:dyDescent="0.25">
      <c r="A114" s="7">
        <v>11691.796383978059</v>
      </c>
      <c r="C114" s="1" t="str">
        <f>ADDRESS(C121,D121,1,1)</f>
        <v>$GF$491</v>
      </c>
      <c r="D114" s="1" t="str">
        <f>ADDRESS(C121+1,D121+1,1,1)</f>
        <v>$GG$492</v>
      </c>
    </row>
    <row r="115" spans="1:5" x14ac:dyDescent="0.25">
      <c r="A115" s="7">
        <v>11462.545474488292</v>
      </c>
      <c r="C115" s="1" t="str">
        <f>ADDRESS(C121+1,D121,1,1)</f>
        <v>$GF$492</v>
      </c>
    </row>
    <row r="116" spans="1:5" x14ac:dyDescent="0.25">
      <c r="A116" s="7">
        <v>11237.789680870874</v>
      </c>
      <c r="C116" s="1">
        <f>C117-1</f>
        <v>490</v>
      </c>
    </row>
    <row r="117" spans="1:5" x14ac:dyDescent="0.25">
      <c r="A117" s="7">
        <v>11017.440863598895</v>
      </c>
      <c r="C117" s="1">
        <f>C121</f>
        <v>491</v>
      </c>
      <c r="D117" s="1">
        <f>D121</f>
        <v>188</v>
      </c>
    </row>
    <row r="118" spans="1:5" x14ac:dyDescent="0.25">
      <c r="A118" s="7">
        <v>10801.412611371465</v>
      </c>
      <c r="C118" s="1">
        <f>C117+1</f>
        <v>492</v>
      </c>
      <c r="D118" s="1">
        <f>D117+1</f>
        <v>189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491</v>
      </c>
      <c r="D121" s="19">
        <v>188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R491</v>
      </c>
      <c r="D123" s="1" t="str">
        <f>"C"&amp;D121</f>
        <v>C188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6.692933179528171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160" x14ac:dyDescent="0.25">
      <c r="A417" s="7">
        <v>28.975383953883185</v>
      </c>
      <c r="B417"/>
      <c r="C417"/>
      <c r="D417"/>
      <c r="E417"/>
    </row>
    <row r="418" spans="1:160" x14ac:dyDescent="0.25">
      <c r="A418" s="7">
        <v>28.407239170473709</v>
      </c>
      <c r="B418"/>
      <c r="C418"/>
      <c r="D418"/>
      <c r="E418"/>
      <c r="EY418" s="27" t="s">
        <v>8</v>
      </c>
    </row>
    <row r="419" spans="1:160" x14ac:dyDescent="0.25">
      <c r="A419" s="7">
        <v>27.850234480856578</v>
      </c>
      <c r="B419"/>
      <c r="C419"/>
      <c r="D419"/>
      <c r="E419"/>
      <c r="EY419" s="27" t="s">
        <v>8</v>
      </c>
      <c r="EZ419" s="27" t="s">
        <v>7</v>
      </c>
    </row>
    <row r="420" spans="1:160" x14ac:dyDescent="0.25">
      <c r="A420" s="7">
        <v>27.304151451820175</v>
      </c>
      <c r="B420"/>
      <c r="C420"/>
      <c r="D420"/>
      <c r="E420"/>
      <c r="EY420" s="27" t="s">
        <v>8</v>
      </c>
      <c r="EZ420" s="27" t="s">
        <v>7</v>
      </c>
    </row>
    <row r="421" spans="1:160" x14ac:dyDescent="0.25">
      <c r="A421" s="7">
        <v>26.768775933157034</v>
      </c>
      <c r="B421"/>
      <c r="C421"/>
      <c r="D421"/>
      <c r="E421"/>
      <c r="EY421" s="27" t="s">
        <v>8</v>
      </c>
      <c r="EZ421" s="27" t="s">
        <v>7</v>
      </c>
    </row>
    <row r="422" spans="1:160" x14ac:dyDescent="0.25">
      <c r="A422" s="7">
        <v>26.243897973683367</v>
      </c>
      <c r="B422"/>
      <c r="C422"/>
      <c r="D422"/>
      <c r="E422"/>
      <c r="EY422" s="27" t="s">
        <v>8</v>
      </c>
      <c r="EZ422" s="27" t="s">
        <v>7</v>
      </c>
    </row>
    <row r="423" spans="1:160" x14ac:dyDescent="0.25">
      <c r="A423" s="7">
        <v>25.729311738905263</v>
      </c>
      <c r="B423"/>
      <c r="C423"/>
      <c r="D423"/>
      <c r="E423"/>
      <c r="EY423" s="27" t="s">
        <v>8</v>
      </c>
      <c r="EZ423" s="27" t="s">
        <v>7</v>
      </c>
    </row>
    <row r="424" spans="1:160" x14ac:dyDescent="0.25">
      <c r="A424" s="7">
        <v>25.224815430299277</v>
      </c>
      <c r="B424"/>
      <c r="C424"/>
      <c r="D424"/>
      <c r="E424" t="s">
        <v>8</v>
      </c>
      <c r="EY424" s="27" t="s">
        <v>8</v>
      </c>
      <c r="EZ424" s="27" t="s">
        <v>7</v>
      </c>
    </row>
    <row r="425" spans="1:160" x14ac:dyDescent="0.25">
      <c r="A425" s="7">
        <v>24.73021120617576</v>
      </c>
      <c r="B425"/>
      <c r="C425"/>
      <c r="D425"/>
      <c r="E425" t="s">
        <v>8</v>
      </c>
      <c r="F425" s="27" t="s">
        <v>7</v>
      </c>
      <c r="EY425" s="27" t="s">
        <v>8</v>
      </c>
      <c r="EZ425" s="27" t="s">
        <v>7</v>
      </c>
    </row>
    <row r="426" spans="1:160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EY426" s="27" t="s">
        <v>8</v>
      </c>
      <c r="EZ426" s="27" t="s">
        <v>7</v>
      </c>
    </row>
    <row r="427" spans="1:160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DE427" s="27" t="s">
        <v>8</v>
      </c>
      <c r="EY427" s="27" t="s">
        <v>8</v>
      </c>
      <c r="EZ427" s="27" t="s">
        <v>7</v>
      </c>
      <c r="FC427" s="27" t="s">
        <v>8</v>
      </c>
    </row>
    <row r="428" spans="1:160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DE428" s="27" t="s">
        <v>8</v>
      </c>
      <c r="DF428" s="27" t="s">
        <v>7</v>
      </c>
      <c r="EY428" s="27" t="s">
        <v>8</v>
      </c>
      <c r="EZ428" s="27" t="s">
        <v>7</v>
      </c>
      <c r="FC428" s="27" t="s">
        <v>8</v>
      </c>
      <c r="FD428" s="27" t="s">
        <v>7</v>
      </c>
    </row>
    <row r="429" spans="1:160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DC429" s="27" t="s">
        <v>8</v>
      </c>
      <c r="DE429" s="27" t="s">
        <v>8</v>
      </c>
      <c r="DF429" s="27" t="s">
        <v>7</v>
      </c>
      <c r="EY429" s="27" t="s">
        <v>8</v>
      </c>
      <c r="EZ429" s="27" t="s">
        <v>7</v>
      </c>
      <c r="FC429" s="27" t="s">
        <v>8</v>
      </c>
      <c r="FD429" s="27" t="s">
        <v>7</v>
      </c>
    </row>
    <row r="430" spans="1:160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DC430" s="27" t="s">
        <v>8</v>
      </c>
      <c r="DD430" s="27" t="s">
        <v>7</v>
      </c>
      <c r="DE430" s="27" t="s">
        <v>8</v>
      </c>
      <c r="DF430" s="27" t="s">
        <v>7</v>
      </c>
      <c r="EY430" s="27" t="s">
        <v>8</v>
      </c>
      <c r="EZ430" s="27" t="s">
        <v>7</v>
      </c>
      <c r="FC430" s="27" t="s">
        <v>8</v>
      </c>
      <c r="FD430" s="27" t="s">
        <v>7</v>
      </c>
    </row>
    <row r="431" spans="1:160" x14ac:dyDescent="0.25">
      <c r="A431" s="7">
        <v>21.959719826504344</v>
      </c>
      <c r="B431"/>
      <c r="C431"/>
      <c r="D431"/>
      <c r="E431" t="s">
        <v>8</v>
      </c>
      <c r="F431" s="27" t="s">
        <v>7</v>
      </c>
      <c r="DC431" s="27" t="s">
        <v>8</v>
      </c>
      <c r="DD431" s="27" t="s">
        <v>7</v>
      </c>
      <c r="DE431" s="27" t="s">
        <v>8</v>
      </c>
      <c r="DF431" s="27" t="s">
        <v>7</v>
      </c>
      <c r="EW431" s="27" t="s">
        <v>8</v>
      </c>
      <c r="EY431" s="27" t="s">
        <v>8</v>
      </c>
      <c r="EZ431" s="27" t="s">
        <v>7</v>
      </c>
      <c r="FC431" s="27" t="s">
        <v>8</v>
      </c>
      <c r="FD431" s="27" t="s">
        <v>7</v>
      </c>
    </row>
    <row r="432" spans="1:160" x14ac:dyDescent="0.25">
      <c r="A432" s="7">
        <v>21.52913708480818</v>
      </c>
      <c r="B432"/>
      <c r="C432"/>
      <c r="D432"/>
      <c r="E432" t="s">
        <v>8</v>
      </c>
      <c r="F432" s="27" t="s">
        <v>7</v>
      </c>
      <c r="DC432" s="27" t="s">
        <v>8</v>
      </c>
      <c r="DD432" s="27" t="s">
        <v>7</v>
      </c>
      <c r="DE432" s="27" t="s">
        <v>8</v>
      </c>
      <c r="DF432" s="27" t="s">
        <v>7</v>
      </c>
      <c r="EW432" s="27" t="s">
        <v>8</v>
      </c>
      <c r="EX432" s="27" t="s">
        <v>7</v>
      </c>
      <c r="EY432" s="27" t="s">
        <v>8</v>
      </c>
      <c r="EZ432" s="27" t="s">
        <v>7</v>
      </c>
      <c r="FA432" s="27" t="s">
        <v>8</v>
      </c>
      <c r="FC432" s="27" t="s">
        <v>8</v>
      </c>
      <c r="FD432" s="27" t="s">
        <v>7</v>
      </c>
    </row>
    <row r="433" spans="1:173" x14ac:dyDescent="0.25">
      <c r="A433" s="7">
        <v>21.106997141968804</v>
      </c>
      <c r="B433"/>
      <c r="C433"/>
      <c r="D433"/>
      <c r="E433" t="s">
        <v>8</v>
      </c>
      <c r="F433" s="27" t="s">
        <v>7</v>
      </c>
      <c r="DC433" s="27" t="s">
        <v>8</v>
      </c>
      <c r="DD433" s="27" t="s">
        <v>7</v>
      </c>
      <c r="DE433" s="27" t="s">
        <v>8</v>
      </c>
      <c r="DF433" s="27" t="s">
        <v>7</v>
      </c>
      <c r="EW433" s="27" t="s">
        <v>8</v>
      </c>
      <c r="EX433" s="27" t="s">
        <v>7</v>
      </c>
      <c r="EY433" s="27" t="s">
        <v>8</v>
      </c>
      <c r="EZ433" s="27" t="s">
        <v>7</v>
      </c>
      <c r="FA433" s="27" t="s">
        <v>8</v>
      </c>
      <c r="FB433" s="27" t="s">
        <v>7</v>
      </c>
      <c r="FC433" s="27" t="s">
        <v>8</v>
      </c>
      <c r="FD433" s="27" t="s">
        <v>7</v>
      </c>
    </row>
    <row r="434" spans="1:173" x14ac:dyDescent="0.25">
      <c r="A434" s="7">
        <v>20.693134452910591</v>
      </c>
      <c r="B434"/>
      <c r="C434"/>
      <c r="D434"/>
      <c r="E434" t="s">
        <v>8</v>
      </c>
      <c r="F434" s="27" t="s">
        <v>7</v>
      </c>
      <c r="DC434" s="27" t="s">
        <v>8</v>
      </c>
      <c r="DD434" s="27" t="s">
        <v>7</v>
      </c>
      <c r="DE434" s="27" t="s">
        <v>8</v>
      </c>
      <c r="DF434" s="27" t="s">
        <v>7</v>
      </c>
      <c r="EW434" s="27" t="s">
        <v>8</v>
      </c>
      <c r="EX434" s="27" t="s">
        <v>7</v>
      </c>
      <c r="EY434" s="27" t="s">
        <v>8</v>
      </c>
      <c r="EZ434" s="27" t="s">
        <v>7</v>
      </c>
      <c r="FA434" s="27" t="s">
        <v>8</v>
      </c>
      <c r="FB434" s="27" t="s">
        <v>7</v>
      </c>
      <c r="FC434" s="27" t="s">
        <v>8</v>
      </c>
      <c r="FD434" s="27" t="s">
        <v>7</v>
      </c>
    </row>
    <row r="435" spans="1:173" x14ac:dyDescent="0.25">
      <c r="A435" s="7">
        <v>20.287386718539796</v>
      </c>
      <c r="B435"/>
      <c r="C435"/>
      <c r="D435"/>
      <c r="E435" t="s">
        <v>8</v>
      </c>
      <c r="F435" s="27" t="s">
        <v>7</v>
      </c>
      <c r="DC435" s="27" t="s">
        <v>8</v>
      </c>
      <c r="DD435" s="27" t="s">
        <v>7</v>
      </c>
      <c r="DE435" s="27" t="s">
        <v>8</v>
      </c>
      <c r="DF435" s="27" t="s">
        <v>7</v>
      </c>
      <c r="DI435" s="27" t="s">
        <v>8</v>
      </c>
      <c r="EW435" s="27" t="s">
        <v>8</v>
      </c>
      <c r="EX435" s="27" t="s">
        <v>7</v>
      </c>
      <c r="EY435" s="27" t="s">
        <v>8</v>
      </c>
      <c r="EZ435" s="27" t="s">
        <v>7</v>
      </c>
      <c r="FA435" s="27" t="s">
        <v>8</v>
      </c>
      <c r="FB435" s="27" t="s">
        <v>7</v>
      </c>
      <c r="FC435" s="27" t="s">
        <v>8</v>
      </c>
      <c r="FD435" s="27" t="s">
        <v>7</v>
      </c>
    </row>
    <row r="436" spans="1:173" x14ac:dyDescent="0.25">
      <c r="A436" s="7">
        <v>19.889594822097838</v>
      </c>
      <c r="B436"/>
      <c r="C436"/>
      <c r="D436"/>
      <c r="E436" t="s">
        <v>8</v>
      </c>
      <c r="F436" s="27" t="s">
        <v>7</v>
      </c>
      <c r="G436" s="27" t="s">
        <v>8</v>
      </c>
      <c r="DC436" s="27" t="s">
        <v>8</v>
      </c>
      <c r="DD436" s="27" t="s">
        <v>7</v>
      </c>
      <c r="DE436" s="27" t="s">
        <v>8</v>
      </c>
      <c r="DF436" s="27" t="s">
        <v>7</v>
      </c>
      <c r="DI436" s="27" t="s">
        <v>8</v>
      </c>
      <c r="DJ436" s="27" t="s">
        <v>7</v>
      </c>
      <c r="EW436" s="27" t="s">
        <v>8</v>
      </c>
      <c r="EX436" s="27" t="s">
        <v>7</v>
      </c>
      <c r="EY436" s="27" t="s">
        <v>8</v>
      </c>
      <c r="EZ436" s="27" t="s">
        <v>7</v>
      </c>
      <c r="FA436" s="27" t="s">
        <v>8</v>
      </c>
      <c r="FB436" s="27" t="s">
        <v>7</v>
      </c>
      <c r="FC436" s="27" t="s">
        <v>8</v>
      </c>
      <c r="FD436" s="27" t="s">
        <v>7</v>
      </c>
    </row>
    <row r="437" spans="1:173" x14ac:dyDescent="0.25">
      <c r="A437" s="7">
        <v>19.499602766762585</v>
      </c>
      <c r="B437"/>
      <c r="C437"/>
      <c r="D437"/>
      <c r="E437" t="s">
        <v>8</v>
      </c>
      <c r="F437" s="27" t="s">
        <v>7</v>
      </c>
      <c r="G437" s="27" t="s">
        <v>8</v>
      </c>
      <c r="H437" s="27" t="s">
        <v>7</v>
      </c>
      <c r="AG437" s="27" t="s">
        <v>8</v>
      </c>
      <c r="DC437" s="27" t="s">
        <v>8</v>
      </c>
      <c r="DD437" s="27" t="s">
        <v>7</v>
      </c>
      <c r="DE437" s="27" t="s">
        <v>8</v>
      </c>
      <c r="DF437" s="27" t="s">
        <v>7</v>
      </c>
      <c r="DG437" s="27" t="s">
        <v>8</v>
      </c>
      <c r="DI437" s="27" t="s">
        <v>8</v>
      </c>
      <c r="DJ437" s="27" t="s">
        <v>7</v>
      </c>
      <c r="EW437" s="27" t="s">
        <v>8</v>
      </c>
      <c r="EX437" s="27" t="s">
        <v>7</v>
      </c>
      <c r="EY437" s="27" t="s">
        <v>8</v>
      </c>
      <c r="EZ437" s="27" t="s">
        <v>7</v>
      </c>
      <c r="FA437" s="27" t="s">
        <v>8</v>
      </c>
      <c r="FB437" s="27" t="s">
        <v>7</v>
      </c>
      <c r="FC437" s="27" t="s">
        <v>8</v>
      </c>
      <c r="FD437" s="27" t="s">
        <v>7</v>
      </c>
    </row>
    <row r="438" spans="1:173" x14ac:dyDescent="0.25">
      <c r="A438" s="7">
        <v>19.117257614473122</v>
      </c>
      <c r="B438"/>
      <c r="C438"/>
      <c r="D438"/>
      <c r="E438" t="s">
        <v>8</v>
      </c>
      <c r="F438" s="27" t="s">
        <v>7</v>
      </c>
      <c r="G438" s="27" t="s">
        <v>8</v>
      </c>
      <c r="H438" s="27" t="s">
        <v>7</v>
      </c>
      <c r="AG438" s="27" t="s">
        <v>8</v>
      </c>
      <c r="AH438" s="27" t="s">
        <v>7</v>
      </c>
      <c r="DC438" s="27" t="s">
        <v>8</v>
      </c>
      <c r="DD438" s="27" t="s">
        <v>7</v>
      </c>
      <c r="DE438" s="27" t="s">
        <v>8</v>
      </c>
      <c r="DF438" s="27" t="s">
        <v>7</v>
      </c>
      <c r="DG438" s="27" t="s">
        <v>8</v>
      </c>
      <c r="DH438" s="27" t="s">
        <v>7</v>
      </c>
      <c r="DI438" s="27" t="s">
        <v>8</v>
      </c>
      <c r="DJ438" s="27" t="s">
        <v>7</v>
      </c>
      <c r="EW438" s="27" t="s">
        <v>8</v>
      </c>
      <c r="EX438" s="27" t="s">
        <v>7</v>
      </c>
      <c r="EY438" s="27" t="s">
        <v>8</v>
      </c>
      <c r="EZ438" s="27" t="s">
        <v>7</v>
      </c>
      <c r="FA438" s="27" t="s">
        <v>8</v>
      </c>
      <c r="FB438" s="27" t="s">
        <v>7</v>
      </c>
      <c r="FC438" s="27" t="s">
        <v>8</v>
      </c>
      <c r="FD438" s="27" t="s">
        <v>7</v>
      </c>
    </row>
    <row r="439" spans="1:173" x14ac:dyDescent="0.25">
      <c r="A439" s="7">
        <v>18.74240942595404</v>
      </c>
      <c r="B439"/>
      <c r="C439"/>
      <c r="D439"/>
      <c r="E439" t="s">
        <v>8</v>
      </c>
      <c r="F439" s="27" t="s">
        <v>7</v>
      </c>
      <c r="G439" s="27" t="s">
        <v>8</v>
      </c>
      <c r="H439" s="27" t="s">
        <v>7</v>
      </c>
      <c r="AG439" s="27" t="s">
        <v>8</v>
      </c>
      <c r="AH439" s="27" t="s">
        <v>7</v>
      </c>
      <c r="DC439" s="27" t="s">
        <v>8</v>
      </c>
      <c r="DD439" s="27" t="s">
        <v>7</v>
      </c>
      <c r="DE439" s="27" t="s">
        <v>8</v>
      </c>
      <c r="DF439" s="27" t="s">
        <v>7</v>
      </c>
      <c r="DG439" s="27" t="s">
        <v>8</v>
      </c>
      <c r="DH439" s="27" t="s">
        <v>7</v>
      </c>
      <c r="DI439" s="27" t="s">
        <v>8</v>
      </c>
      <c r="DJ439" s="27" t="s">
        <v>7</v>
      </c>
      <c r="EW439" s="27" t="s">
        <v>8</v>
      </c>
      <c r="EX439" s="27" t="s">
        <v>7</v>
      </c>
      <c r="EY439" s="27" t="s">
        <v>8</v>
      </c>
      <c r="EZ439" s="27" t="s">
        <v>7</v>
      </c>
      <c r="FB439" s="27" t="s">
        <v>7</v>
      </c>
      <c r="FD439" s="27" t="s">
        <v>7</v>
      </c>
    </row>
    <row r="440" spans="1:173" x14ac:dyDescent="0.25">
      <c r="A440" s="7">
        <v>18.374911201915726</v>
      </c>
      <c r="B440"/>
      <c r="C440"/>
      <c r="D440"/>
      <c r="E440" t="s">
        <v>8</v>
      </c>
      <c r="F440" s="27" t="s">
        <v>7</v>
      </c>
      <c r="G440" s="27" t="s">
        <v>8</v>
      </c>
      <c r="H440" s="27" t="s">
        <v>7</v>
      </c>
      <c r="AG440" s="27" t="s">
        <v>8</v>
      </c>
      <c r="AH440" s="27" t="s">
        <v>7</v>
      </c>
      <c r="DA440" s="27" t="s">
        <v>8</v>
      </c>
      <c r="DC440" s="27" t="s">
        <v>8</v>
      </c>
      <c r="DD440" s="27" t="s">
        <v>7</v>
      </c>
      <c r="DE440" s="27" t="s">
        <v>8</v>
      </c>
      <c r="DF440" s="27" t="s">
        <v>7</v>
      </c>
      <c r="DG440" s="27" t="s">
        <v>8</v>
      </c>
      <c r="DH440" s="27" t="s">
        <v>7</v>
      </c>
      <c r="DI440" s="27" t="s">
        <v>8</v>
      </c>
      <c r="DJ440" s="27" t="s">
        <v>7</v>
      </c>
      <c r="EW440" s="27" t="s">
        <v>8</v>
      </c>
      <c r="EX440" s="27" t="s">
        <v>7</v>
      </c>
      <c r="EY440" s="27" t="s">
        <v>8</v>
      </c>
      <c r="FD440" s="27" t="s">
        <v>7</v>
      </c>
    </row>
    <row r="441" spans="1:173" x14ac:dyDescent="0.25">
      <c r="A441" s="7">
        <v>18.014618825407574</v>
      </c>
      <c r="B441"/>
      <c r="C441"/>
      <c r="D441"/>
      <c r="E441" t="s">
        <v>8</v>
      </c>
      <c r="F441" s="27" t="s">
        <v>7</v>
      </c>
      <c r="G441" s="27" t="s">
        <v>8</v>
      </c>
      <c r="H441" s="27" t="s">
        <v>7</v>
      </c>
      <c r="K441" s="27" t="s">
        <v>8</v>
      </c>
      <c r="AG441" s="27" t="s">
        <v>8</v>
      </c>
      <c r="AH441" s="27" t="s">
        <v>7</v>
      </c>
      <c r="CY441" s="27" t="s">
        <v>8</v>
      </c>
      <c r="DA441" s="27" t="s">
        <v>8</v>
      </c>
      <c r="DB441" s="27" t="s">
        <v>7</v>
      </c>
      <c r="DC441" s="27" t="s">
        <v>8</v>
      </c>
      <c r="DD441" s="27" t="s">
        <v>7</v>
      </c>
      <c r="DE441" s="27" t="s">
        <v>8</v>
      </c>
      <c r="DF441" s="27" t="s">
        <v>7</v>
      </c>
      <c r="DG441" s="27" t="s">
        <v>8</v>
      </c>
      <c r="DH441" s="27" t="s">
        <v>7</v>
      </c>
      <c r="DI441" s="27" t="s">
        <v>8</v>
      </c>
      <c r="DJ441" s="27" t="s">
        <v>7</v>
      </c>
      <c r="EW441" s="27" t="s">
        <v>8</v>
      </c>
      <c r="EX441" s="27" t="s">
        <v>7</v>
      </c>
      <c r="EY441" s="27" t="s">
        <v>8</v>
      </c>
      <c r="FD441" s="27" t="s">
        <v>7</v>
      </c>
    </row>
    <row r="442" spans="1:173" x14ac:dyDescent="0.25">
      <c r="A442" s="7">
        <v>17.661391005301542</v>
      </c>
      <c r="B442"/>
      <c r="C442"/>
      <c r="D442"/>
      <c r="E442" t="s">
        <v>8</v>
      </c>
      <c r="F442" s="27" t="s">
        <v>7</v>
      </c>
      <c r="G442" s="27" t="s">
        <v>8</v>
      </c>
      <c r="H442" s="27" t="s">
        <v>7</v>
      </c>
      <c r="K442" s="27" t="s">
        <v>8</v>
      </c>
      <c r="L442" s="27" t="s">
        <v>7</v>
      </c>
      <c r="AG442" s="27" t="s">
        <v>8</v>
      </c>
      <c r="AH442" s="27" t="s">
        <v>7</v>
      </c>
      <c r="CY442" s="27" t="s">
        <v>8</v>
      </c>
      <c r="CZ442" s="27" t="s">
        <v>7</v>
      </c>
      <c r="DA442" s="27" t="s">
        <v>8</v>
      </c>
      <c r="DB442" s="27" t="s">
        <v>7</v>
      </c>
      <c r="DC442" s="27" t="s">
        <v>8</v>
      </c>
      <c r="DD442" s="27" t="s">
        <v>7</v>
      </c>
      <c r="DE442" s="27" t="s">
        <v>8</v>
      </c>
      <c r="DF442" s="27" t="s">
        <v>7</v>
      </c>
      <c r="DG442" s="27" t="s">
        <v>8</v>
      </c>
      <c r="DH442" s="27" t="s">
        <v>7</v>
      </c>
      <c r="DJ442" s="27" t="s">
        <v>7</v>
      </c>
      <c r="EU442" s="27" t="s">
        <v>8</v>
      </c>
      <c r="EW442" s="27" t="s">
        <v>8</v>
      </c>
      <c r="EX442" s="27" t="s">
        <v>7</v>
      </c>
      <c r="FD442" s="27" t="s">
        <v>7</v>
      </c>
    </row>
    <row r="443" spans="1:173" x14ac:dyDescent="0.25">
      <c r="A443" s="7">
        <v>17.315089220883866</v>
      </c>
      <c r="B443"/>
      <c r="C443"/>
      <c r="D443"/>
      <c r="E443" t="s">
        <v>8</v>
      </c>
      <c r="F443" s="27" t="s">
        <v>7</v>
      </c>
      <c r="G443" s="27" t="s">
        <v>8</v>
      </c>
      <c r="H443" s="27" t="s">
        <v>7</v>
      </c>
      <c r="K443" s="27" t="s">
        <v>8</v>
      </c>
      <c r="L443" s="27" t="s">
        <v>7</v>
      </c>
      <c r="AG443" s="27" t="s">
        <v>8</v>
      </c>
      <c r="AH443" s="27" t="s">
        <v>7</v>
      </c>
      <c r="CY443" s="27" t="s">
        <v>8</v>
      </c>
      <c r="CZ443" s="27" t="s">
        <v>7</v>
      </c>
      <c r="DA443" s="27" t="s">
        <v>8</v>
      </c>
      <c r="DB443" s="27" t="s">
        <v>7</v>
      </c>
      <c r="DC443" s="27" t="s">
        <v>8</v>
      </c>
      <c r="DD443" s="27" t="s">
        <v>7</v>
      </c>
      <c r="DF443" s="27" t="s">
        <v>7</v>
      </c>
      <c r="DJ443" s="27" t="s">
        <v>7</v>
      </c>
      <c r="EI443" s="27" t="s">
        <v>8</v>
      </c>
      <c r="EU443" s="27" t="s">
        <v>8</v>
      </c>
      <c r="EV443" s="27" t="s">
        <v>7</v>
      </c>
      <c r="EW443" s="27" t="s">
        <v>8</v>
      </c>
      <c r="FD443" s="27" t="s">
        <v>7</v>
      </c>
    </row>
    <row r="444" spans="1:173" x14ac:dyDescent="0.25">
      <c r="A444" s="7">
        <v>16.975577667533202</v>
      </c>
      <c r="B444"/>
      <c r="C444"/>
      <c r="D444"/>
      <c r="E444" t="s">
        <v>8</v>
      </c>
      <c r="F444" s="27" t="s">
        <v>7</v>
      </c>
      <c r="G444" s="27" t="s">
        <v>8</v>
      </c>
      <c r="H444" s="27" t="s">
        <v>7</v>
      </c>
      <c r="K444" s="27" t="s">
        <v>8</v>
      </c>
      <c r="L444" s="27" t="s">
        <v>7</v>
      </c>
      <c r="M444" s="27" t="s">
        <v>8</v>
      </c>
      <c r="AG444" s="27" t="s">
        <v>8</v>
      </c>
      <c r="AH444" s="27" t="s">
        <v>7</v>
      </c>
      <c r="CY444" s="27" t="s">
        <v>8</v>
      </c>
      <c r="CZ444" s="27" t="s">
        <v>7</v>
      </c>
      <c r="DA444" s="27" t="s">
        <v>8</v>
      </c>
      <c r="DB444" s="27" t="s">
        <v>7</v>
      </c>
      <c r="DC444" s="27" t="s">
        <v>8</v>
      </c>
      <c r="DJ444" s="27" t="s">
        <v>7</v>
      </c>
      <c r="EI444" s="27" t="s">
        <v>8</v>
      </c>
      <c r="EJ444" s="27" t="s">
        <v>7</v>
      </c>
      <c r="EU444" s="27" t="s">
        <v>8</v>
      </c>
      <c r="EV444" s="27" t="s">
        <v>7</v>
      </c>
      <c r="EW444" s="27" t="s">
        <v>8</v>
      </c>
      <c r="FD444" s="27" t="s">
        <v>7</v>
      </c>
    </row>
    <row r="445" spans="1:173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G445" s="27" t="s">
        <v>8</v>
      </c>
      <c r="H445" s="27" t="s">
        <v>7</v>
      </c>
      <c r="K445" s="27" t="s">
        <v>8</v>
      </c>
      <c r="L445" s="27" t="s">
        <v>7</v>
      </c>
      <c r="M445" s="27" t="s">
        <v>8</v>
      </c>
      <c r="N445" s="27" t="s">
        <v>7</v>
      </c>
      <c r="AG445" s="27" t="s">
        <v>8</v>
      </c>
      <c r="AH445" s="27" t="s">
        <v>7</v>
      </c>
      <c r="CY445" s="27" t="s">
        <v>8</v>
      </c>
      <c r="CZ445" s="27" t="s">
        <v>7</v>
      </c>
      <c r="DA445" s="27" t="s">
        <v>8</v>
      </c>
      <c r="DB445" s="27" t="s">
        <v>7</v>
      </c>
      <c r="DC445" s="27" t="s">
        <v>8</v>
      </c>
      <c r="DJ445" s="27" t="s">
        <v>7</v>
      </c>
      <c r="EI445" s="27" t="s">
        <v>8</v>
      </c>
      <c r="EJ445" s="27" t="s">
        <v>7</v>
      </c>
      <c r="EO445" s="27" t="s">
        <v>8</v>
      </c>
      <c r="EU445" s="27" t="s">
        <v>8</v>
      </c>
      <c r="EV445" s="27" t="s">
        <v>7</v>
      </c>
      <c r="EW445" s="27" t="s">
        <v>8</v>
      </c>
      <c r="FD445" s="27" t="s">
        <v>7</v>
      </c>
    </row>
    <row r="446" spans="1:173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G446" s="27" t="s">
        <v>8</v>
      </c>
      <c r="H446" s="27" t="s">
        <v>7</v>
      </c>
      <c r="K446" s="27" t="s">
        <v>8</v>
      </c>
      <c r="L446" s="27" t="s">
        <v>7</v>
      </c>
      <c r="M446" s="27" t="s">
        <v>8</v>
      </c>
      <c r="N446" s="27" t="s">
        <v>7</v>
      </c>
      <c r="AG446" s="27" t="s">
        <v>8</v>
      </c>
      <c r="AH446" s="27" t="s">
        <v>7</v>
      </c>
      <c r="CI446" s="27" t="s">
        <v>8</v>
      </c>
      <c r="CY446" s="27" t="s">
        <v>8</v>
      </c>
      <c r="CZ446" s="27" t="s">
        <v>7</v>
      </c>
      <c r="DA446" s="27" t="s">
        <v>8</v>
      </c>
      <c r="DB446" s="27" t="s">
        <v>7</v>
      </c>
      <c r="DC446" s="27" t="s">
        <v>8</v>
      </c>
      <c r="DJ446" s="27" t="s">
        <v>7</v>
      </c>
      <c r="EI446" s="27" t="s">
        <v>8</v>
      </c>
      <c r="EJ446" s="27" t="s">
        <v>7</v>
      </c>
      <c r="EO446" s="27" t="s">
        <v>8</v>
      </c>
      <c r="EP446" s="27" t="s">
        <v>7</v>
      </c>
      <c r="EU446" s="27" t="s">
        <v>8</v>
      </c>
      <c r="EV446" s="27" t="s">
        <v>7</v>
      </c>
      <c r="EW446" s="27" t="s">
        <v>8</v>
      </c>
      <c r="FD446" s="27" t="s">
        <v>7</v>
      </c>
    </row>
    <row r="447" spans="1:173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G447" s="27" t="s">
        <v>8</v>
      </c>
      <c r="H447" s="27" t="s">
        <v>7</v>
      </c>
      <c r="K447" s="27" t="s">
        <v>8</v>
      </c>
      <c r="L447" s="27" t="s">
        <v>7</v>
      </c>
      <c r="M447" s="27" t="s">
        <v>8</v>
      </c>
      <c r="N447" s="27" t="s">
        <v>7</v>
      </c>
      <c r="AG447" s="27" t="s">
        <v>8</v>
      </c>
      <c r="AH447" s="27" t="s">
        <v>7</v>
      </c>
      <c r="AI447" s="27" t="s">
        <v>8</v>
      </c>
      <c r="CI447" s="27" t="s">
        <v>8</v>
      </c>
      <c r="CJ447" s="27" t="s">
        <v>7</v>
      </c>
      <c r="CY447" s="27" t="s">
        <v>8</v>
      </c>
      <c r="CZ447" s="27" t="s">
        <v>7</v>
      </c>
      <c r="DB447" s="27" t="s">
        <v>7</v>
      </c>
      <c r="DC447" s="27" t="s">
        <v>8</v>
      </c>
      <c r="DJ447" s="27" t="s">
        <v>7</v>
      </c>
      <c r="EI447" s="27" t="s">
        <v>8</v>
      </c>
      <c r="EJ447" s="27" t="s">
        <v>7</v>
      </c>
      <c r="EO447" s="27" t="s">
        <v>8</v>
      </c>
      <c r="EP447" s="27" t="s">
        <v>7</v>
      </c>
      <c r="EU447" s="27" t="s">
        <v>8</v>
      </c>
      <c r="EV447" s="27" t="s">
        <v>7</v>
      </c>
      <c r="EW447" s="27" t="s">
        <v>8</v>
      </c>
      <c r="FD447" s="27" t="s">
        <v>7</v>
      </c>
    </row>
    <row r="448" spans="1:173" x14ac:dyDescent="0.25">
      <c r="A448" s="7">
        <v>15.682809782308393</v>
      </c>
      <c r="B448"/>
      <c r="C448"/>
      <c r="D448"/>
      <c r="E448" t="s">
        <v>8</v>
      </c>
      <c r="F448" s="27" t="s">
        <v>7</v>
      </c>
      <c r="G448" s="27" t="s">
        <v>8</v>
      </c>
      <c r="H448" s="27" t="s">
        <v>7</v>
      </c>
      <c r="K448" s="27" t="s">
        <v>8</v>
      </c>
      <c r="L448" s="27" t="s">
        <v>7</v>
      </c>
      <c r="M448" s="27" t="s">
        <v>8</v>
      </c>
      <c r="N448" s="27" t="s">
        <v>7</v>
      </c>
      <c r="AG448" s="27" t="s">
        <v>8</v>
      </c>
      <c r="AH448" s="27" t="s">
        <v>7</v>
      </c>
      <c r="AI448" s="27" t="s">
        <v>8</v>
      </c>
      <c r="AJ448" s="27" t="s">
        <v>7</v>
      </c>
      <c r="AK448" s="27" t="s">
        <v>8</v>
      </c>
      <c r="CI448" s="27" t="s">
        <v>8</v>
      </c>
      <c r="CJ448" s="27" t="s">
        <v>7</v>
      </c>
      <c r="CY448" s="27" t="s">
        <v>8</v>
      </c>
      <c r="DB448" s="27" t="s">
        <v>7</v>
      </c>
      <c r="DC448" s="27" t="s">
        <v>8</v>
      </c>
      <c r="DJ448" s="27" t="s">
        <v>7</v>
      </c>
      <c r="EI448" s="27" t="s">
        <v>8</v>
      </c>
      <c r="EJ448" s="27" t="s">
        <v>7</v>
      </c>
      <c r="EK448" s="27" t="s">
        <v>8</v>
      </c>
      <c r="EM448" s="27" t="s">
        <v>8</v>
      </c>
      <c r="EO448" s="27" t="s">
        <v>8</v>
      </c>
      <c r="EP448" s="27" t="s">
        <v>7</v>
      </c>
      <c r="EU448" s="27" t="s">
        <v>8</v>
      </c>
      <c r="EV448" s="27" t="s">
        <v>7</v>
      </c>
      <c r="EW448" s="27" t="s">
        <v>8</v>
      </c>
      <c r="FD448" s="27" t="s">
        <v>7</v>
      </c>
      <c r="FE448" s="27" t="s">
        <v>8</v>
      </c>
      <c r="FQ448" s="27" t="s">
        <v>8</v>
      </c>
    </row>
    <row r="449" spans="1:183" x14ac:dyDescent="0.25">
      <c r="A449" s="7">
        <v>15.375303708145482</v>
      </c>
      <c r="B449"/>
      <c r="C449"/>
      <c r="D449"/>
      <c r="E449" t="s">
        <v>8</v>
      </c>
      <c r="F449" s="27" t="s">
        <v>7</v>
      </c>
      <c r="G449" s="27" t="s">
        <v>8</v>
      </c>
      <c r="H449" s="27" t="s">
        <v>7</v>
      </c>
      <c r="K449" s="27" t="s">
        <v>8</v>
      </c>
      <c r="L449" s="27" t="s">
        <v>7</v>
      </c>
      <c r="N449" s="27" t="s">
        <v>7</v>
      </c>
      <c r="Q449" s="27" t="s">
        <v>8</v>
      </c>
      <c r="AG449" s="27" t="s">
        <v>8</v>
      </c>
      <c r="AH449" s="27" t="s">
        <v>7</v>
      </c>
      <c r="AI449" s="27" t="s">
        <v>8</v>
      </c>
      <c r="AJ449" s="27" t="s">
        <v>7</v>
      </c>
      <c r="AK449" s="27" t="s">
        <v>8</v>
      </c>
      <c r="AL449" s="27" t="s">
        <v>7</v>
      </c>
      <c r="CI449" s="27" t="s">
        <v>8</v>
      </c>
      <c r="CJ449" s="27" t="s">
        <v>7</v>
      </c>
      <c r="CY449" s="27" t="s">
        <v>8</v>
      </c>
      <c r="DB449" s="27" t="s">
        <v>7</v>
      </c>
      <c r="DJ449" s="27" t="s">
        <v>7</v>
      </c>
      <c r="DW449" s="27" t="s">
        <v>8</v>
      </c>
      <c r="EI449" s="27" t="s">
        <v>8</v>
      </c>
      <c r="EJ449" s="27" t="s">
        <v>7</v>
      </c>
      <c r="EK449" s="27" t="s">
        <v>8</v>
      </c>
      <c r="EL449" s="27" t="s">
        <v>7</v>
      </c>
      <c r="EM449" s="27" t="s">
        <v>8</v>
      </c>
      <c r="EN449" s="27" t="s">
        <v>7</v>
      </c>
      <c r="EO449" s="27" t="s">
        <v>8</v>
      </c>
      <c r="EP449" s="27" t="s">
        <v>7</v>
      </c>
      <c r="EU449" s="27" t="s">
        <v>8</v>
      </c>
      <c r="EV449" s="27" t="s">
        <v>7</v>
      </c>
      <c r="FD449" s="27" t="s">
        <v>7</v>
      </c>
      <c r="FE449" s="27" t="s">
        <v>8</v>
      </c>
      <c r="FF449" s="27" t="s">
        <v>7</v>
      </c>
      <c r="FQ449" s="27" t="s">
        <v>8</v>
      </c>
      <c r="FR449" s="27" t="s">
        <v>7</v>
      </c>
    </row>
    <row r="450" spans="1:183" x14ac:dyDescent="0.25">
      <c r="A450" s="7">
        <v>15.073827164848511</v>
      </c>
      <c r="B450"/>
      <c r="C450"/>
      <c r="D450"/>
      <c r="E450" t="s">
        <v>8</v>
      </c>
      <c r="F450" s="27" t="s">
        <v>7</v>
      </c>
      <c r="G450" s="27" t="s">
        <v>8</v>
      </c>
      <c r="H450" s="27" t="s">
        <v>7</v>
      </c>
      <c r="K450" s="27" t="s">
        <v>8</v>
      </c>
      <c r="N450" s="27" t="s">
        <v>7</v>
      </c>
      <c r="O450" s="27" t="s">
        <v>8</v>
      </c>
      <c r="Q450" s="27" t="s">
        <v>8</v>
      </c>
      <c r="R450" s="27" t="s">
        <v>7</v>
      </c>
      <c r="U450" s="27" t="s">
        <v>8</v>
      </c>
      <c r="AG450" s="27" t="s">
        <v>8</v>
      </c>
      <c r="AH450" s="27" t="s">
        <v>7</v>
      </c>
      <c r="AI450" s="27" t="s">
        <v>8</v>
      </c>
      <c r="AJ450" s="27" t="s">
        <v>7</v>
      </c>
      <c r="AK450" s="27" t="s">
        <v>8</v>
      </c>
      <c r="AL450" s="27" t="s">
        <v>7</v>
      </c>
      <c r="CI450" s="27" t="s">
        <v>8</v>
      </c>
      <c r="CJ450" s="27" t="s">
        <v>7</v>
      </c>
      <c r="CS450" s="27" t="s">
        <v>8</v>
      </c>
      <c r="CY450" s="27" t="s">
        <v>8</v>
      </c>
      <c r="DJ450" s="27" t="s">
        <v>7</v>
      </c>
      <c r="DO450" s="27" t="s">
        <v>8</v>
      </c>
      <c r="DW450" s="27" t="s">
        <v>8</v>
      </c>
      <c r="DX450" s="27" t="s">
        <v>7</v>
      </c>
      <c r="EI450" s="27" t="s">
        <v>8</v>
      </c>
      <c r="EJ450" s="27" t="s">
        <v>7</v>
      </c>
      <c r="EK450" s="27" t="s">
        <v>8</v>
      </c>
      <c r="EL450" s="27" t="s">
        <v>7</v>
      </c>
      <c r="EM450" s="27" t="s">
        <v>8</v>
      </c>
      <c r="EN450" s="27" t="s">
        <v>7</v>
      </c>
      <c r="EO450" s="27" t="s">
        <v>8</v>
      </c>
      <c r="EP450" s="27" t="s">
        <v>7</v>
      </c>
      <c r="EQ450" s="27" t="s">
        <v>8</v>
      </c>
      <c r="ES450" s="27" t="s">
        <v>8</v>
      </c>
      <c r="EU450" s="27" t="s">
        <v>8</v>
      </c>
      <c r="FD450" s="27" t="s">
        <v>7</v>
      </c>
      <c r="FE450" s="27" t="s">
        <v>8</v>
      </c>
      <c r="FF450" s="27" t="s">
        <v>7</v>
      </c>
      <c r="FO450" s="27" t="s">
        <v>8</v>
      </c>
      <c r="FQ450" s="27" t="s">
        <v>8</v>
      </c>
      <c r="FR450" s="27" t="s">
        <v>7</v>
      </c>
    </row>
    <row r="451" spans="1:183" x14ac:dyDescent="0.25">
      <c r="A451" s="7">
        <v>14.77826192632207</v>
      </c>
      <c r="B451"/>
      <c r="C451"/>
      <c r="D451"/>
      <c r="E451" t="s">
        <v>8</v>
      </c>
      <c r="F451" s="27" t="s">
        <v>7</v>
      </c>
      <c r="G451" s="27" t="s">
        <v>8</v>
      </c>
      <c r="H451" s="27" t="s">
        <v>7</v>
      </c>
      <c r="K451" s="27" t="s">
        <v>8</v>
      </c>
      <c r="N451" s="27" t="s">
        <v>7</v>
      </c>
      <c r="O451" s="27" t="s">
        <v>8</v>
      </c>
      <c r="P451" s="27" t="s">
        <v>7</v>
      </c>
      <c r="Q451" s="27" t="s">
        <v>8</v>
      </c>
      <c r="R451" s="27" t="s">
        <v>7</v>
      </c>
      <c r="U451" s="27" t="s">
        <v>8</v>
      </c>
      <c r="V451" s="27" t="s">
        <v>7</v>
      </c>
      <c r="AG451" s="27" t="s">
        <v>8</v>
      </c>
      <c r="AH451" s="27" t="s">
        <v>7</v>
      </c>
      <c r="AI451" s="27" t="s">
        <v>8</v>
      </c>
      <c r="AJ451" s="27" t="s">
        <v>7</v>
      </c>
      <c r="AK451" s="27" t="s">
        <v>8</v>
      </c>
      <c r="AL451" s="27" t="s">
        <v>7</v>
      </c>
      <c r="CI451" s="27" t="s">
        <v>8</v>
      </c>
      <c r="CJ451" s="27" t="s">
        <v>7</v>
      </c>
      <c r="CK451" s="27" t="s">
        <v>8</v>
      </c>
      <c r="CS451" s="27" t="s">
        <v>8</v>
      </c>
      <c r="CT451" s="27" t="s">
        <v>7</v>
      </c>
      <c r="CY451" s="27" t="s">
        <v>8</v>
      </c>
      <c r="DJ451" s="27" t="s">
        <v>7</v>
      </c>
      <c r="DO451" s="27" t="s">
        <v>8</v>
      </c>
      <c r="DP451" s="27" t="s">
        <v>7</v>
      </c>
      <c r="DW451" s="27" t="s">
        <v>8</v>
      </c>
      <c r="DX451" s="27" t="s">
        <v>7</v>
      </c>
      <c r="EI451" s="27" t="s">
        <v>8</v>
      </c>
      <c r="EJ451" s="27" t="s">
        <v>7</v>
      </c>
      <c r="EK451" s="27" t="s">
        <v>8</v>
      </c>
      <c r="EL451" s="27" t="s">
        <v>7</v>
      </c>
      <c r="EM451" s="27" t="s">
        <v>8</v>
      </c>
      <c r="EN451" s="27" t="s">
        <v>7</v>
      </c>
      <c r="EO451" s="27" t="s">
        <v>8</v>
      </c>
      <c r="EP451" s="27" t="s">
        <v>7</v>
      </c>
      <c r="EQ451" s="27" t="s">
        <v>8</v>
      </c>
      <c r="ER451" s="27" t="s">
        <v>7</v>
      </c>
      <c r="ES451" s="27" t="s">
        <v>8</v>
      </c>
      <c r="ET451" s="27" t="s">
        <v>7</v>
      </c>
      <c r="EU451" s="27" t="s">
        <v>8</v>
      </c>
      <c r="FD451" s="27" t="s">
        <v>7</v>
      </c>
      <c r="FE451" s="27" t="s">
        <v>8</v>
      </c>
      <c r="FF451" s="27" t="s">
        <v>7</v>
      </c>
      <c r="FO451" s="27" t="s">
        <v>8</v>
      </c>
      <c r="FP451" s="27" t="s">
        <v>7</v>
      </c>
      <c r="FQ451" s="27" t="s">
        <v>8</v>
      </c>
      <c r="FR451" s="27" t="s">
        <v>7</v>
      </c>
    </row>
    <row r="452" spans="1:183" x14ac:dyDescent="0.25">
      <c r="A452" s="7">
        <v>14.488492084629481</v>
      </c>
      <c r="B452"/>
      <c r="C452"/>
      <c r="D452"/>
      <c r="E452" t="s">
        <v>8</v>
      </c>
      <c r="F452" s="27" t="s">
        <v>7</v>
      </c>
      <c r="G452" s="27" t="s">
        <v>8</v>
      </c>
      <c r="H452" s="27" t="s">
        <v>7</v>
      </c>
      <c r="I452" s="27" t="s">
        <v>8</v>
      </c>
      <c r="K452" s="27" t="s">
        <v>8</v>
      </c>
      <c r="N452" s="27" t="s">
        <v>7</v>
      </c>
      <c r="O452" s="27" t="s">
        <v>8</v>
      </c>
      <c r="P452" s="27" t="s">
        <v>7</v>
      </c>
      <c r="Q452" s="27" t="s">
        <v>8</v>
      </c>
      <c r="R452" s="27" t="s">
        <v>7</v>
      </c>
      <c r="U452" s="27" t="s">
        <v>8</v>
      </c>
      <c r="V452" s="27" t="s">
        <v>7</v>
      </c>
      <c r="AG452" s="27" t="s">
        <v>8</v>
      </c>
      <c r="AH452" s="27" t="s">
        <v>7</v>
      </c>
      <c r="AI452" s="27" t="s">
        <v>8</v>
      </c>
      <c r="AJ452" s="27" t="s">
        <v>7</v>
      </c>
      <c r="AK452" s="27" t="s">
        <v>8</v>
      </c>
      <c r="AL452" s="27" t="s">
        <v>7</v>
      </c>
      <c r="CI452" s="27" t="s">
        <v>8</v>
      </c>
      <c r="CJ452" s="27" t="s">
        <v>7</v>
      </c>
      <c r="CK452" s="27" t="s">
        <v>8</v>
      </c>
      <c r="CL452" s="27" t="s">
        <v>7</v>
      </c>
      <c r="CS452" s="27" t="s">
        <v>8</v>
      </c>
      <c r="CT452" s="27" t="s">
        <v>7</v>
      </c>
      <c r="CY452" s="27" t="s">
        <v>8</v>
      </c>
      <c r="DJ452" s="27" t="s">
        <v>7</v>
      </c>
      <c r="DK452" s="27" t="s">
        <v>8</v>
      </c>
      <c r="DO452" s="27" t="s">
        <v>8</v>
      </c>
      <c r="DP452" s="27" t="s">
        <v>7</v>
      </c>
      <c r="DU452" s="27" t="s">
        <v>8</v>
      </c>
      <c r="DW452" s="27" t="s">
        <v>8</v>
      </c>
      <c r="DX452" s="27" t="s">
        <v>7</v>
      </c>
      <c r="EI452" s="27" t="s">
        <v>8</v>
      </c>
      <c r="EJ452" s="27" t="s">
        <v>7</v>
      </c>
      <c r="EK452" s="27" t="s">
        <v>8</v>
      </c>
      <c r="EL452" s="27" t="s">
        <v>7</v>
      </c>
      <c r="EM452" s="27" t="s">
        <v>8</v>
      </c>
      <c r="EN452" s="27" t="s">
        <v>7</v>
      </c>
      <c r="EO452" s="27" t="s">
        <v>8</v>
      </c>
      <c r="EP452" s="27" t="s">
        <v>7</v>
      </c>
      <c r="EQ452" s="27" t="s">
        <v>8</v>
      </c>
      <c r="ER452" s="27" t="s">
        <v>7</v>
      </c>
      <c r="ES452" s="27" t="s">
        <v>8</v>
      </c>
      <c r="ET452" s="27" t="s">
        <v>7</v>
      </c>
      <c r="EU452" s="27" t="s">
        <v>8</v>
      </c>
      <c r="FD452" s="27" t="s">
        <v>7</v>
      </c>
      <c r="FE452" s="27" t="s">
        <v>8</v>
      </c>
      <c r="FF452" s="27" t="s">
        <v>7</v>
      </c>
      <c r="FG452" s="27" t="s">
        <v>8</v>
      </c>
      <c r="FO452" s="27" t="s">
        <v>8</v>
      </c>
      <c r="FP452" s="27" t="s">
        <v>7</v>
      </c>
      <c r="FQ452" s="27" t="s">
        <v>8</v>
      </c>
      <c r="FR452" s="27" t="s">
        <v>7</v>
      </c>
    </row>
    <row r="453" spans="1:183" x14ac:dyDescent="0.25">
      <c r="A453" s="7">
        <v>14.204404004538707</v>
      </c>
      <c r="B453"/>
      <c r="C453"/>
      <c r="D453"/>
      <c r="E453" t="s">
        <v>8</v>
      </c>
      <c r="F453" s="27" t="s">
        <v>7</v>
      </c>
      <c r="H453" s="27" t="s">
        <v>7</v>
      </c>
      <c r="I453" s="27" t="s">
        <v>8</v>
      </c>
      <c r="J453" s="27" t="s">
        <v>7</v>
      </c>
      <c r="K453" s="27" t="s">
        <v>8</v>
      </c>
      <c r="N453" s="27" t="s">
        <v>7</v>
      </c>
      <c r="O453" s="27" t="s">
        <v>8</v>
      </c>
      <c r="P453" s="27" t="s">
        <v>7</v>
      </c>
      <c r="Q453" s="27" t="s">
        <v>8</v>
      </c>
      <c r="R453" s="27" t="s">
        <v>7</v>
      </c>
      <c r="U453" s="27" t="s">
        <v>8</v>
      </c>
      <c r="V453" s="27" t="s">
        <v>7</v>
      </c>
      <c r="AG453" s="27" t="s">
        <v>8</v>
      </c>
      <c r="AH453" s="27" t="s">
        <v>7</v>
      </c>
      <c r="AI453" s="27" t="s">
        <v>8</v>
      </c>
      <c r="AJ453" s="27" t="s">
        <v>7</v>
      </c>
      <c r="AK453" s="27" t="s">
        <v>8</v>
      </c>
      <c r="AL453" s="27" t="s">
        <v>7</v>
      </c>
      <c r="CI453" s="27" t="s">
        <v>8</v>
      </c>
      <c r="CJ453" s="27" t="s">
        <v>7</v>
      </c>
      <c r="CK453" s="27" t="s">
        <v>8</v>
      </c>
      <c r="CL453" s="27" t="s">
        <v>7</v>
      </c>
      <c r="CM453" s="27" t="s">
        <v>8</v>
      </c>
      <c r="CS453" s="27" t="s">
        <v>8</v>
      </c>
      <c r="CT453" s="27" t="s">
        <v>7</v>
      </c>
      <c r="CW453" s="27" t="s">
        <v>8</v>
      </c>
      <c r="CY453" s="27" t="s">
        <v>8</v>
      </c>
      <c r="DJ453" s="27" t="s">
        <v>7</v>
      </c>
      <c r="DK453" s="27" t="s">
        <v>8</v>
      </c>
      <c r="DL453" s="27" t="s">
        <v>7</v>
      </c>
      <c r="DO453" s="27" t="s">
        <v>8</v>
      </c>
      <c r="DP453" s="27" t="s">
        <v>7</v>
      </c>
      <c r="DU453" s="27" t="s">
        <v>8</v>
      </c>
      <c r="DV453" s="27" t="s">
        <v>7</v>
      </c>
      <c r="DW453" s="27" t="s">
        <v>8</v>
      </c>
      <c r="DX453" s="27" t="s">
        <v>7</v>
      </c>
      <c r="EI453" s="27" t="s">
        <v>8</v>
      </c>
      <c r="EJ453" s="27" t="s">
        <v>7</v>
      </c>
      <c r="EK453" s="27" t="s">
        <v>8</v>
      </c>
      <c r="EL453" s="27" t="s">
        <v>7</v>
      </c>
      <c r="EM453" s="27" t="s">
        <v>8</v>
      </c>
      <c r="EN453" s="27" t="s">
        <v>7</v>
      </c>
      <c r="EO453" s="27" t="s">
        <v>8</v>
      </c>
      <c r="EP453" s="27" t="s">
        <v>7</v>
      </c>
      <c r="EQ453" s="27" t="s">
        <v>8</v>
      </c>
      <c r="ER453" s="27" t="s">
        <v>7</v>
      </c>
      <c r="ES453" s="27" t="s">
        <v>8</v>
      </c>
      <c r="ET453" s="27" t="s">
        <v>7</v>
      </c>
      <c r="EU453" s="27" t="s">
        <v>8</v>
      </c>
      <c r="FD453" s="27" t="s">
        <v>7</v>
      </c>
      <c r="FE453" s="27" t="s">
        <v>8</v>
      </c>
      <c r="FF453" s="27" t="s">
        <v>7</v>
      </c>
      <c r="FG453" s="27" t="s">
        <v>8</v>
      </c>
      <c r="FH453" s="27" t="s">
        <v>7</v>
      </c>
      <c r="FO453" s="27" t="s">
        <v>8</v>
      </c>
      <c r="FP453" s="27" t="s">
        <v>7</v>
      </c>
      <c r="FQ453" s="27" t="s">
        <v>8</v>
      </c>
      <c r="FR453" s="27" t="s">
        <v>7</v>
      </c>
      <c r="FU453" s="27" t="s">
        <v>8</v>
      </c>
    </row>
    <row r="454" spans="1:183" x14ac:dyDescent="0.25">
      <c r="A454" s="7">
        <v>13.925886278959517</v>
      </c>
      <c r="B454"/>
      <c r="C454"/>
      <c r="D454"/>
      <c r="E454" t="s">
        <v>8</v>
      </c>
      <c r="H454" s="27" t="s">
        <v>7</v>
      </c>
      <c r="I454" s="27" t="s">
        <v>8</v>
      </c>
      <c r="J454" s="27" t="s">
        <v>7</v>
      </c>
      <c r="K454" s="27" t="s">
        <v>8</v>
      </c>
      <c r="N454" s="27" t="s">
        <v>7</v>
      </c>
      <c r="O454" s="27" t="s">
        <v>8</v>
      </c>
      <c r="P454" s="27" t="s">
        <v>7</v>
      </c>
      <c r="Q454" s="27" t="s">
        <v>8</v>
      </c>
      <c r="R454" s="27" t="s">
        <v>7</v>
      </c>
      <c r="S454" s="27" t="s">
        <v>8</v>
      </c>
      <c r="U454" s="27" t="s">
        <v>8</v>
      </c>
      <c r="V454" s="27" t="s">
        <v>7</v>
      </c>
      <c r="AG454" s="27" t="s">
        <v>8</v>
      </c>
      <c r="AH454" s="27" t="s">
        <v>7</v>
      </c>
      <c r="AI454" s="27" t="s">
        <v>8</v>
      </c>
      <c r="AJ454" s="27" t="s">
        <v>7</v>
      </c>
      <c r="AK454" s="27" t="s">
        <v>8</v>
      </c>
      <c r="AL454" s="27" t="s">
        <v>7</v>
      </c>
      <c r="AM454" s="27" t="s">
        <v>8</v>
      </c>
      <c r="CI454" s="27" t="s">
        <v>8</v>
      </c>
      <c r="CJ454" s="27" t="s">
        <v>7</v>
      </c>
      <c r="CK454" s="27" t="s">
        <v>8</v>
      </c>
      <c r="CL454" s="27" t="s">
        <v>7</v>
      </c>
      <c r="CM454" s="27" t="s">
        <v>8</v>
      </c>
      <c r="CN454" s="27" t="s">
        <v>7</v>
      </c>
      <c r="CS454" s="27" t="s">
        <v>8</v>
      </c>
      <c r="CT454" s="27" t="s">
        <v>7</v>
      </c>
      <c r="CW454" s="27" t="s">
        <v>8</v>
      </c>
      <c r="CX454" s="27" t="s">
        <v>7</v>
      </c>
      <c r="CY454" s="27" t="s">
        <v>8</v>
      </c>
      <c r="DJ454" s="27" t="s">
        <v>7</v>
      </c>
      <c r="DK454" s="27" t="s">
        <v>8</v>
      </c>
      <c r="DL454" s="27" t="s">
        <v>7</v>
      </c>
      <c r="DM454" s="27" t="s">
        <v>8</v>
      </c>
      <c r="DO454" s="27" t="s">
        <v>8</v>
      </c>
      <c r="DP454" s="27" t="s">
        <v>7</v>
      </c>
      <c r="DU454" s="27" t="s">
        <v>8</v>
      </c>
      <c r="DV454" s="27" t="s">
        <v>7</v>
      </c>
      <c r="DW454" s="27" t="s">
        <v>8</v>
      </c>
      <c r="DX454" s="27" t="s">
        <v>7</v>
      </c>
      <c r="EI454" s="27" t="s">
        <v>8</v>
      </c>
      <c r="EJ454" s="27" t="s">
        <v>7</v>
      </c>
      <c r="EK454" s="27" t="s">
        <v>8</v>
      </c>
      <c r="EL454" s="27" t="s">
        <v>7</v>
      </c>
      <c r="EM454" s="27" t="s">
        <v>8</v>
      </c>
      <c r="EN454" s="27" t="s">
        <v>7</v>
      </c>
      <c r="EO454" s="27" t="s">
        <v>8</v>
      </c>
      <c r="EP454" s="27" t="s">
        <v>7</v>
      </c>
      <c r="EQ454" s="27" t="s">
        <v>8</v>
      </c>
      <c r="ER454" s="27" t="s">
        <v>7</v>
      </c>
      <c r="ET454" s="27" t="s">
        <v>7</v>
      </c>
      <c r="EU454" s="27" t="s">
        <v>8</v>
      </c>
      <c r="FD454" s="27" t="s">
        <v>7</v>
      </c>
      <c r="FE454" s="27" t="s">
        <v>8</v>
      </c>
      <c r="FF454" s="27" t="s">
        <v>7</v>
      </c>
      <c r="FG454" s="27" t="s">
        <v>8</v>
      </c>
      <c r="FH454" s="27" t="s">
        <v>7</v>
      </c>
      <c r="FI454" s="27" t="s">
        <v>8</v>
      </c>
      <c r="FO454" s="27" t="s">
        <v>8</v>
      </c>
      <c r="FP454" s="27" t="s">
        <v>7</v>
      </c>
      <c r="FQ454" s="27" t="s">
        <v>8</v>
      </c>
      <c r="FR454" s="27" t="s">
        <v>7</v>
      </c>
      <c r="FU454" s="27" t="s">
        <v>8</v>
      </c>
      <c r="FV454" s="27" t="s">
        <v>7</v>
      </c>
    </row>
    <row r="455" spans="1:183" x14ac:dyDescent="0.25">
      <c r="A455" s="7">
        <v>13.652829685254428</v>
      </c>
      <c r="B455"/>
      <c r="C455"/>
      <c r="D455"/>
      <c r="E455" t="s">
        <v>8</v>
      </c>
      <c r="H455" s="27" t="s">
        <v>7</v>
      </c>
      <c r="I455" s="27" t="s">
        <v>8</v>
      </c>
      <c r="J455" s="27" t="s">
        <v>7</v>
      </c>
      <c r="K455" s="27" t="s">
        <v>8</v>
      </c>
      <c r="N455" s="27" t="s">
        <v>7</v>
      </c>
      <c r="P455" s="27" t="s">
        <v>7</v>
      </c>
      <c r="Q455" s="27" t="s">
        <v>8</v>
      </c>
      <c r="R455" s="27" t="s">
        <v>7</v>
      </c>
      <c r="S455" s="27" t="s">
        <v>8</v>
      </c>
      <c r="T455" s="27" t="s">
        <v>7</v>
      </c>
      <c r="U455" s="27" t="s">
        <v>8</v>
      </c>
      <c r="V455" s="27" t="s">
        <v>7</v>
      </c>
      <c r="AG455" s="27" t="s">
        <v>8</v>
      </c>
      <c r="AH455" s="27" t="s">
        <v>7</v>
      </c>
      <c r="AJ455" s="27" t="s">
        <v>7</v>
      </c>
      <c r="AK455" s="27" t="s">
        <v>8</v>
      </c>
      <c r="AL455" s="27" t="s">
        <v>7</v>
      </c>
      <c r="AM455" s="27" t="s">
        <v>8</v>
      </c>
      <c r="AN455" s="27" t="s">
        <v>7</v>
      </c>
      <c r="AQ455" s="27" t="s">
        <v>8</v>
      </c>
      <c r="CI455" s="27" t="s">
        <v>8</v>
      </c>
      <c r="CJ455" s="27" t="s">
        <v>7</v>
      </c>
      <c r="CK455" s="27" t="s">
        <v>8</v>
      </c>
      <c r="CL455" s="27" t="s">
        <v>7</v>
      </c>
      <c r="CM455" s="27" t="s">
        <v>8</v>
      </c>
      <c r="CN455" s="27" t="s">
        <v>7</v>
      </c>
      <c r="CS455" s="27" t="s">
        <v>8</v>
      </c>
      <c r="CT455" s="27" t="s">
        <v>7</v>
      </c>
      <c r="CU455" s="27" t="s">
        <v>8</v>
      </c>
      <c r="CW455" s="27" t="s">
        <v>8</v>
      </c>
      <c r="CX455" s="27" t="s">
        <v>7</v>
      </c>
      <c r="CY455" s="27" t="s">
        <v>8</v>
      </c>
      <c r="DJ455" s="27" t="s">
        <v>7</v>
      </c>
      <c r="DK455" s="27" t="s">
        <v>8</v>
      </c>
      <c r="DL455" s="27" t="s">
        <v>7</v>
      </c>
      <c r="DM455" s="27" t="s">
        <v>8</v>
      </c>
      <c r="DN455" s="27" t="s">
        <v>7</v>
      </c>
      <c r="DO455" s="27" t="s">
        <v>8</v>
      </c>
      <c r="DP455" s="27" t="s">
        <v>7</v>
      </c>
      <c r="DU455" s="27" t="s">
        <v>8</v>
      </c>
      <c r="DV455" s="27" t="s">
        <v>7</v>
      </c>
      <c r="DW455" s="27" t="s">
        <v>8</v>
      </c>
      <c r="DX455" s="27" t="s">
        <v>7</v>
      </c>
      <c r="DY455" s="27" t="s">
        <v>8</v>
      </c>
      <c r="EI455" s="27" t="s">
        <v>8</v>
      </c>
      <c r="EJ455" s="27" t="s">
        <v>7</v>
      </c>
      <c r="EK455" s="27" t="s">
        <v>8</v>
      </c>
      <c r="EL455" s="27" t="s">
        <v>7</v>
      </c>
      <c r="EM455" s="27" t="s">
        <v>8</v>
      </c>
      <c r="EN455" s="27" t="s">
        <v>7</v>
      </c>
      <c r="EP455" s="27" t="s">
        <v>7</v>
      </c>
      <c r="EQ455" s="27" t="s">
        <v>8</v>
      </c>
      <c r="ET455" s="27" t="s">
        <v>7</v>
      </c>
      <c r="EU455" s="27" t="s">
        <v>8</v>
      </c>
      <c r="FD455" s="27" t="s">
        <v>7</v>
      </c>
      <c r="FE455" s="27" t="s">
        <v>8</v>
      </c>
      <c r="FF455" s="27" t="s">
        <v>7</v>
      </c>
      <c r="FG455" s="27" t="s">
        <v>8</v>
      </c>
      <c r="FH455" s="27" t="s">
        <v>7</v>
      </c>
      <c r="FI455" s="27" t="s">
        <v>8</v>
      </c>
      <c r="FJ455" s="27" t="s">
        <v>7</v>
      </c>
      <c r="FO455" s="27" t="s">
        <v>8</v>
      </c>
      <c r="FP455" s="27" t="s">
        <v>7</v>
      </c>
      <c r="FR455" s="27" t="s">
        <v>7</v>
      </c>
      <c r="FU455" s="27" t="s">
        <v>8</v>
      </c>
      <c r="FV455" s="27" t="s">
        <v>7</v>
      </c>
    </row>
    <row r="456" spans="1:183" x14ac:dyDescent="0.25">
      <c r="A456" s="7">
        <v>13.385127142406303</v>
      </c>
      <c r="B456"/>
      <c r="C456"/>
      <c r="D456"/>
      <c r="E456" t="s">
        <v>8</v>
      </c>
      <c r="H456" s="27" t="s">
        <v>7</v>
      </c>
      <c r="I456" s="27" t="s">
        <v>8</v>
      </c>
      <c r="J456" s="27" t="s">
        <v>7</v>
      </c>
      <c r="K456" s="27" t="s">
        <v>8</v>
      </c>
      <c r="P456" s="27" t="s">
        <v>7</v>
      </c>
      <c r="R456" s="27" t="s">
        <v>7</v>
      </c>
      <c r="S456" s="27" t="s">
        <v>8</v>
      </c>
      <c r="T456" s="27" t="s">
        <v>7</v>
      </c>
      <c r="U456" s="27" t="s">
        <v>8</v>
      </c>
      <c r="V456" s="27" t="s">
        <v>7</v>
      </c>
      <c r="AG456" s="27" t="s">
        <v>8</v>
      </c>
      <c r="AJ456" s="27" t="s">
        <v>7</v>
      </c>
      <c r="AK456" s="27" t="s">
        <v>8</v>
      </c>
      <c r="AL456" s="27" t="s">
        <v>7</v>
      </c>
      <c r="AM456" s="27" t="s">
        <v>8</v>
      </c>
      <c r="AN456" s="27" t="s">
        <v>7</v>
      </c>
      <c r="AQ456" s="27" t="s">
        <v>8</v>
      </c>
      <c r="AR456" s="27" t="s">
        <v>7</v>
      </c>
      <c r="CI456" s="27" t="s">
        <v>8</v>
      </c>
      <c r="CJ456" s="27" t="s">
        <v>7</v>
      </c>
      <c r="CL456" s="27" t="s">
        <v>7</v>
      </c>
      <c r="CM456" s="27" t="s">
        <v>8</v>
      </c>
      <c r="CN456" s="27" t="s">
        <v>7</v>
      </c>
      <c r="CO456" s="27" t="s">
        <v>8</v>
      </c>
      <c r="CQ456" s="27" t="s">
        <v>8</v>
      </c>
      <c r="CS456" s="27" t="s">
        <v>8</v>
      </c>
      <c r="CT456" s="27" t="s">
        <v>7</v>
      </c>
      <c r="CU456" s="27" t="s">
        <v>8</v>
      </c>
      <c r="CV456" s="27" t="s">
        <v>7</v>
      </c>
      <c r="CW456" s="27" t="s">
        <v>8</v>
      </c>
      <c r="CX456" s="27" t="s">
        <v>7</v>
      </c>
      <c r="CY456" s="27" t="s">
        <v>8</v>
      </c>
      <c r="DJ456" s="27" t="s">
        <v>7</v>
      </c>
      <c r="DK456" s="27" t="s">
        <v>8</v>
      </c>
      <c r="DL456" s="27" t="s">
        <v>7</v>
      </c>
      <c r="DM456" s="27" t="s">
        <v>8</v>
      </c>
      <c r="DN456" s="27" t="s">
        <v>7</v>
      </c>
      <c r="DO456" s="27" t="s">
        <v>8</v>
      </c>
      <c r="DP456" s="27" t="s">
        <v>7</v>
      </c>
      <c r="DU456" s="27" t="s">
        <v>8</v>
      </c>
      <c r="DV456" s="27" t="s">
        <v>7</v>
      </c>
      <c r="DW456" s="27" t="s">
        <v>8</v>
      </c>
      <c r="DX456" s="27" t="s">
        <v>7</v>
      </c>
      <c r="DY456" s="27" t="s">
        <v>8</v>
      </c>
      <c r="DZ456" s="27" t="s">
        <v>7</v>
      </c>
      <c r="EG456" s="27" t="s">
        <v>8</v>
      </c>
      <c r="EI456" s="27" t="s">
        <v>8</v>
      </c>
      <c r="EJ456" s="27" t="s">
        <v>7</v>
      </c>
      <c r="EK456" s="27" t="s">
        <v>8</v>
      </c>
      <c r="EL456" s="27" t="s">
        <v>7</v>
      </c>
      <c r="EP456" s="27" t="s">
        <v>7</v>
      </c>
      <c r="EQ456" s="27" t="s">
        <v>8</v>
      </c>
      <c r="ET456" s="27" t="s">
        <v>7</v>
      </c>
      <c r="EU456" s="27" t="s">
        <v>8</v>
      </c>
      <c r="FD456" s="27" t="s">
        <v>7</v>
      </c>
      <c r="FE456" s="27" t="s">
        <v>8</v>
      </c>
      <c r="FF456" s="27" t="s">
        <v>7</v>
      </c>
      <c r="FG456" s="27" t="s">
        <v>8</v>
      </c>
      <c r="FH456" s="27" t="s">
        <v>7</v>
      </c>
      <c r="FI456" s="27" t="s">
        <v>8</v>
      </c>
      <c r="FJ456" s="27" t="s">
        <v>7</v>
      </c>
      <c r="FO456" s="27" t="s">
        <v>8</v>
      </c>
      <c r="FR456" s="27" t="s">
        <v>7</v>
      </c>
      <c r="FS456" s="27" t="s">
        <v>8</v>
      </c>
      <c r="FU456" s="27" t="s">
        <v>8</v>
      </c>
      <c r="FV456" s="27" t="s">
        <v>7</v>
      </c>
    </row>
    <row r="457" spans="1:183" x14ac:dyDescent="0.25">
      <c r="A457" s="7">
        <v>13.122673669025787</v>
      </c>
      <c r="B457"/>
      <c r="C457"/>
      <c r="D457"/>
      <c r="E457" t="s">
        <v>8</v>
      </c>
      <c r="H457" s="27" t="s">
        <v>7</v>
      </c>
      <c r="I457" s="27" t="s">
        <v>8</v>
      </c>
      <c r="J457" s="27" t="s">
        <v>7</v>
      </c>
      <c r="K457" s="27" t="s">
        <v>8</v>
      </c>
      <c r="R457" s="27" t="s">
        <v>7</v>
      </c>
      <c r="S457" s="27" t="s">
        <v>8</v>
      </c>
      <c r="T457" s="27" t="s">
        <v>7</v>
      </c>
      <c r="U457" s="27" t="s">
        <v>8</v>
      </c>
      <c r="V457" s="27" t="s">
        <v>7</v>
      </c>
      <c r="AG457" s="27" t="s">
        <v>8</v>
      </c>
      <c r="AJ457" s="27" t="s">
        <v>7</v>
      </c>
      <c r="AL457" s="27" t="s">
        <v>7</v>
      </c>
      <c r="AM457" s="27" t="s">
        <v>8</v>
      </c>
      <c r="AN457" s="27" t="s">
        <v>7</v>
      </c>
      <c r="AQ457" s="27" t="s">
        <v>8</v>
      </c>
      <c r="AR457" s="27" t="s">
        <v>7</v>
      </c>
      <c r="CI457" s="27" t="s">
        <v>8</v>
      </c>
      <c r="CL457" s="27" t="s">
        <v>7</v>
      </c>
      <c r="CM457" s="27" t="s">
        <v>8</v>
      </c>
      <c r="CN457" s="27" t="s">
        <v>7</v>
      </c>
      <c r="CO457" s="27" t="s">
        <v>8</v>
      </c>
      <c r="CP457" s="27" t="s">
        <v>7</v>
      </c>
      <c r="CQ457" s="27" t="s">
        <v>8</v>
      </c>
      <c r="CR457" s="27" t="s">
        <v>7</v>
      </c>
      <c r="CS457" s="27" t="s">
        <v>8</v>
      </c>
      <c r="CT457" s="27" t="s">
        <v>7</v>
      </c>
      <c r="CU457" s="27" t="s">
        <v>8</v>
      </c>
      <c r="CV457" s="27" t="s">
        <v>7</v>
      </c>
      <c r="CW457" s="27" t="s">
        <v>8</v>
      </c>
      <c r="CX457" s="27" t="s">
        <v>7</v>
      </c>
      <c r="CY457" s="27" t="s">
        <v>8</v>
      </c>
      <c r="DJ457" s="27" t="s">
        <v>7</v>
      </c>
      <c r="DK457" s="27" t="s">
        <v>8</v>
      </c>
      <c r="DL457" s="27" t="s">
        <v>7</v>
      </c>
      <c r="DM457" s="27" t="s">
        <v>8</v>
      </c>
      <c r="DN457" s="27" t="s">
        <v>7</v>
      </c>
      <c r="DO457" s="27" t="s">
        <v>8</v>
      </c>
      <c r="DP457" s="27" t="s">
        <v>7</v>
      </c>
      <c r="DU457" s="27" t="s">
        <v>8</v>
      </c>
      <c r="DV457" s="27" t="s">
        <v>7</v>
      </c>
      <c r="DW457" s="27" t="s">
        <v>8</v>
      </c>
      <c r="DX457" s="27" t="s">
        <v>7</v>
      </c>
      <c r="DY457" s="27" t="s">
        <v>8</v>
      </c>
      <c r="DZ457" s="27" t="s">
        <v>7</v>
      </c>
      <c r="EG457" s="27" t="s">
        <v>8</v>
      </c>
      <c r="EH457" s="27" t="s">
        <v>7</v>
      </c>
      <c r="EI457" s="27" t="s">
        <v>8</v>
      </c>
      <c r="EJ457" s="27" t="s">
        <v>7</v>
      </c>
      <c r="EP457" s="27" t="s">
        <v>7</v>
      </c>
      <c r="EQ457" s="27" t="s">
        <v>8</v>
      </c>
      <c r="ET457" s="27" t="s">
        <v>7</v>
      </c>
      <c r="EU457" s="27" t="s">
        <v>8</v>
      </c>
      <c r="FD457" s="27" t="s">
        <v>7</v>
      </c>
      <c r="FE457" s="27" t="s">
        <v>8</v>
      </c>
      <c r="FF457" s="27" t="s">
        <v>7</v>
      </c>
      <c r="FG457" s="27" t="s">
        <v>8</v>
      </c>
      <c r="FH457" s="27" t="s">
        <v>7</v>
      </c>
      <c r="FI457" s="27" t="s">
        <v>8</v>
      </c>
      <c r="FJ457" s="27" t="s">
        <v>7</v>
      </c>
      <c r="FK457" s="27" t="s">
        <v>8</v>
      </c>
      <c r="FO457" s="27" t="s">
        <v>8</v>
      </c>
      <c r="FR457" s="27" t="s">
        <v>7</v>
      </c>
      <c r="FS457" s="27" t="s">
        <v>8</v>
      </c>
      <c r="FT457" s="27" t="s">
        <v>7</v>
      </c>
      <c r="FU457" s="27" t="s">
        <v>8</v>
      </c>
      <c r="FV457" s="27" t="s">
        <v>7</v>
      </c>
    </row>
    <row r="458" spans="1:183" x14ac:dyDescent="0.25">
      <c r="A458" s="7">
        <v>12.865366342182144</v>
      </c>
      <c r="B458"/>
      <c r="C458"/>
      <c r="D458"/>
      <c r="E458" t="s">
        <v>8</v>
      </c>
      <c r="H458" s="27" t="s">
        <v>7</v>
      </c>
      <c r="I458" s="27" t="s">
        <v>8</v>
      </c>
      <c r="J458" s="27" t="s">
        <v>7</v>
      </c>
      <c r="K458" s="27" t="s">
        <v>8</v>
      </c>
      <c r="R458" s="27" t="s">
        <v>7</v>
      </c>
      <c r="S458" s="27" t="s">
        <v>8</v>
      </c>
      <c r="T458" s="27" t="s">
        <v>7</v>
      </c>
      <c r="U458" s="27" t="s">
        <v>8</v>
      </c>
      <c r="V458" s="27" t="s">
        <v>7</v>
      </c>
      <c r="W458" s="27" t="s">
        <v>8</v>
      </c>
      <c r="AG458" s="27" t="s">
        <v>8</v>
      </c>
      <c r="AL458" s="27" t="s">
        <v>7</v>
      </c>
      <c r="AM458" s="27" t="s">
        <v>8</v>
      </c>
      <c r="AN458" s="27" t="s">
        <v>7</v>
      </c>
      <c r="AQ458" s="27" t="s">
        <v>8</v>
      </c>
      <c r="AR458" s="27" t="s">
        <v>7</v>
      </c>
      <c r="CI458" s="27" t="s">
        <v>8</v>
      </c>
      <c r="CL458" s="27" t="s">
        <v>7</v>
      </c>
      <c r="CM458" s="27" t="s">
        <v>8</v>
      </c>
      <c r="CN458" s="27" t="s">
        <v>7</v>
      </c>
      <c r="CO458" s="27" t="s">
        <v>8</v>
      </c>
      <c r="CP458" s="27" t="s">
        <v>7</v>
      </c>
      <c r="CQ458" s="27" t="s">
        <v>8</v>
      </c>
      <c r="CR458" s="27" t="s">
        <v>7</v>
      </c>
      <c r="CS458" s="27" t="s">
        <v>8</v>
      </c>
      <c r="CT458" s="27" t="s">
        <v>7</v>
      </c>
      <c r="CU458" s="27" t="s">
        <v>8</v>
      </c>
      <c r="CV458" s="27" t="s">
        <v>7</v>
      </c>
      <c r="CW458" s="27" t="s">
        <v>8</v>
      </c>
      <c r="CX458" s="27" t="s">
        <v>7</v>
      </c>
      <c r="CY458" s="27" t="s">
        <v>8</v>
      </c>
      <c r="DJ458" s="27" t="s">
        <v>7</v>
      </c>
      <c r="DK458" s="27" t="s">
        <v>8</v>
      </c>
      <c r="DL458" s="27" t="s">
        <v>7</v>
      </c>
      <c r="DM458" s="27" t="s">
        <v>8</v>
      </c>
      <c r="DN458" s="27" t="s">
        <v>7</v>
      </c>
      <c r="DO458" s="27" t="s">
        <v>8</v>
      </c>
      <c r="DP458" s="27" t="s">
        <v>7</v>
      </c>
      <c r="DU458" s="27" t="s">
        <v>8</v>
      </c>
      <c r="DV458" s="27" t="s">
        <v>7</v>
      </c>
      <c r="DX458" s="27" t="s">
        <v>7</v>
      </c>
      <c r="DY458" s="27" t="s">
        <v>8</v>
      </c>
      <c r="DZ458" s="27" t="s">
        <v>7</v>
      </c>
      <c r="EA458" s="27" t="s">
        <v>8</v>
      </c>
      <c r="EG458" s="27" t="s">
        <v>8</v>
      </c>
      <c r="EH458" s="27" t="s">
        <v>7</v>
      </c>
      <c r="EI458" s="27" t="s">
        <v>8</v>
      </c>
      <c r="EP458" s="27" t="s">
        <v>7</v>
      </c>
      <c r="EQ458" s="27" t="s">
        <v>8</v>
      </c>
      <c r="ET458" s="27" t="s">
        <v>7</v>
      </c>
      <c r="EU458" s="27" t="s">
        <v>8</v>
      </c>
      <c r="FD458" s="27" t="s">
        <v>7</v>
      </c>
      <c r="FE458" s="27" t="s">
        <v>8</v>
      </c>
      <c r="FF458" s="27" t="s">
        <v>7</v>
      </c>
      <c r="FG458" s="27" t="s">
        <v>8</v>
      </c>
      <c r="FH458" s="27" t="s">
        <v>7</v>
      </c>
      <c r="FI458" s="27" t="s">
        <v>8</v>
      </c>
      <c r="FJ458" s="27" t="s">
        <v>7</v>
      </c>
      <c r="FK458" s="27" t="s">
        <v>8</v>
      </c>
      <c r="FL458" s="27" t="s">
        <v>7</v>
      </c>
      <c r="FO458" s="27" t="s">
        <v>8</v>
      </c>
      <c r="FR458" s="27" t="s">
        <v>7</v>
      </c>
      <c r="FS458" s="27" t="s">
        <v>8</v>
      </c>
      <c r="FT458" s="27" t="s">
        <v>7</v>
      </c>
      <c r="FU458" s="27" t="s">
        <v>8</v>
      </c>
      <c r="FV458" s="27" t="s">
        <v>7</v>
      </c>
    </row>
    <row r="459" spans="1:183" x14ac:dyDescent="0.25">
      <c r="A459" s="7">
        <v>12.613104257041318</v>
      </c>
      <c r="B459"/>
      <c r="C459"/>
      <c r="D459"/>
      <c r="E459" t="s">
        <v>8</v>
      </c>
      <c r="H459" s="27" t="s">
        <v>7</v>
      </c>
      <c r="I459" s="27" t="s">
        <v>8</v>
      </c>
      <c r="J459" s="27" t="s">
        <v>7</v>
      </c>
      <c r="K459" s="27" t="s">
        <v>8</v>
      </c>
      <c r="R459" s="27" t="s">
        <v>7</v>
      </c>
      <c r="S459" s="27" t="s">
        <v>8</v>
      </c>
      <c r="T459" s="27" t="s">
        <v>7</v>
      </c>
      <c r="U459" s="27" t="s">
        <v>8</v>
      </c>
      <c r="V459" s="27" t="s">
        <v>7</v>
      </c>
      <c r="W459" s="27" t="s">
        <v>8</v>
      </c>
      <c r="X459" s="27" t="s">
        <v>7</v>
      </c>
      <c r="AG459" s="27" t="s">
        <v>8</v>
      </c>
      <c r="AL459" s="27" t="s">
        <v>7</v>
      </c>
      <c r="AM459" s="27" t="s">
        <v>8</v>
      </c>
      <c r="AN459" s="27" t="s">
        <v>7</v>
      </c>
      <c r="AQ459" s="27" t="s">
        <v>8</v>
      </c>
      <c r="AR459" s="27" t="s">
        <v>7</v>
      </c>
      <c r="CG459" s="27" t="s">
        <v>8</v>
      </c>
      <c r="CI459" s="27" t="s">
        <v>8</v>
      </c>
      <c r="CL459" s="27" t="s">
        <v>7</v>
      </c>
      <c r="CM459" s="27" t="s">
        <v>8</v>
      </c>
      <c r="CN459" s="27" t="s">
        <v>7</v>
      </c>
      <c r="CO459" s="27" t="s">
        <v>8</v>
      </c>
      <c r="CP459" s="27" t="s">
        <v>7</v>
      </c>
      <c r="CQ459" s="27" t="s">
        <v>8</v>
      </c>
      <c r="CR459" s="27" t="s">
        <v>7</v>
      </c>
      <c r="CS459" s="27" t="s">
        <v>8</v>
      </c>
      <c r="CT459" s="27" t="s">
        <v>7</v>
      </c>
      <c r="CU459" s="27" t="s">
        <v>8</v>
      </c>
      <c r="CV459" s="27" t="s">
        <v>7</v>
      </c>
      <c r="CW459" s="27" t="s">
        <v>8</v>
      </c>
      <c r="CX459" s="27" t="s">
        <v>7</v>
      </c>
      <c r="CY459" s="27" t="s">
        <v>8</v>
      </c>
      <c r="DJ459" s="27" t="s">
        <v>7</v>
      </c>
      <c r="DK459" s="27" t="s">
        <v>8</v>
      </c>
      <c r="DL459" s="27" t="s">
        <v>7</v>
      </c>
      <c r="DM459" s="27" t="s">
        <v>8</v>
      </c>
      <c r="DN459" s="27" t="s">
        <v>7</v>
      </c>
      <c r="DO459" s="27" t="s">
        <v>8</v>
      </c>
      <c r="DP459" s="27" t="s">
        <v>7</v>
      </c>
      <c r="DU459" s="27" t="s">
        <v>8</v>
      </c>
      <c r="DX459" s="27" t="s">
        <v>7</v>
      </c>
      <c r="DZ459" s="27" t="s">
        <v>7</v>
      </c>
      <c r="EA459" s="27" t="s">
        <v>8</v>
      </c>
      <c r="EB459" s="27" t="s">
        <v>7</v>
      </c>
      <c r="EC459" s="27" t="s">
        <v>8</v>
      </c>
      <c r="EE459" s="27" t="s">
        <v>8</v>
      </c>
      <c r="EG459" s="27" t="s">
        <v>8</v>
      </c>
      <c r="EH459" s="27" t="s">
        <v>7</v>
      </c>
      <c r="EI459" s="27" t="s">
        <v>8</v>
      </c>
      <c r="EP459" s="27" t="s">
        <v>7</v>
      </c>
      <c r="EQ459" s="27" t="s">
        <v>8</v>
      </c>
      <c r="ET459" s="27" t="s">
        <v>7</v>
      </c>
      <c r="EU459" s="27" t="s">
        <v>8</v>
      </c>
      <c r="FD459" s="27" t="s">
        <v>7</v>
      </c>
      <c r="FE459" s="27" t="s">
        <v>8</v>
      </c>
      <c r="FF459" s="27" t="s">
        <v>7</v>
      </c>
      <c r="FG459" s="27" t="s">
        <v>8</v>
      </c>
      <c r="FH459" s="27" t="s">
        <v>7</v>
      </c>
      <c r="FI459" s="27" t="s">
        <v>8</v>
      </c>
      <c r="FJ459" s="27" t="s">
        <v>7</v>
      </c>
      <c r="FK459" s="27" t="s">
        <v>8</v>
      </c>
      <c r="FL459" s="27" t="s">
        <v>7</v>
      </c>
      <c r="FO459" s="27" t="s">
        <v>8</v>
      </c>
      <c r="FR459" s="27" t="s">
        <v>7</v>
      </c>
      <c r="FS459" s="27" t="s">
        <v>8</v>
      </c>
      <c r="FT459" s="27" t="s">
        <v>7</v>
      </c>
      <c r="FU459" s="27" t="s">
        <v>8</v>
      </c>
      <c r="FV459" s="27" t="s">
        <v>7</v>
      </c>
    </row>
    <row r="460" spans="1:183" x14ac:dyDescent="0.25">
      <c r="A460" s="7">
        <v>12.36578848729541</v>
      </c>
      <c r="B460"/>
      <c r="C460"/>
      <c r="D460"/>
      <c r="E460" t="s">
        <v>8</v>
      </c>
      <c r="H460" s="27" t="s">
        <v>7</v>
      </c>
      <c r="I460" s="27" t="s">
        <v>8</v>
      </c>
      <c r="J460" s="27" t="s">
        <v>7</v>
      </c>
      <c r="K460" s="27" t="s">
        <v>8</v>
      </c>
      <c r="R460" s="27" t="s">
        <v>7</v>
      </c>
      <c r="S460" s="27" t="s">
        <v>8</v>
      </c>
      <c r="T460" s="27" t="s">
        <v>7</v>
      </c>
      <c r="V460" s="27" t="s">
        <v>7</v>
      </c>
      <c r="W460" s="27" t="s">
        <v>8</v>
      </c>
      <c r="X460" s="27" t="s">
        <v>7</v>
      </c>
      <c r="Y460" s="27" t="s">
        <v>8</v>
      </c>
      <c r="AE460" s="27" t="s">
        <v>8</v>
      </c>
      <c r="AG460" s="27" t="s">
        <v>8</v>
      </c>
      <c r="AL460" s="27" t="s">
        <v>7</v>
      </c>
      <c r="AM460" s="27" t="s">
        <v>8</v>
      </c>
      <c r="AN460" s="27" t="s">
        <v>7</v>
      </c>
      <c r="AQ460" s="27" t="s">
        <v>8</v>
      </c>
      <c r="AR460" s="27" t="s">
        <v>7</v>
      </c>
      <c r="CG460" s="27" t="s">
        <v>8</v>
      </c>
      <c r="CH460" s="27" t="s">
        <v>7</v>
      </c>
      <c r="CI460" s="27" t="s">
        <v>8</v>
      </c>
      <c r="CL460" s="27" t="s">
        <v>7</v>
      </c>
      <c r="CM460" s="27" t="s">
        <v>8</v>
      </c>
      <c r="CN460" s="27" t="s">
        <v>7</v>
      </c>
      <c r="CO460" s="27" t="s">
        <v>8</v>
      </c>
      <c r="CP460" s="27" t="s">
        <v>7</v>
      </c>
      <c r="CQ460" s="27" t="s">
        <v>8</v>
      </c>
      <c r="CR460" s="27" t="s">
        <v>7</v>
      </c>
      <c r="CS460" s="27" t="s">
        <v>8</v>
      </c>
      <c r="CT460" s="27" t="s">
        <v>7</v>
      </c>
      <c r="CV460" s="27" t="s">
        <v>7</v>
      </c>
      <c r="CW460" s="27" t="s">
        <v>8</v>
      </c>
      <c r="CX460" s="27" t="s">
        <v>7</v>
      </c>
      <c r="CY460" s="27" t="s">
        <v>8</v>
      </c>
      <c r="DJ460" s="27" t="s">
        <v>7</v>
      </c>
      <c r="DK460" s="27" t="s">
        <v>8</v>
      </c>
      <c r="DL460" s="27" t="s">
        <v>7</v>
      </c>
      <c r="DM460" s="27" t="s">
        <v>8</v>
      </c>
      <c r="DN460" s="27" t="s">
        <v>7</v>
      </c>
      <c r="DO460" s="27" t="s">
        <v>8</v>
      </c>
      <c r="DP460" s="27" t="s">
        <v>7</v>
      </c>
      <c r="DU460" s="27" t="s">
        <v>8</v>
      </c>
      <c r="DZ460" s="27" t="s">
        <v>7</v>
      </c>
      <c r="EA460" s="27" t="s">
        <v>8</v>
      </c>
      <c r="EB460" s="27" t="s">
        <v>7</v>
      </c>
      <c r="EC460" s="27" t="s">
        <v>8</v>
      </c>
      <c r="ED460" s="27" t="s">
        <v>7</v>
      </c>
      <c r="EE460" s="27" t="s">
        <v>8</v>
      </c>
      <c r="EF460" s="27" t="s">
        <v>7</v>
      </c>
      <c r="EG460" s="27" t="s">
        <v>8</v>
      </c>
      <c r="EH460" s="27" t="s">
        <v>7</v>
      </c>
      <c r="EI460" s="27" t="s">
        <v>8</v>
      </c>
      <c r="EP460" s="27" t="s">
        <v>7</v>
      </c>
      <c r="EQ460" s="27" t="s">
        <v>8</v>
      </c>
      <c r="ET460" s="27" t="s">
        <v>7</v>
      </c>
      <c r="EU460" s="27" t="s">
        <v>8</v>
      </c>
      <c r="FD460" s="27" t="s">
        <v>7</v>
      </c>
      <c r="FE460" s="27" t="s">
        <v>8</v>
      </c>
      <c r="FF460" s="27" t="s">
        <v>7</v>
      </c>
      <c r="FG460" s="27" t="s">
        <v>8</v>
      </c>
      <c r="FH460" s="27" t="s">
        <v>7</v>
      </c>
      <c r="FJ460" s="27" t="s">
        <v>7</v>
      </c>
      <c r="FK460" s="27" t="s">
        <v>8</v>
      </c>
      <c r="FL460" s="27" t="s">
        <v>7</v>
      </c>
      <c r="FM460" s="27" t="s">
        <v>8</v>
      </c>
      <c r="FO460" s="27" t="s">
        <v>8</v>
      </c>
      <c r="FR460" s="27" t="s">
        <v>7</v>
      </c>
      <c r="FS460" s="27" t="s">
        <v>8</v>
      </c>
      <c r="FT460" s="27" t="s">
        <v>7</v>
      </c>
      <c r="FV460" s="27" t="s">
        <v>7</v>
      </c>
    </row>
    <row r="461" spans="1:183" x14ac:dyDescent="0.25">
      <c r="A461" s="7">
        <v>12.123322046368049</v>
      </c>
      <c r="B461"/>
      <c r="C461"/>
      <c r="D461"/>
      <c r="E461" t="s">
        <v>8</v>
      </c>
      <c r="H461" s="27" t="s">
        <v>7</v>
      </c>
      <c r="I461" s="27" t="s">
        <v>8</v>
      </c>
      <c r="J461" s="27" t="s">
        <v>7</v>
      </c>
      <c r="K461" s="27" t="s">
        <v>8</v>
      </c>
      <c r="R461" s="27" t="s">
        <v>7</v>
      </c>
      <c r="S461" s="27" t="s">
        <v>8</v>
      </c>
      <c r="V461" s="27" t="s">
        <v>7</v>
      </c>
      <c r="W461" s="27" t="s">
        <v>8</v>
      </c>
      <c r="X461" s="27" t="s">
        <v>7</v>
      </c>
      <c r="Y461" s="27" t="s">
        <v>8</v>
      </c>
      <c r="Z461" s="27" t="s">
        <v>7</v>
      </c>
      <c r="AE461" s="27" t="s">
        <v>8</v>
      </c>
      <c r="AF461" s="27" t="s">
        <v>7</v>
      </c>
      <c r="AG461" s="27" t="s">
        <v>8</v>
      </c>
      <c r="AL461" s="27" t="s">
        <v>7</v>
      </c>
      <c r="AM461" s="27" t="s">
        <v>8</v>
      </c>
      <c r="AN461" s="27" t="s">
        <v>7</v>
      </c>
      <c r="AQ461" s="27" t="s">
        <v>8</v>
      </c>
      <c r="AR461" s="27" t="s">
        <v>7</v>
      </c>
      <c r="CG461" s="27" t="s">
        <v>8</v>
      </c>
      <c r="CH461" s="27" t="s">
        <v>7</v>
      </c>
      <c r="CI461" s="27" t="s">
        <v>8</v>
      </c>
      <c r="CL461" s="27" t="s">
        <v>7</v>
      </c>
      <c r="CM461" s="27" t="s">
        <v>8</v>
      </c>
      <c r="CN461" s="27" t="s">
        <v>7</v>
      </c>
      <c r="CO461" s="27" t="s">
        <v>8</v>
      </c>
      <c r="CP461" s="27" t="s">
        <v>7</v>
      </c>
      <c r="CR461" s="27" t="s">
        <v>7</v>
      </c>
      <c r="CS461" s="27" t="s">
        <v>8</v>
      </c>
      <c r="CV461" s="27" t="s">
        <v>7</v>
      </c>
      <c r="CX461" s="27" t="s">
        <v>7</v>
      </c>
      <c r="CY461" s="27" t="s">
        <v>8</v>
      </c>
      <c r="DJ461" s="27" t="s">
        <v>7</v>
      </c>
      <c r="DK461" s="27" t="s">
        <v>8</v>
      </c>
      <c r="DL461" s="27" t="s">
        <v>7</v>
      </c>
      <c r="DM461" s="27" t="s">
        <v>8</v>
      </c>
      <c r="DN461" s="27" t="s">
        <v>7</v>
      </c>
      <c r="DO461" s="27" t="s">
        <v>8</v>
      </c>
      <c r="DP461" s="27" t="s">
        <v>7</v>
      </c>
      <c r="DU461" s="27" t="s">
        <v>8</v>
      </c>
      <c r="DZ461" s="27" t="s">
        <v>7</v>
      </c>
      <c r="EA461" s="27" t="s">
        <v>8</v>
      </c>
      <c r="EB461" s="27" t="s">
        <v>7</v>
      </c>
      <c r="EC461" s="27" t="s">
        <v>8</v>
      </c>
      <c r="ED461" s="27" t="s">
        <v>7</v>
      </c>
      <c r="EE461" s="27" t="s">
        <v>8</v>
      </c>
      <c r="EF461" s="27" t="s">
        <v>7</v>
      </c>
      <c r="EG461" s="27" t="s">
        <v>8</v>
      </c>
      <c r="EH461" s="27" t="s">
        <v>7</v>
      </c>
      <c r="EI461" s="27" t="s">
        <v>8</v>
      </c>
      <c r="EP461" s="27" t="s">
        <v>7</v>
      </c>
      <c r="ET461" s="27" t="s">
        <v>7</v>
      </c>
      <c r="EU461" s="27" t="s">
        <v>8</v>
      </c>
      <c r="FD461" s="27" t="s">
        <v>7</v>
      </c>
      <c r="FE461" s="27" t="s">
        <v>8</v>
      </c>
      <c r="FF461" s="27" t="s">
        <v>7</v>
      </c>
      <c r="FG461" s="27" t="s">
        <v>8</v>
      </c>
      <c r="FJ461" s="27" t="s">
        <v>7</v>
      </c>
      <c r="FK461" s="27" t="s">
        <v>8</v>
      </c>
      <c r="FL461" s="27" t="s">
        <v>7</v>
      </c>
      <c r="FM461" s="27" t="s">
        <v>8</v>
      </c>
      <c r="FN461" s="27" t="s">
        <v>7</v>
      </c>
      <c r="FO461" s="27" t="s">
        <v>8</v>
      </c>
      <c r="FR461" s="27" t="s">
        <v>7</v>
      </c>
      <c r="FV461" s="27" t="s">
        <v>7</v>
      </c>
    </row>
    <row r="462" spans="1:183" x14ac:dyDescent="0.25">
      <c r="A462" s="7">
        <v>11.88560984938044</v>
      </c>
      <c r="B462"/>
      <c r="C462"/>
      <c r="D462"/>
      <c r="E462" t="s">
        <v>8</v>
      </c>
      <c r="H462" s="27" t="s">
        <v>7</v>
      </c>
      <c r="I462" s="27" t="s">
        <v>8</v>
      </c>
      <c r="J462" s="27" t="s">
        <v>7</v>
      </c>
      <c r="K462" s="27" t="s">
        <v>8</v>
      </c>
      <c r="R462" s="27" t="s">
        <v>7</v>
      </c>
      <c r="S462" s="27" t="s">
        <v>8</v>
      </c>
      <c r="V462" s="27" t="s">
        <v>7</v>
      </c>
      <c r="W462" s="27" t="s">
        <v>8</v>
      </c>
      <c r="X462" s="27" t="s">
        <v>7</v>
      </c>
      <c r="Y462" s="27" t="s">
        <v>8</v>
      </c>
      <c r="Z462" s="27" t="s">
        <v>7</v>
      </c>
      <c r="AE462" s="27" t="s">
        <v>8</v>
      </c>
      <c r="AF462" s="27" t="s">
        <v>7</v>
      </c>
      <c r="AG462" s="27" t="s">
        <v>8</v>
      </c>
      <c r="AL462" s="27" t="s">
        <v>7</v>
      </c>
      <c r="AM462" s="27" t="s">
        <v>8</v>
      </c>
      <c r="AN462" s="27" t="s">
        <v>7</v>
      </c>
      <c r="AO462" s="27" t="s">
        <v>8</v>
      </c>
      <c r="AQ462" s="27" t="s">
        <v>8</v>
      </c>
      <c r="AR462" s="27" t="s">
        <v>7</v>
      </c>
      <c r="CG462" s="27" t="s">
        <v>8</v>
      </c>
      <c r="CH462" s="27" t="s">
        <v>7</v>
      </c>
      <c r="CI462" s="27" t="s">
        <v>8</v>
      </c>
      <c r="CL462" s="27" t="s">
        <v>7</v>
      </c>
      <c r="CM462" s="27" t="s">
        <v>8</v>
      </c>
      <c r="CN462" s="27" t="s">
        <v>7</v>
      </c>
      <c r="CR462" s="27" t="s">
        <v>7</v>
      </c>
      <c r="CS462" s="27" t="s">
        <v>8</v>
      </c>
      <c r="CX462" s="27" t="s">
        <v>7</v>
      </c>
      <c r="CY462" s="27" t="s">
        <v>8</v>
      </c>
      <c r="DJ462" s="27" t="s">
        <v>7</v>
      </c>
      <c r="DK462" s="27" t="s">
        <v>8</v>
      </c>
      <c r="DL462" s="27" t="s">
        <v>7</v>
      </c>
      <c r="DN462" s="27" t="s">
        <v>7</v>
      </c>
      <c r="DO462" s="27" t="s">
        <v>8</v>
      </c>
      <c r="DP462" s="27" t="s">
        <v>7</v>
      </c>
      <c r="DU462" s="27" t="s">
        <v>8</v>
      </c>
      <c r="DZ462" s="27" t="s">
        <v>7</v>
      </c>
      <c r="EA462" s="27" t="s">
        <v>8</v>
      </c>
      <c r="EB462" s="27" t="s">
        <v>7</v>
      </c>
      <c r="EC462" s="27" t="s">
        <v>8</v>
      </c>
      <c r="ED462" s="27" t="s">
        <v>7</v>
      </c>
      <c r="EE462" s="27" t="s">
        <v>8</v>
      </c>
      <c r="EF462" s="27" t="s">
        <v>7</v>
      </c>
      <c r="EG462" s="27" t="s">
        <v>8</v>
      </c>
      <c r="EH462" s="27" t="s">
        <v>7</v>
      </c>
      <c r="EI462" s="27" t="s">
        <v>8</v>
      </c>
      <c r="ET462" s="27" t="s">
        <v>7</v>
      </c>
      <c r="EU462" s="27" t="s">
        <v>8</v>
      </c>
      <c r="FD462" s="27" t="s">
        <v>7</v>
      </c>
      <c r="FE462" s="27" t="s">
        <v>8</v>
      </c>
      <c r="FF462" s="27" t="s">
        <v>7</v>
      </c>
      <c r="FJ462" s="27" t="s">
        <v>7</v>
      </c>
      <c r="FK462" s="27" t="s">
        <v>8</v>
      </c>
      <c r="FL462" s="27" t="s">
        <v>7</v>
      </c>
      <c r="FM462" s="27" t="s">
        <v>8</v>
      </c>
      <c r="FN462" s="27" t="s">
        <v>7</v>
      </c>
      <c r="FO462" s="27" t="s">
        <v>8</v>
      </c>
      <c r="FV462" s="27" t="s">
        <v>7</v>
      </c>
    </row>
    <row r="463" spans="1:183" x14ac:dyDescent="0.25">
      <c r="A463" s="7">
        <v>11.652558675863176</v>
      </c>
      <c r="B463"/>
      <c r="C463"/>
      <c r="D463"/>
      <c r="E463" t="s">
        <v>8</v>
      </c>
      <c r="H463" s="27" t="s">
        <v>7</v>
      </c>
      <c r="J463" s="27" t="s">
        <v>7</v>
      </c>
      <c r="K463" s="27" t="s">
        <v>8</v>
      </c>
      <c r="R463" s="27" t="s">
        <v>7</v>
      </c>
      <c r="V463" s="27" t="s">
        <v>7</v>
      </c>
      <c r="X463" s="27" t="s">
        <v>7</v>
      </c>
      <c r="Z463" s="27" t="s">
        <v>7</v>
      </c>
      <c r="AE463" s="27" t="s">
        <v>8</v>
      </c>
      <c r="AF463" s="27" t="s">
        <v>7</v>
      </c>
      <c r="AG463" s="27" t="s">
        <v>8</v>
      </c>
      <c r="AL463" s="27" t="s">
        <v>7</v>
      </c>
      <c r="AM463" s="27" t="s">
        <v>8</v>
      </c>
      <c r="AN463" s="27" t="s">
        <v>7</v>
      </c>
      <c r="AO463" s="27" t="s">
        <v>8</v>
      </c>
      <c r="AP463" s="27" t="s">
        <v>7</v>
      </c>
      <c r="AQ463" s="27" t="s">
        <v>8</v>
      </c>
      <c r="AR463" s="27" t="s">
        <v>7</v>
      </c>
      <c r="CG463" s="27" t="s">
        <v>8</v>
      </c>
      <c r="CH463" s="27" t="s">
        <v>7</v>
      </c>
      <c r="CI463" s="27" t="s">
        <v>8</v>
      </c>
      <c r="CL463" s="27" t="s">
        <v>7</v>
      </c>
      <c r="CR463" s="27" t="s">
        <v>7</v>
      </c>
      <c r="CS463" s="27" t="s">
        <v>8</v>
      </c>
      <c r="CX463" s="27" t="s">
        <v>7</v>
      </c>
      <c r="CY463" s="27" t="s">
        <v>8</v>
      </c>
      <c r="DJ463" s="27" t="s">
        <v>7</v>
      </c>
      <c r="DN463" s="27" t="s">
        <v>7</v>
      </c>
      <c r="DO463" s="27" t="s">
        <v>8</v>
      </c>
      <c r="DP463" s="27" t="s">
        <v>7</v>
      </c>
      <c r="DQ463" s="27" t="s">
        <v>8</v>
      </c>
      <c r="DU463" s="27" t="s">
        <v>8</v>
      </c>
      <c r="DZ463" s="27" t="s">
        <v>7</v>
      </c>
      <c r="EA463" s="27" t="s">
        <v>8</v>
      </c>
      <c r="EB463" s="27" t="s">
        <v>7</v>
      </c>
      <c r="ED463" s="27" t="s">
        <v>7</v>
      </c>
      <c r="EE463" s="27" t="s">
        <v>8</v>
      </c>
      <c r="EF463" s="27" t="s">
        <v>7</v>
      </c>
      <c r="EG463" s="27" t="s">
        <v>8</v>
      </c>
      <c r="EH463" s="27" t="s">
        <v>7</v>
      </c>
      <c r="EI463" s="27" t="s">
        <v>8</v>
      </c>
      <c r="ET463" s="27" t="s">
        <v>7</v>
      </c>
      <c r="FD463" s="27" t="s">
        <v>7</v>
      </c>
      <c r="FE463" s="27" t="s">
        <v>8</v>
      </c>
      <c r="FJ463" s="27" t="s">
        <v>7</v>
      </c>
      <c r="FK463" s="27" t="s">
        <v>8</v>
      </c>
      <c r="FL463" s="27" t="s">
        <v>7</v>
      </c>
      <c r="FN463" s="27" t="s">
        <v>7</v>
      </c>
      <c r="FO463" s="27" t="s">
        <v>8</v>
      </c>
      <c r="FV463" s="27" t="s">
        <v>7</v>
      </c>
      <c r="FY463" s="27" t="s">
        <v>8</v>
      </c>
    </row>
    <row r="464" spans="1:183" x14ac:dyDescent="0.25">
      <c r="A464" s="7">
        <v>11.424077133199193</v>
      </c>
      <c r="B464"/>
      <c r="C464"/>
      <c r="D464"/>
      <c r="E464" t="s">
        <v>8</v>
      </c>
      <c r="J464" s="27" t="s">
        <v>7</v>
      </c>
      <c r="K464" s="27" t="s">
        <v>8</v>
      </c>
      <c r="Z464" s="27" t="s">
        <v>7</v>
      </c>
      <c r="AE464" s="27" t="s">
        <v>8</v>
      </c>
      <c r="AF464" s="27" t="s">
        <v>7</v>
      </c>
      <c r="AG464" s="27" t="s">
        <v>8</v>
      </c>
      <c r="AL464" s="27" t="s">
        <v>7</v>
      </c>
      <c r="AM464" s="27" t="s">
        <v>8</v>
      </c>
      <c r="AN464" s="27" t="s">
        <v>7</v>
      </c>
      <c r="AO464" s="27" t="s">
        <v>8</v>
      </c>
      <c r="AP464" s="27" t="s">
        <v>7</v>
      </c>
      <c r="AQ464" s="27" t="s">
        <v>8</v>
      </c>
      <c r="AR464" s="27" t="s">
        <v>7</v>
      </c>
      <c r="CG464" s="27" t="s">
        <v>8</v>
      </c>
      <c r="CH464" s="27" t="s">
        <v>7</v>
      </c>
      <c r="CI464" s="27" t="s">
        <v>8</v>
      </c>
      <c r="CR464" s="27" t="s">
        <v>7</v>
      </c>
      <c r="CS464" s="27" t="s">
        <v>8</v>
      </c>
      <c r="CX464" s="27" t="s">
        <v>7</v>
      </c>
      <c r="DN464" s="27" t="s">
        <v>7</v>
      </c>
      <c r="DO464" s="27" t="s">
        <v>8</v>
      </c>
      <c r="DP464" s="27" t="s">
        <v>7</v>
      </c>
      <c r="DQ464" s="27" t="s">
        <v>8</v>
      </c>
      <c r="DR464" s="27" t="s">
        <v>7</v>
      </c>
      <c r="DU464" s="27" t="s">
        <v>8</v>
      </c>
      <c r="DZ464" s="27" t="s">
        <v>7</v>
      </c>
      <c r="EA464" s="27" t="s">
        <v>8</v>
      </c>
      <c r="ED464" s="27" t="s">
        <v>7</v>
      </c>
      <c r="EE464" s="27" t="s">
        <v>8</v>
      </c>
      <c r="EF464" s="27" t="s">
        <v>7</v>
      </c>
      <c r="EH464" s="27" t="s">
        <v>7</v>
      </c>
      <c r="EI464" s="27" t="s">
        <v>8</v>
      </c>
      <c r="FD464" s="27" t="s">
        <v>7</v>
      </c>
      <c r="FJ464" s="27" t="s">
        <v>7</v>
      </c>
      <c r="FN464" s="27" t="s">
        <v>7</v>
      </c>
      <c r="FO464" s="27" t="s">
        <v>8</v>
      </c>
      <c r="FV464" s="27" t="s">
        <v>7</v>
      </c>
      <c r="FY464" s="27" t="s">
        <v>8</v>
      </c>
      <c r="FZ464" s="27" t="s">
        <v>7</v>
      </c>
      <c r="GA464" s="27" t="s">
        <v>8</v>
      </c>
    </row>
    <row r="465" spans="1:184" x14ac:dyDescent="0.25">
      <c r="A465" s="7">
        <v>11.200075620783522</v>
      </c>
      <c r="B465"/>
      <c r="C465"/>
      <c r="D465"/>
      <c r="E465" t="s">
        <v>8</v>
      </c>
      <c r="J465" s="27" t="s">
        <v>7</v>
      </c>
      <c r="K465" s="27" t="s">
        <v>8</v>
      </c>
      <c r="Z465" s="27" t="s">
        <v>7</v>
      </c>
      <c r="AE465" s="27" t="s">
        <v>8</v>
      </c>
      <c r="AF465" s="27" t="s">
        <v>7</v>
      </c>
      <c r="AG465" s="27" t="s">
        <v>8</v>
      </c>
      <c r="AL465" s="27" t="s">
        <v>7</v>
      </c>
      <c r="AM465" s="27" t="s">
        <v>8</v>
      </c>
      <c r="AN465" s="27" t="s">
        <v>7</v>
      </c>
      <c r="AO465" s="27" t="s">
        <v>8</v>
      </c>
      <c r="AP465" s="27" t="s">
        <v>7</v>
      </c>
      <c r="AQ465" s="27" t="s">
        <v>8</v>
      </c>
      <c r="AR465" s="27" t="s">
        <v>7</v>
      </c>
      <c r="CG465" s="27" t="s">
        <v>8</v>
      </c>
      <c r="CH465" s="27" t="s">
        <v>7</v>
      </c>
      <c r="CI465" s="27" t="s">
        <v>8</v>
      </c>
      <c r="CR465" s="27" t="s">
        <v>7</v>
      </c>
      <c r="DN465" s="27" t="s">
        <v>7</v>
      </c>
      <c r="DP465" s="27" t="s">
        <v>7</v>
      </c>
      <c r="DQ465" s="27" t="s">
        <v>8</v>
      </c>
      <c r="DR465" s="27" t="s">
        <v>7</v>
      </c>
      <c r="DU465" s="27" t="s">
        <v>8</v>
      </c>
      <c r="DZ465" s="27" t="s">
        <v>7</v>
      </c>
      <c r="EA465" s="27" t="s">
        <v>8</v>
      </c>
      <c r="ED465" s="27" t="s">
        <v>7</v>
      </c>
      <c r="EH465" s="27" t="s">
        <v>7</v>
      </c>
      <c r="EI465" s="27" t="s">
        <v>8</v>
      </c>
      <c r="FN465" s="27" t="s">
        <v>7</v>
      </c>
      <c r="FV465" s="27" t="s">
        <v>7</v>
      </c>
      <c r="FW465" s="27" t="s">
        <v>8</v>
      </c>
      <c r="FY465" s="27" t="s">
        <v>8</v>
      </c>
      <c r="FZ465" s="27" t="s">
        <v>7</v>
      </c>
      <c r="GA465" s="27" t="s">
        <v>8</v>
      </c>
      <c r="GB465" s="27" t="s">
        <v>7</v>
      </c>
    </row>
    <row r="466" spans="1:184" x14ac:dyDescent="0.25">
      <c r="A466" s="7">
        <v>10.980466294885806</v>
      </c>
      <c r="B466"/>
      <c r="C466"/>
      <c r="D466"/>
      <c r="E466" t="s">
        <v>8</v>
      </c>
      <c r="J466" s="27" t="s">
        <v>7</v>
      </c>
      <c r="K466" s="27" t="s">
        <v>8</v>
      </c>
      <c r="Z466" s="27" t="s">
        <v>7</v>
      </c>
      <c r="AE466" s="27" t="s">
        <v>8</v>
      </c>
      <c r="AF466" s="27" t="s">
        <v>7</v>
      </c>
      <c r="AG466" s="27" t="s">
        <v>8</v>
      </c>
      <c r="AL466" s="27" t="s">
        <v>7</v>
      </c>
      <c r="AM466" s="27" t="s">
        <v>8</v>
      </c>
      <c r="AN466" s="27" t="s">
        <v>7</v>
      </c>
      <c r="AO466" s="27" t="s">
        <v>8</v>
      </c>
      <c r="AP466" s="27" t="s">
        <v>7</v>
      </c>
      <c r="AQ466" s="27" t="s">
        <v>8</v>
      </c>
      <c r="AR466" s="27" t="s">
        <v>7</v>
      </c>
      <c r="CG466" s="27" t="s">
        <v>8</v>
      </c>
      <c r="CH466" s="27" t="s">
        <v>7</v>
      </c>
      <c r="CI466" s="27" t="s">
        <v>8</v>
      </c>
      <c r="DP466" s="27" t="s">
        <v>7</v>
      </c>
      <c r="DQ466" s="27" t="s">
        <v>8</v>
      </c>
      <c r="DR466" s="27" t="s">
        <v>7</v>
      </c>
      <c r="DU466" s="27" t="s">
        <v>8</v>
      </c>
      <c r="DZ466" s="27" t="s">
        <v>7</v>
      </c>
      <c r="EA466" s="27" t="s">
        <v>8</v>
      </c>
      <c r="EH466" s="27" t="s">
        <v>7</v>
      </c>
      <c r="EI466" s="27" t="s">
        <v>8</v>
      </c>
      <c r="FV466" s="27" t="s">
        <v>7</v>
      </c>
      <c r="FW466" s="27" t="s">
        <v>8</v>
      </c>
      <c r="FX466" s="27" t="s">
        <v>7</v>
      </c>
      <c r="FY466" s="27" t="s">
        <v>8</v>
      </c>
      <c r="FZ466" s="27" t="s">
        <v>7</v>
      </c>
      <c r="GA466" s="27" t="s">
        <v>8</v>
      </c>
      <c r="GB466" s="27" t="s">
        <v>7</v>
      </c>
    </row>
    <row r="467" spans="1:184" x14ac:dyDescent="0.25">
      <c r="A467" s="7">
        <v>10.765163034201771</v>
      </c>
      <c r="B467"/>
      <c r="C467"/>
      <c r="D467"/>
      <c r="E467" t="s">
        <v>8</v>
      </c>
      <c r="J467" s="27" t="s">
        <v>7</v>
      </c>
      <c r="K467" s="27" t="s">
        <v>8</v>
      </c>
      <c r="Z467" s="27" t="s">
        <v>7</v>
      </c>
      <c r="AE467" s="27" t="s">
        <v>8</v>
      </c>
      <c r="AF467" s="27" t="s">
        <v>7</v>
      </c>
      <c r="AG467" s="27" t="s">
        <v>8</v>
      </c>
      <c r="AL467" s="27" t="s">
        <v>7</v>
      </c>
      <c r="AM467" s="27" t="s">
        <v>8</v>
      </c>
      <c r="AN467" s="27" t="s">
        <v>7</v>
      </c>
      <c r="AO467" s="27" t="s">
        <v>8</v>
      </c>
      <c r="AP467" s="27" t="s">
        <v>7</v>
      </c>
      <c r="AQ467" s="27" t="s">
        <v>8</v>
      </c>
      <c r="AR467" s="27" t="s">
        <v>7</v>
      </c>
      <c r="CG467" s="27" t="s">
        <v>8</v>
      </c>
      <c r="CH467" s="27" t="s">
        <v>7</v>
      </c>
      <c r="CI467" s="27" t="s">
        <v>8</v>
      </c>
      <c r="DP467" s="27" t="s">
        <v>7</v>
      </c>
      <c r="DQ467" s="27" t="s">
        <v>8</v>
      </c>
      <c r="DR467" s="27" t="s">
        <v>7</v>
      </c>
      <c r="DU467" s="27" t="s">
        <v>8</v>
      </c>
      <c r="DZ467" s="27" t="s">
        <v>7</v>
      </c>
      <c r="EA467" s="27" t="s">
        <v>8</v>
      </c>
      <c r="EH467" s="27" t="s">
        <v>7</v>
      </c>
      <c r="EI467" s="27" t="s">
        <v>8</v>
      </c>
      <c r="FV467" s="27" t="s">
        <v>7</v>
      </c>
      <c r="FW467" s="27" t="s">
        <v>8</v>
      </c>
      <c r="FX467" s="27" t="s">
        <v>7</v>
      </c>
      <c r="FY467" s="27" t="s">
        <v>8</v>
      </c>
      <c r="FZ467" s="27" t="s">
        <v>7</v>
      </c>
      <c r="GA467" s="27" t="s">
        <v>8</v>
      </c>
      <c r="GB467" s="27" t="s">
        <v>7</v>
      </c>
    </row>
    <row r="468" spans="1:184" x14ac:dyDescent="0.25">
      <c r="A468" s="7">
        <v>10.554081406080169</v>
      </c>
      <c r="B468"/>
      <c r="C468"/>
      <c r="D468"/>
      <c r="E468" t="s">
        <v>8</v>
      </c>
      <c r="J468" s="27" t="s">
        <v>7</v>
      </c>
      <c r="Z468" s="27" t="s">
        <v>7</v>
      </c>
      <c r="AE468" s="27" t="s">
        <v>8</v>
      </c>
      <c r="AF468" s="27" t="s">
        <v>7</v>
      </c>
      <c r="AG468" s="27" t="s">
        <v>8</v>
      </c>
      <c r="AL468" s="27" t="s">
        <v>7</v>
      </c>
      <c r="AN468" s="27" t="s">
        <v>7</v>
      </c>
      <c r="AO468" s="27" t="s">
        <v>8</v>
      </c>
      <c r="AP468" s="27" t="s">
        <v>7</v>
      </c>
      <c r="AQ468" s="27" t="s">
        <v>8</v>
      </c>
      <c r="AR468" s="27" t="s">
        <v>7</v>
      </c>
      <c r="CG468" s="27" t="s">
        <v>8</v>
      </c>
      <c r="CH468" s="27" t="s">
        <v>7</v>
      </c>
      <c r="CI468" s="27" t="s">
        <v>8</v>
      </c>
      <c r="DP468" s="27" t="s">
        <v>7</v>
      </c>
      <c r="DQ468" s="27" t="s">
        <v>8</v>
      </c>
      <c r="DR468" s="27" t="s">
        <v>7</v>
      </c>
      <c r="DU468" s="27" t="s">
        <v>8</v>
      </c>
      <c r="DZ468" s="27" t="s">
        <v>7</v>
      </c>
      <c r="EH468" s="27" t="s">
        <v>7</v>
      </c>
      <c r="FV468" s="27" t="s">
        <v>7</v>
      </c>
      <c r="FX468" s="27" t="s">
        <v>7</v>
      </c>
      <c r="FY468" s="27" t="s">
        <v>8</v>
      </c>
      <c r="FZ468" s="27" t="s">
        <v>7</v>
      </c>
      <c r="GA468" s="27" t="s">
        <v>8</v>
      </c>
      <c r="GB468" s="27" t="s">
        <v>7</v>
      </c>
    </row>
    <row r="469" spans="1:184" x14ac:dyDescent="0.25">
      <c r="A469" s="7">
        <v>10.34713863341193</v>
      </c>
      <c r="B469"/>
      <c r="C469"/>
      <c r="D469"/>
      <c r="E469" t="s">
        <v>8</v>
      </c>
      <c r="Z469" s="27" t="s">
        <v>7</v>
      </c>
      <c r="AA469" s="27" t="s">
        <v>8</v>
      </c>
      <c r="AE469" s="27" t="s">
        <v>8</v>
      </c>
      <c r="AF469" s="27" t="s">
        <v>7</v>
      </c>
      <c r="AG469" s="27" t="s">
        <v>8</v>
      </c>
      <c r="AN469" s="27" t="s">
        <v>7</v>
      </c>
      <c r="AO469" s="27" t="s">
        <v>8</v>
      </c>
      <c r="AP469" s="27" t="s">
        <v>7</v>
      </c>
      <c r="AQ469" s="27" t="s">
        <v>8</v>
      </c>
      <c r="AR469" s="27" t="s">
        <v>7</v>
      </c>
      <c r="CG469" s="27" t="s">
        <v>8</v>
      </c>
      <c r="CH469" s="27" t="s">
        <v>7</v>
      </c>
      <c r="CI469" s="27" t="s">
        <v>8</v>
      </c>
      <c r="DP469" s="27" t="s">
        <v>7</v>
      </c>
      <c r="DQ469" s="27" t="s">
        <v>8</v>
      </c>
      <c r="DR469" s="27" t="s">
        <v>7</v>
      </c>
      <c r="DS469" s="27" t="s">
        <v>8</v>
      </c>
      <c r="DU469" s="27" t="s">
        <v>8</v>
      </c>
      <c r="FX469" s="27" t="s">
        <v>7</v>
      </c>
      <c r="FY469" s="27" t="s">
        <v>8</v>
      </c>
      <c r="FZ469" s="27" t="s">
        <v>7</v>
      </c>
      <c r="GB469" s="27" t="s">
        <v>7</v>
      </c>
    </row>
    <row r="470" spans="1:184" x14ac:dyDescent="0.25">
      <c r="A470" s="7">
        <v>10.14425356216856</v>
      </c>
      <c r="B470"/>
      <c r="C470"/>
      <c r="D470"/>
      <c r="E470" t="s">
        <v>8</v>
      </c>
      <c r="Z470" s="27" t="s">
        <v>7</v>
      </c>
      <c r="AA470" s="27" t="s">
        <v>8</v>
      </c>
      <c r="AB470" s="27" t="s">
        <v>7</v>
      </c>
      <c r="AE470" s="27" t="s">
        <v>8</v>
      </c>
      <c r="AF470" s="27" t="s">
        <v>7</v>
      </c>
      <c r="AG470" s="27" t="s">
        <v>8</v>
      </c>
      <c r="AN470" s="27" t="s">
        <v>7</v>
      </c>
      <c r="AO470" s="27" t="s">
        <v>8</v>
      </c>
      <c r="AP470" s="27" t="s">
        <v>7</v>
      </c>
      <c r="AQ470" s="27" t="s">
        <v>8</v>
      </c>
      <c r="AR470" s="27" t="s">
        <v>7</v>
      </c>
      <c r="CG470" s="27" t="s">
        <v>8</v>
      </c>
      <c r="CH470" s="27" t="s">
        <v>7</v>
      </c>
      <c r="CI470" s="27" t="s">
        <v>8</v>
      </c>
      <c r="DP470" s="27" t="s">
        <v>7</v>
      </c>
      <c r="DQ470" s="27" t="s">
        <v>8</v>
      </c>
      <c r="DR470" s="27" t="s">
        <v>7</v>
      </c>
      <c r="DS470" s="27" t="s">
        <v>8</v>
      </c>
      <c r="DT470" s="27" t="s">
        <v>7</v>
      </c>
      <c r="DU470" s="27" t="s">
        <v>8</v>
      </c>
      <c r="FX470" s="27" t="s">
        <v>7</v>
      </c>
      <c r="FY470" s="27" t="s">
        <v>8</v>
      </c>
      <c r="GB470" s="27" t="s">
        <v>7</v>
      </c>
    </row>
    <row r="471" spans="1:184" x14ac:dyDescent="0.25">
      <c r="A471" s="7">
        <v>9.9453466295770188</v>
      </c>
      <c r="B471"/>
      <c r="C471"/>
      <c r="D471"/>
      <c r="E471" t="s">
        <v>8</v>
      </c>
      <c r="Z471" s="27" t="s">
        <v>7</v>
      </c>
      <c r="AA471" s="27" t="s">
        <v>8</v>
      </c>
      <c r="AB471" s="27" t="s">
        <v>7</v>
      </c>
      <c r="AE471" s="27" t="s">
        <v>8</v>
      </c>
      <c r="AF471" s="27" t="s">
        <v>7</v>
      </c>
      <c r="AG471" s="27" t="s">
        <v>8</v>
      </c>
      <c r="AN471" s="27" t="s">
        <v>7</v>
      </c>
      <c r="AO471" s="27" t="s">
        <v>8</v>
      </c>
      <c r="AP471" s="27" t="s">
        <v>7</v>
      </c>
      <c r="AR471" s="27" t="s">
        <v>7</v>
      </c>
      <c r="CG471" s="27" t="s">
        <v>8</v>
      </c>
      <c r="CH471" s="27" t="s">
        <v>7</v>
      </c>
      <c r="CI471" s="27" t="s">
        <v>8</v>
      </c>
      <c r="DP471" s="27" t="s">
        <v>7</v>
      </c>
      <c r="DQ471" s="27" t="s">
        <v>8</v>
      </c>
      <c r="DR471" s="27" t="s">
        <v>7</v>
      </c>
      <c r="DS471" s="27" t="s">
        <v>8</v>
      </c>
      <c r="DT471" s="27" t="s">
        <v>7</v>
      </c>
      <c r="DU471" s="27" t="s">
        <v>8</v>
      </c>
      <c r="FX471" s="27" t="s">
        <v>7</v>
      </c>
      <c r="GB471" s="27" t="s">
        <v>7</v>
      </c>
    </row>
    <row r="472" spans="1:184" x14ac:dyDescent="0.25">
      <c r="A472" s="7">
        <v>9.7503398329186464</v>
      </c>
      <c r="B472"/>
      <c r="C472"/>
      <c r="D472"/>
      <c r="E472" t="s">
        <v>8</v>
      </c>
      <c r="Z472" s="27" t="s">
        <v>7</v>
      </c>
      <c r="AA472" s="27" t="s">
        <v>8</v>
      </c>
      <c r="AB472" s="27" t="s">
        <v>7</v>
      </c>
      <c r="AE472" s="27" t="s">
        <v>8</v>
      </c>
      <c r="AF472" s="27" t="s">
        <v>7</v>
      </c>
      <c r="AG472" s="27" t="s">
        <v>8</v>
      </c>
      <c r="AN472" s="27" t="s">
        <v>7</v>
      </c>
      <c r="AO472" s="27" t="s">
        <v>8</v>
      </c>
      <c r="AR472" s="27" t="s">
        <v>7</v>
      </c>
      <c r="CG472" s="27" t="s">
        <v>8</v>
      </c>
      <c r="CH472" s="27" t="s">
        <v>7</v>
      </c>
      <c r="CI472" s="27" t="s">
        <v>8</v>
      </c>
      <c r="DP472" s="27" t="s">
        <v>7</v>
      </c>
      <c r="DQ472" s="27" t="s">
        <v>8</v>
      </c>
      <c r="DR472" s="27" t="s">
        <v>7</v>
      </c>
      <c r="DS472" s="27" t="s">
        <v>8</v>
      </c>
      <c r="DT472" s="27" t="s">
        <v>7</v>
      </c>
      <c r="DU472" s="27" t="s">
        <v>8</v>
      </c>
      <c r="GB472" s="27" t="s">
        <v>7</v>
      </c>
    </row>
    <row r="473" spans="1:184" x14ac:dyDescent="0.25">
      <c r="A473" s="7">
        <v>9.5591566989398498</v>
      </c>
      <c r="B473"/>
      <c r="C473"/>
      <c r="D473"/>
      <c r="E473" t="s">
        <v>8</v>
      </c>
      <c r="Z473" s="27" t="s">
        <v>7</v>
      </c>
      <c r="AA473" s="27" t="s">
        <v>8</v>
      </c>
      <c r="AB473" s="27" t="s">
        <v>7</v>
      </c>
      <c r="AE473" s="27" t="s">
        <v>8</v>
      </c>
      <c r="AF473" s="27" t="s">
        <v>7</v>
      </c>
      <c r="AG473" s="27" t="s">
        <v>8</v>
      </c>
      <c r="AN473" s="27" t="s">
        <v>7</v>
      </c>
      <c r="AR473" s="27" t="s">
        <v>7</v>
      </c>
      <c r="CG473" s="27" t="s">
        <v>8</v>
      </c>
      <c r="CH473" s="27" t="s">
        <v>7</v>
      </c>
      <c r="CI473" s="27" t="s">
        <v>8</v>
      </c>
      <c r="DP473" s="27" t="s">
        <v>7</v>
      </c>
      <c r="DQ473" s="27" t="s">
        <v>8</v>
      </c>
      <c r="DR473" s="27" t="s">
        <v>7</v>
      </c>
      <c r="DT473" s="27" t="s">
        <v>7</v>
      </c>
      <c r="DU473" s="27" t="s">
        <v>8</v>
      </c>
      <c r="GB473" s="27" t="s">
        <v>7</v>
      </c>
    </row>
    <row r="474" spans="1:184" x14ac:dyDescent="0.25">
      <c r="A474" s="7">
        <v>9.3717222538625968</v>
      </c>
      <c r="B474"/>
      <c r="C474"/>
      <c r="D474"/>
      <c r="E474" t="s">
        <v>8</v>
      </c>
      <c r="Z474" s="27" t="s">
        <v>7</v>
      </c>
      <c r="AA474" s="27" t="s">
        <v>8</v>
      </c>
      <c r="AB474" s="27" t="s">
        <v>7</v>
      </c>
      <c r="AC474" s="27" t="s">
        <v>8</v>
      </c>
      <c r="AE474" s="27" t="s">
        <v>8</v>
      </c>
      <c r="AF474" s="27" t="s">
        <v>7</v>
      </c>
      <c r="AG474" s="27" t="s">
        <v>8</v>
      </c>
      <c r="AR474" s="27" t="s">
        <v>7</v>
      </c>
      <c r="CG474" s="27" t="s">
        <v>8</v>
      </c>
      <c r="CH474" s="27" t="s">
        <v>7</v>
      </c>
      <c r="CI474" s="27" t="s">
        <v>8</v>
      </c>
      <c r="DP474" s="27" t="s">
        <v>7</v>
      </c>
      <c r="DQ474" s="27" t="s">
        <v>8</v>
      </c>
      <c r="DT474" s="27" t="s">
        <v>7</v>
      </c>
      <c r="DU474" s="27" t="s">
        <v>8</v>
      </c>
      <c r="GB474" s="27" t="s">
        <v>7</v>
      </c>
    </row>
    <row r="475" spans="1:184" x14ac:dyDescent="0.25">
      <c r="A475" s="7">
        <v>9.1879629939829375</v>
      </c>
      <c r="B475"/>
      <c r="C475"/>
      <c r="D475"/>
      <c r="E475" t="s">
        <v>8</v>
      </c>
      <c r="Z475" s="27" t="s">
        <v>7</v>
      </c>
      <c r="AA475" s="27" t="s">
        <v>8</v>
      </c>
      <c r="AB475" s="27" t="s">
        <v>7</v>
      </c>
      <c r="AC475" s="27" t="s">
        <v>8</v>
      </c>
      <c r="AD475" s="27" t="s">
        <v>7</v>
      </c>
      <c r="AE475" s="27" t="s">
        <v>8</v>
      </c>
      <c r="AF475" s="27" t="s">
        <v>7</v>
      </c>
      <c r="AG475" s="27" t="s">
        <v>8</v>
      </c>
      <c r="AR475" s="27" t="s">
        <v>7</v>
      </c>
      <c r="CG475" s="27" t="s">
        <v>8</v>
      </c>
      <c r="CH475" s="27" t="s">
        <v>7</v>
      </c>
      <c r="CI475" s="27" t="s">
        <v>8</v>
      </c>
      <c r="DP475" s="27" t="s">
        <v>7</v>
      </c>
      <c r="DT475" s="27" t="s">
        <v>7</v>
      </c>
      <c r="DU475" s="27" t="s">
        <v>8</v>
      </c>
      <c r="GB475" s="27" t="s">
        <v>7</v>
      </c>
    </row>
    <row r="476" spans="1:184" x14ac:dyDescent="0.25">
      <c r="A476" s="7">
        <v>9.0078068568460168</v>
      </c>
      <c r="B476"/>
      <c r="C476"/>
      <c r="D476"/>
      <c r="E476" t="s">
        <v>8</v>
      </c>
      <c r="Z476" s="27" t="s">
        <v>7</v>
      </c>
      <c r="AA476" s="27" t="s">
        <v>8</v>
      </c>
      <c r="AB476" s="27" t="s">
        <v>7</v>
      </c>
      <c r="AC476" s="27" t="s">
        <v>8</v>
      </c>
      <c r="AD476" s="27" t="s">
        <v>7</v>
      </c>
      <c r="AE476" s="27" t="s">
        <v>8</v>
      </c>
      <c r="AF476" s="27" t="s">
        <v>7</v>
      </c>
      <c r="AG476" s="27" t="s">
        <v>8</v>
      </c>
      <c r="AR476" s="27" t="s">
        <v>7</v>
      </c>
      <c r="CG476" s="27" t="s">
        <v>8</v>
      </c>
      <c r="CH476" s="27" t="s">
        <v>7</v>
      </c>
      <c r="CI476" s="27" t="s">
        <v>8</v>
      </c>
      <c r="DT476" s="27" t="s">
        <v>7</v>
      </c>
      <c r="DU476" s="27" t="s">
        <v>8</v>
      </c>
      <c r="GB476" s="27" t="s">
        <v>7</v>
      </c>
    </row>
    <row r="477" spans="1:184" x14ac:dyDescent="0.25">
      <c r="A477" s="7">
        <v>8.8311831929862912</v>
      </c>
      <c r="B477"/>
      <c r="C477"/>
      <c r="D477"/>
      <c r="E477" t="s">
        <v>8</v>
      </c>
      <c r="Z477" s="27" t="s">
        <v>7</v>
      </c>
      <c r="AA477" s="27" t="s">
        <v>8</v>
      </c>
      <c r="AB477" s="27" t="s">
        <v>7</v>
      </c>
      <c r="AC477" s="27" t="s">
        <v>8</v>
      </c>
      <c r="AD477" s="27" t="s">
        <v>7</v>
      </c>
      <c r="AE477" s="27" t="s">
        <v>8</v>
      </c>
      <c r="AF477" s="27" t="s">
        <v>7</v>
      </c>
      <c r="AG477" s="27" t="s">
        <v>8</v>
      </c>
      <c r="AR477" s="27" t="s">
        <v>7</v>
      </c>
      <c r="AW477" s="27" t="s">
        <v>8</v>
      </c>
      <c r="CG477" s="27" t="s">
        <v>8</v>
      </c>
      <c r="CH477" s="27" t="s">
        <v>7</v>
      </c>
      <c r="CI477" s="27" t="s">
        <v>8</v>
      </c>
      <c r="DT477" s="27" t="s">
        <v>7</v>
      </c>
      <c r="GB477" s="27" t="s">
        <v>7</v>
      </c>
    </row>
    <row r="478" spans="1:184" x14ac:dyDescent="0.25">
      <c r="A478" s="7">
        <v>8.6580227382218542</v>
      </c>
      <c r="B478"/>
      <c r="C478"/>
      <c r="D478"/>
      <c r="E478" t="s">
        <v>8</v>
      </c>
      <c r="Z478" s="27" t="s">
        <v>7</v>
      </c>
      <c r="AA478" s="27" t="s">
        <v>8</v>
      </c>
      <c r="AB478" s="27" t="s">
        <v>7</v>
      </c>
      <c r="AC478" s="27" t="s">
        <v>8</v>
      </c>
      <c r="AD478" s="27" t="s">
        <v>7</v>
      </c>
      <c r="AE478" s="27" t="s">
        <v>8</v>
      </c>
      <c r="AF478" s="27" t="s">
        <v>7</v>
      </c>
      <c r="AG478" s="27" t="s">
        <v>8</v>
      </c>
      <c r="AR478" s="27" t="s">
        <v>7</v>
      </c>
      <c r="AW478" s="27" t="s">
        <v>8</v>
      </c>
      <c r="AX478" s="27" t="s">
        <v>7</v>
      </c>
      <c r="CG478" s="27" t="s">
        <v>8</v>
      </c>
      <c r="CH478" s="27" t="s">
        <v>7</v>
      </c>
      <c r="GB478" s="27" t="s">
        <v>7</v>
      </c>
    </row>
    <row r="479" spans="1:184" x14ac:dyDescent="0.25">
      <c r="A479" s="7">
        <v>8.4882575864920131</v>
      </c>
      <c r="B479"/>
      <c r="C479"/>
      <c r="D479"/>
      <c r="E479" t="s">
        <v>8</v>
      </c>
      <c r="Z479" s="27" t="s">
        <v>7</v>
      </c>
      <c r="AA479" s="27" t="s">
        <v>8</v>
      </c>
      <c r="AB479" s="27" t="s">
        <v>7</v>
      </c>
      <c r="AC479" s="27" t="s">
        <v>8</v>
      </c>
      <c r="AD479" s="27" t="s">
        <v>7</v>
      </c>
      <c r="AE479" s="27" t="s">
        <v>8</v>
      </c>
      <c r="AF479" s="27" t="s">
        <v>7</v>
      </c>
      <c r="AG479" s="27" t="s">
        <v>8</v>
      </c>
      <c r="AR479" s="27" t="s">
        <v>7</v>
      </c>
      <c r="AW479" s="27" t="s">
        <v>8</v>
      </c>
      <c r="AX479" s="27" t="s">
        <v>7</v>
      </c>
      <c r="CC479" s="27" t="s">
        <v>8</v>
      </c>
      <c r="CG479" s="27" t="s">
        <v>8</v>
      </c>
      <c r="GB479" s="27" t="s">
        <v>7</v>
      </c>
    </row>
    <row r="480" spans="1:184" x14ac:dyDescent="0.25">
      <c r="A480" s="7">
        <v>8.3218211632274635</v>
      </c>
      <c r="B480"/>
      <c r="C480"/>
      <c r="D480"/>
      <c r="E480" t="s">
        <v>8</v>
      </c>
      <c r="Z480" s="27" t="s">
        <v>7</v>
      </c>
      <c r="AA480" s="27" t="s">
        <v>8</v>
      </c>
      <c r="AB480" s="27" t="s">
        <v>7</v>
      </c>
      <c r="AC480" s="27" t="s">
        <v>8</v>
      </c>
      <c r="AD480" s="27" t="s">
        <v>7</v>
      </c>
      <c r="AE480" s="27" t="s">
        <v>8</v>
      </c>
      <c r="AF480" s="27" t="s">
        <v>7</v>
      </c>
      <c r="AG480" s="27" t="s">
        <v>8</v>
      </c>
      <c r="AR480" s="27" t="s">
        <v>7</v>
      </c>
      <c r="AW480" s="27" t="s">
        <v>8</v>
      </c>
      <c r="AX480" s="27" t="s">
        <v>7</v>
      </c>
      <c r="CC480" s="27" t="s">
        <v>8</v>
      </c>
      <c r="CD480" s="27" t="s">
        <v>7</v>
      </c>
      <c r="CG480" s="27" t="s">
        <v>8</v>
      </c>
      <c r="GB480" s="27" t="s">
        <v>7</v>
      </c>
    </row>
    <row r="481" spans="1:188" x14ac:dyDescent="0.25">
      <c r="A481" s="7">
        <v>8.1586481992426112</v>
      </c>
      <c r="B481"/>
      <c r="C481"/>
      <c r="D481"/>
      <c r="E481" t="s">
        <v>8</v>
      </c>
      <c r="Z481" s="27" t="s">
        <v>7</v>
      </c>
      <c r="AB481" s="27" t="s">
        <v>7</v>
      </c>
      <c r="AC481" s="27" t="s">
        <v>8</v>
      </c>
      <c r="AD481" s="27" t="s">
        <v>7</v>
      </c>
      <c r="AE481" s="27" t="s">
        <v>8</v>
      </c>
      <c r="AF481" s="27" t="s">
        <v>7</v>
      </c>
      <c r="AR481" s="27" t="s">
        <v>7</v>
      </c>
      <c r="AS481" s="27" t="s">
        <v>8</v>
      </c>
      <c r="AW481" s="27" t="s">
        <v>8</v>
      </c>
      <c r="AX481" s="27" t="s">
        <v>7</v>
      </c>
      <c r="CC481" s="27" t="s">
        <v>8</v>
      </c>
      <c r="CD481" s="27" t="s">
        <v>7</v>
      </c>
      <c r="CG481" s="27" t="s">
        <v>8</v>
      </c>
      <c r="GB481" s="27" t="s">
        <v>7</v>
      </c>
    </row>
    <row r="482" spans="1:188" x14ac:dyDescent="0.25">
      <c r="A482" s="7">
        <v>7.9986747051398144</v>
      </c>
      <c r="B482"/>
      <c r="C482"/>
      <c r="D482"/>
      <c r="E482" t="s">
        <v>8</v>
      </c>
      <c r="AB482" s="27" t="s">
        <v>7</v>
      </c>
      <c r="AD482" s="27" t="s">
        <v>7</v>
      </c>
      <c r="AE482" s="27" t="s">
        <v>8</v>
      </c>
      <c r="AR482" s="27" t="s">
        <v>7</v>
      </c>
      <c r="AS482" s="27" t="s">
        <v>8</v>
      </c>
      <c r="AT482" s="27" t="s">
        <v>7</v>
      </c>
      <c r="AW482" s="27" t="s">
        <v>8</v>
      </c>
      <c r="AX482" s="27" t="s">
        <v>7</v>
      </c>
      <c r="CC482" s="27" t="s">
        <v>8</v>
      </c>
      <c r="CD482" s="27" t="s">
        <v>7</v>
      </c>
      <c r="CG482" s="27" t="s">
        <v>8</v>
      </c>
      <c r="GB482" s="27" t="s">
        <v>7</v>
      </c>
    </row>
    <row r="483" spans="1:188" x14ac:dyDescent="0.25">
      <c r="A483" s="7">
        <v>7.8418379462155041</v>
      </c>
      <c r="B483"/>
      <c r="C483"/>
      <c r="D483"/>
      <c r="E483" t="s">
        <v>8</v>
      </c>
      <c r="AD483" s="27" t="s">
        <v>7</v>
      </c>
      <c r="AE483" s="27" t="s">
        <v>8</v>
      </c>
      <c r="AR483" s="27" t="s">
        <v>7</v>
      </c>
      <c r="AS483" s="27" t="s">
        <v>8</v>
      </c>
      <c r="AT483" s="27" t="s">
        <v>7</v>
      </c>
      <c r="AW483" s="27" t="s">
        <v>8</v>
      </c>
      <c r="AX483" s="27" t="s">
        <v>7</v>
      </c>
      <c r="CC483" s="27" t="s">
        <v>8</v>
      </c>
      <c r="CD483" s="27" t="s">
        <v>7</v>
      </c>
      <c r="CG483" s="27" t="s">
        <v>8</v>
      </c>
      <c r="GB483" s="27" t="s">
        <v>7</v>
      </c>
    </row>
    <row r="484" spans="1:188" x14ac:dyDescent="0.25">
      <c r="A484" s="7">
        <v>7.688076417858337</v>
      </c>
      <c r="B484"/>
      <c r="C484"/>
      <c r="D484"/>
      <c r="E484" t="s">
        <v>8</v>
      </c>
      <c r="AD484" s="27" t="s">
        <v>7</v>
      </c>
      <c r="AE484" s="27" t="s">
        <v>8</v>
      </c>
      <c r="AR484" s="27" t="s">
        <v>7</v>
      </c>
      <c r="AS484" s="27" t="s">
        <v>8</v>
      </c>
      <c r="AT484" s="27" t="s">
        <v>7</v>
      </c>
      <c r="AW484" s="27" t="s">
        <v>8</v>
      </c>
      <c r="AX484" s="27" t="s">
        <v>7</v>
      </c>
      <c r="BA484" s="27" t="s">
        <v>8</v>
      </c>
      <c r="CC484" s="27" t="s">
        <v>8</v>
      </c>
      <c r="CD484" s="27" t="s">
        <v>7</v>
      </c>
      <c r="CG484" s="27" t="s">
        <v>8</v>
      </c>
      <c r="GB484" s="27" t="s">
        <v>7</v>
      </c>
    </row>
    <row r="485" spans="1:188" x14ac:dyDescent="0.25">
      <c r="A485" s="7">
        <v>7.5373298214297417</v>
      </c>
      <c r="B485"/>
      <c r="C485"/>
      <c r="D485"/>
      <c r="E485" t="s">
        <v>8</v>
      </c>
      <c r="AD485" s="27" t="s">
        <v>7</v>
      </c>
      <c r="AE485" s="27" t="s">
        <v>8</v>
      </c>
      <c r="AR485" s="27" t="s">
        <v>7</v>
      </c>
      <c r="AS485" s="27" t="s">
        <v>8</v>
      </c>
      <c r="AT485" s="27" t="s">
        <v>7</v>
      </c>
      <c r="AW485" s="27" t="s">
        <v>8</v>
      </c>
      <c r="AX485" s="27" t="s">
        <v>7</v>
      </c>
      <c r="AY485" s="27" t="s">
        <v>8</v>
      </c>
      <c r="BA485" s="27" t="s">
        <v>8</v>
      </c>
      <c r="BB485" s="27" t="s">
        <v>7</v>
      </c>
      <c r="CA485" s="27" t="s">
        <v>8</v>
      </c>
      <c r="CC485" s="27" t="s">
        <v>8</v>
      </c>
      <c r="CD485" s="27" t="s">
        <v>7</v>
      </c>
      <c r="CG485" s="27" t="s">
        <v>8</v>
      </c>
      <c r="GB485" s="27" t="s">
        <v>7</v>
      </c>
    </row>
    <row r="486" spans="1:188" x14ac:dyDescent="0.25">
      <c r="A486" s="7">
        <v>7.389539040617394</v>
      </c>
      <c r="B486"/>
      <c r="C486"/>
      <c r="D486"/>
      <c r="E486" t="s">
        <v>8</v>
      </c>
      <c r="AD486" s="27" t="s">
        <v>7</v>
      </c>
      <c r="AE486" s="27" t="s">
        <v>8</v>
      </c>
      <c r="AR486" s="27" t="s">
        <v>7</v>
      </c>
      <c r="AS486" s="27" t="s">
        <v>8</v>
      </c>
      <c r="AT486" s="27" t="s">
        <v>7</v>
      </c>
      <c r="AW486" s="27" t="s">
        <v>8</v>
      </c>
      <c r="AX486" s="27" t="s">
        <v>7</v>
      </c>
      <c r="AY486" s="27" t="s">
        <v>8</v>
      </c>
      <c r="AZ486" s="27" t="s">
        <v>7</v>
      </c>
      <c r="BA486" s="27" t="s">
        <v>8</v>
      </c>
      <c r="BB486" s="27" t="s">
        <v>7</v>
      </c>
      <c r="BC486" s="27" t="s">
        <v>8</v>
      </c>
      <c r="BY486" s="27" t="s">
        <v>8</v>
      </c>
      <c r="CA486" s="27" t="s">
        <v>8</v>
      </c>
      <c r="CB486" s="27" t="s">
        <v>7</v>
      </c>
      <c r="CC486" s="27" t="s">
        <v>8</v>
      </c>
      <c r="CD486" s="27" t="s">
        <v>7</v>
      </c>
      <c r="CG486" s="27" t="s">
        <v>8</v>
      </c>
      <c r="GB486" s="27" t="s">
        <v>7</v>
      </c>
      <c r="GE486" s="27" t="s">
        <v>8</v>
      </c>
    </row>
    <row r="487" spans="1:188" x14ac:dyDescent="0.25">
      <c r="A487" s="7">
        <v>7.2446461182523469</v>
      </c>
      <c r="B487"/>
      <c r="C487"/>
      <c r="D487"/>
      <c r="E487" t="s">
        <v>8</v>
      </c>
      <c r="AD487" s="27" t="s">
        <v>7</v>
      </c>
      <c r="AE487" s="27" t="s">
        <v>8</v>
      </c>
      <c r="AR487" s="27" t="s">
        <v>7</v>
      </c>
      <c r="AS487" s="27" t="s">
        <v>8</v>
      </c>
      <c r="AT487" s="27" t="s">
        <v>7</v>
      </c>
      <c r="AW487" s="27" t="s">
        <v>8</v>
      </c>
      <c r="AX487" s="27" t="s">
        <v>7</v>
      </c>
      <c r="AY487" s="27" t="s">
        <v>8</v>
      </c>
      <c r="AZ487" s="27" t="s">
        <v>7</v>
      </c>
      <c r="BA487" s="27" t="s">
        <v>8</v>
      </c>
      <c r="BB487" s="27" t="s">
        <v>7</v>
      </c>
      <c r="BC487" s="27" t="s">
        <v>8</v>
      </c>
      <c r="BD487" s="27" t="s">
        <v>7</v>
      </c>
      <c r="BY487" s="27" t="s">
        <v>8</v>
      </c>
      <c r="BZ487" s="27" t="s">
        <v>7</v>
      </c>
      <c r="CA487" s="27" t="s">
        <v>8</v>
      </c>
      <c r="CB487" s="27" t="s">
        <v>7</v>
      </c>
      <c r="CC487" s="27" t="s">
        <v>8</v>
      </c>
      <c r="CD487" s="27" t="s">
        <v>7</v>
      </c>
      <c r="CG487" s="27" t="s">
        <v>8</v>
      </c>
      <c r="GB487" s="27" t="s">
        <v>7</v>
      </c>
      <c r="GC487" s="27" t="s">
        <v>8</v>
      </c>
      <c r="GE487" s="27" t="s">
        <v>8</v>
      </c>
      <c r="GF487" s="27" t="s">
        <v>7</v>
      </c>
    </row>
    <row r="488" spans="1:188" x14ac:dyDescent="0.25">
      <c r="A488" s="7">
        <v>7.1025942335807324</v>
      </c>
      <c r="B488"/>
      <c r="C488"/>
      <c r="D488"/>
      <c r="E488" t="s">
        <v>8</v>
      </c>
      <c r="AD488" s="27" t="s">
        <v>7</v>
      </c>
      <c r="AE488" s="27" t="s">
        <v>8</v>
      </c>
      <c r="AR488" s="27" t="s">
        <v>7</v>
      </c>
      <c r="AS488" s="27" t="s">
        <v>8</v>
      </c>
      <c r="AT488" s="27" t="s">
        <v>7</v>
      </c>
      <c r="AW488" s="27" t="s">
        <v>8</v>
      </c>
      <c r="AX488" s="27" t="s">
        <v>7</v>
      </c>
      <c r="AY488" s="27" t="s">
        <v>8</v>
      </c>
      <c r="AZ488" s="27" t="s">
        <v>7</v>
      </c>
      <c r="BA488" s="27" t="s">
        <v>8</v>
      </c>
      <c r="BB488" s="27" t="s">
        <v>7</v>
      </c>
      <c r="BC488" s="27" t="s">
        <v>8</v>
      </c>
      <c r="BD488" s="27" t="s">
        <v>7</v>
      </c>
      <c r="BY488" s="27" t="s">
        <v>8</v>
      </c>
      <c r="BZ488" s="27" t="s">
        <v>7</v>
      </c>
      <c r="CA488" s="27" t="s">
        <v>8</v>
      </c>
      <c r="CB488" s="27" t="s">
        <v>7</v>
      </c>
      <c r="CC488" s="27" t="s">
        <v>8</v>
      </c>
      <c r="CD488" s="27" t="s">
        <v>7</v>
      </c>
      <c r="CG488" s="27" t="s">
        <v>8</v>
      </c>
      <c r="GB488" s="27" t="s">
        <v>7</v>
      </c>
      <c r="GC488" s="27" t="s">
        <v>8</v>
      </c>
      <c r="GD488" s="27" t="s">
        <v>7</v>
      </c>
      <c r="GE488" s="27" t="s">
        <v>8</v>
      </c>
      <c r="GF488" s="27" t="s">
        <v>7</v>
      </c>
    </row>
    <row r="489" spans="1:188" x14ac:dyDescent="0.25">
      <c r="A489" s="7">
        <v>6.9633276799811101</v>
      </c>
      <c r="B489"/>
      <c r="C489"/>
      <c r="D489"/>
      <c r="E489" t="s">
        <v>8</v>
      </c>
      <c r="AD489" s="27" t="s">
        <v>7</v>
      </c>
      <c r="AE489" s="27" t="s">
        <v>8</v>
      </c>
      <c r="AR489" s="27" t="s">
        <v>7</v>
      </c>
      <c r="AS489" s="27" t="s">
        <v>8</v>
      </c>
      <c r="AT489" s="27" t="s">
        <v>7</v>
      </c>
      <c r="AW489" s="27" t="s">
        <v>8</v>
      </c>
      <c r="AX489" s="27" t="s">
        <v>7</v>
      </c>
      <c r="AY489" s="27" t="s">
        <v>8</v>
      </c>
      <c r="AZ489" s="27" t="s">
        <v>7</v>
      </c>
      <c r="BA489" s="27" t="s">
        <v>8</v>
      </c>
      <c r="BB489" s="27" t="s">
        <v>7</v>
      </c>
      <c r="BC489" s="27" t="s">
        <v>8</v>
      </c>
      <c r="BD489" s="27" t="s">
        <v>7</v>
      </c>
      <c r="BW489" s="27" t="s">
        <v>8</v>
      </c>
      <c r="BY489" s="27" t="s">
        <v>8</v>
      </c>
      <c r="BZ489" s="27" t="s">
        <v>7</v>
      </c>
      <c r="CA489" s="27" t="s">
        <v>8</v>
      </c>
      <c r="CB489" s="27" t="s">
        <v>7</v>
      </c>
      <c r="CC489" s="27" t="s">
        <v>8</v>
      </c>
      <c r="CD489" s="27" t="s">
        <v>7</v>
      </c>
      <c r="CG489" s="27" t="s">
        <v>8</v>
      </c>
      <c r="GB489" s="27" t="s">
        <v>7</v>
      </c>
      <c r="GC489" s="27" t="s">
        <v>8</v>
      </c>
      <c r="GD489" s="27" t="s">
        <v>7</v>
      </c>
      <c r="GE489" s="27" t="s">
        <v>8</v>
      </c>
      <c r="GF489" s="27" t="s">
        <v>7</v>
      </c>
    </row>
    <row r="490" spans="1:188" x14ac:dyDescent="0.25">
      <c r="A490" s="7">
        <v>6.8267918431187349</v>
      </c>
      <c r="B490"/>
      <c r="C490"/>
      <c r="D490"/>
      <c r="E490" t="s">
        <v>8</v>
      </c>
      <c r="AD490" s="27" t="s">
        <v>7</v>
      </c>
      <c r="AE490" s="27" t="s">
        <v>8</v>
      </c>
      <c r="AR490" s="27" t="s">
        <v>7</v>
      </c>
      <c r="AS490" s="27" t="s">
        <v>8</v>
      </c>
      <c r="AT490" s="27" t="s">
        <v>7</v>
      </c>
      <c r="AW490" s="27" t="s">
        <v>8</v>
      </c>
      <c r="AX490" s="27" t="s">
        <v>7</v>
      </c>
      <c r="AY490" s="27" t="s">
        <v>8</v>
      </c>
      <c r="AZ490" s="27" t="s">
        <v>7</v>
      </c>
      <c r="BA490" s="27" t="s">
        <v>8</v>
      </c>
      <c r="BB490" s="27" t="s">
        <v>7</v>
      </c>
      <c r="BC490" s="27" t="s">
        <v>8</v>
      </c>
      <c r="BD490" s="27" t="s">
        <v>7</v>
      </c>
      <c r="BW490" s="27" t="s">
        <v>8</v>
      </c>
      <c r="BX490" s="27" t="s">
        <v>7</v>
      </c>
      <c r="BY490" s="27" t="s">
        <v>8</v>
      </c>
      <c r="BZ490" s="27" t="s">
        <v>7</v>
      </c>
      <c r="CA490" s="27" t="s">
        <v>8</v>
      </c>
      <c r="CB490" s="27" t="s">
        <v>7</v>
      </c>
      <c r="CC490" s="27" t="s">
        <v>8</v>
      </c>
      <c r="CD490" s="27" t="s">
        <v>7</v>
      </c>
      <c r="CG490" s="27" t="s">
        <v>8</v>
      </c>
      <c r="GB490" s="27" t="s">
        <v>7</v>
      </c>
      <c r="GC490" s="27" t="s">
        <v>8</v>
      </c>
      <c r="GD490" s="27" t="s">
        <v>7</v>
      </c>
      <c r="GE490" s="27" t="s">
        <v>8</v>
      </c>
      <c r="GF490" s="27" t="s">
        <v>7</v>
      </c>
    </row>
    <row r="491" spans="1:188" x14ac:dyDescent="0.25">
      <c r="A491" s="7">
        <v>6.692933179528171</v>
      </c>
      <c r="B491"/>
      <c r="C491"/>
      <c r="D491"/>
      <c r="E491" t="s">
        <v>8</v>
      </c>
      <c r="AD491" s="27" t="s">
        <v>7</v>
      </c>
      <c r="AE491" s="27" t="s">
        <v>8</v>
      </c>
      <c r="AR491" s="27" t="s">
        <v>7</v>
      </c>
      <c r="AS491" s="27" t="s">
        <v>8</v>
      </c>
      <c r="AT491" s="27" t="s">
        <v>7</v>
      </c>
      <c r="AW491" s="27" t="s">
        <v>8</v>
      </c>
      <c r="AX491" s="27" t="s">
        <v>7</v>
      </c>
      <c r="AY491" s="27" t="s">
        <v>8</v>
      </c>
      <c r="AZ491" s="27" t="s">
        <v>7</v>
      </c>
      <c r="BA491" s="27" t="s">
        <v>8</v>
      </c>
      <c r="BB491" s="27" t="s">
        <v>7</v>
      </c>
      <c r="BD491" s="27" t="s">
        <v>7</v>
      </c>
      <c r="BG491" s="27" t="s">
        <v>8</v>
      </c>
      <c r="BW491" s="27" t="s">
        <v>8</v>
      </c>
      <c r="BX491" s="27" t="s">
        <v>7</v>
      </c>
      <c r="BY491" s="27" t="s">
        <v>8</v>
      </c>
      <c r="BZ491" s="27" t="s">
        <v>7</v>
      </c>
      <c r="CA491" s="27" t="s">
        <v>8</v>
      </c>
      <c r="CB491" s="27" t="s">
        <v>7</v>
      </c>
      <c r="CC491" s="27" t="s">
        <v>8</v>
      </c>
      <c r="CD491" s="27" t="s">
        <v>7</v>
      </c>
      <c r="CG491" s="27" t="s">
        <v>8</v>
      </c>
      <c r="GB491" s="27" t="s">
        <v>7</v>
      </c>
      <c r="GC491" s="27" t="s">
        <v>8</v>
      </c>
      <c r="GD491" s="27" t="s">
        <v>7</v>
      </c>
      <c r="GE491" s="27" t="s">
        <v>8</v>
      </c>
      <c r="GF491" s="27" t="s">
        <v>7</v>
      </c>
    </row>
    <row r="492" spans="1:188" x14ac:dyDescent="0.25">
      <c r="A492" s="7">
        <v>6.5616991956158541</v>
      </c>
      <c r="B492"/>
      <c r="C492"/>
      <c r="D492"/>
      <c r="E492" t="s">
        <v>8</v>
      </c>
      <c r="AD492" s="27" t="s">
        <v>7</v>
      </c>
      <c r="AE492" s="27" t="s">
        <v>8</v>
      </c>
      <c r="AR492" s="27" t="s">
        <v>7</v>
      </c>
      <c r="AS492" s="27" t="s">
        <v>8</v>
      </c>
      <c r="AT492" s="27" t="s">
        <v>7</v>
      </c>
      <c r="AW492" s="27" t="s">
        <v>8</v>
      </c>
      <c r="AX492" s="27" t="s">
        <v>7</v>
      </c>
      <c r="AY492" s="27" t="s">
        <v>8</v>
      </c>
      <c r="AZ492" s="27" t="s">
        <v>7</v>
      </c>
      <c r="BD492" s="27" t="s">
        <v>7</v>
      </c>
      <c r="BG492" s="27" t="s">
        <v>8</v>
      </c>
      <c r="BH492" s="27" t="s">
        <v>7</v>
      </c>
      <c r="BW492" s="27" t="s">
        <v>8</v>
      </c>
      <c r="BX492" s="27" t="s">
        <v>7</v>
      </c>
      <c r="BY492" s="27" t="s">
        <v>8</v>
      </c>
      <c r="BZ492" s="27" t="s">
        <v>7</v>
      </c>
      <c r="CA492" s="27" t="s">
        <v>8</v>
      </c>
      <c r="CB492" s="27" t="s">
        <v>7</v>
      </c>
      <c r="CC492" s="27" t="s">
        <v>8</v>
      </c>
      <c r="CD492" s="27" t="s">
        <v>7</v>
      </c>
      <c r="CG492" s="27" t="s">
        <v>8</v>
      </c>
      <c r="GB492" s="27" t="s">
        <v>7</v>
      </c>
      <c r="GC492" s="27" t="s">
        <v>8</v>
      </c>
      <c r="GD492" s="27" t="s">
        <v>7</v>
      </c>
      <c r="GE492" s="27" t="s">
        <v>8</v>
      </c>
    </row>
    <row r="493" spans="1:188" x14ac:dyDescent="0.25">
      <c r="A493" s="7">
        <v>6.4330384270743668</v>
      </c>
      <c r="B493"/>
      <c r="C493"/>
      <c r="D493"/>
      <c r="E493" t="s">
        <v>8</v>
      </c>
      <c r="AD493" s="27" t="s">
        <v>7</v>
      </c>
      <c r="AE493" s="27" t="s">
        <v>8</v>
      </c>
      <c r="AR493" s="27" t="s">
        <v>7</v>
      </c>
      <c r="AS493" s="27" t="s">
        <v>8</v>
      </c>
      <c r="AT493" s="27" t="s">
        <v>7</v>
      </c>
      <c r="AU493" s="27" t="s">
        <v>8</v>
      </c>
      <c r="AW493" s="27" t="s">
        <v>8</v>
      </c>
      <c r="AX493" s="27" t="s">
        <v>7</v>
      </c>
      <c r="AY493" s="27" t="s">
        <v>8</v>
      </c>
      <c r="BD493" s="27" t="s">
        <v>7</v>
      </c>
      <c r="BE493" s="27" t="s">
        <v>8</v>
      </c>
      <c r="BG493" s="27" t="s">
        <v>8</v>
      </c>
      <c r="BH493" s="27" t="s">
        <v>7</v>
      </c>
      <c r="BW493" s="27" t="s">
        <v>8</v>
      </c>
      <c r="BX493" s="27" t="s">
        <v>7</v>
      </c>
      <c r="BY493" s="27" t="s">
        <v>8</v>
      </c>
      <c r="BZ493" s="27" t="s">
        <v>7</v>
      </c>
      <c r="CA493" s="27" t="s">
        <v>8</v>
      </c>
      <c r="CB493" s="27" t="s">
        <v>7</v>
      </c>
      <c r="CC493" s="27" t="s">
        <v>8</v>
      </c>
      <c r="CD493" s="27" t="s">
        <v>7</v>
      </c>
      <c r="CG493" s="27" t="s">
        <v>8</v>
      </c>
      <c r="GB493" s="27" t="s">
        <v>7</v>
      </c>
      <c r="GC493" s="27" t="s">
        <v>8</v>
      </c>
      <c r="GD493" s="27" t="s">
        <v>7</v>
      </c>
      <c r="GE493" s="27" t="s">
        <v>8</v>
      </c>
    </row>
    <row r="494" spans="1:188" x14ac:dyDescent="0.25">
      <c r="A494" s="7">
        <v>6.3069004187003594</v>
      </c>
      <c r="B494"/>
      <c r="C494"/>
      <c r="D494"/>
      <c r="E494" t="s">
        <v>8</v>
      </c>
      <c r="AD494" s="27" t="s">
        <v>7</v>
      </c>
      <c r="AR494" s="27" t="s">
        <v>7</v>
      </c>
      <c r="AS494" s="27" t="s">
        <v>8</v>
      </c>
      <c r="AT494" s="27" t="s">
        <v>7</v>
      </c>
      <c r="AU494" s="27" t="s">
        <v>8</v>
      </c>
      <c r="AV494" s="27" t="s">
        <v>7</v>
      </c>
      <c r="AW494" s="27" t="s">
        <v>8</v>
      </c>
      <c r="AX494" s="27" t="s">
        <v>7</v>
      </c>
      <c r="AY494" s="27" t="s">
        <v>8</v>
      </c>
      <c r="BD494" s="27" t="s">
        <v>7</v>
      </c>
      <c r="BE494" s="27" t="s">
        <v>8</v>
      </c>
      <c r="BF494" s="27" t="s">
        <v>7</v>
      </c>
      <c r="BG494" s="27" t="s">
        <v>8</v>
      </c>
      <c r="BH494" s="27" t="s">
        <v>7</v>
      </c>
      <c r="BW494" s="27" t="s">
        <v>8</v>
      </c>
      <c r="BX494" s="27" t="s">
        <v>7</v>
      </c>
      <c r="BY494" s="27" t="s">
        <v>8</v>
      </c>
      <c r="BZ494" s="27" t="s">
        <v>7</v>
      </c>
      <c r="CB494" s="27" t="s">
        <v>7</v>
      </c>
      <c r="CC494" s="27" t="s">
        <v>8</v>
      </c>
      <c r="CD494" s="27" t="s">
        <v>7</v>
      </c>
      <c r="CG494" s="27" t="s">
        <v>8</v>
      </c>
      <c r="GB494" s="27" t="s">
        <v>7</v>
      </c>
      <c r="GD494" s="27" t="s">
        <v>7</v>
      </c>
      <c r="GE494" s="27" t="s">
        <v>8</v>
      </c>
    </row>
    <row r="495" spans="1:188" x14ac:dyDescent="0.25">
      <c r="A495" s="7">
        <v>6.1832357046081956</v>
      </c>
      <c r="B495"/>
      <c r="C495"/>
      <c r="D495"/>
      <c r="E495" t="s">
        <v>8</v>
      </c>
      <c r="AR495" s="27" t="s">
        <v>7</v>
      </c>
      <c r="AS495" s="27" t="s">
        <v>8</v>
      </c>
      <c r="AT495" s="27" t="s">
        <v>7</v>
      </c>
      <c r="AU495" s="27" t="s">
        <v>8</v>
      </c>
      <c r="AV495" s="27" t="s">
        <v>7</v>
      </c>
      <c r="AW495" s="27" t="s">
        <v>8</v>
      </c>
      <c r="AX495" s="27" t="s">
        <v>7</v>
      </c>
      <c r="AY495" s="27" t="s">
        <v>8</v>
      </c>
      <c r="BD495" s="27" t="s">
        <v>7</v>
      </c>
      <c r="BE495" s="27" t="s">
        <v>8</v>
      </c>
      <c r="BF495" s="27" t="s">
        <v>7</v>
      </c>
      <c r="BG495" s="27" t="s">
        <v>8</v>
      </c>
      <c r="BH495" s="27" t="s">
        <v>7</v>
      </c>
      <c r="BI495" s="27" t="s">
        <v>8</v>
      </c>
      <c r="BK495" s="27" t="s">
        <v>8</v>
      </c>
      <c r="BW495" s="27" t="s">
        <v>8</v>
      </c>
      <c r="BX495" s="27" t="s">
        <v>7</v>
      </c>
      <c r="BY495" s="27" t="s">
        <v>8</v>
      </c>
      <c r="CB495" s="27" t="s">
        <v>7</v>
      </c>
      <c r="CC495" s="27" t="s">
        <v>8</v>
      </c>
      <c r="CD495" s="27" t="s">
        <v>7</v>
      </c>
      <c r="CE495" s="27" t="s">
        <v>8</v>
      </c>
      <c r="CG495" s="27" t="s">
        <v>8</v>
      </c>
      <c r="GD495" s="27" t="s">
        <v>7</v>
      </c>
      <c r="GE495" s="27" t="s">
        <v>8</v>
      </c>
    </row>
    <row r="496" spans="1:188" x14ac:dyDescent="0.25">
      <c r="A496" s="7">
        <v>6.0619957888315641</v>
      </c>
      <c r="B496"/>
      <c r="C496"/>
      <c r="D496"/>
      <c r="E496" t="s">
        <v>8</v>
      </c>
      <c r="AR496" s="27" t="s">
        <v>7</v>
      </c>
      <c r="AS496" s="27" t="s">
        <v>8</v>
      </c>
      <c r="AT496" s="27" t="s">
        <v>7</v>
      </c>
      <c r="AU496" s="27" t="s">
        <v>8</v>
      </c>
      <c r="AV496" s="27" t="s">
        <v>7</v>
      </c>
      <c r="AW496" s="27" t="s">
        <v>8</v>
      </c>
      <c r="AX496" s="27" t="s">
        <v>7</v>
      </c>
      <c r="AY496" s="27" t="s">
        <v>8</v>
      </c>
      <c r="BD496" s="27" t="s">
        <v>7</v>
      </c>
      <c r="BE496" s="27" t="s">
        <v>8</v>
      </c>
      <c r="BF496" s="27" t="s">
        <v>7</v>
      </c>
      <c r="BG496" s="27" t="s">
        <v>8</v>
      </c>
      <c r="BH496" s="27" t="s">
        <v>7</v>
      </c>
      <c r="BI496" s="27" t="s">
        <v>8</v>
      </c>
      <c r="BJ496" s="27" t="s">
        <v>7</v>
      </c>
      <c r="BK496" s="27" t="s">
        <v>8</v>
      </c>
      <c r="BL496" s="27" t="s">
        <v>7</v>
      </c>
      <c r="BW496" s="27" t="s">
        <v>8</v>
      </c>
      <c r="BX496" s="27" t="s">
        <v>7</v>
      </c>
      <c r="BY496" s="27" t="s">
        <v>8</v>
      </c>
      <c r="CB496" s="27" t="s">
        <v>7</v>
      </c>
      <c r="CC496" s="27" t="s">
        <v>8</v>
      </c>
      <c r="CD496" s="27" t="s">
        <v>7</v>
      </c>
      <c r="CE496" s="27" t="s">
        <v>8</v>
      </c>
      <c r="CF496" s="27" t="s">
        <v>7</v>
      </c>
      <c r="CG496" s="27" t="s">
        <v>8</v>
      </c>
      <c r="GD496" s="27" t="s">
        <v>7</v>
      </c>
      <c r="GE496" s="27" t="s">
        <v>8</v>
      </c>
    </row>
    <row r="497" spans="1:187" x14ac:dyDescent="0.25">
      <c r="A497" s="7">
        <v>5.9431331263054545</v>
      </c>
      <c r="B497"/>
      <c r="C497"/>
      <c r="D497"/>
      <c r="E497" t="s">
        <v>8</v>
      </c>
      <c r="AR497" s="27" t="s">
        <v>7</v>
      </c>
      <c r="AS497" s="27" t="s">
        <v>8</v>
      </c>
      <c r="AT497" s="27" t="s">
        <v>7</v>
      </c>
      <c r="AU497" s="27" t="s">
        <v>8</v>
      </c>
      <c r="AV497" s="27" t="s">
        <v>7</v>
      </c>
      <c r="AW497" s="27" t="s">
        <v>8</v>
      </c>
      <c r="AX497" s="27" t="s">
        <v>7</v>
      </c>
      <c r="AY497" s="27" t="s">
        <v>8</v>
      </c>
      <c r="BD497" s="27" t="s">
        <v>7</v>
      </c>
      <c r="BE497" s="27" t="s">
        <v>8</v>
      </c>
      <c r="BF497" s="27" t="s">
        <v>7</v>
      </c>
      <c r="BG497" s="27" t="s">
        <v>8</v>
      </c>
      <c r="BH497" s="27" t="s">
        <v>7</v>
      </c>
      <c r="BI497" s="27" t="s">
        <v>8</v>
      </c>
      <c r="BJ497" s="27" t="s">
        <v>7</v>
      </c>
      <c r="BK497" s="27" t="s">
        <v>8</v>
      </c>
      <c r="BL497" s="27" t="s">
        <v>7</v>
      </c>
      <c r="BM497" s="27" t="s">
        <v>8</v>
      </c>
      <c r="BW497" s="27" t="s">
        <v>8</v>
      </c>
      <c r="BX497" s="27" t="s">
        <v>7</v>
      </c>
      <c r="BY497" s="27" t="s">
        <v>8</v>
      </c>
      <c r="CB497" s="27" t="s">
        <v>7</v>
      </c>
      <c r="CD497" s="27" t="s">
        <v>7</v>
      </c>
      <c r="CE497" s="27" t="s">
        <v>8</v>
      </c>
      <c r="CF497" s="27" t="s">
        <v>7</v>
      </c>
      <c r="CG497" s="27" t="s">
        <v>8</v>
      </c>
      <c r="GD497" s="27" t="s">
        <v>7</v>
      </c>
      <c r="GE497" s="27" t="s">
        <v>8</v>
      </c>
    </row>
    <row r="498" spans="1:187" x14ac:dyDescent="0.25">
      <c r="A498" s="7">
        <v>5.8266011042210337</v>
      </c>
      <c r="B498"/>
      <c r="C498"/>
      <c r="D498"/>
      <c r="E498" t="s">
        <v>8</v>
      </c>
      <c r="AR498" s="27" t="s">
        <v>7</v>
      </c>
      <c r="AT498" s="27" t="s">
        <v>7</v>
      </c>
      <c r="AU498" s="27" t="s">
        <v>8</v>
      </c>
      <c r="AV498" s="27" t="s">
        <v>7</v>
      </c>
      <c r="AW498" s="27" t="s">
        <v>8</v>
      </c>
      <c r="AX498" s="27" t="s">
        <v>7</v>
      </c>
      <c r="AY498" s="27" t="s">
        <v>8</v>
      </c>
      <c r="BD498" s="27" t="s">
        <v>7</v>
      </c>
      <c r="BF498" s="27" t="s">
        <v>7</v>
      </c>
      <c r="BG498" s="27" t="s">
        <v>8</v>
      </c>
      <c r="BH498" s="27" t="s">
        <v>7</v>
      </c>
      <c r="BI498" s="27" t="s">
        <v>8</v>
      </c>
      <c r="BJ498" s="27" t="s">
        <v>7</v>
      </c>
      <c r="BK498" s="27" t="s">
        <v>8</v>
      </c>
      <c r="BL498" s="27" t="s">
        <v>7</v>
      </c>
      <c r="BM498" s="27" t="s">
        <v>8</v>
      </c>
      <c r="BN498" s="27" t="s">
        <v>7</v>
      </c>
      <c r="BW498" s="27" t="s">
        <v>8</v>
      </c>
      <c r="BX498" s="27" t="s">
        <v>7</v>
      </c>
      <c r="BY498" s="27" t="s">
        <v>8</v>
      </c>
      <c r="CD498" s="27" t="s">
        <v>7</v>
      </c>
      <c r="CE498" s="27" t="s">
        <v>8</v>
      </c>
      <c r="CF498" s="27" t="s">
        <v>7</v>
      </c>
      <c r="CG498" s="27" t="s">
        <v>8</v>
      </c>
      <c r="GD498" s="27" t="s">
        <v>7</v>
      </c>
      <c r="GE498" s="27" t="s">
        <v>8</v>
      </c>
    </row>
    <row r="499" spans="1:187" x14ac:dyDescent="0.25">
      <c r="A499" s="7">
        <v>5.7123540237461112</v>
      </c>
      <c r="B499"/>
      <c r="C499"/>
      <c r="D499"/>
      <c r="E499" t="s">
        <v>8</v>
      </c>
      <c r="AT499" s="27" t="s">
        <v>7</v>
      </c>
      <c r="AU499" s="27" t="s">
        <v>8</v>
      </c>
      <c r="AV499" s="27" t="s">
        <v>7</v>
      </c>
      <c r="AW499" s="27" t="s">
        <v>8</v>
      </c>
      <c r="AX499" s="27" t="s">
        <v>7</v>
      </c>
      <c r="AY499" s="27" t="s">
        <v>8</v>
      </c>
      <c r="BF499" s="27" t="s">
        <v>7</v>
      </c>
      <c r="BG499" s="27" t="s">
        <v>8</v>
      </c>
      <c r="BH499" s="27" t="s">
        <v>7</v>
      </c>
      <c r="BI499" s="27" t="s">
        <v>8</v>
      </c>
      <c r="BJ499" s="27" t="s">
        <v>7</v>
      </c>
      <c r="BK499" s="27" t="s">
        <v>8</v>
      </c>
      <c r="BL499" s="27" t="s">
        <v>7</v>
      </c>
      <c r="BM499" s="27" t="s">
        <v>8</v>
      </c>
      <c r="BN499" s="27" t="s">
        <v>7</v>
      </c>
      <c r="BW499" s="27" t="s">
        <v>8</v>
      </c>
      <c r="BX499" s="27" t="s">
        <v>7</v>
      </c>
      <c r="BY499" s="27" t="s">
        <v>8</v>
      </c>
      <c r="CD499" s="27" t="s">
        <v>7</v>
      </c>
      <c r="CE499" s="27" t="s">
        <v>8</v>
      </c>
      <c r="CF499" s="27" t="s">
        <v>7</v>
      </c>
      <c r="CG499" s="27" t="s">
        <v>8</v>
      </c>
      <c r="GD499" s="27" t="s">
        <v>7</v>
      </c>
    </row>
    <row r="500" spans="1:187" x14ac:dyDescent="0.25">
      <c r="A500" s="7">
        <v>5.6003470821040304</v>
      </c>
      <c r="B500"/>
      <c r="C500"/>
      <c r="D500"/>
      <c r="E500" t="s">
        <v>8</v>
      </c>
      <c r="AT500" s="27" t="s">
        <v>7</v>
      </c>
      <c r="AU500" s="27" t="s">
        <v>8</v>
      </c>
      <c r="AV500" s="27" t="s">
        <v>7</v>
      </c>
      <c r="AW500" s="27" t="s">
        <v>8</v>
      </c>
      <c r="AX500" s="27" t="s">
        <v>7</v>
      </c>
      <c r="BF500" s="27" t="s">
        <v>7</v>
      </c>
      <c r="BG500" s="27" t="s">
        <v>8</v>
      </c>
      <c r="BH500" s="27" t="s">
        <v>7</v>
      </c>
      <c r="BI500" s="27" t="s">
        <v>8</v>
      </c>
      <c r="BJ500" s="27" t="s">
        <v>7</v>
      </c>
      <c r="BL500" s="27" t="s">
        <v>7</v>
      </c>
      <c r="BM500" s="27" t="s">
        <v>8</v>
      </c>
      <c r="BN500" s="27" t="s">
        <v>7</v>
      </c>
      <c r="BW500" s="27" t="s">
        <v>8</v>
      </c>
      <c r="BX500" s="27" t="s">
        <v>7</v>
      </c>
      <c r="BY500" s="27" t="s">
        <v>8</v>
      </c>
      <c r="CD500" s="27" t="s">
        <v>7</v>
      </c>
      <c r="CE500" s="27" t="s">
        <v>8</v>
      </c>
      <c r="CF500" s="27" t="s">
        <v>7</v>
      </c>
      <c r="CG500" s="27" t="s">
        <v>8</v>
      </c>
    </row>
    <row r="501" spans="1:187" x14ac:dyDescent="0.25">
      <c r="A501" s="7">
        <v>5.4905363550039512</v>
      </c>
      <c r="B501"/>
      <c r="C501"/>
      <c r="D501"/>
      <c r="E501" t="s">
        <v>8</v>
      </c>
      <c r="AT501" s="27" t="s">
        <v>7</v>
      </c>
      <c r="AU501" s="27" t="s">
        <v>8</v>
      </c>
      <c r="AV501" s="27" t="s">
        <v>7</v>
      </c>
      <c r="AW501" s="27" t="s">
        <v>8</v>
      </c>
      <c r="BF501" s="27" t="s">
        <v>7</v>
      </c>
      <c r="BG501" s="27" t="s">
        <v>8</v>
      </c>
      <c r="BH501" s="27" t="s">
        <v>7</v>
      </c>
      <c r="BI501" s="27" t="s">
        <v>8</v>
      </c>
      <c r="BL501" s="27" t="s">
        <v>7</v>
      </c>
      <c r="BM501" s="27" t="s">
        <v>8</v>
      </c>
      <c r="BN501" s="27" t="s">
        <v>7</v>
      </c>
      <c r="BW501" s="27" t="s">
        <v>8</v>
      </c>
      <c r="BX501" s="27" t="s">
        <v>7</v>
      </c>
      <c r="BY501" s="27" t="s">
        <v>8</v>
      </c>
      <c r="CD501" s="27" t="s">
        <v>7</v>
      </c>
      <c r="CE501" s="27" t="s">
        <v>8</v>
      </c>
      <c r="CF501" s="27" t="s">
        <v>7</v>
      </c>
      <c r="CG501" s="27" t="s">
        <v>8</v>
      </c>
    </row>
    <row r="502" spans="1:187" x14ac:dyDescent="0.25">
      <c r="A502" s="7">
        <v>5.3828787794156385</v>
      </c>
      <c r="B502"/>
      <c r="C502"/>
      <c r="D502"/>
      <c r="E502" t="s">
        <v>8</v>
      </c>
      <c r="AT502" s="27" t="s">
        <v>7</v>
      </c>
      <c r="AU502" s="27" t="s">
        <v>8</v>
      </c>
      <c r="AV502" s="27" t="s">
        <v>7</v>
      </c>
      <c r="AW502" s="27" t="s">
        <v>8</v>
      </c>
      <c r="BF502" s="27" t="s">
        <v>7</v>
      </c>
      <c r="BG502" s="27" t="s">
        <v>8</v>
      </c>
      <c r="BH502" s="27" t="s">
        <v>7</v>
      </c>
      <c r="BI502" s="27" t="s">
        <v>8</v>
      </c>
      <c r="BL502" s="27" t="s">
        <v>7</v>
      </c>
      <c r="BM502" s="27" t="s">
        <v>8</v>
      </c>
      <c r="BN502" s="27" t="s">
        <v>7</v>
      </c>
      <c r="BW502" s="27" t="s">
        <v>8</v>
      </c>
      <c r="BX502" s="27" t="s">
        <v>7</v>
      </c>
      <c r="BY502" s="27" t="s">
        <v>8</v>
      </c>
      <c r="CD502" s="27" t="s">
        <v>7</v>
      </c>
      <c r="CF502" s="27" t="s">
        <v>7</v>
      </c>
      <c r="CG502" s="27" t="s">
        <v>8</v>
      </c>
    </row>
    <row r="503" spans="1:187" x14ac:dyDescent="0.25">
      <c r="A503" s="7">
        <v>5.2773321366819985</v>
      </c>
      <c r="B503"/>
      <c r="C503"/>
      <c r="D503"/>
      <c r="E503" t="s">
        <v>8</v>
      </c>
      <c r="AT503" s="27" t="s">
        <v>7</v>
      </c>
      <c r="AV503" s="27" t="s">
        <v>7</v>
      </c>
      <c r="AW503" s="27" t="s">
        <v>8</v>
      </c>
      <c r="BF503" s="27" t="s">
        <v>7</v>
      </c>
      <c r="BG503" s="27" t="s">
        <v>8</v>
      </c>
      <c r="BH503" s="27" t="s">
        <v>7</v>
      </c>
      <c r="BI503" s="27" t="s">
        <v>8</v>
      </c>
      <c r="BL503" s="27" t="s">
        <v>7</v>
      </c>
      <c r="BN503" s="27" t="s">
        <v>7</v>
      </c>
      <c r="BW503" s="27" t="s">
        <v>8</v>
      </c>
      <c r="BX503" s="27" t="s">
        <v>7</v>
      </c>
      <c r="BY503" s="27" t="s">
        <v>8</v>
      </c>
      <c r="CF503" s="27" t="s">
        <v>7</v>
      </c>
      <c r="CG503" s="27" t="s">
        <v>8</v>
      </c>
    </row>
    <row r="504" spans="1:187" x14ac:dyDescent="0.25">
      <c r="A504" s="7">
        <v>5.1738550359627435</v>
      </c>
      <c r="B504"/>
      <c r="C504"/>
      <c r="D504"/>
      <c r="E504" t="s">
        <v>8</v>
      </c>
      <c r="AV504" s="27" t="s">
        <v>7</v>
      </c>
      <c r="AW504" s="27" t="s">
        <v>8</v>
      </c>
      <c r="BF504" s="27" t="s">
        <v>7</v>
      </c>
      <c r="BG504" s="27" t="s">
        <v>8</v>
      </c>
      <c r="BH504" s="27" t="s">
        <v>7</v>
      </c>
      <c r="BN504" s="27" t="s">
        <v>7</v>
      </c>
      <c r="BU504" s="27" t="s">
        <v>8</v>
      </c>
      <c r="BW504" s="27" t="s">
        <v>8</v>
      </c>
      <c r="BX504" s="27" t="s">
        <v>7</v>
      </c>
      <c r="BY504" s="27" t="s">
        <v>8</v>
      </c>
      <c r="CF504" s="27" t="s">
        <v>7</v>
      </c>
      <c r="CG504" s="27" t="s">
        <v>8</v>
      </c>
    </row>
    <row r="505" spans="1:187" x14ac:dyDescent="0.25">
      <c r="A505" s="7">
        <v>5.07240689800269</v>
      </c>
      <c r="B505"/>
      <c r="C505"/>
      <c r="D505"/>
      <c r="E505" t="s">
        <v>8</v>
      </c>
      <c r="AV505" s="27" t="s">
        <v>7</v>
      </c>
      <c r="AW505" s="27" t="s">
        <v>8</v>
      </c>
      <c r="BF505" s="27" t="s">
        <v>7</v>
      </c>
      <c r="BG505" s="27" t="s">
        <v>8</v>
      </c>
      <c r="BN505" s="27" t="s">
        <v>7</v>
      </c>
      <c r="BU505" s="27" t="s">
        <v>8</v>
      </c>
      <c r="BV505" s="27" t="s">
        <v>7</v>
      </c>
      <c r="BW505" s="27" t="s">
        <v>8</v>
      </c>
      <c r="BX505" s="27" t="s">
        <v>7</v>
      </c>
      <c r="CF505" s="27" t="s">
        <v>7</v>
      </c>
      <c r="CG505" s="27" t="s">
        <v>8</v>
      </c>
    </row>
    <row r="506" spans="1:187" x14ac:dyDescent="0.25">
      <c r="A506" s="7">
        <v>4.9729479392183231</v>
      </c>
      <c r="B506"/>
      <c r="C506"/>
      <c r="D506"/>
      <c r="E506" t="s">
        <v>8</v>
      </c>
      <c r="AV506" s="27" t="s">
        <v>7</v>
      </c>
      <c r="AW506" s="27" t="s">
        <v>8</v>
      </c>
      <c r="BF506" s="27" t="s">
        <v>7</v>
      </c>
      <c r="BG506" s="27" t="s">
        <v>8</v>
      </c>
      <c r="BN506" s="27" t="s">
        <v>7</v>
      </c>
      <c r="BU506" s="27" t="s">
        <v>8</v>
      </c>
      <c r="BV506" s="27" t="s">
        <v>7</v>
      </c>
      <c r="BW506" s="27" t="s">
        <v>8</v>
      </c>
      <c r="CF506" s="27" t="s">
        <v>7</v>
      </c>
      <c r="CG506" s="27" t="s">
        <v>8</v>
      </c>
    </row>
    <row r="507" spans="1:187" x14ac:dyDescent="0.25">
      <c r="A507" s="7">
        <v>4.8754391560963954</v>
      </c>
      <c r="B507"/>
      <c r="C507"/>
      <c r="D507"/>
      <c r="E507" t="s">
        <v>8</v>
      </c>
      <c r="AV507" s="27" t="s">
        <v>7</v>
      </c>
      <c r="AW507" s="27" t="s">
        <v>8</v>
      </c>
      <c r="BF507" s="27" t="s">
        <v>7</v>
      </c>
      <c r="BN507" s="27" t="s">
        <v>7</v>
      </c>
      <c r="BU507" s="27" t="s">
        <v>8</v>
      </c>
      <c r="BV507" s="27" t="s">
        <v>7</v>
      </c>
      <c r="BW507" s="27" t="s">
        <v>8</v>
      </c>
      <c r="CF507" s="27" t="s">
        <v>7</v>
      </c>
      <c r="CG507" s="27" t="s">
        <v>8</v>
      </c>
    </row>
    <row r="508" spans="1:187" x14ac:dyDescent="0.25">
      <c r="A508" s="7">
        <v>4.7798423098984264</v>
      </c>
      <c r="B508"/>
      <c r="C508"/>
      <c r="D508"/>
      <c r="E508" t="s">
        <v>8</v>
      </c>
      <c r="AV508" s="27" t="s">
        <v>7</v>
      </c>
      <c r="AW508" s="27" t="s">
        <v>8</v>
      </c>
      <c r="BN508" s="27" t="s">
        <v>7</v>
      </c>
      <c r="BO508" s="27" t="s">
        <v>8</v>
      </c>
      <c r="BU508" s="27" t="s">
        <v>8</v>
      </c>
      <c r="BV508" s="27" t="s">
        <v>7</v>
      </c>
      <c r="BW508" s="27" t="s">
        <v>8</v>
      </c>
      <c r="CF508" s="18" t="s">
        <v>7</v>
      </c>
      <c r="CG508" s="27" t="s">
        <v>8</v>
      </c>
    </row>
    <row r="509" spans="1:187" x14ac:dyDescent="0.25">
      <c r="A509" s="7">
        <v>4.6861199116651235</v>
      </c>
      <c r="B509"/>
      <c r="C509"/>
      <c r="D509"/>
      <c r="E509" t="s">
        <v>8</v>
      </c>
      <c r="AV509" s="27" t="s">
        <v>7</v>
      </c>
      <c r="AW509" s="27" t="s">
        <v>8</v>
      </c>
      <c r="BN509" s="27" t="s">
        <v>7</v>
      </c>
      <c r="BO509" s="27" t="s">
        <v>8</v>
      </c>
      <c r="BP509" s="27" t="s">
        <v>7</v>
      </c>
      <c r="BU509" s="27" t="s">
        <v>8</v>
      </c>
      <c r="BV509" s="27" t="s">
        <v>7</v>
      </c>
      <c r="BW509" s="27" t="s">
        <v>8</v>
      </c>
      <c r="CF509" s="27" t="s">
        <v>7</v>
      </c>
      <c r="CG509" s="27" t="s">
        <v>8</v>
      </c>
    </row>
    <row r="510" spans="1:187" x14ac:dyDescent="0.25">
      <c r="A510" s="7">
        <v>4.5942352075148269</v>
      </c>
      <c r="B510"/>
      <c r="C510"/>
      <c r="D510"/>
      <c r="E510" t="s">
        <v>8</v>
      </c>
      <c r="AV510" s="27" t="s">
        <v>7</v>
      </c>
      <c r="AW510" s="27" t="s">
        <v>8</v>
      </c>
      <c r="BN510" s="27" t="s">
        <v>7</v>
      </c>
      <c r="BO510" s="27" t="s">
        <v>8</v>
      </c>
      <c r="BP510" s="27" t="s">
        <v>7</v>
      </c>
      <c r="BU510" s="27" t="s">
        <v>8</v>
      </c>
      <c r="BV510" s="27" t="s">
        <v>7</v>
      </c>
      <c r="BW510" s="27" t="s">
        <v>8</v>
      </c>
      <c r="CF510" s="27" t="s">
        <v>7</v>
      </c>
      <c r="CG510" s="27" t="s">
        <v>8</v>
      </c>
    </row>
    <row r="511" spans="1:187" x14ac:dyDescent="0.25">
      <c r="A511" s="7">
        <v>4.5041521642302227</v>
      </c>
      <c r="B511"/>
      <c r="C511"/>
      <c r="D511"/>
      <c r="E511" t="s">
        <v>8</v>
      </c>
      <c r="AV511" s="27" t="s">
        <v>7</v>
      </c>
      <c r="AW511" s="27" t="s">
        <v>8</v>
      </c>
      <c r="BN511" s="27" t="s">
        <v>7</v>
      </c>
      <c r="BO511" s="27" t="s">
        <v>8</v>
      </c>
      <c r="BP511" s="27" t="s">
        <v>7</v>
      </c>
      <c r="BU511" s="27" t="s">
        <v>8</v>
      </c>
      <c r="BV511" s="27" t="s">
        <v>7</v>
      </c>
      <c r="BW511" s="27" t="s">
        <v>8</v>
      </c>
      <c r="CF511" s="27" t="s">
        <v>7</v>
      </c>
      <c r="CG511" s="27" t="s">
        <v>8</v>
      </c>
    </row>
    <row r="512" spans="1:187" x14ac:dyDescent="0.25">
      <c r="A512" s="7">
        <v>4.4158354551276693</v>
      </c>
      <c r="B512"/>
      <c r="C512"/>
      <c r="D512"/>
      <c r="E512" t="s">
        <v>8</v>
      </c>
      <c r="AV512" s="27" t="s">
        <v>7</v>
      </c>
      <c r="AW512" s="27" t="s">
        <v>8</v>
      </c>
      <c r="BN512" s="27" t="s">
        <v>7</v>
      </c>
      <c r="BO512" s="27" t="s">
        <v>8</v>
      </c>
      <c r="BP512" s="27" t="s">
        <v>7</v>
      </c>
      <c r="BU512" s="27" t="s">
        <v>8</v>
      </c>
      <c r="BV512" s="27" t="s">
        <v>7</v>
      </c>
      <c r="BW512" s="27" t="s">
        <v>8</v>
      </c>
      <c r="CF512" s="27" t="s">
        <v>7</v>
      </c>
      <c r="CG512" s="27" t="s">
        <v>8</v>
      </c>
    </row>
    <row r="513" spans="1:85" x14ac:dyDescent="0.25">
      <c r="A513" s="7">
        <v>4.3292504462035977</v>
      </c>
      <c r="B513"/>
      <c r="C513"/>
      <c r="D513"/>
      <c r="E513" t="s">
        <v>8</v>
      </c>
      <c r="AV513" s="27" t="s">
        <v>7</v>
      </c>
      <c r="AW513" s="27" t="s">
        <v>8</v>
      </c>
      <c r="BN513" s="27" t="s">
        <v>7</v>
      </c>
      <c r="BO513" s="27" t="s">
        <v>8</v>
      </c>
      <c r="BP513" s="27" t="s">
        <v>7</v>
      </c>
      <c r="BS513" s="27" t="s">
        <v>8</v>
      </c>
      <c r="BU513" s="27" t="s">
        <v>8</v>
      </c>
      <c r="BV513" s="27" t="s">
        <v>7</v>
      </c>
      <c r="CF513" s="27" t="s">
        <v>7</v>
      </c>
      <c r="CG513" s="27" t="s">
        <v>8</v>
      </c>
    </row>
    <row r="514" spans="1:85" x14ac:dyDescent="0.25">
      <c r="A514" s="7">
        <v>4.2443631825525463</v>
      </c>
      <c r="B514"/>
      <c r="C514"/>
      <c r="D514"/>
      <c r="E514" t="s">
        <v>8</v>
      </c>
      <c r="AV514" s="27" t="s">
        <v>7</v>
      </c>
      <c r="AW514" s="27" t="s">
        <v>8</v>
      </c>
      <c r="BN514" s="27" t="s">
        <v>7</v>
      </c>
      <c r="BO514" s="27" t="s">
        <v>8</v>
      </c>
      <c r="BP514" s="27" t="s">
        <v>7</v>
      </c>
      <c r="BQ514" s="27" t="s">
        <v>8</v>
      </c>
      <c r="BS514" s="27" t="s">
        <v>8</v>
      </c>
      <c r="BT514" s="27" t="s">
        <v>7</v>
      </c>
      <c r="BU514" s="27" t="s">
        <v>8</v>
      </c>
      <c r="CF514" s="27" t="s">
        <v>7</v>
      </c>
      <c r="CG514" s="27" t="s">
        <v>8</v>
      </c>
    </row>
    <row r="515" spans="1:85" x14ac:dyDescent="0.25">
      <c r="A515" s="7">
        <v>4.1611403750515157</v>
      </c>
      <c r="B515"/>
      <c r="C515"/>
      <c r="D515"/>
      <c r="E515" t="s">
        <v>8</v>
      </c>
      <c r="AV515" s="27" t="s">
        <v>7</v>
      </c>
      <c r="AW515" s="27" t="s">
        <v>8</v>
      </c>
      <c r="BN515" s="27" t="s">
        <v>7</v>
      </c>
      <c r="BO515" s="27" t="s">
        <v>8</v>
      </c>
      <c r="BP515" s="27" t="s">
        <v>7</v>
      </c>
      <c r="BQ515" s="27" t="s">
        <v>8</v>
      </c>
      <c r="BR515" s="27" t="s">
        <v>7</v>
      </c>
      <c r="BS515" s="27" t="s">
        <v>8</v>
      </c>
      <c r="BT515" s="27" t="s">
        <v>7</v>
      </c>
      <c r="BU515" s="27" t="s">
        <v>8</v>
      </c>
      <c r="CF515" s="27" t="s">
        <v>7</v>
      </c>
      <c r="CG515" s="27" t="s">
        <v>8</v>
      </c>
    </row>
    <row r="516" spans="1:85" x14ac:dyDescent="0.25">
      <c r="A516" s="7">
        <v>4.0795493873054074</v>
      </c>
      <c r="B516"/>
      <c r="C516"/>
      <c r="D516"/>
      <c r="E516" t="s">
        <v>8</v>
      </c>
      <c r="AV516" s="27" t="s">
        <v>7</v>
      </c>
      <c r="AW516" s="27" t="s">
        <v>8</v>
      </c>
      <c r="BN516" s="27" t="s">
        <v>7</v>
      </c>
      <c r="BO516" s="27" t="s">
        <v>8</v>
      </c>
      <c r="BP516" s="27" t="s">
        <v>7</v>
      </c>
      <c r="BQ516" s="27" t="s">
        <v>8</v>
      </c>
      <c r="BR516" s="27" t="s">
        <v>7</v>
      </c>
      <c r="BS516" s="27" t="s">
        <v>8</v>
      </c>
      <c r="BT516" s="27" t="s">
        <v>7</v>
      </c>
      <c r="BU516" s="27" t="s">
        <v>8</v>
      </c>
      <c r="CF516" s="27" t="s">
        <v>7</v>
      </c>
    </row>
    <row r="517" spans="1:85" x14ac:dyDescent="0.25">
      <c r="A517" s="7">
        <v>3.9995582228484383</v>
      </c>
      <c r="B517"/>
      <c r="C517"/>
      <c r="D517"/>
      <c r="E517" t="s">
        <v>8</v>
      </c>
      <c r="AV517" s="27" t="s">
        <v>7</v>
      </c>
      <c r="AW517" s="27" t="s">
        <v>8</v>
      </c>
      <c r="BN517" s="27" t="s">
        <v>7</v>
      </c>
      <c r="BO517" s="27" t="s">
        <v>8</v>
      </c>
      <c r="BP517" s="27" t="s">
        <v>7</v>
      </c>
      <c r="BQ517" s="27" t="s">
        <v>8</v>
      </c>
      <c r="BR517" s="27" t="s">
        <v>7</v>
      </c>
      <c r="BS517" s="27" t="s">
        <v>8</v>
      </c>
      <c r="BT517" s="27" t="s">
        <v>7</v>
      </c>
      <c r="BU517" s="27" t="s">
        <v>8</v>
      </c>
    </row>
    <row r="518" spans="1:85" x14ac:dyDescent="0.25">
      <c r="A518" s="7">
        <v>3.9211355125965079</v>
      </c>
      <c r="B518"/>
      <c r="C518"/>
      <c r="D518"/>
      <c r="E518" t="s">
        <v>8</v>
      </c>
      <c r="AV518" s="27" t="s">
        <v>7</v>
      </c>
      <c r="AW518" s="27" t="s">
        <v>8</v>
      </c>
      <c r="BN518" s="27" t="s">
        <v>7</v>
      </c>
      <c r="BO518" s="27" t="s">
        <v>8</v>
      </c>
      <c r="BP518" s="27" t="s">
        <v>7</v>
      </c>
      <c r="BQ518" s="27" t="s">
        <v>8</v>
      </c>
      <c r="BR518" s="27" t="s">
        <v>7</v>
      </c>
      <c r="BS518" s="27" t="s">
        <v>8</v>
      </c>
      <c r="BT518" s="27" t="s">
        <v>7</v>
      </c>
      <c r="BU518" s="27" t="s">
        <v>8</v>
      </c>
    </row>
    <row r="519" spans="1:85" x14ac:dyDescent="0.25">
      <c r="A519" s="7">
        <v>3.844250502545596</v>
      </c>
      <c r="B519"/>
      <c r="C519"/>
      <c r="D519"/>
      <c r="E519" t="s">
        <v>8</v>
      </c>
      <c r="AV519" s="27" t="s">
        <v>7</v>
      </c>
      <c r="AW519" s="27" t="s">
        <v>8</v>
      </c>
      <c r="BN519" s="27" t="s">
        <v>7</v>
      </c>
      <c r="BO519" s="27" t="s">
        <v>8</v>
      </c>
      <c r="BP519" s="27" t="s">
        <v>7</v>
      </c>
      <c r="BQ519" s="27" t="s">
        <v>8</v>
      </c>
      <c r="BR519" s="27" t="s">
        <v>7</v>
      </c>
      <c r="BS519" s="27" t="s">
        <v>8</v>
      </c>
      <c r="BT519" s="27" t="s">
        <v>7</v>
      </c>
    </row>
    <row r="520" spans="1:85" x14ac:dyDescent="0.25">
      <c r="A520" s="7">
        <v>3.7688730417113687</v>
      </c>
      <c r="B520"/>
      <c r="C520"/>
      <c r="D520"/>
      <c r="E520" t="s">
        <v>8</v>
      </c>
      <c r="AV520" s="27" t="s">
        <v>7</v>
      </c>
      <c r="BN520" s="27" t="s">
        <v>7</v>
      </c>
      <c r="BO520" s="27" t="s">
        <v>8</v>
      </c>
      <c r="BP520" s="27" t="s">
        <v>7</v>
      </c>
      <c r="BQ520" s="27" t="s">
        <v>8</v>
      </c>
      <c r="BR520" s="27" t="s">
        <v>7</v>
      </c>
      <c r="BS520" s="27" t="s">
        <v>8</v>
      </c>
    </row>
    <row r="521" spans="1:85" x14ac:dyDescent="0.25">
      <c r="A521" s="7">
        <v>3.6949735703052635</v>
      </c>
      <c r="B521"/>
      <c r="C521"/>
      <c r="D521"/>
      <c r="E521" t="s">
        <v>8</v>
      </c>
      <c r="BN521" s="27" t="s">
        <v>7</v>
      </c>
      <c r="BO521" s="27" t="s">
        <v>8</v>
      </c>
      <c r="BP521" s="27" t="s">
        <v>7</v>
      </c>
      <c r="BQ521" s="27" t="s">
        <v>8</v>
      </c>
      <c r="BR521" s="27" t="s">
        <v>7</v>
      </c>
    </row>
    <row r="522" spans="1:85" x14ac:dyDescent="0.25">
      <c r="A522" s="7">
        <v>3.6225231081424152</v>
      </c>
      <c r="B522"/>
      <c r="C522"/>
      <c r="D522"/>
      <c r="E522" t="s">
        <v>8</v>
      </c>
      <c r="BN522" s="27" t="s">
        <v>7</v>
      </c>
      <c r="BO522" s="27" t="s">
        <v>8</v>
      </c>
      <c r="BP522" s="27" t="s">
        <v>7</v>
      </c>
      <c r="BQ522" s="27" t="s">
        <v>8</v>
      </c>
    </row>
    <row r="523" spans="1:85" x14ac:dyDescent="0.25">
      <c r="A523" s="7">
        <v>3.5514932432768775</v>
      </c>
      <c r="B523"/>
      <c r="C523"/>
      <c r="D523"/>
      <c r="E523" t="s">
        <v>8</v>
      </c>
      <c r="BN523" s="27" t="s">
        <v>7</v>
      </c>
      <c r="BO523" s="27" t="s">
        <v>8</v>
      </c>
      <c r="BP523" s="27" t="s">
        <v>7</v>
      </c>
      <c r="BQ523" s="27" t="s">
        <v>8</v>
      </c>
    </row>
    <row r="524" spans="1:85" x14ac:dyDescent="0.25">
      <c r="A524" s="7">
        <v>3.4818561208596837</v>
      </c>
      <c r="B524"/>
      <c r="C524"/>
      <c r="D524"/>
      <c r="E524" t="s">
        <v>8</v>
      </c>
      <c r="BN524" s="27" t="s">
        <v>7</v>
      </c>
      <c r="BO524" s="27" t="s">
        <v>8</v>
      </c>
      <c r="BP524" s="27" t="s">
        <v>7</v>
      </c>
      <c r="BQ524" s="27" t="s">
        <v>8</v>
      </c>
    </row>
    <row r="525" spans="1:85" x14ac:dyDescent="0.25">
      <c r="A525" s="7">
        <v>3.4135844322153761</v>
      </c>
      <c r="B525"/>
      <c r="C525"/>
      <c r="D525"/>
      <c r="E525" t="s">
        <v>8</v>
      </c>
      <c r="BN525" s="27" t="s">
        <v>7</v>
      </c>
      <c r="BO525" s="27" t="s">
        <v>8</v>
      </c>
      <c r="BP525" s="27" t="s">
        <v>7</v>
      </c>
    </row>
    <row r="526" spans="1:85" x14ac:dyDescent="0.25">
      <c r="A526" s="7">
        <v>3.3466514041327216</v>
      </c>
      <c r="B526"/>
      <c r="C526"/>
      <c r="D526"/>
      <c r="E526" t="s">
        <v>8</v>
      </c>
      <c r="BN526" s="27" t="s">
        <v>7</v>
      </c>
      <c r="BO526" s="27" t="s">
        <v>8</v>
      </c>
    </row>
    <row r="527" spans="1:85" x14ac:dyDescent="0.25">
      <c r="A527" s="7">
        <v>3.2810307883654133</v>
      </c>
      <c r="B527"/>
      <c r="C527"/>
      <c r="D527"/>
      <c r="E527" t="s">
        <v>8</v>
      </c>
      <c r="BN527" s="27" t="s">
        <v>7</v>
      </c>
      <c r="BO527" s="27" t="s">
        <v>8</v>
      </c>
    </row>
    <row r="528" spans="1:85" x14ac:dyDescent="0.25">
      <c r="A528" s="7">
        <v>3.2166968513386403</v>
      </c>
      <c r="B528"/>
      <c r="C528"/>
      <c r="D528"/>
      <c r="E528" t="s">
        <v>8</v>
      </c>
      <c r="BN528" s="27" t="s">
        <v>7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24" operator="equal">
      <formula>$U$1</formula>
    </cfRule>
    <cfRule type="cellIs" dxfId="89" priority="725" operator="equal">
      <formula>$S$1</formula>
    </cfRule>
  </conditionalFormatting>
  <conditionalFormatting sqref="D27">
    <cfRule type="cellIs" dxfId="88" priority="722" operator="equal">
      <formula>$S$1</formula>
    </cfRule>
    <cfRule type="cellIs" dxfId="87" priority="723" operator="equal">
      <formula>$U$1</formula>
    </cfRule>
  </conditionalFormatting>
  <conditionalFormatting sqref="C164">
    <cfRule type="cellIs" dxfId="86" priority="720" operator="equal">
      <formula>$U$1</formula>
    </cfRule>
    <cfRule type="cellIs" dxfId="85" priority="721" operator="equal">
      <formula>$S$1</formula>
    </cfRule>
  </conditionalFormatting>
  <conditionalFormatting sqref="D164">
    <cfRule type="cellIs" dxfId="84" priority="718" operator="equal">
      <formula>$S$1</formula>
    </cfRule>
    <cfRule type="cellIs" dxfId="83" priority="719" operator="equal">
      <formula>$U$1</formula>
    </cfRule>
  </conditionalFormatting>
  <conditionalFormatting sqref="C55">
    <cfRule type="cellIs" dxfId="82" priority="716" operator="equal">
      <formula>$U$1</formula>
    </cfRule>
    <cfRule type="cellIs" dxfId="81" priority="717" operator="equal">
      <formula>$S$1</formula>
    </cfRule>
  </conditionalFormatting>
  <conditionalFormatting sqref="D55">
    <cfRule type="cellIs" dxfId="80" priority="714" operator="equal">
      <formula>$S$1</formula>
    </cfRule>
    <cfRule type="cellIs" dxfId="79" priority="715" operator="equal">
      <formula>$U$1</formula>
    </cfRule>
  </conditionalFormatting>
  <conditionalFormatting sqref="C89">
    <cfRule type="cellIs" dxfId="78" priority="712" operator="equal">
      <formula>$U$1</formula>
    </cfRule>
    <cfRule type="cellIs" dxfId="77" priority="713" operator="equal">
      <formula>$S$1</formula>
    </cfRule>
  </conditionalFormatting>
  <conditionalFormatting sqref="D89">
    <cfRule type="cellIs" dxfId="76" priority="710" operator="equal">
      <formula>$S$1</formula>
    </cfRule>
    <cfRule type="cellIs" dxfId="75" priority="711" operator="equal">
      <formula>$U$1</formula>
    </cfRule>
  </conditionalFormatting>
  <conditionalFormatting sqref="C136">
    <cfRule type="cellIs" dxfId="74" priority="708" operator="equal">
      <formula>$U$1</formula>
    </cfRule>
    <cfRule type="cellIs" dxfId="73" priority="709" operator="equal">
      <formula>$S$1</formula>
    </cfRule>
  </conditionalFormatting>
  <conditionalFormatting sqref="D136">
    <cfRule type="cellIs" dxfId="72" priority="706" operator="equal">
      <formula>$S$1</formula>
    </cfRule>
    <cfRule type="cellIs" dxfId="71" priority="707" operator="equal">
      <formula>$U$1</formula>
    </cfRule>
  </conditionalFormatting>
  <conditionalFormatting sqref="C1">
    <cfRule type="cellIs" dxfId="70" priority="70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89" zoomScale="85" zoomScaleNormal="85" workbookViewId="0">
      <pane xSplit="4" topLeftCell="AL1" activePane="topRight" state="frozen"/>
      <selection activeCell="A109" sqref="A109"/>
      <selection pane="topRight" activeCell="DE199" sqref="DE19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$A$198</v>
      </c>
      <c r="D111" s="1" t="str">
        <f>ADDRESS(C121-1,D121,1,1)</f>
        <v>$DE$198</v>
      </c>
      <c r="E111"/>
    </row>
    <row r="112" spans="1:5" x14ac:dyDescent="0.25">
      <c r="A112" s="30">
        <v>515.50191262726139</v>
      </c>
      <c r="C112" s="1" t="str">
        <f>ADDRESS(C121,1,1,1)</f>
        <v>$A$199</v>
      </c>
      <c r="D112" s="1" t="str">
        <f>ADDRESS(C121,D121-1,1,1)</f>
        <v>$DD$199</v>
      </c>
      <c r="E112"/>
    </row>
    <row r="113" spans="1:5" x14ac:dyDescent="0.25">
      <c r="A113" s="30">
        <v>490.95420250215363</v>
      </c>
      <c r="C113" s="1" t="str">
        <f>ADDRESS(C121+1,1,1,1)</f>
        <v>$A$200</v>
      </c>
      <c r="D113" s="1" t="str">
        <f>ADDRESS(C121-1,D121+1,1,1)</f>
        <v>$DF$198</v>
      </c>
    </row>
    <row r="114" spans="1:5" x14ac:dyDescent="0.25">
      <c r="A114" s="30">
        <v>467.57543095443202</v>
      </c>
      <c r="C114" s="1" t="str">
        <f>ADDRESS(C121,D121,1,1)</f>
        <v>$DE$199</v>
      </c>
      <c r="D114" s="1" t="str">
        <f>ADDRESS(C121+1,D121+1,1,1)</f>
        <v>$DF$200</v>
      </c>
    </row>
    <row r="115" spans="1:5" x14ac:dyDescent="0.25">
      <c r="A115" s="30">
        <v>445.30993424231622</v>
      </c>
      <c r="C115" s="1" t="str">
        <f>ADDRESS(C121+1,D121,1,1)</f>
        <v>$DE$200</v>
      </c>
    </row>
    <row r="116" spans="1:5" x14ac:dyDescent="0.25">
      <c r="A116" s="30">
        <v>424.10469927839637</v>
      </c>
      <c r="C116" s="1">
        <f>C117-1</f>
        <v>198</v>
      </c>
    </row>
    <row r="117" spans="1:5" x14ac:dyDescent="0.25">
      <c r="A117" s="30">
        <v>403.9092374079965</v>
      </c>
      <c r="C117" s="1">
        <f>C121</f>
        <v>199</v>
      </c>
      <c r="D117" s="1">
        <f>D121</f>
        <v>109</v>
      </c>
    </row>
    <row r="118" spans="1:5" x14ac:dyDescent="0.25">
      <c r="A118" s="30">
        <v>384.6754641980919</v>
      </c>
      <c r="C118" s="1">
        <f>C117+1</f>
        <v>200</v>
      </c>
      <c r="D118" s="1">
        <f>D117+1</f>
        <v>110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199</v>
      </c>
      <c r="D121" s="19">
        <v>109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R199</v>
      </c>
      <c r="D123" s="1" t="str">
        <f>"C"&amp;D121</f>
        <v>C109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7.3919881477308929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98" x14ac:dyDescent="0.25">
      <c r="A161" s="30">
        <v>47.201372444612005</v>
      </c>
      <c r="E161"/>
    </row>
    <row r="162" spans="1:98" x14ac:dyDescent="0.25">
      <c r="A162" s="30">
        <v>44.95368804248762</v>
      </c>
      <c r="E162"/>
    </row>
    <row r="163" spans="1:98" x14ac:dyDescent="0.25">
      <c r="A163" s="30">
        <v>42.81303623094059</v>
      </c>
      <c r="E163"/>
    </row>
    <row r="164" spans="1:98" x14ac:dyDescent="0.25">
      <c r="A164" s="30">
        <v>40.774320219943419</v>
      </c>
      <c r="E164"/>
    </row>
    <row r="165" spans="1:98" x14ac:dyDescent="0.25">
      <c r="A165" s="30">
        <v>38.832685923755633</v>
      </c>
      <c r="E165"/>
    </row>
    <row r="166" spans="1:98" x14ac:dyDescent="0.25">
      <c r="A166" s="30">
        <v>36.983510403576794</v>
      </c>
      <c r="E166"/>
    </row>
    <row r="167" spans="1:98" x14ac:dyDescent="0.25">
      <c r="A167" s="30">
        <v>35.222390860549325</v>
      </c>
      <c r="E167"/>
    </row>
    <row r="168" spans="1:98" x14ac:dyDescent="0.25">
      <c r="A168" s="30">
        <v>33.545134152904119</v>
      </c>
      <c r="E168"/>
    </row>
    <row r="169" spans="1:98" x14ac:dyDescent="0.25">
      <c r="A169" s="30">
        <v>31.947746812289637</v>
      </c>
      <c r="E169"/>
    </row>
    <row r="170" spans="1:98" x14ac:dyDescent="0.25">
      <c r="A170" s="30">
        <v>30.426425535513939</v>
      </c>
      <c r="E170"/>
    </row>
    <row r="171" spans="1:98" x14ac:dyDescent="0.25">
      <c r="A171" s="30">
        <v>28.977548129060892</v>
      </c>
      <c r="E171"/>
    </row>
    <row r="172" spans="1:98" x14ac:dyDescent="0.25">
      <c r="A172" s="30">
        <v>27.597664884819896</v>
      </c>
      <c r="E172"/>
      <c r="CO172" s="27" t="s">
        <v>8</v>
      </c>
    </row>
    <row r="173" spans="1:98" x14ac:dyDescent="0.25">
      <c r="A173" s="30">
        <v>26.283490366495137</v>
      </c>
      <c r="E173"/>
      <c r="CO173" s="27" t="s">
        <v>8</v>
      </c>
      <c r="CP173" s="27" t="s">
        <v>7</v>
      </c>
    </row>
    <row r="174" spans="1:98" x14ac:dyDescent="0.25">
      <c r="A174" s="30">
        <v>25.031895587138223</v>
      </c>
      <c r="E174" t="s">
        <v>8</v>
      </c>
      <c r="CO174" s="27" t="s">
        <v>8</v>
      </c>
      <c r="CP174" s="27" t="s">
        <v>7</v>
      </c>
    </row>
    <row r="175" spans="1:98" x14ac:dyDescent="0.25">
      <c r="A175" s="30">
        <v>23.839900559179259</v>
      </c>
      <c r="E175" t="s">
        <v>8</v>
      </c>
      <c r="F175" s="27" t="s">
        <v>7</v>
      </c>
      <c r="CO175" s="27" t="s">
        <v>8</v>
      </c>
      <c r="CP175" s="27" t="s">
        <v>7</v>
      </c>
      <c r="CS175" s="27" t="s">
        <v>8</v>
      </c>
    </row>
    <row r="176" spans="1:98" x14ac:dyDescent="0.25">
      <c r="A176" s="30">
        <v>22.704667199218342</v>
      </c>
      <c r="E176" t="s">
        <v>8</v>
      </c>
      <c r="F176" s="27" t="s">
        <v>7</v>
      </c>
      <c r="BO176" s="27" t="s">
        <v>8</v>
      </c>
      <c r="BQ176" s="27" t="s">
        <v>8</v>
      </c>
      <c r="CO176" s="27" t="s">
        <v>8</v>
      </c>
      <c r="CP176" s="27" t="s">
        <v>7</v>
      </c>
      <c r="CS176" s="27" t="s">
        <v>8</v>
      </c>
      <c r="CT176" s="27" t="s">
        <v>7</v>
      </c>
    </row>
    <row r="177" spans="1:108" x14ac:dyDescent="0.25">
      <c r="A177" s="30">
        <v>21.623492570684135</v>
      </c>
      <c r="E177" t="s">
        <v>8</v>
      </c>
      <c r="F177" s="27" t="s">
        <v>7</v>
      </c>
      <c r="BO177" s="27" t="s">
        <v>8</v>
      </c>
      <c r="BP177" s="27" t="s">
        <v>7</v>
      </c>
      <c r="BQ177" s="27" t="s">
        <v>8</v>
      </c>
      <c r="BR177" s="27" t="s">
        <v>7</v>
      </c>
      <c r="CM177" s="27" t="s">
        <v>8</v>
      </c>
      <c r="CO177" s="27" t="s">
        <v>8</v>
      </c>
      <c r="CP177" s="27" t="s">
        <v>7</v>
      </c>
      <c r="CQ177" s="27" t="s">
        <v>8</v>
      </c>
      <c r="CS177" s="27" t="s">
        <v>8</v>
      </c>
      <c r="CT177" s="27" t="s">
        <v>7</v>
      </c>
    </row>
    <row r="178" spans="1:108" x14ac:dyDescent="0.25">
      <c r="A178" s="30">
        <v>20.593802448270605</v>
      </c>
      <c r="C178" s="7"/>
      <c r="D178"/>
      <c r="E178" t="s">
        <v>8</v>
      </c>
      <c r="F178" s="27" t="s">
        <v>7</v>
      </c>
      <c r="BO178" s="27" t="s">
        <v>8</v>
      </c>
      <c r="BP178" s="27" t="s">
        <v>7</v>
      </c>
      <c r="BQ178" s="27" t="s">
        <v>8</v>
      </c>
      <c r="BR178" s="27" t="s">
        <v>7</v>
      </c>
      <c r="CM178" s="27" t="s">
        <v>8</v>
      </c>
      <c r="CN178" s="27" t="s">
        <v>7</v>
      </c>
      <c r="CO178" s="27" t="s">
        <v>8</v>
      </c>
      <c r="CP178" s="27" t="s">
        <v>7</v>
      </c>
      <c r="CQ178" s="27" t="s">
        <v>8</v>
      </c>
      <c r="CR178" s="27" t="s">
        <v>7</v>
      </c>
      <c r="CS178" s="27" t="s">
        <v>8</v>
      </c>
      <c r="CT178" s="27" t="s">
        <v>7</v>
      </c>
    </row>
    <row r="179" spans="1:108" x14ac:dyDescent="0.25">
      <c r="A179" s="30">
        <v>19.613145188829147</v>
      </c>
      <c r="E179" t="s">
        <v>8</v>
      </c>
      <c r="F179" s="27" t="s">
        <v>7</v>
      </c>
      <c r="G179" s="27" t="s">
        <v>8</v>
      </c>
      <c r="U179" s="31" t="s">
        <v>8</v>
      </c>
      <c r="BO179" s="27" t="s">
        <v>8</v>
      </c>
      <c r="BP179" s="27" t="s">
        <v>7</v>
      </c>
      <c r="BQ179" s="27" t="s">
        <v>8</v>
      </c>
      <c r="BR179" s="27" t="s">
        <v>7</v>
      </c>
      <c r="CM179" s="27" t="s">
        <v>8</v>
      </c>
      <c r="CN179" s="27" t="s">
        <v>7</v>
      </c>
      <c r="CO179" s="27" t="s">
        <v>8</v>
      </c>
      <c r="CP179" s="27" t="s">
        <v>7</v>
      </c>
      <c r="CQ179" s="27" t="s">
        <v>8</v>
      </c>
      <c r="CR179" s="27" t="s">
        <v>7</v>
      </c>
      <c r="CS179" s="27" t="s">
        <v>8</v>
      </c>
      <c r="CT179" s="27" t="s">
        <v>7</v>
      </c>
    </row>
    <row r="180" spans="1:108" x14ac:dyDescent="0.25">
      <c r="A180" s="30">
        <v>18.679185894122998</v>
      </c>
      <c r="E180" t="s">
        <v>8</v>
      </c>
      <c r="F180" s="27" t="s">
        <v>7</v>
      </c>
      <c r="G180" s="27" t="s">
        <v>8</v>
      </c>
      <c r="H180" s="27" t="s">
        <v>7</v>
      </c>
      <c r="U180" s="27" t="s">
        <v>8</v>
      </c>
      <c r="V180" s="31" t="s">
        <v>7</v>
      </c>
      <c r="BM180" s="27" t="s">
        <v>8</v>
      </c>
      <c r="BO180" s="27" t="s">
        <v>8</v>
      </c>
      <c r="BP180" s="27" t="s">
        <v>7</v>
      </c>
      <c r="BQ180" s="27" t="s">
        <v>8</v>
      </c>
      <c r="BR180" s="27" t="s">
        <v>7</v>
      </c>
      <c r="CM180" s="27" t="s">
        <v>8</v>
      </c>
      <c r="CN180" s="27" t="s">
        <v>7</v>
      </c>
      <c r="CO180" s="27" t="s">
        <v>8</v>
      </c>
      <c r="CP180" s="27" t="s">
        <v>7</v>
      </c>
      <c r="CQ180" s="27" t="s">
        <v>8</v>
      </c>
      <c r="CR180" s="27" t="s">
        <v>7</v>
      </c>
      <c r="CT180" s="27" t="s">
        <v>7</v>
      </c>
    </row>
    <row r="181" spans="1:108" x14ac:dyDescent="0.25">
      <c r="A181" s="30">
        <v>17.78970085154571</v>
      </c>
      <c r="C181"/>
      <c r="D181"/>
      <c r="E181" t="s">
        <v>8</v>
      </c>
      <c r="F181" s="27" t="s">
        <v>7</v>
      </c>
      <c r="G181" s="27" t="s">
        <v>8</v>
      </c>
      <c r="H181" s="27" t="s">
        <v>7</v>
      </c>
      <c r="K181" s="27" t="s">
        <v>8</v>
      </c>
      <c r="U181" s="27" t="s">
        <v>8</v>
      </c>
      <c r="V181" s="27" t="s">
        <v>7</v>
      </c>
      <c r="W181" s="31"/>
      <c r="BM181" s="27" t="s">
        <v>8</v>
      </c>
      <c r="BN181" s="27" t="s">
        <v>7</v>
      </c>
      <c r="BO181" s="27" t="s">
        <v>8</v>
      </c>
      <c r="BP181" s="27" t="s">
        <v>7</v>
      </c>
      <c r="BR181" s="27" t="s">
        <v>7</v>
      </c>
      <c r="BU181" s="19"/>
      <c r="CK181" s="27" t="s">
        <v>8</v>
      </c>
      <c r="CM181" s="27" t="s">
        <v>8</v>
      </c>
      <c r="CN181" s="27" t="s">
        <v>7</v>
      </c>
      <c r="CP181" s="27" t="s">
        <v>7</v>
      </c>
      <c r="CT181" s="27" t="s">
        <v>7</v>
      </c>
    </row>
    <row r="182" spans="1:108" x14ac:dyDescent="0.25">
      <c r="A182" s="30">
        <v>16.942572239567344</v>
      </c>
      <c r="E182" t="s">
        <v>8</v>
      </c>
      <c r="F182" s="27" t="s">
        <v>7</v>
      </c>
      <c r="G182" s="27" t="s">
        <v>8</v>
      </c>
      <c r="H182" s="27" t="s">
        <v>7</v>
      </c>
      <c r="K182" s="27" t="s">
        <v>8</v>
      </c>
      <c r="L182" s="27" t="s">
        <v>7</v>
      </c>
      <c r="U182" s="27" t="s">
        <v>8</v>
      </c>
      <c r="V182" s="27" t="s">
        <v>7</v>
      </c>
      <c r="X182" s="31"/>
      <c r="BM182" s="27" t="s">
        <v>8</v>
      </c>
      <c r="BN182" s="27" t="s">
        <v>7</v>
      </c>
      <c r="BO182" s="27" t="s">
        <v>8</v>
      </c>
      <c r="BR182" s="27" t="s">
        <v>7</v>
      </c>
      <c r="BT182" s="19"/>
      <c r="CE182" s="27" t="s">
        <v>8</v>
      </c>
      <c r="CK182" s="27" t="s">
        <v>8</v>
      </c>
      <c r="CL182" s="27" t="s">
        <v>7</v>
      </c>
      <c r="CM182" s="27" t="s">
        <v>8</v>
      </c>
      <c r="CT182" s="27" t="s">
        <v>7</v>
      </c>
    </row>
    <row r="183" spans="1:108" x14ac:dyDescent="0.25">
      <c r="A183" s="30">
        <v>16.135783085302233</v>
      </c>
      <c r="E183" t="s">
        <v>8</v>
      </c>
      <c r="F183" s="27" t="s">
        <v>7</v>
      </c>
      <c r="G183" s="27" t="s">
        <v>8</v>
      </c>
      <c r="H183" s="27" t="s">
        <v>7</v>
      </c>
      <c r="K183" s="27" t="s">
        <v>8</v>
      </c>
      <c r="L183" s="27" t="s">
        <v>7</v>
      </c>
      <c r="U183" s="27" t="s">
        <v>8</v>
      </c>
      <c r="V183" s="27" t="s">
        <v>7</v>
      </c>
      <c r="Y183" s="31"/>
      <c r="BE183" s="27" t="s">
        <v>8</v>
      </c>
      <c r="BM183" s="27" t="s">
        <v>8</v>
      </c>
      <c r="BN183" s="27" t="s">
        <v>7</v>
      </c>
      <c r="BO183" s="27" t="s">
        <v>8</v>
      </c>
      <c r="BR183" s="27" t="s">
        <v>7</v>
      </c>
      <c r="BS183" s="19"/>
      <c r="CE183" s="27" t="s">
        <v>8</v>
      </c>
      <c r="CF183" s="27" t="s">
        <v>7</v>
      </c>
      <c r="CG183" s="27" t="s">
        <v>8</v>
      </c>
      <c r="CK183" s="27" t="s">
        <v>8</v>
      </c>
      <c r="CL183" s="27" t="s">
        <v>7</v>
      </c>
      <c r="CM183" s="27" t="s">
        <v>8</v>
      </c>
      <c r="CT183" s="27" t="s">
        <v>7</v>
      </c>
    </row>
    <row r="184" spans="1:108" x14ac:dyDescent="0.25">
      <c r="A184" s="30">
        <v>15.367412462192602</v>
      </c>
      <c r="E184" t="s">
        <v>8</v>
      </c>
      <c r="F184" s="27" t="s">
        <v>7</v>
      </c>
      <c r="G184" s="27" t="s">
        <v>8</v>
      </c>
      <c r="H184" s="27" t="s">
        <v>7</v>
      </c>
      <c r="K184" s="27" t="s">
        <v>8</v>
      </c>
      <c r="L184" s="27" t="s">
        <v>7</v>
      </c>
      <c r="M184" s="27" t="s">
        <v>8</v>
      </c>
      <c r="U184" s="27" t="s">
        <v>8</v>
      </c>
      <c r="V184" s="27" t="s">
        <v>7</v>
      </c>
      <c r="W184" s="27" t="s">
        <v>8</v>
      </c>
      <c r="Z184" s="31"/>
      <c r="BE184" s="27" t="s">
        <v>8</v>
      </c>
      <c r="BF184" s="27" t="s">
        <v>7</v>
      </c>
      <c r="BM184" s="27" t="s">
        <v>8</v>
      </c>
      <c r="BN184" s="27" t="s">
        <v>7</v>
      </c>
      <c r="BR184" s="19" t="s">
        <v>7</v>
      </c>
      <c r="CA184" s="27" t="s">
        <v>8</v>
      </c>
      <c r="CE184" s="27" t="s">
        <v>8</v>
      </c>
      <c r="CF184" s="27" t="s">
        <v>7</v>
      </c>
      <c r="CG184" s="27" t="s">
        <v>8</v>
      </c>
      <c r="CH184" s="27" t="s">
        <v>7</v>
      </c>
      <c r="CK184" s="27" t="s">
        <v>8</v>
      </c>
      <c r="CL184" s="27" t="s">
        <v>7</v>
      </c>
      <c r="CT184" s="27" t="s">
        <v>7</v>
      </c>
      <c r="CU184" s="27" t="s">
        <v>8</v>
      </c>
      <c r="CY184" s="27" t="s">
        <v>8</v>
      </c>
    </row>
    <row r="185" spans="1:108" x14ac:dyDescent="0.25">
      <c r="A185" s="30">
        <v>14.635630916373906</v>
      </c>
      <c r="C185"/>
      <c r="E185" t="s">
        <v>8</v>
      </c>
      <c r="F185" s="27" t="s">
        <v>7</v>
      </c>
      <c r="H185" s="27" t="s">
        <v>7</v>
      </c>
      <c r="I185" s="27" t="s">
        <v>8</v>
      </c>
      <c r="K185" s="27" t="s">
        <v>8</v>
      </c>
      <c r="L185" s="27" t="s">
        <v>7</v>
      </c>
      <c r="M185" s="27" t="s">
        <v>8</v>
      </c>
      <c r="N185" s="27" t="s">
        <v>7</v>
      </c>
      <c r="O185" s="27" t="s">
        <v>8</v>
      </c>
      <c r="U185" s="27" t="s">
        <v>8</v>
      </c>
      <c r="V185" s="27" t="s">
        <v>7</v>
      </c>
      <c r="W185" s="27" t="s">
        <v>8</v>
      </c>
      <c r="X185" s="27" t="s">
        <v>7</v>
      </c>
      <c r="AA185" s="31"/>
      <c r="BE185" s="27" t="s">
        <v>8</v>
      </c>
      <c r="BF185" s="27" t="s">
        <v>7</v>
      </c>
      <c r="BI185" s="27" t="s">
        <v>8</v>
      </c>
      <c r="BM185" s="27" t="s">
        <v>8</v>
      </c>
      <c r="BQ185" s="19"/>
      <c r="BR185" s="27" t="s">
        <v>7</v>
      </c>
      <c r="BS185" s="27" t="s">
        <v>8</v>
      </c>
      <c r="BW185" s="27" t="s">
        <v>8</v>
      </c>
      <c r="CA185" s="27" t="s">
        <v>8</v>
      </c>
      <c r="CB185" s="27" t="s">
        <v>7</v>
      </c>
      <c r="CE185" s="27" t="s">
        <v>8</v>
      </c>
      <c r="CF185" s="27" t="s">
        <v>7</v>
      </c>
      <c r="CG185" s="27" t="s">
        <v>8</v>
      </c>
      <c r="CH185" s="27" t="s">
        <v>7</v>
      </c>
      <c r="CI185" s="27" t="s">
        <v>8</v>
      </c>
      <c r="CK185" s="27" t="s">
        <v>8</v>
      </c>
      <c r="CT185" s="27" t="s">
        <v>7</v>
      </c>
      <c r="CU185" s="27" t="s">
        <v>8</v>
      </c>
      <c r="CV185" s="27" t="s">
        <v>7</v>
      </c>
      <c r="CW185" s="27" t="s">
        <v>8</v>
      </c>
      <c r="CY185" s="27" t="s">
        <v>8</v>
      </c>
      <c r="CZ185" s="27" t="s">
        <v>7</v>
      </c>
    </row>
    <row r="186" spans="1:108" x14ac:dyDescent="0.25">
      <c r="A186" s="30">
        <v>13.938696110832291</v>
      </c>
      <c r="E186" t="s">
        <v>8</v>
      </c>
      <c r="H186" s="27" t="s">
        <v>7</v>
      </c>
      <c r="I186" s="27" t="s">
        <v>8</v>
      </c>
      <c r="J186" s="27" t="s">
        <v>7</v>
      </c>
      <c r="K186" s="27" t="s">
        <v>8</v>
      </c>
      <c r="L186" s="27" t="s">
        <v>7</v>
      </c>
      <c r="M186" s="27" t="s">
        <v>8</v>
      </c>
      <c r="N186" s="27" t="s">
        <v>7</v>
      </c>
      <c r="O186" s="27" t="s">
        <v>8</v>
      </c>
      <c r="P186" s="27" t="s">
        <v>7</v>
      </c>
      <c r="U186" s="27" t="s">
        <v>8</v>
      </c>
      <c r="V186" s="27" t="s">
        <v>7</v>
      </c>
      <c r="W186" s="27" t="s">
        <v>8</v>
      </c>
      <c r="X186" s="27" t="s">
        <v>7</v>
      </c>
      <c r="Y186" s="27" t="s">
        <v>8</v>
      </c>
      <c r="AB186" s="31"/>
      <c r="BE186" s="27" t="s">
        <v>8</v>
      </c>
      <c r="BF186" s="27" t="s">
        <v>7</v>
      </c>
      <c r="BG186" s="27" t="s">
        <v>8</v>
      </c>
      <c r="BI186" s="27" t="s">
        <v>8</v>
      </c>
      <c r="BJ186" s="27" t="s">
        <v>7</v>
      </c>
      <c r="BK186" s="27" t="s">
        <v>8</v>
      </c>
      <c r="BM186" s="27" t="s">
        <v>8</v>
      </c>
      <c r="BP186" s="19"/>
      <c r="BR186" s="27" t="s">
        <v>7</v>
      </c>
      <c r="BS186" s="27" t="s">
        <v>8</v>
      </c>
      <c r="BT186" s="27" t="s">
        <v>7</v>
      </c>
      <c r="BU186" s="27" t="s">
        <v>8</v>
      </c>
      <c r="BW186" s="27" t="s">
        <v>8</v>
      </c>
      <c r="BX186" s="27" t="s">
        <v>7</v>
      </c>
      <c r="CA186" s="27" t="s">
        <v>8</v>
      </c>
      <c r="CB186" s="27" t="s">
        <v>7</v>
      </c>
      <c r="CE186" s="27" t="s">
        <v>8</v>
      </c>
      <c r="CF186" s="27" t="s">
        <v>7</v>
      </c>
      <c r="CG186" s="27" t="s">
        <v>8</v>
      </c>
      <c r="CH186" s="27" t="s">
        <v>7</v>
      </c>
      <c r="CI186" s="27" t="s">
        <v>8</v>
      </c>
      <c r="CJ186" s="27" t="s">
        <v>7</v>
      </c>
      <c r="CK186" s="27" t="s">
        <v>8</v>
      </c>
      <c r="CT186" s="27" t="s">
        <v>7</v>
      </c>
      <c r="CU186" s="27" t="s">
        <v>8</v>
      </c>
      <c r="CV186" s="27" t="s">
        <v>7</v>
      </c>
      <c r="CW186" s="27" t="s">
        <v>8</v>
      </c>
      <c r="CX186" s="27" t="s">
        <v>7</v>
      </c>
      <c r="CY186" s="27" t="s">
        <v>8</v>
      </c>
      <c r="CZ186" s="27" t="s">
        <v>7</v>
      </c>
      <c r="DA186" s="27" t="s">
        <v>8</v>
      </c>
    </row>
    <row r="187" spans="1:108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H187" s="27" t="s">
        <v>7</v>
      </c>
      <c r="I187" s="27" t="s">
        <v>8</v>
      </c>
      <c r="J187" s="27" t="s">
        <v>7</v>
      </c>
      <c r="K187" s="27" t="s">
        <v>8</v>
      </c>
      <c r="L187" s="27" t="s">
        <v>7</v>
      </c>
      <c r="N187" s="27" t="s">
        <v>7</v>
      </c>
      <c r="O187" s="27" t="s">
        <v>8</v>
      </c>
      <c r="P187" s="27" t="s">
        <v>7</v>
      </c>
      <c r="U187" s="27" t="s">
        <v>8</v>
      </c>
      <c r="V187" s="27" t="s">
        <v>7</v>
      </c>
      <c r="X187" s="27" t="s">
        <v>7</v>
      </c>
      <c r="Y187" s="27" t="s">
        <v>8</v>
      </c>
      <c r="Z187" s="27" t="s">
        <v>7</v>
      </c>
      <c r="AC187" s="31" t="s">
        <v>8</v>
      </c>
      <c r="BE187" s="27" t="s">
        <v>8</v>
      </c>
      <c r="BF187" s="27" t="s">
        <v>7</v>
      </c>
      <c r="BG187" s="27" t="s">
        <v>8</v>
      </c>
      <c r="BH187" s="27" t="s">
        <v>7</v>
      </c>
      <c r="BI187" s="27" t="s">
        <v>8</v>
      </c>
      <c r="BJ187" s="27" t="s">
        <v>7</v>
      </c>
      <c r="BK187" s="27" t="s">
        <v>8</v>
      </c>
      <c r="BL187" s="27" t="s">
        <v>7</v>
      </c>
      <c r="BM187" s="27" t="s">
        <v>8</v>
      </c>
      <c r="BO187" s="19"/>
      <c r="BR187" s="27" t="s">
        <v>7</v>
      </c>
      <c r="BS187" s="27" t="s">
        <v>8</v>
      </c>
      <c r="BT187" s="27" t="s">
        <v>7</v>
      </c>
      <c r="BU187" s="27" t="s">
        <v>8</v>
      </c>
      <c r="BV187" s="27" t="s">
        <v>7</v>
      </c>
      <c r="BW187" s="27" t="s">
        <v>8</v>
      </c>
      <c r="BX187" s="27" t="s">
        <v>7</v>
      </c>
      <c r="CA187" s="27" t="s">
        <v>8</v>
      </c>
      <c r="CB187" s="27" t="s">
        <v>7</v>
      </c>
      <c r="CC187" s="27" t="s">
        <v>8</v>
      </c>
      <c r="CE187" s="27" t="s">
        <v>8</v>
      </c>
      <c r="CF187" s="27" t="s">
        <v>7</v>
      </c>
      <c r="CH187" s="27" t="s">
        <v>7</v>
      </c>
      <c r="CI187" s="27" t="s">
        <v>8</v>
      </c>
      <c r="CJ187" s="27" t="s">
        <v>7</v>
      </c>
      <c r="CK187" s="27" t="s">
        <v>8</v>
      </c>
      <c r="CT187" s="27" t="s">
        <v>7</v>
      </c>
      <c r="CU187" s="27" t="s">
        <v>8</v>
      </c>
      <c r="CV187" s="27" t="s">
        <v>7</v>
      </c>
      <c r="CW187" s="27" t="s">
        <v>8</v>
      </c>
      <c r="CX187" s="27" t="s">
        <v>7</v>
      </c>
      <c r="CY187" s="27" t="s">
        <v>8</v>
      </c>
      <c r="CZ187" s="27" t="s">
        <v>7</v>
      </c>
      <c r="DA187" s="27" t="s">
        <v>8</v>
      </c>
      <c r="DB187" s="27" t="s">
        <v>7</v>
      </c>
    </row>
    <row r="188" spans="1:108" x14ac:dyDescent="0.25">
      <c r="A188" s="30">
        <v>12.64280826379346</v>
      </c>
      <c r="E188" t="s">
        <v>8</v>
      </c>
      <c r="H188" s="27" t="s">
        <v>7</v>
      </c>
      <c r="I188" s="27" t="s">
        <v>8</v>
      </c>
      <c r="J188" s="27" t="s">
        <v>7</v>
      </c>
      <c r="K188" s="27" t="s">
        <v>8</v>
      </c>
      <c r="N188" s="32" t="s">
        <v>7</v>
      </c>
      <c r="O188" s="27" t="s">
        <v>8</v>
      </c>
      <c r="P188" s="27" t="s">
        <v>7</v>
      </c>
      <c r="U188" s="27" t="s">
        <v>8</v>
      </c>
      <c r="X188" s="32" t="s">
        <v>7</v>
      </c>
      <c r="Y188" s="27" t="s">
        <v>8</v>
      </c>
      <c r="Z188" s="27" t="s">
        <v>7</v>
      </c>
      <c r="AC188" s="27" t="s">
        <v>8</v>
      </c>
      <c r="AD188" s="31" t="s">
        <v>7</v>
      </c>
      <c r="BC188" s="27" t="s">
        <v>8</v>
      </c>
      <c r="BE188" s="27" t="s">
        <v>8</v>
      </c>
      <c r="BF188" s="27" t="s">
        <v>7</v>
      </c>
      <c r="BG188" s="27" t="s">
        <v>8</v>
      </c>
      <c r="BH188" s="27" t="s">
        <v>7</v>
      </c>
      <c r="BI188" s="27" t="s">
        <v>8</v>
      </c>
      <c r="BJ188" s="27" t="s">
        <v>7</v>
      </c>
      <c r="BK188" s="27" t="s">
        <v>8</v>
      </c>
      <c r="BL188" s="27" t="s">
        <v>7</v>
      </c>
      <c r="BM188" s="27" t="s">
        <v>8</v>
      </c>
      <c r="BN188" s="19"/>
      <c r="BR188" s="27" t="s">
        <v>7</v>
      </c>
      <c r="BS188" s="27" t="s">
        <v>8</v>
      </c>
      <c r="BT188" s="27" t="s">
        <v>7</v>
      </c>
      <c r="BU188" s="27" t="s">
        <v>8</v>
      </c>
      <c r="BV188" s="27" t="s">
        <v>7</v>
      </c>
      <c r="BW188" s="27" t="s">
        <v>8</v>
      </c>
      <c r="BX188" s="27" t="s">
        <v>7</v>
      </c>
      <c r="CA188" s="27" t="s">
        <v>8</v>
      </c>
      <c r="CB188" s="27" t="s">
        <v>7</v>
      </c>
      <c r="CC188" s="27" t="s">
        <v>8</v>
      </c>
      <c r="CD188" s="27" t="s">
        <v>7</v>
      </c>
      <c r="CE188" s="27" t="s">
        <v>8</v>
      </c>
      <c r="CH188" s="27" t="s">
        <v>7</v>
      </c>
      <c r="CI188" s="27" t="s">
        <v>8</v>
      </c>
      <c r="CJ188" s="27" t="s">
        <v>7</v>
      </c>
      <c r="CK188" s="27" t="s">
        <v>8</v>
      </c>
      <c r="CT188" s="27" t="s">
        <v>7</v>
      </c>
      <c r="CU188" s="27" t="s">
        <v>8</v>
      </c>
      <c r="CV188" s="27" t="s">
        <v>7</v>
      </c>
      <c r="CW188" s="27" t="s">
        <v>8</v>
      </c>
      <c r="CX188" s="27" t="s">
        <v>7</v>
      </c>
      <c r="CY188" s="27" t="s">
        <v>8</v>
      </c>
      <c r="CZ188" s="27" t="s">
        <v>7</v>
      </c>
      <c r="DA188" s="27" t="s">
        <v>8</v>
      </c>
      <c r="DB188" s="27" t="s">
        <v>7</v>
      </c>
    </row>
    <row r="189" spans="1:108" x14ac:dyDescent="0.25">
      <c r="A189" s="30">
        <v>12.04076977504139</v>
      </c>
      <c r="E189" t="s">
        <v>8</v>
      </c>
      <c r="H189" s="27" t="s">
        <v>7</v>
      </c>
      <c r="I189" s="27" t="s">
        <v>8</v>
      </c>
      <c r="J189" s="27" t="s">
        <v>7</v>
      </c>
      <c r="K189" s="27" t="s">
        <v>8</v>
      </c>
      <c r="N189" s="27" t="s">
        <v>7</v>
      </c>
      <c r="P189" s="27" t="s">
        <v>7</v>
      </c>
      <c r="S189" s="27" t="s">
        <v>8</v>
      </c>
      <c r="U189" s="27" t="s">
        <v>8</v>
      </c>
      <c r="X189" s="27" t="s">
        <v>7</v>
      </c>
      <c r="Y189" s="27" t="s">
        <v>8</v>
      </c>
      <c r="Z189" s="27" t="s">
        <v>7</v>
      </c>
      <c r="AC189" s="33" t="s">
        <v>8</v>
      </c>
      <c r="AD189" s="27" t="s">
        <v>7</v>
      </c>
      <c r="AE189" s="31"/>
      <c r="BC189" s="27" t="s">
        <v>8</v>
      </c>
      <c r="BD189" s="27" t="s">
        <v>7</v>
      </c>
      <c r="BE189" s="27" t="s">
        <v>8</v>
      </c>
      <c r="BF189" s="27" t="s">
        <v>7</v>
      </c>
      <c r="BH189" s="27" t="s">
        <v>7</v>
      </c>
      <c r="BI189" s="27" t="s">
        <v>8</v>
      </c>
      <c r="BJ189" s="27" t="s">
        <v>7</v>
      </c>
      <c r="BL189" s="27" t="s">
        <v>7</v>
      </c>
      <c r="BM189" s="19" t="s">
        <v>8</v>
      </c>
      <c r="BR189" s="27" t="s">
        <v>7</v>
      </c>
      <c r="BT189" s="27" t="s">
        <v>7</v>
      </c>
      <c r="BV189" s="27" t="s">
        <v>7</v>
      </c>
      <c r="BW189" s="27" t="s">
        <v>8</v>
      </c>
      <c r="BX189" s="27" t="s">
        <v>7</v>
      </c>
      <c r="CA189" s="27" t="s">
        <v>8</v>
      </c>
      <c r="CB189" s="27" t="s">
        <v>7</v>
      </c>
      <c r="CC189" s="27" t="s">
        <v>8</v>
      </c>
      <c r="CD189" s="27" t="s">
        <v>7</v>
      </c>
      <c r="CE189" s="27" t="s">
        <v>8</v>
      </c>
      <c r="CH189" s="27" t="s">
        <v>7</v>
      </c>
      <c r="CJ189" s="27" t="s">
        <v>7</v>
      </c>
      <c r="CT189" s="27" t="s">
        <v>7</v>
      </c>
      <c r="CU189" s="27" t="s">
        <v>8</v>
      </c>
      <c r="CV189" s="27" t="s">
        <v>7</v>
      </c>
      <c r="CX189" s="27" t="s">
        <v>7</v>
      </c>
      <c r="CY189" s="27" t="s">
        <v>8</v>
      </c>
      <c r="CZ189" s="27" t="s">
        <v>7</v>
      </c>
      <c r="DB189" s="27" t="s">
        <v>7</v>
      </c>
    </row>
    <row r="190" spans="1:108" x14ac:dyDescent="0.25">
      <c r="A190" s="30">
        <v>11.467399785753704</v>
      </c>
      <c r="E190" t="s">
        <v>8</v>
      </c>
      <c r="H190" s="27" t="s">
        <v>7</v>
      </c>
      <c r="J190" s="27" t="s">
        <v>7</v>
      </c>
      <c r="K190" s="27" t="s">
        <v>8</v>
      </c>
      <c r="P190" s="27" t="s">
        <v>7</v>
      </c>
      <c r="S190" s="27" t="s">
        <v>8</v>
      </c>
      <c r="T190" s="27" t="s">
        <v>7</v>
      </c>
      <c r="U190" s="27" t="s">
        <v>8</v>
      </c>
      <c r="X190" s="27" t="s">
        <v>7</v>
      </c>
      <c r="Y190" s="27" t="s">
        <v>8</v>
      </c>
      <c r="Z190" s="27" t="s">
        <v>7</v>
      </c>
      <c r="AA190" s="27" t="s">
        <v>8</v>
      </c>
      <c r="AC190" s="27" t="s">
        <v>8</v>
      </c>
      <c r="AD190" s="27" t="s">
        <v>7</v>
      </c>
      <c r="AF190" s="31"/>
      <c r="BC190" s="27" t="s">
        <v>8</v>
      </c>
      <c r="BD190" s="27" t="s">
        <v>7</v>
      </c>
      <c r="BE190" s="27" t="s">
        <v>8</v>
      </c>
      <c r="BH190" s="27" t="s">
        <v>7</v>
      </c>
      <c r="BL190" s="19" t="s">
        <v>7</v>
      </c>
      <c r="BV190" s="27" t="s">
        <v>7</v>
      </c>
      <c r="BX190" s="27" t="s">
        <v>7</v>
      </c>
      <c r="BY190" s="27" t="s">
        <v>8</v>
      </c>
      <c r="CA190" s="27" t="s">
        <v>8</v>
      </c>
      <c r="CB190" s="27" t="s">
        <v>7</v>
      </c>
      <c r="CC190" s="27" t="s">
        <v>8</v>
      </c>
      <c r="CD190" s="27" t="s">
        <v>7</v>
      </c>
      <c r="CE190" s="27" t="s">
        <v>8</v>
      </c>
      <c r="CT190" s="27" t="s">
        <v>7</v>
      </c>
      <c r="CX190" s="27" t="s">
        <v>7</v>
      </c>
      <c r="DB190" s="27" t="s">
        <v>7</v>
      </c>
      <c r="DC190" s="27" t="s">
        <v>8</v>
      </c>
    </row>
    <row r="191" spans="1:108" x14ac:dyDescent="0.25">
      <c r="A191" s="30">
        <v>10.921333129289241</v>
      </c>
      <c r="E191" t="s">
        <v>8</v>
      </c>
      <c r="J191" s="27" t="s">
        <v>7</v>
      </c>
      <c r="P191" s="27" t="s">
        <v>7</v>
      </c>
      <c r="S191" s="33" t="s">
        <v>8</v>
      </c>
      <c r="T191" s="27" t="s">
        <v>7</v>
      </c>
      <c r="U191" s="27" t="s">
        <v>8</v>
      </c>
      <c r="X191" s="27" t="s">
        <v>7</v>
      </c>
      <c r="Y191" s="27" t="s">
        <v>8</v>
      </c>
      <c r="Z191" s="27" t="s">
        <v>7</v>
      </c>
      <c r="AA191" s="27" t="s">
        <v>8</v>
      </c>
      <c r="AB191" s="27" t="s">
        <v>7</v>
      </c>
      <c r="AC191" s="27" t="s">
        <v>8</v>
      </c>
      <c r="AD191" s="27" t="s">
        <v>7</v>
      </c>
      <c r="AG191" s="31"/>
      <c r="BC191" s="27" t="s">
        <v>8</v>
      </c>
      <c r="BD191" s="27" t="s">
        <v>7</v>
      </c>
      <c r="BE191" s="27" t="s">
        <v>8</v>
      </c>
      <c r="BX191" s="27" t="s">
        <v>7</v>
      </c>
      <c r="BY191" s="27" t="s">
        <v>8</v>
      </c>
      <c r="BZ191" s="27" t="s">
        <v>7</v>
      </c>
      <c r="CA191" s="27" t="s">
        <v>8</v>
      </c>
      <c r="CB191" s="27" t="s">
        <v>7</v>
      </c>
      <c r="CD191" s="27" t="s">
        <v>7</v>
      </c>
      <c r="CE191" s="27" t="s">
        <v>8</v>
      </c>
      <c r="DB191" s="27" t="s">
        <v>7</v>
      </c>
      <c r="DC191" s="27" t="s">
        <v>8</v>
      </c>
      <c r="DD191" s="27" t="s">
        <v>7</v>
      </c>
    </row>
    <row r="192" spans="1:108" x14ac:dyDescent="0.25">
      <c r="A192" s="30">
        <v>10.401269646942135</v>
      </c>
      <c r="E192" t="s">
        <v>8</v>
      </c>
      <c r="P192" s="27" t="s">
        <v>7</v>
      </c>
      <c r="Q192" s="27" t="s">
        <v>8</v>
      </c>
      <c r="S192" s="27" t="s">
        <v>8</v>
      </c>
      <c r="T192" s="27" t="s">
        <v>7</v>
      </c>
      <c r="U192" s="27" t="s">
        <v>8</v>
      </c>
      <c r="X192" s="27" t="s">
        <v>7</v>
      </c>
      <c r="Z192" s="27" t="s">
        <v>7</v>
      </c>
      <c r="AA192" s="27" t="s">
        <v>8</v>
      </c>
      <c r="AB192" s="27" t="s">
        <v>7</v>
      </c>
      <c r="AC192" s="27" t="s">
        <v>8</v>
      </c>
      <c r="AD192" s="27" t="s">
        <v>7</v>
      </c>
      <c r="AH192" s="31"/>
      <c r="BC192" s="27" t="s">
        <v>8</v>
      </c>
      <c r="BD192" s="27" t="s">
        <v>7</v>
      </c>
      <c r="BE192" s="27" t="s">
        <v>8</v>
      </c>
      <c r="BU192" s="31"/>
      <c r="BX192" s="27" t="s">
        <v>7</v>
      </c>
      <c r="BY192" s="27" t="s">
        <v>8</v>
      </c>
      <c r="BZ192" s="27" t="s">
        <v>7</v>
      </c>
      <c r="CA192" s="27" t="s">
        <v>8</v>
      </c>
      <c r="CD192" s="27" t="s">
        <v>7</v>
      </c>
      <c r="DB192" s="27" t="s">
        <v>7</v>
      </c>
      <c r="DC192" s="27" t="s">
        <v>8</v>
      </c>
      <c r="DD192" s="27" t="s">
        <v>7</v>
      </c>
    </row>
    <row r="193" spans="1:109" x14ac:dyDescent="0.25">
      <c r="A193" s="30">
        <v>9.9059710923258422</v>
      </c>
      <c r="E193" t="s">
        <v>8</v>
      </c>
      <c r="P193" s="27" t="s">
        <v>7</v>
      </c>
      <c r="Q193" s="27" t="s">
        <v>8</v>
      </c>
      <c r="R193" s="27" t="s">
        <v>7</v>
      </c>
      <c r="S193" s="27" t="s">
        <v>8</v>
      </c>
      <c r="T193" s="27" t="s">
        <v>7</v>
      </c>
      <c r="U193" s="27" t="s">
        <v>8</v>
      </c>
      <c r="Z193" s="34" t="s">
        <v>7</v>
      </c>
      <c r="AB193" s="34" t="s">
        <v>7</v>
      </c>
      <c r="AD193" s="27" t="s">
        <v>7</v>
      </c>
      <c r="AI193" s="31"/>
      <c r="BC193" s="27" t="s">
        <v>8</v>
      </c>
      <c r="BD193" s="27" t="s">
        <v>7</v>
      </c>
      <c r="BE193" s="27" t="s">
        <v>8</v>
      </c>
      <c r="BT193" s="31"/>
      <c r="BX193" s="27" t="s">
        <v>7</v>
      </c>
      <c r="BY193" s="27" t="s">
        <v>8</v>
      </c>
      <c r="BZ193" s="27" t="s">
        <v>7</v>
      </c>
      <c r="CA193" s="27" t="s">
        <v>8</v>
      </c>
      <c r="DB193" s="27" t="s">
        <v>7</v>
      </c>
      <c r="DD193" s="27" t="s">
        <v>7</v>
      </c>
    </row>
    <row r="194" spans="1:109" x14ac:dyDescent="0.25">
      <c r="A194" s="30">
        <v>9.4342581831674686</v>
      </c>
      <c r="E194" t="s">
        <v>8</v>
      </c>
      <c r="P194" s="27" t="s">
        <v>7</v>
      </c>
      <c r="Q194" s="27" t="s">
        <v>8</v>
      </c>
      <c r="R194" s="27" t="s">
        <v>7</v>
      </c>
      <c r="S194" s="27" t="s">
        <v>8</v>
      </c>
      <c r="T194" s="27" t="s">
        <v>7</v>
      </c>
      <c r="U194" s="27" t="s">
        <v>8</v>
      </c>
      <c r="AD194" s="32" t="s">
        <v>7</v>
      </c>
      <c r="AJ194" s="31"/>
      <c r="BC194" s="27" t="s">
        <v>8</v>
      </c>
      <c r="BD194" s="27" t="s">
        <v>7</v>
      </c>
      <c r="BE194" s="27" t="s">
        <v>8</v>
      </c>
      <c r="BS194" s="31"/>
      <c r="BX194" s="27" t="s">
        <v>7</v>
      </c>
      <c r="BZ194" s="27" t="s">
        <v>7</v>
      </c>
      <c r="CA194" s="27" t="s">
        <v>8</v>
      </c>
      <c r="DD194" s="27" t="s">
        <v>7</v>
      </c>
    </row>
    <row r="195" spans="1:109" x14ac:dyDescent="0.25">
      <c r="A195" s="30">
        <v>8.9850077934928265</v>
      </c>
      <c r="E195" t="s">
        <v>8</v>
      </c>
      <c r="P195" s="27" t="s">
        <v>7</v>
      </c>
      <c r="Q195" s="27" t="s">
        <v>8</v>
      </c>
      <c r="R195" s="27" t="s">
        <v>7</v>
      </c>
      <c r="S195" s="27" t="s">
        <v>8</v>
      </c>
      <c r="T195" s="27" t="s">
        <v>7</v>
      </c>
      <c r="U195" s="27" t="s">
        <v>8</v>
      </c>
      <c r="AD195" s="27" t="s">
        <v>7</v>
      </c>
      <c r="AK195" s="31"/>
      <c r="BC195" s="33" t="s">
        <v>8</v>
      </c>
      <c r="BD195" s="27" t="s">
        <v>7</v>
      </c>
      <c r="BR195" s="31"/>
      <c r="BZ195" s="27" t="s">
        <v>7</v>
      </c>
      <c r="DD195" s="27" t="s">
        <v>7</v>
      </c>
    </row>
    <row r="196" spans="1:109" x14ac:dyDescent="0.25">
      <c r="A196" s="30">
        <v>8.5571502795169767</v>
      </c>
      <c r="E196" t="s">
        <v>8</v>
      </c>
      <c r="P196" s="27" t="s">
        <v>7</v>
      </c>
      <c r="Q196" s="27" t="s">
        <v>8</v>
      </c>
      <c r="R196" s="27" t="s">
        <v>7</v>
      </c>
      <c r="S196" s="27" t="s">
        <v>8</v>
      </c>
      <c r="T196" s="27" t="s">
        <v>7</v>
      </c>
      <c r="U196" s="27" t="s">
        <v>8</v>
      </c>
      <c r="AD196" s="27" t="s">
        <v>7</v>
      </c>
      <c r="AI196" s="27" t="s">
        <v>8</v>
      </c>
      <c r="AL196" s="31"/>
      <c r="BA196" s="27" t="s">
        <v>8</v>
      </c>
      <c r="BC196" s="27" t="s">
        <v>8</v>
      </c>
      <c r="BQ196" s="31"/>
      <c r="DD196" s="27" t="s">
        <v>7</v>
      </c>
    </row>
    <row r="197" spans="1:109" x14ac:dyDescent="0.25">
      <c r="A197" s="30">
        <v>8.1496669328733109</v>
      </c>
      <c r="E197" t="s">
        <v>8</v>
      </c>
      <c r="P197" s="27" t="s">
        <v>7</v>
      </c>
      <c r="R197" s="27" t="s">
        <v>7</v>
      </c>
      <c r="S197" s="27" t="s">
        <v>8</v>
      </c>
      <c r="T197" s="27" t="s">
        <v>7</v>
      </c>
      <c r="AD197" s="27" t="s">
        <v>7</v>
      </c>
      <c r="AE197" s="27" t="s">
        <v>8</v>
      </c>
      <c r="AI197" s="27" t="s">
        <v>8</v>
      </c>
      <c r="AJ197" s="27" t="s">
        <v>7</v>
      </c>
      <c r="AM197" s="31"/>
      <c r="BA197" s="27" t="s">
        <v>8</v>
      </c>
      <c r="BB197" s="27" t="s">
        <v>7</v>
      </c>
      <c r="BC197" s="27" t="s">
        <v>8</v>
      </c>
      <c r="BP197" s="31"/>
      <c r="DD197" s="27" t="s">
        <v>7</v>
      </c>
    </row>
    <row r="198" spans="1:109" x14ac:dyDescent="0.25">
      <c r="A198" s="30">
        <v>7.7615875551174378</v>
      </c>
      <c r="E198" t="s">
        <v>8</v>
      </c>
      <c r="R198" s="27" t="s">
        <v>7</v>
      </c>
      <c r="S198" s="27" t="s">
        <v>8</v>
      </c>
      <c r="AD198" s="27" t="s">
        <v>7</v>
      </c>
      <c r="AE198" s="27" t="s">
        <v>8</v>
      </c>
      <c r="AF198" s="27" t="s">
        <v>7</v>
      </c>
      <c r="AI198" s="27" t="s">
        <v>8</v>
      </c>
      <c r="AJ198" s="27" t="s">
        <v>7</v>
      </c>
      <c r="AN198" s="31"/>
      <c r="BA198" s="33" t="s">
        <v>8</v>
      </c>
      <c r="BB198" s="27" t="s">
        <v>7</v>
      </c>
      <c r="BC198" s="27" t="s">
        <v>8</v>
      </c>
      <c r="BO198" s="31"/>
      <c r="DD198" s="27" t="s">
        <v>7</v>
      </c>
    </row>
    <row r="199" spans="1:109" x14ac:dyDescent="0.25">
      <c r="A199" s="30">
        <v>7.3919881477308929</v>
      </c>
      <c r="E199" t="s">
        <v>8</v>
      </c>
      <c r="R199" s="27" t="s">
        <v>7</v>
      </c>
      <c r="S199" s="27" t="s">
        <v>8</v>
      </c>
      <c r="AD199" s="27" t="s">
        <v>7</v>
      </c>
      <c r="AE199" s="27" t="s">
        <v>8</v>
      </c>
      <c r="AF199" s="27" t="s">
        <v>7</v>
      </c>
      <c r="AI199" s="27" t="s">
        <v>8</v>
      </c>
      <c r="AJ199" s="27" t="s">
        <v>7</v>
      </c>
      <c r="AK199" s="27" t="s">
        <v>8</v>
      </c>
      <c r="AO199" s="31"/>
      <c r="AW199" s="34" t="s">
        <v>8</v>
      </c>
      <c r="AY199" s="34" t="s">
        <v>8</v>
      </c>
      <c r="BA199" s="27" t="s">
        <v>8</v>
      </c>
      <c r="BB199" s="27" t="s">
        <v>7</v>
      </c>
      <c r="BC199" s="27" t="s">
        <v>8</v>
      </c>
      <c r="BN199" s="31"/>
      <c r="DD199" s="27" t="s">
        <v>7</v>
      </c>
      <c r="DE199" s="27" t="s">
        <v>8</v>
      </c>
    </row>
    <row r="200" spans="1:109" x14ac:dyDescent="0.25">
      <c r="A200" s="30">
        <v>7.0399887121246598</v>
      </c>
      <c r="E200" t="s">
        <v>8</v>
      </c>
      <c r="R200" s="27" t="s">
        <v>7</v>
      </c>
      <c r="S200" s="27" t="s">
        <v>8</v>
      </c>
      <c r="AD200" s="27" t="s">
        <v>7</v>
      </c>
      <c r="AE200" s="27" t="s">
        <v>8</v>
      </c>
      <c r="AF200" s="27" t="s">
        <v>7</v>
      </c>
      <c r="AI200" s="27" t="s">
        <v>8</v>
      </c>
      <c r="AJ200" s="27" t="s">
        <v>7</v>
      </c>
      <c r="AK200" s="27" t="s">
        <v>8</v>
      </c>
      <c r="AL200" s="27" t="s">
        <v>7</v>
      </c>
      <c r="AP200" s="31"/>
      <c r="AU200" s="27" t="s">
        <v>8</v>
      </c>
      <c r="AW200" s="27" t="s">
        <v>8</v>
      </c>
      <c r="AX200" s="27" t="s">
        <v>7</v>
      </c>
      <c r="AY200" s="27" t="s">
        <v>8</v>
      </c>
      <c r="AZ200" s="27" t="s">
        <v>7</v>
      </c>
      <c r="BA200" s="27" t="s">
        <v>8</v>
      </c>
      <c r="BB200" s="27" t="s">
        <v>7</v>
      </c>
      <c r="BC200" s="27" t="s">
        <v>8</v>
      </c>
      <c r="BM200" s="31"/>
      <c r="DD200" s="27" t="s">
        <v>7</v>
      </c>
      <c r="DE200" s="27" t="s">
        <v>8</v>
      </c>
    </row>
    <row r="201" spans="1:109" x14ac:dyDescent="0.25">
      <c r="A201" s="30">
        <v>6.7047511544044376</v>
      </c>
      <c r="E201" t="s">
        <v>8</v>
      </c>
      <c r="R201" s="27" t="s">
        <v>7</v>
      </c>
      <c r="S201" s="27" t="s">
        <v>8</v>
      </c>
      <c r="AD201" s="27" t="s">
        <v>7</v>
      </c>
      <c r="AE201" s="27" t="s">
        <v>8</v>
      </c>
      <c r="AF201" s="27" t="s">
        <v>7</v>
      </c>
      <c r="AI201" s="33" t="s">
        <v>8</v>
      </c>
      <c r="AJ201" s="27" t="s">
        <v>7</v>
      </c>
      <c r="AK201" s="27" t="s">
        <v>8</v>
      </c>
      <c r="AL201" s="27" t="s">
        <v>7</v>
      </c>
      <c r="AM201" s="27" t="s">
        <v>8</v>
      </c>
      <c r="AQ201" s="31"/>
      <c r="AU201" s="27" t="s">
        <v>8</v>
      </c>
      <c r="AV201" s="27" t="s">
        <v>7</v>
      </c>
      <c r="AW201" s="27" t="s">
        <v>8</v>
      </c>
      <c r="AX201" s="27" t="s">
        <v>7</v>
      </c>
      <c r="AY201" s="27" t="s">
        <v>8</v>
      </c>
      <c r="AZ201" s="27" t="s">
        <v>7</v>
      </c>
      <c r="BA201" s="27" t="s">
        <v>8</v>
      </c>
      <c r="BB201" s="27" t="s">
        <v>7</v>
      </c>
      <c r="BC201" s="27" t="s">
        <v>8</v>
      </c>
      <c r="BL201" s="31"/>
      <c r="DD201" s="27" t="s">
        <v>7</v>
      </c>
      <c r="DE201" s="27" t="s">
        <v>8</v>
      </c>
    </row>
    <row r="202" spans="1:109" x14ac:dyDescent="0.25">
      <c r="A202" s="30">
        <v>6.3854772899089882</v>
      </c>
      <c r="E202" t="s">
        <v>8</v>
      </c>
      <c r="R202" s="27" t="s">
        <v>7</v>
      </c>
      <c r="AD202" s="27" t="s">
        <v>7</v>
      </c>
      <c r="AE202" s="27" t="s">
        <v>8</v>
      </c>
      <c r="AF202" s="27" t="s">
        <v>7</v>
      </c>
      <c r="AG202" s="27" t="s">
        <v>8</v>
      </c>
      <c r="AI202" s="27" t="s">
        <v>8</v>
      </c>
      <c r="AJ202" s="27" t="s">
        <v>7</v>
      </c>
      <c r="AK202" s="27" t="s">
        <v>8</v>
      </c>
      <c r="AL202" s="27" t="s">
        <v>7</v>
      </c>
      <c r="AM202" s="27" t="s">
        <v>8</v>
      </c>
      <c r="AN202" s="27" t="s">
        <v>7</v>
      </c>
      <c r="AR202" s="31"/>
      <c r="AU202" s="27" t="s">
        <v>8</v>
      </c>
      <c r="AV202" s="27" t="s">
        <v>7</v>
      </c>
      <c r="AW202" s="27" t="s">
        <v>8</v>
      </c>
      <c r="AX202" s="27" t="s">
        <v>7</v>
      </c>
      <c r="AZ202" s="27" t="s">
        <v>7</v>
      </c>
      <c r="BA202" s="27" t="s">
        <v>8</v>
      </c>
      <c r="BB202" s="27" t="s">
        <v>7</v>
      </c>
      <c r="BC202" s="27" t="s">
        <v>8</v>
      </c>
      <c r="BK202" s="31"/>
      <c r="DD202" s="27" t="s">
        <v>7</v>
      </c>
      <c r="DE202" s="27" t="s">
        <v>8</v>
      </c>
    </row>
    <row r="203" spans="1:109" x14ac:dyDescent="0.25">
      <c r="A203" s="30">
        <v>6.0814069427704647</v>
      </c>
      <c r="C203" s="7"/>
      <c r="D203"/>
      <c r="E203" t="s">
        <v>8</v>
      </c>
      <c r="AD203" s="27" t="s">
        <v>7</v>
      </c>
      <c r="AF203" s="27" t="s">
        <v>7</v>
      </c>
      <c r="AG203" s="27" t="s">
        <v>8</v>
      </c>
      <c r="AH203" s="27" t="s">
        <v>7</v>
      </c>
      <c r="AI203" s="27" t="s">
        <v>8</v>
      </c>
      <c r="AJ203" s="27" t="s">
        <v>7</v>
      </c>
      <c r="AK203" s="27" t="s">
        <v>8</v>
      </c>
      <c r="AL203" s="27" t="s">
        <v>7</v>
      </c>
      <c r="AM203" s="27" t="s">
        <v>8</v>
      </c>
      <c r="AN203" s="27" t="s">
        <v>7</v>
      </c>
      <c r="AO203" s="27" t="s">
        <v>8</v>
      </c>
      <c r="AS203" s="31"/>
      <c r="AU203" s="27" t="s">
        <v>8</v>
      </c>
      <c r="AV203" s="27" t="s">
        <v>7</v>
      </c>
      <c r="AW203" s="27" t="s">
        <v>8</v>
      </c>
      <c r="AZ203" s="32" t="s">
        <v>7</v>
      </c>
      <c r="BB203" s="27" t="s">
        <v>7</v>
      </c>
      <c r="BC203" s="31" t="s">
        <v>8</v>
      </c>
      <c r="BJ203" s="31"/>
      <c r="DD203" s="27" t="s">
        <v>7</v>
      </c>
      <c r="DE203" s="27" t="s">
        <v>8</v>
      </c>
    </row>
    <row r="204" spans="1:109" x14ac:dyDescent="0.25">
      <c r="A204" s="30">
        <v>5.7918161359718709</v>
      </c>
      <c r="E204" t="s">
        <v>8</v>
      </c>
      <c r="AF204" s="27" t="s">
        <v>7</v>
      </c>
      <c r="AG204" s="27" t="s">
        <v>8</v>
      </c>
      <c r="AH204" s="27" t="s">
        <v>7</v>
      </c>
      <c r="AI204" s="27" t="s">
        <v>8</v>
      </c>
      <c r="AJ204" s="27" t="s">
        <v>7</v>
      </c>
      <c r="AK204" s="27" t="s">
        <v>8</v>
      </c>
      <c r="AL204" s="27" t="s">
        <v>7</v>
      </c>
      <c r="AM204" s="27" t="s">
        <v>8</v>
      </c>
      <c r="AN204" s="27" t="s">
        <v>7</v>
      </c>
      <c r="AO204" s="27" t="s">
        <v>8</v>
      </c>
      <c r="AP204" s="27" t="s">
        <v>7</v>
      </c>
      <c r="AT204" s="31"/>
      <c r="AU204" s="27" t="s">
        <v>8</v>
      </c>
      <c r="AV204" s="27" t="s">
        <v>7</v>
      </c>
      <c r="AW204" s="27" t="s">
        <v>8</v>
      </c>
      <c r="BB204" s="32" t="s">
        <v>7</v>
      </c>
      <c r="BC204" s="27" t="s">
        <v>8</v>
      </c>
      <c r="BI204" s="31"/>
      <c r="DD204" s="27" t="s">
        <v>7</v>
      </c>
    </row>
    <row r="205" spans="1:109" x14ac:dyDescent="0.25">
      <c r="A205" s="30">
        <v>5.5160153675922574</v>
      </c>
      <c r="E205" t="s">
        <v>8</v>
      </c>
      <c r="AF205" s="27" t="s">
        <v>7</v>
      </c>
      <c r="AG205" s="27" t="s">
        <v>8</v>
      </c>
      <c r="AH205" s="27" t="s">
        <v>7</v>
      </c>
      <c r="AI205" s="27" t="s">
        <v>8</v>
      </c>
      <c r="AJ205" s="27" t="s">
        <v>7</v>
      </c>
      <c r="AL205" s="27" t="s">
        <v>7</v>
      </c>
      <c r="AM205" s="27" t="s">
        <v>8</v>
      </c>
      <c r="AN205" s="27" t="s">
        <v>7</v>
      </c>
      <c r="AO205" s="27" t="s">
        <v>8</v>
      </c>
      <c r="AP205" s="27" t="s">
        <v>7</v>
      </c>
      <c r="AU205" s="31" t="s">
        <v>8</v>
      </c>
      <c r="AV205" s="27" t="s">
        <v>7</v>
      </c>
      <c r="AW205" s="27" t="s">
        <v>8</v>
      </c>
      <c r="BA205" s="31"/>
      <c r="BB205" s="27" t="s">
        <v>7</v>
      </c>
      <c r="BC205" s="27" t="s">
        <v>8</v>
      </c>
      <c r="BH205" s="31"/>
    </row>
    <row r="206" spans="1:109" x14ac:dyDescent="0.25">
      <c r="A206" s="30">
        <v>5.2533479691354827</v>
      </c>
      <c r="C206"/>
      <c r="D206"/>
      <c r="E206" t="s">
        <v>8</v>
      </c>
      <c r="AF206" s="27" t="s">
        <v>7</v>
      </c>
      <c r="AH206" s="27" t="s">
        <v>7</v>
      </c>
      <c r="AI206" s="27" t="s">
        <v>8</v>
      </c>
      <c r="AL206" s="32" t="s">
        <v>7</v>
      </c>
      <c r="AM206" s="27" t="s">
        <v>8</v>
      </c>
      <c r="AN206" s="27" t="s">
        <v>7</v>
      </c>
      <c r="AP206" s="27" t="s">
        <v>7</v>
      </c>
      <c r="AU206" s="27" t="s">
        <v>8</v>
      </c>
      <c r="AV206" s="27" t="s">
        <v>7</v>
      </c>
      <c r="AZ206" s="31"/>
      <c r="BB206" s="27" t="s">
        <v>7</v>
      </c>
      <c r="BC206" s="27" t="s">
        <v>8</v>
      </c>
      <c r="BG206" s="31"/>
    </row>
    <row r="207" spans="1:109" x14ac:dyDescent="0.25">
      <c r="A207" s="30">
        <v>5.0031885420337927</v>
      </c>
      <c r="E207" t="s">
        <v>8</v>
      </c>
      <c r="AH207" s="27" t="s">
        <v>7</v>
      </c>
      <c r="AI207" s="27" t="s">
        <v>8</v>
      </c>
      <c r="AL207" s="27" t="s">
        <v>7</v>
      </c>
      <c r="AP207" s="27" t="s">
        <v>7</v>
      </c>
      <c r="AS207" s="33" t="s">
        <v>8</v>
      </c>
      <c r="AU207" s="27" t="s">
        <v>8</v>
      </c>
      <c r="AY207" s="31"/>
      <c r="BB207" s="27" t="s">
        <v>7</v>
      </c>
      <c r="BC207" s="27" t="s">
        <v>8</v>
      </c>
      <c r="BF207" s="31"/>
    </row>
    <row r="208" spans="1:109" x14ac:dyDescent="0.25">
      <c r="A208" s="30">
        <v>4.7649414686036122</v>
      </c>
      <c r="E208" t="s">
        <v>8</v>
      </c>
      <c r="AH208" s="27" t="s">
        <v>7</v>
      </c>
      <c r="AI208" s="27" t="s">
        <v>8</v>
      </c>
      <c r="AP208" s="27" t="s">
        <v>7</v>
      </c>
      <c r="AQ208" s="27" t="s">
        <v>8</v>
      </c>
      <c r="AS208" s="27" t="s">
        <v>8</v>
      </c>
      <c r="AT208" s="27" t="s">
        <v>7</v>
      </c>
      <c r="AU208" s="27" t="s">
        <v>8</v>
      </c>
      <c r="AX208" s="31"/>
      <c r="BB208" s="18" t="s">
        <v>7</v>
      </c>
      <c r="BC208" s="27" t="s">
        <v>8</v>
      </c>
      <c r="BE208" s="31"/>
    </row>
    <row r="209" spans="1:56" x14ac:dyDescent="0.25">
      <c r="A209" s="30">
        <v>4.5380394939082018</v>
      </c>
      <c r="E209" t="s">
        <v>8</v>
      </c>
      <c r="AH209" s="27" t="s">
        <v>7</v>
      </c>
      <c r="AI209" s="27" t="s">
        <v>8</v>
      </c>
      <c r="AP209" s="27" t="s">
        <v>7</v>
      </c>
      <c r="AQ209" s="27" t="s">
        <v>8</v>
      </c>
      <c r="AR209" s="27" t="s">
        <v>7</v>
      </c>
      <c r="AS209" s="27" t="s">
        <v>8</v>
      </c>
      <c r="AT209" s="27" t="s">
        <v>7</v>
      </c>
      <c r="AU209" s="27" t="s">
        <v>8</v>
      </c>
      <c r="AW209" s="31"/>
      <c r="BB209" s="27" t="s">
        <v>7</v>
      </c>
      <c r="BC209" s="27" t="s">
        <v>8</v>
      </c>
      <c r="BD209" s="31"/>
    </row>
    <row r="210" spans="1:56" x14ac:dyDescent="0.25">
      <c r="A210" s="30">
        <v>4.3219423751506678</v>
      </c>
      <c r="C210"/>
      <c r="E210" t="s">
        <v>8</v>
      </c>
      <c r="AH210" s="27" t="s">
        <v>7</v>
      </c>
      <c r="AI210" s="27" t="s">
        <v>8</v>
      </c>
      <c r="AP210" s="27" t="s">
        <v>7</v>
      </c>
      <c r="AQ210" s="27" t="s">
        <v>8</v>
      </c>
      <c r="AR210" s="27" t="s">
        <v>7</v>
      </c>
      <c r="AS210" s="27" t="s">
        <v>8</v>
      </c>
      <c r="AT210" s="27" t="s">
        <v>7</v>
      </c>
      <c r="AV210" s="31"/>
      <c r="BB210" s="27" t="s">
        <v>7</v>
      </c>
      <c r="BC210" s="31" t="s">
        <v>8</v>
      </c>
    </row>
    <row r="211" spans="1:56" x14ac:dyDescent="0.25">
      <c r="A211" s="30">
        <v>4.1161355953815884</v>
      </c>
      <c r="E211" t="s">
        <v>8</v>
      </c>
      <c r="AH211" s="27" t="s">
        <v>7</v>
      </c>
      <c r="AI211" s="27" t="s">
        <v>8</v>
      </c>
      <c r="AP211" s="27" t="s">
        <v>7</v>
      </c>
      <c r="AQ211" s="27" t="s">
        <v>8</v>
      </c>
      <c r="AR211" s="27" t="s">
        <v>7</v>
      </c>
      <c r="AS211" s="27" t="s">
        <v>8</v>
      </c>
      <c r="AU211" s="31"/>
      <c r="BB211" s="31" t="s">
        <v>7</v>
      </c>
    </row>
    <row r="212" spans="1:56" x14ac:dyDescent="0.25">
      <c r="A212" s="30">
        <v>3.9201291384586554</v>
      </c>
      <c r="E212" t="s">
        <v>8</v>
      </c>
      <c r="AH212" s="27" t="s">
        <v>7</v>
      </c>
      <c r="AP212" s="27" t="s">
        <v>7</v>
      </c>
      <c r="AQ212" s="27" t="s">
        <v>8</v>
      </c>
      <c r="AR212" s="27" t="s">
        <v>7</v>
      </c>
      <c r="AS212" s="27" t="s">
        <v>8</v>
      </c>
      <c r="AT212" s="31"/>
    </row>
    <row r="213" spans="1:56" x14ac:dyDescent="0.25">
      <c r="A213" s="30">
        <v>3.7334563223415764</v>
      </c>
      <c r="E213" t="s">
        <v>8</v>
      </c>
      <c r="AP213" s="27" t="s">
        <v>7</v>
      </c>
      <c r="AQ213" s="27" t="s">
        <v>8</v>
      </c>
      <c r="AR213" s="27" t="s">
        <v>7</v>
      </c>
      <c r="AS213" s="31" t="s">
        <v>8</v>
      </c>
    </row>
    <row r="214" spans="1:56" x14ac:dyDescent="0.25">
      <c r="A214" s="30">
        <v>3.5556726879443583</v>
      </c>
      <c r="E214" t="s">
        <v>8</v>
      </c>
      <c r="AP214" s="27" t="s">
        <v>7</v>
      </c>
      <c r="AQ214" s="27" t="s">
        <v>8</v>
      </c>
      <c r="AR214" s="31" t="s">
        <v>7</v>
      </c>
    </row>
    <row r="215" spans="1:56" x14ac:dyDescent="0.25">
      <c r="A215" s="30">
        <v>3.3863549408993889</v>
      </c>
      <c r="E215" t="s">
        <v>8</v>
      </c>
      <c r="AP215" s="27" t="s">
        <v>7</v>
      </c>
      <c r="AQ215" s="31" t="s">
        <v>8</v>
      </c>
    </row>
    <row r="216" spans="1:56" x14ac:dyDescent="0.25">
      <c r="A216" s="30">
        <v>3.2250999437137038</v>
      </c>
      <c r="E216" t="s">
        <v>8</v>
      </c>
      <c r="AP216" s="31" t="s">
        <v>7</v>
      </c>
    </row>
    <row r="217" spans="1:56" x14ac:dyDescent="0.25">
      <c r="A217" s="30">
        <v>3.0715237559178128</v>
      </c>
      <c r="E217" t="s">
        <v>8</v>
      </c>
    </row>
    <row r="218" spans="1:56" x14ac:dyDescent="0.25">
      <c r="A218" s="30">
        <v>2.9252607199217264</v>
      </c>
      <c r="E218" t="s">
        <v>8</v>
      </c>
    </row>
    <row r="219" spans="1:56" x14ac:dyDescent="0.25">
      <c r="A219" s="30">
        <v>2.7859625904016441</v>
      </c>
      <c r="E219" t="s">
        <v>8</v>
      </c>
    </row>
    <row r="220" spans="1:56" x14ac:dyDescent="0.25">
      <c r="A220" s="30">
        <v>2.6532977051444226</v>
      </c>
      <c r="E220" t="s">
        <v>8</v>
      </c>
    </row>
    <row r="221" spans="1:56" x14ac:dyDescent="0.25">
      <c r="A221" s="30">
        <v>2.5269501953756404</v>
      </c>
      <c r="E221" t="s">
        <v>8</v>
      </c>
    </row>
    <row r="222" spans="1:56" x14ac:dyDescent="0.25">
      <c r="A222" s="30">
        <v>2.4066192336910861</v>
      </c>
      <c r="E222" t="s">
        <v>8</v>
      </c>
    </row>
    <row r="223" spans="1:56" x14ac:dyDescent="0.25">
      <c r="A223" s="30">
        <v>2.2920183178010345</v>
      </c>
      <c r="E223" t="s">
        <v>8</v>
      </c>
    </row>
    <row r="224" spans="1:56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39" operator="equal">
      <formula>$U$1</formula>
    </cfRule>
    <cfRule type="cellIs" dxfId="67" priority="740" operator="equal">
      <formula>$S$1</formula>
    </cfRule>
  </conditionalFormatting>
  <conditionalFormatting sqref="D136">
    <cfRule type="cellIs" dxfId="66" priority="737" operator="equal">
      <formula>$S$1</formula>
    </cfRule>
    <cfRule type="cellIs" dxfId="65" priority="738" operator="equal">
      <formula>$U$1</formula>
    </cfRule>
  </conditionalFormatting>
  <conditionalFormatting sqref="C162">
    <cfRule type="cellIs" dxfId="64" priority="735" operator="equal">
      <formula>$U$1</formula>
    </cfRule>
    <cfRule type="cellIs" dxfId="63" priority="736" operator="equal">
      <formula>$S$1</formula>
    </cfRule>
  </conditionalFormatting>
  <conditionalFormatting sqref="D162">
    <cfRule type="cellIs" dxfId="62" priority="733" operator="equal">
      <formula>$S$1</formula>
    </cfRule>
    <cfRule type="cellIs" dxfId="61" priority="734" operator="equal">
      <formula>$U$1</formula>
    </cfRule>
  </conditionalFormatting>
  <conditionalFormatting sqref="C187">
    <cfRule type="cellIs" dxfId="60" priority="731" operator="equal">
      <formula>$U$1</formula>
    </cfRule>
    <cfRule type="cellIs" dxfId="59" priority="732" operator="equal">
      <formula>$S$1</formula>
    </cfRule>
  </conditionalFormatting>
  <conditionalFormatting sqref="D187">
    <cfRule type="cellIs" dxfId="58" priority="729" operator="equal">
      <formula>$S$1</formula>
    </cfRule>
    <cfRule type="cellIs" dxfId="57" priority="730" operator="equal">
      <formula>$U$1</formula>
    </cfRule>
  </conditionalFormatting>
  <conditionalFormatting sqref="C212">
    <cfRule type="cellIs" dxfId="56" priority="727" operator="equal">
      <formula>$U$1</formula>
    </cfRule>
    <cfRule type="cellIs" dxfId="55" priority="728" operator="equal">
      <formula>$S$1</formula>
    </cfRule>
  </conditionalFormatting>
  <conditionalFormatting sqref="D212">
    <cfRule type="cellIs" dxfId="54" priority="725" operator="equal">
      <formula>$S$1</formula>
    </cfRule>
    <cfRule type="cellIs" dxfId="53" priority="726" operator="equal">
      <formula>$U$1</formula>
    </cfRule>
  </conditionalFormatting>
  <conditionalFormatting sqref="C237">
    <cfRule type="cellIs" dxfId="52" priority="723" operator="equal">
      <formula>$U$1</formula>
    </cfRule>
    <cfRule type="cellIs" dxfId="51" priority="724" operator="equal">
      <formula>$S$1</formula>
    </cfRule>
  </conditionalFormatting>
  <conditionalFormatting sqref="D237">
    <cfRule type="cellIs" dxfId="50" priority="721" operator="equal">
      <formula>$S$1</formula>
    </cfRule>
    <cfRule type="cellIs" dxfId="49" priority="722" operator="equal">
      <formula>$U$1</formula>
    </cfRule>
  </conditionalFormatting>
  <conditionalFormatting sqref="C106">
    <cfRule type="cellIs" dxfId="48" priority="719" operator="equal">
      <formula>$U$1</formula>
    </cfRule>
    <cfRule type="cellIs" dxfId="47" priority="720" operator="equal">
      <formula>$S$1</formula>
    </cfRule>
  </conditionalFormatting>
  <conditionalFormatting sqref="D106">
    <cfRule type="cellIs" dxfId="46" priority="717" operator="equal">
      <formula>$S$1</formula>
    </cfRule>
    <cfRule type="cellIs" dxfId="45" priority="718" operator="equal">
      <formula>$U$1</formula>
    </cfRule>
  </conditionalFormatting>
  <conditionalFormatting sqref="C81">
    <cfRule type="cellIs" dxfId="44" priority="715" operator="equal">
      <formula>$U$1</formula>
    </cfRule>
    <cfRule type="cellIs" dxfId="43" priority="716" operator="equal">
      <formula>$S$1</formula>
    </cfRule>
  </conditionalFormatting>
  <conditionalFormatting sqref="D81">
    <cfRule type="cellIs" dxfId="42" priority="713" operator="equal">
      <formula>$S$1</formula>
    </cfRule>
    <cfRule type="cellIs" dxfId="41" priority="714" operator="equal">
      <formula>$U$1</formula>
    </cfRule>
  </conditionalFormatting>
  <conditionalFormatting sqref="C56">
    <cfRule type="cellIs" dxfId="40" priority="711" operator="equal">
      <formula>$U$1</formula>
    </cfRule>
    <cfRule type="cellIs" dxfId="39" priority="712" operator="equal">
      <formula>$S$1</formula>
    </cfRule>
  </conditionalFormatting>
  <conditionalFormatting sqref="D56">
    <cfRule type="cellIs" dxfId="38" priority="709" operator="equal">
      <formula>$S$1</formula>
    </cfRule>
    <cfRule type="cellIs" dxfId="37" priority="710" operator="equal">
      <formula>$U$1</formula>
    </cfRule>
  </conditionalFormatting>
  <conditionalFormatting sqref="C31">
    <cfRule type="cellIs" dxfId="36" priority="707" operator="equal">
      <formula>$U$1</formula>
    </cfRule>
    <cfRule type="cellIs" dxfId="35" priority="708" operator="equal">
      <formula>$S$1</formula>
    </cfRule>
  </conditionalFormatting>
  <conditionalFormatting sqref="D31">
    <cfRule type="cellIs" dxfId="34" priority="705" operator="equal">
      <formula>$S$1</formula>
    </cfRule>
    <cfRule type="cellIs" dxfId="33" priority="70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67" zoomScale="85" zoomScaleNormal="85" workbookViewId="0">
      <pane xSplit="4" topLeftCell="G1" activePane="topRight" state="frozen"/>
      <selection activeCell="A109" sqref="A109"/>
      <selection pane="topRight" activeCell="AR102" sqref="AR102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4" x14ac:dyDescent="0.25">
      <c r="A81" s="30">
        <v>45.259255568176073</v>
      </c>
      <c r="E81"/>
    </row>
    <row r="82" spans="1:44" x14ac:dyDescent="0.25">
      <c r="A82" s="30">
        <v>41.144777789250973</v>
      </c>
      <c r="E82"/>
    </row>
    <row r="83" spans="1:44" x14ac:dyDescent="0.25">
      <c r="A83" s="30">
        <v>37.404343444773609</v>
      </c>
      <c r="E83"/>
    </row>
    <row r="84" spans="1:44" x14ac:dyDescent="0.25">
      <c r="A84" s="30">
        <v>34.003948586157826</v>
      </c>
      <c r="E84"/>
    </row>
    <row r="85" spans="1:44" x14ac:dyDescent="0.25">
      <c r="A85" s="30">
        <v>30.912680532870748</v>
      </c>
      <c r="E85"/>
    </row>
    <row r="86" spans="1:44" x14ac:dyDescent="0.25">
      <c r="A86" s="30">
        <v>28.102436848064315</v>
      </c>
      <c r="E86"/>
      <c r="AM86" s="27" t="s">
        <v>8</v>
      </c>
    </row>
    <row r="87" spans="1:44" x14ac:dyDescent="0.25">
      <c r="A87" s="30">
        <v>25.547669861876649</v>
      </c>
      <c r="E87" t="s">
        <v>8</v>
      </c>
      <c r="AM87" s="27" t="s">
        <v>8</v>
      </c>
      <c r="AN87" s="27" t="s">
        <v>7</v>
      </c>
    </row>
    <row r="88" spans="1:44" x14ac:dyDescent="0.25">
      <c r="A88" s="30">
        <v>23.225154419887861</v>
      </c>
      <c r="E88" t="s">
        <v>8</v>
      </c>
      <c r="F88" s="27" t="s">
        <v>7</v>
      </c>
      <c r="AG88" s="27" t="s">
        <v>8</v>
      </c>
      <c r="AM88" s="27" t="s">
        <v>8</v>
      </c>
      <c r="AN88" s="27" t="s">
        <v>7</v>
      </c>
      <c r="AO88" s="27" t="s">
        <v>8</v>
      </c>
    </row>
    <row r="89" spans="1:44" x14ac:dyDescent="0.25">
      <c r="A89" s="30">
        <v>21.113776745352599</v>
      </c>
      <c r="E89" t="s">
        <v>8</v>
      </c>
      <c r="F89" s="27" t="s">
        <v>7</v>
      </c>
      <c r="AG89" s="27" t="s">
        <v>8</v>
      </c>
      <c r="AH89" s="27" t="s">
        <v>7</v>
      </c>
      <c r="AM89" s="27" t="s">
        <v>8</v>
      </c>
      <c r="AN89" s="27" t="s">
        <v>7</v>
      </c>
      <c r="AO89" s="27" t="s">
        <v>8</v>
      </c>
      <c r="AP89" s="27" t="s">
        <v>7</v>
      </c>
    </row>
    <row r="90" spans="1:44" x14ac:dyDescent="0.25">
      <c r="A90" s="30">
        <v>19.194342495775089</v>
      </c>
      <c r="E90" t="s">
        <v>8</v>
      </c>
      <c r="F90" s="27" t="s">
        <v>7</v>
      </c>
      <c r="G90" s="27" t="s">
        <v>8</v>
      </c>
      <c r="M90" s="31" t="s">
        <v>8</v>
      </c>
      <c r="AG90" s="27" t="s">
        <v>8</v>
      </c>
      <c r="AH90" s="27" t="s">
        <v>7</v>
      </c>
      <c r="AM90" s="27" t="s">
        <v>8</v>
      </c>
      <c r="AN90" s="27" t="s">
        <v>7</v>
      </c>
      <c r="AO90" s="27" t="s">
        <v>8</v>
      </c>
      <c r="AP90" s="27" t="s">
        <v>7</v>
      </c>
    </row>
    <row r="91" spans="1:44" x14ac:dyDescent="0.25">
      <c r="A91" s="30">
        <v>17.449402268886445</v>
      </c>
      <c r="E91" t="s">
        <v>8</v>
      </c>
      <c r="F91" s="27" t="s">
        <v>7</v>
      </c>
      <c r="G91" s="27" t="s">
        <v>8</v>
      </c>
      <c r="H91" s="27" t="s">
        <v>7</v>
      </c>
      <c r="I91" s="27" t="s">
        <v>8</v>
      </c>
      <c r="M91" s="27" t="s">
        <v>8</v>
      </c>
      <c r="N91" s="31" t="s">
        <v>7</v>
      </c>
      <c r="AG91" s="27" t="s">
        <v>8</v>
      </c>
      <c r="AH91" s="27" t="s">
        <v>7</v>
      </c>
      <c r="AK91" s="27" t="s">
        <v>8</v>
      </c>
      <c r="AM91" s="27" t="s">
        <v>8</v>
      </c>
      <c r="AN91" s="27" t="s">
        <v>7</v>
      </c>
      <c r="AP91" s="27" t="s">
        <v>7</v>
      </c>
    </row>
    <row r="92" spans="1:44" x14ac:dyDescent="0.25">
      <c r="A92" s="30">
        <v>15.863092971714948</v>
      </c>
      <c r="C92" s="1" t="s">
        <v>15</v>
      </c>
      <c r="E92" t="s">
        <v>8</v>
      </c>
      <c r="F92" s="27" t="s">
        <v>7</v>
      </c>
      <c r="G92" s="27" t="s">
        <v>8</v>
      </c>
      <c r="H92" s="27" t="s">
        <v>7</v>
      </c>
      <c r="I92" s="27" t="s">
        <v>8</v>
      </c>
      <c r="J92" s="27" t="s">
        <v>7</v>
      </c>
      <c r="M92" s="27" t="s">
        <v>8</v>
      </c>
      <c r="N92" s="27" t="s">
        <v>7</v>
      </c>
      <c r="O92" s="31"/>
      <c r="AE92" s="27" t="s">
        <v>8</v>
      </c>
      <c r="AG92" s="27" t="s">
        <v>8</v>
      </c>
      <c r="AH92" s="27" t="s">
        <v>7</v>
      </c>
      <c r="AK92" s="27" t="s">
        <v>8</v>
      </c>
      <c r="AL92" s="27" t="s">
        <v>7</v>
      </c>
      <c r="AM92" s="27" t="s">
        <v>8</v>
      </c>
      <c r="AP92" s="27" t="s">
        <v>7</v>
      </c>
      <c r="AQ92" s="27" t="s">
        <v>8</v>
      </c>
    </row>
    <row r="93" spans="1:44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H93" s="27" t="s">
        <v>7</v>
      </c>
      <c r="I93" s="27" t="s">
        <v>8</v>
      </c>
      <c r="J93" s="27" t="s">
        <v>7</v>
      </c>
      <c r="M93" s="27" t="s">
        <v>8</v>
      </c>
      <c r="N93" s="27" t="s">
        <v>7</v>
      </c>
      <c r="P93" s="31"/>
      <c r="AE93" s="27" t="s">
        <v>8</v>
      </c>
      <c r="AF93" s="27" t="s">
        <v>7</v>
      </c>
      <c r="AG93" s="27" t="s">
        <v>8</v>
      </c>
      <c r="AH93" s="27" t="s">
        <v>7</v>
      </c>
      <c r="AI93" s="27" t="s">
        <v>8</v>
      </c>
      <c r="AK93" s="27" t="s">
        <v>8</v>
      </c>
      <c r="AL93" s="27" t="s">
        <v>7</v>
      </c>
      <c r="AM93" s="27" t="s">
        <v>8</v>
      </c>
      <c r="AP93" s="27" t="s">
        <v>7</v>
      </c>
      <c r="AQ93" s="27" t="s">
        <v>8</v>
      </c>
      <c r="AR93" s="27" t="s">
        <v>7</v>
      </c>
    </row>
    <row r="94" spans="1:44" x14ac:dyDescent="0.25">
      <c r="A94" s="30">
        <v>13.109994191499954</v>
      </c>
      <c r="E94" t="s">
        <v>8</v>
      </c>
      <c r="H94" s="27" t="s">
        <v>7</v>
      </c>
      <c r="I94" s="27" t="s">
        <v>8</v>
      </c>
      <c r="J94" s="27" t="s">
        <v>7</v>
      </c>
      <c r="M94" s="33" t="s">
        <v>8</v>
      </c>
      <c r="N94" s="27" t="s">
        <v>7</v>
      </c>
      <c r="O94" s="27" t="s">
        <v>8</v>
      </c>
      <c r="Q94" s="31"/>
      <c r="AE94" s="27" t="s">
        <v>8</v>
      </c>
      <c r="AF94" s="27" t="s">
        <v>7</v>
      </c>
      <c r="AG94" s="27" t="s">
        <v>8</v>
      </c>
      <c r="AH94" s="27" t="s">
        <v>7</v>
      </c>
      <c r="AI94" s="27" t="s">
        <v>8</v>
      </c>
      <c r="AJ94" s="27" t="s">
        <v>7</v>
      </c>
      <c r="AK94" s="27" t="s">
        <v>8</v>
      </c>
      <c r="AL94" s="27" t="s">
        <v>7</v>
      </c>
      <c r="AM94" s="27" t="s">
        <v>8</v>
      </c>
      <c r="AP94" s="27" t="s">
        <v>7</v>
      </c>
      <c r="AQ94" s="27" t="s">
        <v>8</v>
      </c>
      <c r="AR94" s="27" t="s">
        <v>7</v>
      </c>
    </row>
    <row r="95" spans="1:44" x14ac:dyDescent="0.25">
      <c r="A95" s="30">
        <v>11.918176537727231</v>
      </c>
      <c r="C95" s="1" t="s">
        <v>11</v>
      </c>
      <c r="D95" s="1" t="s">
        <v>12</v>
      </c>
      <c r="E95" t="s">
        <v>8</v>
      </c>
      <c r="H95" s="27" t="s">
        <v>7</v>
      </c>
      <c r="I95" s="27" t="s">
        <v>8</v>
      </c>
      <c r="J95" s="27" t="s">
        <v>7</v>
      </c>
      <c r="K95" s="27" t="s">
        <v>8</v>
      </c>
      <c r="M95" s="27" t="s">
        <v>8</v>
      </c>
      <c r="N95" s="27" t="s">
        <v>7</v>
      </c>
      <c r="O95" s="27" t="s">
        <v>8</v>
      </c>
      <c r="P95" s="27" t="s">
        <v>7</v>
      </c>
      <c r="R95" s="31"/>
      <c r="AC95" s="27" t="s">
        <v>8</v>
      </c>
      <c r="AE95" s="27" t="s">
        <v>8</v>
      </c>
      <c r="AF95" s="27" t="s">
        <v>7</v>
      </c>
      <c r="AH95" s="27" t="s">
        <v>7</v>
      </c>
      <c r="AI95" s="27" t="s">
        <v>8</v>
      </c>
      <c r="AJ95" s="27" t="s">
        <v>7</v>
      </c>
      <c r="AK95" s="27" t="s">
        <v>8</v>
      </c>
      <c r="AL95" s="27" t="s">
        <v>7</v>
      </c>
      <c r="AP95" s="27" t="s">
        <v>7</v>
      </c>
      <c r="AR95" s="27" t="s">
        <v>7</v>
      </c>
    </row>
    <row r="96" spans="1:44" x14ac:dyDescent="0.25">
      <c r="A96" s="30">
        <v>10.834705943388391</v>
      </c>
      <c r="C96"/>
      <c r="D96"/>
      <c r="E96" t="s">
        <v>8</v>
      </c>
      <c r="H96" s="27" t="s">
        <v>7</v>
      </c>
      <c r="J96" s="27" t="s">
        <v>7</v>
      </c>
      <c r="K96" s="27" t="s">
        <v>8</v>
      </c>
      <c r="L96" s="27" t="s">
        <v>7</v>
      </c>
      <c r="M96" s="27" t="s">
        <v>8</v>
      </c>
      <c r="N96" s="27" t="s">
        <v>7</v>
      </c>
      <c r="O96" s="27" t="s">
        <v>8</v>
      </c>
      <c r="P96" s="27" t="s">
        <v>7</v>
      </c>
      <c r="S96" s="31"/>
      <c r="AC96" s="27" t="s">
        <v>8</v>
      </c>
      <c r="AD96" s="27" t="s">
        <v>7</v>
      </c>
      <c r="AE96" s="27" t="s">
        <v>8</v>
      </c>
      <c r="AH96" s="27" t="s">
        <v>7</v>
      </c>
      <c r="AI96" s="27" t="s">
        <v>8</v>
      </c>
      <c r="AJ96" s="27" t="s">
        <v>7</v>
      </c>
      <c r="AK96" s="27" t="s">
        <v>8</v>
      </c>
      <c r="AR96" s="27" t="s">
        <v>7</v>
      </c>
    </row>
    <row r="97" spans="1:44" x14ac:dyDescent="0.25">
      <c r="A97" s="30">
        <v>9.849732675807628</v>
      </c>
      <c r="E97" t="s">
        <v>8</v>
      </c>
      <c r="J97" s="27" t="s">
        <v>7</v>
      </c>
      <c r="K97" s="27" t="s">
        <v>8</v>
      </c>
      <c r="L97" s="27" t="s">
        <v>7</v>
      </c>
      <c r="M97" s="27" t="s">
        <v>8</v>
      </c>
      <c r="N97" s="27" t="s">
        <v>7</v>
      </c>
      <c r="P97" s="27" t="s">
        <v>7</v>
      </c>
      <c r="T97" s="31"/>
      <c r="AC97" s="27" t="s">
        <v>8</v>
      </c>
      <c r="AD97" s="27" t="s">
        <v>7</v>
      </c>
      <c r="AE97" s="27" t="s">
        <v>8</v>
      </c>
      <c r="AH97" s="27" t="s">
        <v>7</v>
      </c>
      <c r="AI97" s="27" t="s">
        <v>8</v>
      </c>
      <c r="AJ97" s="27" t="s">
        <v>7</v>
      </c>
      <c r="AR97" s="27" t="s">
        <v>7</v>
      </c>
    </row>
    <row r="98" spans="1:44" x14ac:dyDescent="0.25">
      <c r="A98" s="30">
        <v>8.9543024325523888</v>
      </c>
      <c r="C98" s="1" t="s">
        <v>13</v>
      </c>
      <c r="E98" t="s">
        <v>8</v>
      </c>
      <c r="J98" s="27" t="s">
        <v>7</v>
      </c>
      <c r="K98" s="27" t="s">
        <v>8</v>
      </c>
      <c r="L98" s="27" t="s">
        <v>7</v>
      </c>
      <c r="M98" s="27" t="s">
        <v>8</v>
      </c>
      <c r="P98" s="32" t="s">
        <v>7</v>
      </c>
      <c r="U98" s="31"/>
      <c r="AC98" s="33" t="s">
        <v>8</v>
      </c>
      <c r="AD98" s="27" t="s">
        <v>7</v>
      </c>
      <c r="AH98" s="27" t="s">
        <v>7</v>
      </c>
      <c r="AR98" s="27" t="s">
        <v>7</v>
      </c>
    </row>
    <row r="99" spans="1:44" x14ac:dyDescent="0.25">
      <c r="A99" s="30">
        <v>8.140274938683989</v>
      </c>
      <c r="C99" s="1">
        <f>C88</f>
        <v>0</v>
      </c>
      <c r="E99" t="s">
        <v>8</v>
      </c>
      <c r="J99" s="27" t="s">
        <v>7</v>
      </c>
      <c r="K99" s="27" t="s">
        <v>8</v>
      </c>
      <c r="L99" s="27" t="s">
        <v>7</v>
      </c>
      <c r="P99" s="27" t="s">
        <v>7</v>
      </c>
      <c r="Q99" s="34" t="s">
        <v>8</v>
      </c>
      <c r="S99" s="34" t="s">
        <v>8</v>
      </c>
      <c r="V99" s="31"/>
      <c r="AA99" s="27" t="s">
        <v>8</v>
      </c>
      <c r="AC99" s="27" t="s">
        <v>8</v>
      </c>
      <c r="AR99" s="27" t="s">
        <v>7</v>
      </c>
    </row>
    <row r="100" spans="1:44" x14ac:dyDescent="0.25">
      <c r="A100" s="30">
        <v>7.4002499442581717</v>
      </c>
      <c r="C100"/>
      <c r="D100"/>
      <c r="E100" t="s">
        <v>8</v>
      </c>
      <c r="J100" s="27" t="s">
        <v>7</v>
      </c>
      <c r="K100" s="27" t="s">
        <v>8</v>
      </c>
      <c r="P100" s="27" t="s">
        <v>7</v>
      </c>
      <c r="Q100" s="27" t="s">
        <v>8</v>
      </c>
      <c r="R100" s="27" t="s">
        <v>7</v>
      </c>
      <c r="S100" s="27" t="s">
        <v>8</v>
      </c>
      <c r="T100" s="27" t="s">
        <v>7</v>
      </c>
      <c r="U100" s="27" t="s">
        <v>8</v>
      </c>
      <c r="W100" s="31"/>
      <c r="AA100" s="27" t="s">
        <v>8</v>
      </c>
      <c r="AB100" s="27" t="s">
        <v>7</v>
      </c>
      <c r="AC100" s="27" t="s">
        <v>8</v>
      </c>
      <c r="AR100" s="27" t="s">
        <v>7</v>
      </c>
    </row>
    <row r="101" spans="1:44" x14ac:dyDescent="0.25">
      <c r="A101" s="30">
        <v>6.72749994932561</v>
      </c>
      <c r="C101" s="1" t="s">
        <v>14</v>
      </c>
      <c r="E101" t="s">
        <v>8</v>
      </c>
      <c r="J101" s="27" t="s">
        <v>7</v>
      </c>
      <c r="P101" s="27" t="s">
        <v>7</v>
      </c>
      <c r="Q101" s="27" t="s">
        <v>8</v>
      </c>
      <c r="R101" s="27" t="s">
        <v>7</v>
      </c>
      <c r="S101" s="27" t="s">
        <v>8</v>
      </c>
      <c r="T101" s="27" t="s">
        <v>7</v>
      </c>
      <c r="U101" s="27" t="s">
        <v>8</v>
      </c>
      <c r="V101" s="27" t="s">
        <v>7</v>
      </c>
      <c r="X101" s="31"/>
      <c r="Y101" s="27" t="s">
        <v>8</v>
      </c>
      <c r="AA101" s="27" t="s">
        <v>8</v>
      </c>
      <c r="AB101" s="27" t="s">
        <v>7</v>
      </c>
      <c r="AC101" s="27" t="s">
        <v>8</v>
      </c>
      <c r="AR101" s="27" t="s">
        <v>7</v>
      </c>
    </row>
    <row r="102" spans="1:4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P102" s="27" t="s">
        <v>7</v>
      </c>
      <c r="R102" s="27" t="s">
        <v>7</v>
      </c>
      <c r="S102" s="27" t="s">
        <v>8</v>
      </c>
      <c r="T102" s="27" t="s">
        <v>7</v>
      </c>
      <c r="U102" s="27" t="s">
        <v>8</v>
      </c>
      <c r="V102" s="27" t="s">
        <v>7</v>
      </c>
      <c r="Y102" s="31" t="s">
        <v>8</v>
      </c>
      <c r="Z102" s="27" t="s">
        <v>7</v>
      </c>
      <c r="AA102" s="27" t="s">
        <v>8</v>
      </c>
      <c r="AB102" s="27" t="s">
        <v>7</v>
      </c>
      <c r="AC102" s="27" t="s">
        <v>8</v>
      </c>
      <c r="AF102" s="31"/>
      <c r="AR102" s="27" t="s">
        <v>7</v>
      </c>
    </row>
    <row r="103" spans="1:44" x14ac:dyDescent="0.25">
      <c r="A103" s="30">
        <v>5.5599173134922388</v>
      </c>
      <c r="E103" t="s">
        <v>8</v>
      </c>
      <c r="R103" s="27" t="s">
        <v>7</v>
      </c>
      <c r="S103" s="27" t="s">
        <v>8</v>
      </c>
      <c r="T103" s="27" t="s">
        <v>7</v>
      </c>
      <c r="V103" s="27" t="s">
        <v>7</v>
      </c>
      <c r="Y103" s="27" t="s">
        <v>8</v>
      </c>
      <c r="Z103" s="27" t="s">
        <v>7</v>
      </c>
      <c r="AA103" s="27" t="s">
        <v>8</v>
      </c>
      <c r="AB103" s="27" t="s">
        <v>7</v>
      </c>
      <c r="AC103" s="27" t="s">
        <v>8</v>
      </c>
      <c r="AE103" s="31"/>
    </row>
    <row r="104" spans="1:44" x14ac:dyDescent="0.25">
      <c r="A104" s="30">
        <v>5.0544702849929442</v>
      </c>
      <c r="E104" t="s">
        <v>8</v>
      </c>
      <c r="R104" s="27" t="s">
        <v>7</v>
      </c>
      <c r="S104" s="27" t="s">
        <v>8</v>
      </c>
      <c r="V104" s="27" t="s">
        <v>7</v>
      </c>
      <c r="Y104" s="33" t="s">
        <v>8</v>
      </c>
      <c r="Z104" s="27" t="s">
        <v>7</v>
      </c>
      <c r="AB104" s="31" t="s">
        <v>7</v>
      </c>
      <c r="AC104" s="27" t="s">
        <v>8</v>
      </c>
      <c r="AD104" s="31"/>
    </row>
    <row r="105" spans="1:44" x14ac:dyDescent="0.25">
      <c r="A105" s="30">
        <v>4.594972986357222</v>
      </c>
      <c r="E105" t="s">
        <v>8</v>
      </c>
      <c r="R105" s="27" t="s">
        <v>7</v>
      </c>
      <c r="S105" s="27" t="s">
        <v>8</v>
      </c>
      <c r="V105" s="27" t="s">
        <v>7</v>
      </c>
      <c r="W105" s="27" t="s">
        <v>8</v>
      </c>
      <c r="Y105" s="27" t="s">
        <v>8</v>
      </c>
      <c r="AA105" s="31"/>
      <c r="AB105" s="32" t="s">
        <v>7</v>
      </c>
      <c r="AC105" s="31" t="s">
        <v>8</v>
      </c>
    </row>
    <row r="106" spans="1:44" x14ac:dyDescent="0.25">
      <c r="A106" s="30">
        <v>4.1772481694156562</v>
      </c>
      <c r="E106" t="s">
        <v>8</v>
      </c>
      <c r="R106" s="27" t="s">
        <v>7</v>
      </c>
      <c r="S106" s="27" t="s">
        <v>8</v>
      </c>
      <c r="V106" s="27" t="s">
        <v>7</v>
      </c>
      <c r="W106" s="27" t="s">
        <v>8</v>
      </c>
      <c r="X106" s="27" t="s">
        <v>7</v>
      </c>
      <c r="Y106" s="27" t="s">
        <v>8</v>
      </c>
      <c r="Z106" s="31"/>
      <c r="AB106" s="31" t="s">
        <v>7</v>
      </c>
    </row>
    <row r="107" spans="1:44" x14ac:dyDescent="0.25">
      <c r="A107" s="30">
        <v>3.7974983358324148</v>
      </c>
      <c r="E107" t="s">
        <v>8</v>
      </c>
      <c r="R107" s="27" t="s">
        <v>7</v>
      </c>
      <c r="V107" s="27" t="s">
        <v>7</v>
      </c>
      <c r="W107" s="27" t="s">
        <v>8</v>
      </c>
      <c r="X107" s="27" t="s">
        <v>7</v>
      </c>
      <c r="Y107" s="31" t="s">
        <v>8</v>
      </c>
    </row>
    <row r="108" spans="1:44" x14ac:dyDescent="0.25">
      <c r="A108" s="30">
        <v>3.4522712143931042</v>
      </c>
      <c r="E108" t="s">
        <v>8</v>
      </c>
      <c r="V108" s="34" t="s">
        <v>7</v>
      </c>
      <c r="X108" s="34" t="s">
        <v>7</v>
      </c>
    </row>
    <row r="109" spans="1:44" x14ac:dyDescent="0.25">
      <c r="A109" s="30">
        <v>3.1384283767210035</v>
      </c>
      <c r="E109" t="s">
        <v>8</v>
      </c>
    </row>
    <row r="110" spans="1:44" x14ac:dyDescent="0.25">
      <c r="A110" s="30">
        <v>2.8531167061100029</v>
      </c>
      <c r="E110" t="s">
        <v>8</v>
      </c>
    </row>
    <row r="111" spans="1:44" x14ac:dyDescent="0.25">
      <c r="A111" s="30">
        <v>2.5937424601000023</v>
      </c>
      <c r="C111" s="1" t="str">
        <f>ADDRESS(C121-1,1,1,1)</f>
        <v>$A$101</v>
      </c>
      <c r="D111" s="1" t="str">
        <f>ADDRESS(C121-1,D121,1,1)</f>
        <v>$AR$101</v>
      </c>
      <c r="E111" t="s">
        <v>8</v>
      </c>
    </row>
    <row r="112" spans="1:44" x14ac:dyDescent="0.25">
      <c r="A112" s="30">
        <v>2.3579476910000019</v>
      </c>
      <c r="C112" s="1" t="str">
        <f>ADDRESS(C121,1,1,1)</f>
        <v>$A$102</v>
      </c>
      <c r="D112" s="1" t="str">
        <f>ADDRESS(C121,D121-1,1,1)</f>
        <v>$AQ$102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$A$103</v>
      </c>
      <c r="D113" s="1" t="str">
        <f>ADDRESS(C121-1,D121+1,1,1)</f>
        <v>$AS$101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$AR$102</v>
      </c>
      <c r="D114" s="1" t="str">
        <f>ADDRESS(C121+1,D121+1,1,1)</f>
        <v>$AS$103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$AR$103</v>
      </c>
      <c r="E115" s="1" t="s">
        <v>8</v>
      </c>
    </row>
    <row r="116" spans="1:5" x14ac:dyDescent="0.25">
      <c r="A116" s="30">
        <v>1.6105100000000008</v>
      </c>
      <c r="C116" s="1">
        <f>C117-1</f>
        <v>101</v>
      </c>
      <c r="E116" s="1" t="s">
        <v>8</v>
      </c>
    </row>
    <row r="117" spans="1:5" x14ac:dyDescent="0.25">
      <c r="A117" s="30">
        <v>1.4641000000000006</v>
      </c>
      <c r="C117" s="1">
        <f>C121</f>
        <v>102</v>
      </c>
      <c r="D117" s="1">
        <f>D121</f>
        <v>44</v>
      </c>
      <c r="E117" s="1" t="s">
        <v>8</v>
      </c>
    </row>
    <row r="118" spans="1:5" x14ac:dyDescent="0.25">
      <c r="A118" s="30">
        <v>1.3310000000000004</v>
      </c>
      <c r="C118" s="1">
        <f>C117+1</f>
        <v>103</v>
      </c>
      <c r="D118" s="1">
        <f>D117+1</f>
        <v>45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102</v>
      </c>
      <c r="D121" s="19">
        <v>44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R102</v>
      </c>
      <c r="D123" s="1" t="str">
        <f>"C"&amp;D121</f>
        <v>C44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6.1159090448414632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23" operator="equal">
      <formula>$U$1</formula>
    </cfRule>
    <cfRule type="cellIs" dxfId="30" priority="724" operator="equal">
      <formula>$S$1</formula>
    </cfRule>
  </conditionalFormatting>
  <conditionalFormatting sqref="D136">
    <cfRule type="cellIs" dxfId="29" priority="721" operator="equal">
      <formula>$S$1</formula>
    </cfRule>
    <cfRule type="cellIs" dxfId="28" priority="722" operator="equal">
      <formula>$U$1</formula>
    </cfRule>
  </conditionalFormatting>
  <conditionalFormatting sqref="C102">
    <cfRule type="cellIs" dxfId="27" priority="719" operator="equal">
      <formula>$U$1</formula>
    </cfRule>
    <cfRule type="cellIs" dxfId="26" priority="720" operator="equal">
      <formula>$S$1</formula>
    </cfRule>
  </conditionalFormatting>
  <conditionalFormatting sqref="D102">
    <cfRule type="cellIs" dxfId="25" priority="717" operator="equal">
      <formula>$S$1</formula>
    </cfRule>
    <cfRule type="cellIs" dxfId="24" priority="718" operator="equal">
      <formula>$U$1</formula>
    </cfRule>
  </conditionalFormatting>
  <conditionalFormatting sqref="C77">
    <cfRule type="cellIs" dxfId="23" priority="715" operator="equal">
      <formula>$U$1</formula>
    </cfRule>
    <cfRule type="cellIs" dxfId="22" priority="716" operator="equal">
      <formula>$S$1</formula>
    </cfRule>
  </conditionalFormatting>
  <conditionalFormatting sqref="D77">
    <cfRule type="cellIs" dxfId="21" priority="713" operator="equal">
      <formula>$S$1</formula>
    </cfRule>
    <cfRule type="cellIs" dxfId="20" priority="714" operator="equal">
      <formula>$U$1</formula>
    </cfRule>
  </conditionalFormatting>
  <conditionalFormatting sqref="C52">
    <cfRule type="cellIs" dxfId="19" priority="711" operator="equal">
      <formula>$U$1</formula>
    </cfRule>
    <cfRule type="cellIs" dxfId="18" priority="712" operator="equal">
      <formula>$S$1</formula>
    </cfRule>
  </conditionalFormatting>
  <conditionalFormatting sqref="D52">
    <cfRule type="cellIs" dxfId="17" priority="709" operator="equal">
      <formula>$S$1</formula>
    </cfRule>
    <cfRule type="cellIs" dxfId="16" priority="710" operator="equal">
      <formula>$U$1</formula>
    </cfRule>
  </conditionalFormatting>
  <conditionalFormatting sqref="C26">
    <cfRule type="cellIs" dxfId="15" priority="707" operator="equal">
      <formula>$U$1</formula>
    </cfRule>
    <cfRule type="cellIs" dxfId="14" priority="708" operator="equal">
      <formula>$S$1</formula>
    </cfRule>
  </conditionalFormatting>
  <conditionalFormatting sqref="D26">
    <cfRule type="cellIs" dxfId="13" priority="705" operator="equal">
      <formula>$S$1</formula>
    </cfRule>
    <cfRule type="cellIs" dxfId="12" priority="70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4.1161355953815884</v>
      </c>
      <c r="F3" s="30">
        <v>4.3219423751506678</v>
      </c>
      <c r="G3" s="30">
        <v>12.64280826379346</v>
      </c>
      <c r="H3" s="25">
        <f>IF(G3="","",(3*(G3-F3))+E3)</f>
        <v>29.078733261309967</v>
      </c>
      <c r="I3" s="7"/>
      <c r="J3" s="7">
        <f>(E3+G3)/2</f>
        <v>8.379471929587524</v>
      </c>
      <c r="K3" s="7">
        <f>H3/2</f>
        <v>14.539366630654984</v>
      </c>
      <c r="M3" s="26">
        <f>IF(OR(J3="",H3=""),"",H3/J3)</f>
        <v>3.4702345810878987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2022-01-28T01:13:30Z</dcterms:modified>
</cp:coreProperties>
</file>