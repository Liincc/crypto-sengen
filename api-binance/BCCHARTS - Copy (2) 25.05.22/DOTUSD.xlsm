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BDBE355-1679-41D5-B16F-9D8E2C0C299E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H7" i="6"/>
  <c r="M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S766" i="1"/>
  <c r="T766" i="1" s="1"/>
  <c r="C2" i="1" l="1"/>
  <c r="D2" i="1"/>
  <c r="C116" i="5"/>
  <c r="C122" i="5"/>
  <c r="C133" i="5" s="1"/>
  <c r="D136" i="5" s="1"/>
  <c r="C116" i="4"/>
  <c r="C118" i="4"/>
  <c r="D136" i="4"/>
  <c r="C136" i="4"/>
  <c r="C118" i="3"/>
  <c r="C122" i="3"/>
  <c r="C133" i="3" s="1"/>
  <c r="D136" i="3" s="1"/>
  <c r="R765" i="1"/>
  <c r="C136" i="5" l="1"/>
  <c r="C138" i="5" s="1"/>
  <c r="C138" i="4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S295" i="1" l="1"/>
  <c r="T295" i="1" s="1"/>
  <c r="R294" i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S287" i="1" l="1"/>
  <c r="T287" i="1" s="1"/>
  <c r="R286" i="1"/>
  <c r="R285" i="1" l="1"/>
  <c r="S286" i="1"/>
  <c r="T286" i="1" s="1"/>
  <c r="R284" i="1" l="1"/>
  <c r="S285" i="1"/>
  <c r="T285" i="1" s="1"/>
  <c r="S284" i="1" l="1"/>
  <c r="T284" i="1" s="1"/>
  <c r="R283" i="1"/>
  <c r="S283" i="1" l="1"/>
  <c r="T283" i="1" s="1"/>
  <c r="R282" i="1"/>
  <c r="R281" i="1" l="1"/>
  <c r="S282" i="1"/>
  <c r="T282" i="1" s="1"/>
  <c r="R280" i="1" l="1"/>
  <c r="S281" i="1"/>
  <c r="T281" i="1" s="1"/>
  <c r="R279" i="1" l="1"/>
  <c r="S280" i="1"/>
  <c r="T280" i="1" s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S252" i="1" l="1"/>
  <c r="T252" i="1" s="1"/>
  <c r="R251" i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S240" i="1" l="1"/>
  <c r="T240" i="1" s="1"/>
  <c r="R239" i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S200" i="1" l="1"/>
  <c r="T200" i="1" s="1"/>
  <c r="R199" i="1"/>
  <c r="S199" i="1" l="1"/>
  <c r="T199" i="1" s="1"/>
  <c r="R198" i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S192" i="1" l="1"/>
  <c r="T192" i="1" s="1"/>
  <c r="R191" i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S176" i="1" l="1"/>
  <c r="T176" i="1" s="1"/>
  <c r="R175" i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S83" i="1" l="1"/>
  <c r="T83" i="1" s="1"/>
  <c r="R82" i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<sst xmlns="http://schemas.openxmlformats.org/spreadsheetml/2006/main" count="5032" uniqueCount="34">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</sst>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17.579999999999998</c:v>
                </c:pt>
                <c:pt idx="1">
                  <c:v>18.079999999999998</c:v>
                </c:pt>
                <c:pt idx="2">
                  <c:v>18.309999999999999</c:v>
                </c:pt>
                <c:pt idx="3">
                  <c:v>18.02</c:v>
                </c:pt>
                <c:pt idx="4">
                  <c:v>18.809999999999999</c:v>
                </c:pt>
                <c:pt idx="5">
                  <c:v>18.27</c:v>
                </c:pt>
                <c:pt idx="6">
                  <c:v>19.670000000000002</c:v>
                </c:pt>
                <c:pt idx="7">
                  <c:v>23.01</c:v>
                </c:pt>
                <c:pt idx="8">
                  <c:v>24.05</c:v>
                </c:pt>
                <c:pt idx="9">
                  <c:v>25.15</c:v>
                </c:pt>
                <c:pt idx="10">
                  <c:v>25.69</c:v>
                </c:pt>
                <c:pt idx="11">
                  <c:v>27.7</c:v>
                </c:pt>
                <c:pt idx="12">
                  <c:v>27.6</c:v>
                </c:pt>
                <c:pt idx="13">
                  <c:v>27.75</c:v>
                </c:pt>
                <c:pt idx="14">
                  <c:v>25.79</c:v>
                </c:pt>
                <c:pt idx="15">
                  <c:v>27.32</c:v>
                </c:pt>
                <c:pt idx="16">
                  <c:v>25.56</c:v>
                </c:pt>
                <c:pt idx="17">
                  <c:v>23.72</c:v>
                </c:pt>
                <c:pt idx="18">
                  <c:v>24.63</c:v>
                </c:pt>
                <c:pt idx="19">
                  <c:v>23.99</c:v>
                </c:pt>
                <c:pt idx="20">
                  <c:v>24.9</c:v>
                </c:pt>
                <c:pt idx="21">
                  <c:v>26.72</c:v>
                </c:pt>
                <c:pt idx="22">
                  <c:v>26.72</c:v>
                </c:pt>
                <c:pt idx="23">
                  <c:v>28.69</c:v>
                </c:pt>
                <c:pt idx="24">
                  <c:v>30.11</c:v>
                </c:pt>
                <c:pt idx="25">
                  <c:v>29.69</c:v>
                </c:pt>
                <c:pt idx="26">
                  <c:v>28.6</c:v>
                </c:pt>
                <c:pt idx="27">
                  <c:v>26.66</c:v>
                </c:pt>
                <c:pt idx="28">
                  <c:v>27.54</c:v>
                </c:pt>
                <c:pt idx="29">
                  <c:v>26.82</c:v>
                </c:pt>
                <c:pt idx="30">
                  <c:v>27.83</c:v>
                </c:pt>
                <c:pt idx="31">
                  <c:v>30.97</c:v>
                </c:pt>
                <c:pt idx="32">
                  <c:v>31.32</c:v>
                </c:pt>
                <c:pt idx="33">
                  <c:v>28.84</c:v>
                </c:pt>
                <c:pt idx="34">
                  <c:v>28.14</c:v>
                </c:pt>
                <c:pt idx="35">
                  <c:v>29.16</c:v>
                </c:pt>
                <c:pt idx="36">
                  <c:v>27.22</c:v>
                </c:pt>
                <c:pt idx="37">
                  <c:v>25.16</c:v>
                </c:pt>
                <c:pt idx="38">
                  <c:v>24.07</c:v>
                </c:pt>
                <c:pt idx="39">
                  <c:v>24.78</c:v>
                </c:pt>
                <c:pt idx="40">
                  <c:v>25.49</c:v>
                </c:pt>
                <c:pt idx="41">
                  <c:v>24.64</c:v>
                </c:pt>
                <c:pt idx="42">
                  <c:v>26.02</c:v>
                </c:pt>
                <c:pt idx="43">
                  <c:v>27.14</c:v>
                </c:pt>
                <c:pt idx="44">
                  <c:v>26.15</c:v>
                </c:pt>
                <c:pt idx="45">
                  <c:v>25.96</c:v>
                </c:pt>
                <c:pt idx="46">
                  <c:v>29.54</c:v>
                </c:pt>
                <c:pt idx="47">
                  <c:v>27.13</c:v>
                </c:pt>
                <c:pt idx="48">
                  <c:v>26.44</c:v>
                </c:pt>
                <c:pt idx="49">
                  <c:v>26.9</c:v>
                </c:pt>
                <c:pt idx="50">
                  <c:v>29.84</c:v>
                </c:pt>
                <c:pt idx="51">
                  <c:v>30.5</c:v>
                </c:pt>
                <c:pt idx="52">
                  <c:v>28.13</c:v>
                </c:pt>
                <c:pt idx="53">
                  <c:v>28.31</c:v>
                </c:pt>
                <c:pt idx="54">
                  <c:v>29.38</c:v>
                </c:pt>
                <c:pt idx="55">
                  <c:v>33.700000000000003</c:v>
                </c:pt>
                <c:pt idx="56">
                  <c:v>35.75</c:v>
                </c:pt>
                <c:pt idx="57">
                  <c:v>36.76</c:v>
                </c:pt>
                <c:pt idx="58">
                  <c:v>37.950000000000003</c:v>
                </c:pt>
                <c:pt idx="59">
                  <c:v>37.1</c:v>
                </c:pt>
                <c:pt idx="60">
                  <c:v>35.76</c:v>
                </c:pt>
                <c:pt idx="61">
                  <c:v>35.159999999999997</c:v>
                </c:pt>
                <c:pt idx="62">
                  <c:v>34.56</c:v>
                </c:pt>
                <c:pt idx="63">
                  <c:v>39.47</c:v>
                </c:pt>
                <c:pt idx="64">
                  <c:v>39.549999999999997</c:v>
                </c:pt>
                <c:pt idx="65">
                  <c:v>40.78</c:v>
                </c:pt>
                <c:pt idx="66">
                  <c:v>39.49</c:v>
                </c:pt>
                <c:pt idx="67">
                  <c:v>41.94</c:v>
                </c:pt>
                <c:pt idx="68">
                  <c:v>42.1</c:v>
                </c:pt>
                <c:pt idx="69">
                  <c:v>41.24</c:v>
                </c:pt>
                <c:pt idx="70">
                  <c:v>39.03</c:v>
                </c:pt>
                <c:pt idx="71">
                  <c:v>42.75</c:v>
                </c:pt>
                <c:pt idx="72">
                  <c:v>40.840000000000003</c:v>
                </c:pt>
                <c:pt idx="73">
                  <c:v>44.77</c:v>
                </c:pt>
                <c:pt idx="74">
                  <c:v>46.39</c:v>
                </c:pt>
                <c:pt idx="75">
                  <c:v>47.07</c:v>
                </c:pt>
                <c:pt idx="76">
                  <c:v>45.9</c:v>
                </c:pt>
                <c:pt idx="77">
                  <c:v>47.44</c:v>
                </c:pt>
                <c:pt idx="78">
                  <c:v>46.74</c:v>
                </c:pt>
                <c:pt idx="79">
                  <c:v>50.78</c:v>
                </c:pt>
                <c:pt idx="80">
                  <c:v>53.36</c:v>
                </c:pt>
                <c:pt idx="81">
                  <c:v>52.22</c:v>
                </c:pt>
                <c:pt idx="82">
                  <c:v>52.02</c:v>
                </c:pt>
                <c:pt idx="83">
                  <c:v>51.76</c:v>
                </c:pt>
                <c:pt idx="84">
                  <c:v>53.82</c:v>
                </c:pt>
                <c:pt idx="85">
                  <c:v>53.34</c:v>
                </c:pt>
                <c:pt idx="86">
                  <c:v>51.66</c:v>
                </c:pt>
                <c:pt idx="87">
                  <c:v>49.98</c:v>
                </c:pt>
                <c:pt idx="88">
                  <c:v>42.77</c:v>
                </c:pt>
                <c:pt idx="89">
                  <c:v>42.73</c:v>
                </c:pt>
                <c:pt idx="90">
                  <c:v>44.2</c:v>
                </c:pt>
                <c:pt idx="91">
                  <c:v>41.82</c:v>
                </c:pt>
                <c:pt idx="92">
                  <c:v>40.44</c:v>
                </c:pt>
                <c:pt idx="93">
                  <c:v>44.93</c:v>
                </c:pt>
                <c:pt idx="94">
                  <c:v>44.55</c:v>
                </c:pt>
                <c:pt idx="95">
                  <c:v>42.31</c:v>
                </c:pt>
                <c:pt idx="96">
                  <c:v>43.95</c:v>
                </c:pt>
                <c:pt idx="97">
                  <c:v>43.51</c:v>
                </c:pt>
                <c:pt idx="98">
                  <c:v>42.84</c:v>
                </c:pt>
                <c:pt idx="99">
                  <c:v>44.42</c:v>
                </c:pt>
                <c:pt idx="100">
                  <c:v>41.34</c:v>
                </c:pt>
                <c:pt idx="101">
                  <c:v>41.17</c:v>
                </c:pt>
                <c:pt idx="102">
                  <c:v>42.12</c:v>
                </c:pt>
                <c:pt idx="103">
                  <c:v>41.75</c:v>
                </c:pt>
                <c:pt idx="104">
                  <c:v>43.28</c:v>
                </c:pt>
                <c:pt idx="105">
                  <c:v>40.71</c:v>
                </c:pt>
                <c:pt idx="106">
                  <c:v>41.69</c:v>
                </c:pt>
                <c:pt idx="107">
                  <c:v>35.17</c:v>
                </c:pt>
                <c:pt idx="108">
                  <c:v>34.130000000000003</c:v>
                </c:pt>
                <c:pt idx="109">
                  <c:v>34.43</c:v>
                </c:pt>
                <c:pt idx="110">
                  <c:v>36.33</c:v>
                </c:pt>
                <c:pt idx="111">
                  <c:v>33.35</c:v>
                </c:pt>
                <c:pt idx="112">
                  <c:v>33.979999999999997</c:v>
                </c:pt>
                <c:pt idx="113">
                  <c:v>32.19</c:v>
                </c:pt>
                <c:pt idx="114">
                  <c:v>31.39</c:v>
                </c:pt>
                <c:pt idx="115">
                  <c:v>31.08</c:v>
                </c:pt>
                <c:pt idx="116">
                  <c:v>32.06</c:v>
                </c:pt>
                <c:pt idx="117">
                  <c:v>32.01</c:v>
                </c:pt>
                <c:pt idx="118">
                  <c:v>31.94</c:v>
                </c:pt>
                <c:pt idx="119">
                  <c:v>28.62</c:v>
                </c:pt>
                <c:pt idx="120">
                  <c:v>27.28</c:v>
                </c:pt>
                <c:pt idx="121">
                  <c:v>26.31</c:v>
                </c:pt>
                <c:pt idx="122">
                  <c:v>27.71</c:v>
                </c:pt>
                <c:pt idx="123">
                  <c:v>28.84</c:v>
                </c:pt>
                <c:pt idx="124">
                  <c:v>29.82</c:v>
                </c:pt>
                <c:pt idx="125">
                  <c:v>30.79</c:v>
                </c:pt>
                <c:pt idx="126">
                  <c:v>33.409999999999997</c:v>
                </c:pt>
                <c:pt idx="127">
                  <c:v>31.6</c:v>
                </c:pt>
                <c:pt idx="128">
                  <c:v>26.39</c:v>
                </c:pt>
                <c:pt idx="129">
                  <c:v>30.07</c:v>
                </c:pt>
                <c:pt idx="130">
                  <c:v>33.85</c:v>
                </c:pt>
                <c:pt idx="131">
                  <c:v>34.869999999999997</c:v>
                </c:pt>
                <c:pt idx="132">
                  <c:v>33.03</c:v>
                </c:pt>
                <c:pt idx="133">
                  <c:v>35.5</c:v>
                </c:pt>
                <c:pt idx="134">
                  <c:v>36.47</c:v>
                </c:pt>
                <c:pt idx="135">
                  <c:v>37.36</c:v>
                </c:pt>
                <c:pt idx="136">
                  <c:v>34.840000000000003</c:v>
                </c:pt>
                <c:pt idx="137">
                  <c:v>35.79</c:v>
                </c:pt>
                <c:pt idx="138">
                  <c:v>31.57</c:v>
                </c:pt>
                <c:pt idx="139">
                  <c:v>29.19</c:v>
                </c:pt>
                <c:pt idx="140">
                  <c:v>29.82</c:v>
                </c:pt>
                <c:pt idx="141">
                  <c:v>27.76</c:v>
                </c:pt>
                <c:pt idx="142">
                  <c:v>27.97</c:v>
                </c:pt>
                <c:pt idx="143">
                  <c:v>34.35</c:v>
                </c:pt>
                <c:pt idx="144">
                  <c:v>34.42</c:v>
                </c:pt>
                <c:pt idx="145">
                  <c:v>32.4</c:v>
                </c:pt>
                <c:pt idx="146">
                  <c:v>33.57</c:v>
                </c:pt>
                <c:pt idx="147">
                  <c:v>31.79</c:v>
                </c:pt>
                <c:pt idx="148">
                  <c:v>33.18</c:v>
                </c:pt>
                <c:pt idx="149">
                  <c:v>31.35</c:v>
                </c:pt>
                <c:pt idx="150">
                  <c:v>26.03</c:v>
                </c:pt>
                <c:pt idx="151">
                  <c:v>25.7</c:v>
                </c:pt>
                <c:pt idx="152">
                  <c:v>25.96</c:v>
                </c:pt>
                <c:pt idx="153">
                  <c:v>26.53</c:v>
                </c:pt>
                <c:pt idx="154">
                  <c:v>23.92</c:v>
                </c:pt>
                <c:pt idx="155">
                  <c:v>25.981999999999999</c:v>
                </c:pt>
                <c:pt idx="156">
                  <c:v>25.067</c:v>
                </c:pt>
                <c:pt idx="157">
                  <c:v>27.876999999999999</c:v>
                </c:pt>
                <c:pt idx="158">
                  <c:v>27.798999999999999</c:v>
                </c:pt>
                <c:pt idx="159">
                  <c:v>27.863</c:v>
                </c:pt>
                <c:pt idx="160">
                  <c:v>28.149000000000001</c:v>
                </c:pt>
                <c:pt idx="161">
                  <c:v>26.582000000000001</c:v>
                </c:pt>
                <c:pt idx="162">
                  <c:v>23.867999999999999</c:v>
                </c:pt>
                <c:pt idx="163">
                  <c:v>23.545000000000002</c:v>
                </c:pt>
                <c:pt idx="164">
                  <c:v>24.431999999999999</c:v>
                </c:pt>
                <c:pt idx="165">
                  <c:v>23.15</c:v>
                </c:pt>
                <c:pt idx="166">
                  <c:v>22.835000000000001</c:v>
                </c:pt>
                <c:pt idx="167">
                  <c:v>22.722999999999999</c:v>
                </c:pt>
                <c:pt idx="168">
                  <c:v>20.754999999999999</c:v>
                </c:pt>
                <c:pt idx="169">
                  <c:v>21.347000000000001</c:v>
                </c:pt>
                <c:pt idx="170">
                  <c:v>20.616</c:v>
                </c:pt>
                <c:pt idx="171">
                  <c:v>20.565999999999999</c:v>
                </c:pt>
                <c:pt idx="172">
                  <c:v>19.649999999999999</c:v>
                </c:pt>
                <c:pt idx="173">
                  <c:v>20.963000000000001</c:v>
                </c:pt>
                <c:pt idx="174">
                  <c:v>20.416</c:v>
                </c:pt>
                <c:pt idx="175">
                  <c:v>19.123999999999999</c:v>
                </c:pt>
                <c:pt idx="176">
                  <c:v>19.149999999999999</c:v>
                </c:pt>
                <c:pt idx="177">
                  <c:v>17.425000000000001</c:v>
                </c:pt>
                <c:pt idx="178">
                  <c:v>17.984000000000002</c:v>
                </c:pt>
                <c:pt idx="179">
                  <c:v>18.417999999999999</c:v>
                </c:pt>
                <c:pt idx="180">
                  <c:v>16.783999999999999</c:v>
                </c:pt>
                <c:pt idx="181">
                  <c:v>15.792999999999999</c:v>
                </c:pt>
                <c:pt idx="182">
                  <c:v>15.254</c:v>
                </c:pt>
                <c:pt idx="183">
                  <c:v>14.545999999999999</c:v>
                </c:pt>
                <c:pt idx="184">
                  <c:v>14.365</c:v>
                </c:pt>
                <c:pt idx="185">
                  <c:v>13.925000000000001</c:v>
                </c:pt>
                <c:pt idx="186">
                  <c:v>13.734</c:v>
                </c:pt>
                <c:pt idx="187">
                  <c:v>13.754</c:v>
                </c:pt>
                <c:pt idx="188">
                  <c:v>13.401</c:v>
                </c:pt>
                <c:pt idx="189">
                  <c:v>13.151999999999999</c:v>
                </c:pt>
                <c:pt idx="190">
                  <c:v>12.343</c:v>
                </c:pt>
                <c:pt idx="191">
                  <c:v>10.958</c:v>
                </c:pt>
                <c:pt idx="192">
                  <c:v>11.46</c:v>
                </c:pt>
                <c:pt idx="193">
                  <c:v>12.647</c:v>
                </c:pt>
                <c:pt idx="194">
                  <c:v>12.294</c:v>
                </c:pt>
                <c:pt idx="195">
                  <c:v>12.026</c:v>
                </c:pt>
                <c:pt idx="196">
                  <c:v>13.095000000000001</c:v>
                </c:pt>
                <c:pt idx="197">
                  <c:v>13.801</c:v>
                </c:pt>
                <c:pt idx="198">
                  <c:v>14.19</c:v>
                </c:pt>
                <c:pt idx="199">
                  <c:v>14.845000000000001</c:v>
                </c:pt>
                <c:pt idx="200">
                  <c:v>15.494999999999999</c:v>
                </c:pt>
                <c:pt idx="201">
                  <c:v>15.276</c:v>
                </c:pt>
                <c:pt idx="202">
                  <c:v>15.680999999999999</c:v>
                </c:pt>
                <c:pt idx="203">
                  <c:v>15.317</c:v>
                </c:pt>
                <c:pt idx="204">
                  <c:v>16.861000000000001</c:v>
                </c:pt>
                <c:pt idx="205">
                  <c:v>16.135000000000002</c:v>
                </c:pt>
                <c:pt idx="206">
                  <c:v>15.228</c:v>
                </c:pt>
                <c:pt idx="207">
                  <c:v>15.975</c:v>
                </c:pt>
                <c:pt idx="208">
                  <c:v>15.52</c:v>
                </c:pt>
                <c:pt idx="209">
                  <c:v>15.289</c:v>
                </c:pt>
                <c:pt idx="210">
                  <c:v>15.173999999999999</c:v>
                </c:pt>
                <c:pt idx="211">
                  <c:v>16.402000000000001</c:v>
                </c:pt>
                <c:pt idx="212">
                  <c:v>16.3</c:v>
                </c:pt>
                <c:pt idx="213">
                  <c:v>15.794</c:v>
                </c:pt>
                <c:pt idx="214">
                  <c:v>15.01</c:v>
                </c:pt>
                <c:pt idx="215">
                  <c:v>14.510999999999999</c:v>
                </c:pt>
                <c:pt idx="216">
                  <c:v>14.422000000000001</c:v>
                </c:pt>
                <c:pt idx="217">
                  <c:v>16.222999999999999</c:v>
                </c:pt>
                <c:pt idx="218">
                  <c:v>15.792</c:v>
                </c:pt>
                <c:pt idx="219">
                  <c:v>14.688000000000001</c:v>
                </c:pt>
                <c:pt idx="220">
                  <c:v>15.707000000000001</c:v>
                </c:pt>
                <c:pt idx="221">
                  <c:v>20.617000000000001</c:v>
                </c:pt>
                <c:pt idx="222">
                  <c:v>20.222000000000001</c:v>
                </c:pt>
                <c:pt idx="223">
                  <c:v>21.431999999999999</c:v>
                </c:pt>
                <c:pt idx="224">
                  <c:v>22.533000000000001</c:v>
                </c:pt>
                <c:pt idx="225">
                  <c:v>23.033000000000001</c:v>
                </c:pt>
                <c:pt idx="226">
                  <c:v>23.942</c:v>
                </c:pt>
                <c:pt idx="227">
                  <c:v>25.858000000000001</c:v>
                </c:pt>
                <c:pt idx="228">
                  <c:v>22.04</c:v>
                </c:pt>
                <c:pt idx="229">
                  <c:v>20.742000000000001</c:v>
                </c:pt>
                <c:pt idx="230">
                  <c:v>20.95</c:v>
                </c:pt>
                <c:pt idx="231">
                  <c:v>22.683</c:v>
                </c:pt>
                <c:pt idx="232">
                  <c:v>23.213999999999999</c:v>
                </c:pt>
                <c:pt idx="233">
                  <c:v>21.65</c:v>
                </c:pt>
                <c:pt idx="234">
                  <c:v>21.686</c:v>
                </c:pt>
                <c:pt idx="235">
                  <c:v>24.184000000000001</c:v>
                </c:pt>
                <c:pt idx="236">
                  <c:v>23.771000000000001</c:v>
                </c:pt>
                <c:pt idx="237">
                  <c:v>24.988</c:v>
                </c:pt>
                <c:pt idx="238">
                  <c:v>27.004000000000001</c:v>
                </c:pt>
                <c:pt idx="239">
                  <c:v>25.916</c:v>
                </c:pt>
                <c:pt idx="240">
                  <c:v>22.84</c:v>
                </c:pt>
                <c:pt idx="241">
                  <c:v>23.263999999999999</c:v>
                </c:pt>
                <c:pt idx="242">
                  <c:v>20.465</c:v>
                </c:pt>
                <c:pt idx="243">
                  <c:v>19.867999999999999</c:v>
                </c:pt>
                <c:pt idx="244">
                  <c:v>21.35</c:v>
                </c:pt>
                <c:pt idx="245">
                  <c:v>23.981999999999999</c:v>
                </c:pt>
                <c:pt idx="246">
                  <c:v>24.527999999999999</c:v>
                </c:pt>
                <c:pt idx="247">
                  <c:v>22.16</c:v>
                </c:pt>
                <c:pt idx="248">
                  <c:v>23.260999999999999</c:v>
                </c:pt>
                <c:pt idx="249">
                  <c:v>17.911999999999999</c:v>
                </c:pt>
                <c:pt idx="250">
                  <c:v>22.056999999999999</c:v>
                </c:pt>
                <c:pt idx="251">
                  <c:v>24.399000000000001</c:v>
                </c:pt>
                <c:pt idx="252">
                  <c:v>28.957999999999998</c:v>
                </c:pt>
                <c:pt idx="253">
                  <c:v>25.044</c:v>
                </c:pt>
                <c:pt idx="254">
                  <c:v>40.594999999999999</c:v>
                </c:pt>
                <c:pt idx="255">
                  <c:v>38.692999999999998</c:v>
                </c:pt>
                <c:pt idx="256">
                  <c:v>42.436</c:v>
                </c:pt>
                <c:pt idx="257">
                  <c:v>43.643000000000001</c:v>
                </c:pt>
                <c:pt idx="258">
                  <c:v>47.978999999999999</c:v>
                </c:pt>
                <c:pt idx="259">
                  <c:v>39.988</c:v>
                </c:pt>
                <c:pt idx="260">
                  <c:v>35.128</c:v>
                </c:pt>
                <c:pt idx="261">
                  <c:v>38.637</c:v>
                </c:pt>
                <c:pt idx="262">
                  <c:v>36.488</c:v>
                </c:pt>
                <c:pt idx="263">
                  <c:v>40.299999999999997</c:v>
                </c:pt>
                <c:pt idx="264">
                  <c:v>39.899000000000001</c:v>
                </c:pt>
                <c:pt idx="265">
                  <c:v>39.863999999999997</c:v>
                </c:pt>
                <c:pt idx="266">
                  <c:v>41.588000000000001</c:v>
                </c:pt>
                <c:pt idx="267">
                  <c:v>40.421999999999997</c:v>
                </c:pt>
                <c:pt idx="268">
                  <c:v>34.777000000000001</c:v>
                </c:pt>
                <c:pt idx="269">
                  <c:v>37.25</c:v>
                </c:pt>
                <c:pt idx="270">
                  <c:v>36.625999999999998</c:v>
                </c:pt>
                <c:pt idx="271">
                  <c:v>36.908000000000001</c:v>
                </c:pt>
                <c:pt idx="272">
                  <c:v>36.521999999999998</c:v>
                </c:pt>
                <c:pt idx="273">
                  <c:v>35.978999999999999</c:v>
                </c:pt>
                <c:pt idx="274">
                  <c:v>33.972000000000001</c:v>
                </c:pt>
                <c:pt idx="275">
                  <c:v>34.844999999999999</c:v>
                </c:pt>
                <c:pt idx="276">
                  <c:v>33.4</c:v>
                </c:pt>
                <c:pt idx="277">
                  <c:v>29.83</c:v>
                </c:pt>
                <c:pt idx="278">
                  <c:v>28.962900000000001</c:v>
                </c:pt>
                <c:pt idx="279">
                  <c:v>32.232300000000002</c:v>
                </c:pt>
                <c:pt idx="280">
                  <c:v>32.957099999999997</c:v>
                </c:pt>
                <c:pt idx="281">
                  <c:v>33.795299999999997</c:v>
                </c:pt>
                <c:pt idx="282">
                  <c:v>35.4133</c:v>
                </c:pt>
                <c:pt idx="283">
                  <c:v>34.737299999999998</c:v>
                </c:pt>
                <c:pt idx="284">
                  <c:v>37.363</c:v>
                </c:pt>
                <c:pt idx="285">
                  <c:v>42.057699999999997</c:v>
                </c:pt>
                <c:pt idx="286">
                  <c:v>41.389800000000001</c:v>
                </c:pt>
                <c:pt idx="287">
                  <c:v>43.431800000000003</c:v>
                </c:pt>
                <c:pt idx="288">
                  <c:v>42.517099999999999</c:v>
                </c:pt>
                <c:pt idx="289">
                  <c:v>42.930100000000003</c:v>
                </c:pt>
                <c:pt idx="290">
                  <c:v>40.46</c:v>
                </c:pt>
                <c:pt idx="291">
                  <c:v>41.319600000000001</c:v>
                </c:pt>
                <c:pt idx="292">
                  <c:v>41.586799999999997</c:v>
                </c:pt>
                <c:pt idx="293">
                  <c:v>40.808500000000002</c:v>
                </c:pt>
                <c:pt idx="294">
                  <c:v>41.334000000000003</c:v>
                </c:pt>
                <c:pt idx="295">
                  <c:v>39.501300000000001</c:v>
                </c:pt>
                <c:pt idx="296">
                  <c:v>43.35</c:v>
                </c:pt>
                <c:pt idx="297">
                  <c:v>45.8003</c:v>
                </c:pt>
                <c:pt idx="298">
                  <c:v>44.313499999999998</c:v>
                </c:pt>
                <c:pt idx="299">
                  <c:v>41.380200000000002</c:v>
                </c:pt>
                <c:pt idx="300">
                  <c:v>41.027099999999997</c:v>
                </c:pt>
                <c:pt idx="301">
                  <c:v>37.460999999999999</c:v>
                </c:pt>
                <c:pt idx="302">
                  <c:v>37.076500000000003</c:v>
                </c:pt>
                <c:pt idx="303">
                  <c:v>33.977800000000002</c:v>
                </c:pt>
                <c:pt idx="304">
                  <c:v>34.340299999999999</c:v>
                </c:pt>
                <c:pt idx="305">
                  <c:v>32.2331</c:v>
                </c:pt>
                <c:pt idx="306">
                  <c:v>32.5884</c:v>
                </c:pt>
                <c:pt idx="307">
                  <c:v>33.178199999999997</c:v>
                </c:pt>
                <c:pt idx="308">
                  <c:v>29.805900000000001</c:v>
                </c:pt>
                <c:pt idx="309">
                  <c:v>30.2209</c:v>
                </c:pt>
                <c:pt idx="310">
                  <c:v>34.217399999999998</c:v>
                </c:pt>
                <c:pt idx="311">
                  <c:v>35.233800000000002</c:v>
                </c:pt>
                <c:pt idx="312">
                  <c:v>36.685099999999998</c:v>
                </c:pt>
                <c:pt idx="313">
                  <c:v>37.227899999999998</c:v>
                </c:pt>
                <c:pt idx="314">
                  <c:v>38.173499999999997</c:v>
                </c:pt>
                <c:pt idx="315">
                  <c:v>35.3399</c:v>
                </c:pt>
                <c:pt idx="316">
                  <c:v>36.1036</c:v>
                </c:pt>
                <c:pt idx="317">
                  <c:v>35.398699999999998</c:v>
                </c:pt>
                <c:pt idx="318">
                  <c:v>34.296300000000002</c:v>
                </c:pt>
                <c:pt idx="319">
                  <c:v>36.442700000000002</c:v>
                </c:pt>
                <c:pt idx="320">
                  <c:v>37.141800000000003</c:v>
                </c:pt>
                <c:pt idx="321">
                  <c:v>35.955100000000002</c:v>
                </c:pt>
                <c:pt idx="322">
                  <c:v>36.9026</c:v>
                </c:pt>
                <c:pt idx="323">
                  <c:v>37.549399999999999</c:v>
                </c:pt>
                <c:pt idx="324">
                  <c:v>38.188200000000002</c:v>
                </c:pt>
                <c:pt idx="325">
                  <c:v>34.973700000000001</c:v>
                </c:pt>
                <c:pt idx="326">
                  <c:v>35.094999999999999</c:v>
                </c:pt>
                <c:pt idx="327">
                  <c:v>33.3596</c:v>
                </c:pt>
                <c:pt idx="328">
                  <c:v>33.619399999999999</c:v>
                </c:pt>
                <c:pt idx="329">
                  <c:v>35.2166</c:v>
                </c:pt>
                <c:pt idx="330">
                  <c:v>37.098500000000001</c:v>
                </c:pt>
                <c:pt idx="331">
                  <c:v>36.139299999999999</c:v>
                </c:pt>
                <c:pt idx="332">
                  <c:v>35.627299999999998</c:v>
                </c:pt>
                <c:pt idx="333">
                  <c:v>33.799999999999997</c:v>
                </c:pt>
                <c:pt idx="334">
                  <c:v>33.457500000000003</c:v>
                </c:pt>
                <c:pt idx="335">
                  <c:v>31.436199999999999</c:v>
                </c:pt>
                <c:pt idx="336">
                  <c:v>31.234100000000002</c:v>
                </c:pt>
                <c:pt idx="337">
                  <c:v>33.639600000000002</c:v>
                </c:pt>
                <c:pt idx="338">
                  <c:v>34.532499999999999</c:v>
                </c:pt>
                <c:pt idx="339">
                  <c:v>37.6143</c:v>
                </c:pt>
                <c:pt idx="340">
                  <c:v>39.586300000000001</c:v>
                </c:pt>
                <c:pt idx="341">
                  <c:v>38.942</c:v>
                </c:pt>
                <c:pt idx="342">
                  <c:v>34.823999999999998</c:v>
                </c:pt>
                <c:pt idx="343">
                  <c:v>31.11</c:v>
                </c:pt>
                <c:pt idx="344">
                  <c:v>31.9862</c:v>
                </c:pt>
                <c:pt idx="345">
                  <c:v>30.083200000000001</c:v>
                </c:pt>
                <c:pt idx="346">
                  <c:v>27.802099999999999</c:v>
                </c:pt>
                <c:pt idx="347">
                  <c:v>26.872399999999999</c:v>
                </c:pt>
                <c:pt idx="348">
                  <c:v>27.936399999999999</c:v>
                </c:pt>
                <c:pt idx="349">
                  <c:v>28.6555</c:v>
                </c:pt>
                <c:pt idx="350">
                  <c:v>25.022400000000001</c:v>
                </c:pt>
                <c:pt idx="351">
                  <c:v>23.582100000000001</c:v>
                </c:pt>
                <c:pt idx="352">
                  <c:v>23.084599999999998</c:v>
                </c:pt>
                <c:pt idx="353">
                  <c:v>22.985299999999999</c:v>
                </c:pt>
                <c:pt idx="354">
                  <c:v>19.734500000000001</c:v>
                </c:pt>
                <c:pt idx="355">
                  <c:v>20.3734</c:v>
                </c:pt>
                <c:pt idx="356">
                  <c:v>20.84</c:v>
                </c:pt>
                <c:pt idx="357">
                  <c:v>19.6677</c:v>
                </c:pt>
                <c:pt idx="358">
                  <c:v>20.8538</c:v>
                </c:pt>
                <c:pt idx="359">
                  <c:v>17.176500000000001</c:v>
                </c:pt>
                <c:pt idx="360">
                  <c:v>16.438500000000001</c:v>
                </c:pt>
                <c:pt idx="361">
                  <c:v>16.1128</c:v>
                </c:pt>
                <c:pt idx="362">
                  <c:v>16.5349</c:v>
                </c:pt>
                <c:pt idx="363">
                  <c:v>16.796800000000001</c:v>
                </c:pt>
                <c:pt idx="364">
                  <c:v>16.8643</c:v>
                </c:pt>
                <c:pt idx="365">
                  <c:v>15.43</c:v>
                </c:pt>
                <c:pt idx="366">
                  <c:v>17.101299999999998</c:v>
                </c:pt>
                <c:pt idx="367">
                  <c:v>17.207000000000001</c:v>
                </c:pt>
                <c:pt idx="368">
                  <c:v>17.974499999999999</c:v>
                </c:pt>
                <c:pt idx="369">
                  <c:v>18.744599999999998</c:v>
                </c:pt>
                <c:pt idx="370">
                  <c:v>17.120699999999999</c:v>
                </c:pt>
                <c:pt idx="371">
                  <c:v>15.9818</c:v>
                </c:pt>
                <c:pt idx="372">
                  <c:v>17.980799999999999</c:v>
                </c:pt>
                <c:pt idx="373">
                  <c:v>16.3933</c:v>
                </c:pt>
                <c:pt idx="374">
                  <c:v>16.5898</c:v>
                </c:pt>
                <c:pt idx="375">
                  <c:v>17.083200000000001</c:v>
                </c:pt>
                <c:pt idx="376">
                  <c:v>17.9893</c:v>
                </c:pt>
                <c:pt idx="377">
                  <c:v>13.167899999999999</c:v>
                </c:pt>
                <c:pt idx="378">
                  <c:v>14.486700000000001</c:v>
                </c:pt>
                <c:pt idx="379">
                  <c:v>10.948600000000001</c:v>
                </c:pt>
                <c:pt idx="380">
                  <c:v>8.3078000000000003</c:v>
                </c:pt>
                <c:pt idx="381">
                  <c:v>8.2690999999999999</c:v>
                </c:pt>
                <c:pt idx="382">
                  <c:v>9.2911000000000001</c:v>
                </c:pt>
                <c:pt idx="383">
                  <c:v>9.7354000000000003</c:v>
                </c:pt>
                <c:pt idx="384">
                  <c:v>9.2997999999999994</c:v>
                </c:pt>
                <c:pt idx="385">
                  <c:v>9.6439000000000004</c:v>
                </c:pt>
                <c:pt idx="386">
                  <c:v>10.0679</c:v>
                </c:pt>
                <c:pt idx="387">
                  <c:v>9.7083999999999993</c:v>
                </c:pt>
                <c:pt idx="388">
                  <c:v>9.5126000000000008</c:v>
                </c:pt>
                <c:pt idx="389">
                  <c:v>10.130699999999999</c:v>
                </c:pt>
                <c:pt idx="390">
                  <c:v>9.2036999999999995</c:v>
                </c:pt>
                <c:pt idx="391">
                  <c:v>8.2775999999999996</c:v>
                </c:pt>
                <c:pt idx="392">
                  <c:v>9.2619000000000007</c:v>
                </c:pt>
                <c:pt idx="393">
                  <c:v>7.2282000000000002</c:v>
                </c:pt>
                <c:pt idx="394">
                  <c:v>7.5401999999999996</c:v>
                </c:pt>
                <c:pt idx="395">
                  <c:v>6.5982000000000003</c:v>
                </c:pt>
                <c:pt idx="396">
                  <c:v>5.1455000000000002</c:v>
                </c:pt>
                <c:pt idx="397">
                  <c:v>5.1924000000000001</c:v>
                </c:pt>
                <c:pt idx="398">
                  <c:v>5.2099000000000002</c:v>
                </c:pt>
                <c:pt idx="399">
                  <c:v>5.1116000000000001</c:v>
                </c:pt>
                <c:pt idx="400">
                  <c:v>4.7149000000000001</c:v>
                </c:pt>
                <c:pt idx="401">
                  <c:v>5.1550000000000002</c:v>
                </c:pt>
                <c:pt idx="402">
                  <c:v>4.8701999999999996</c:v>
                </c:pt>
                <c:pt idx="403">
                  <c:v>5.1867999999999999</c:v>
                </c:pt>
                <c:pt idx="404">
                  <c:v>5.3357999999999999</c:v>
                </c:pt>
                <c:pt idx="405">
                  <c:v>5.3548999999999998</c:v>
                </c:pt>
                <c:pt idx="406">
                  <c:v>5.3455000000000004</c:v>
                </c:pt>
                <c:pt idx="407">
                  <c:v>5.3647</c:v>
                </c:pt>
                <c:pt idx="408">
                  <c:v>5.2390999999999996</c:v>
                </c:pt>
                <c:pt idx="409">
                  <c:v>4.8968999999999996</c:v>
                </c:pt>
                <c:pt idx="410">
                  <c:v>4.8956999999999997</c:v>
                </c:pt>
                <c:pt idx="411">
                  <c:v>4.7385000000000002</c:v>
                </c:pt>
                <c:pt idx="412">
                  <c:v>4.6120000000000001</c:v>
                </c:pt>
                <c:pt idx="413">
                  <c:v>4.8003</c:v>
                </c:pt>
                <c:pt idx="414">
                  <c:v>4.8727999999999998</c:v>
                </c:pt>
                <c:pt idx="415">
                  <c:v>4.7398999999999996</c:v>
                </c:pt>
                <c:pt idx="416">
                  <c:v>5.0568999999999997</c:v>
                </c:pt>
                <c:pt idx="417">
                  <c:v>5.1268000000000002</c:v>
                </c:pt>
                <c:pt idx="418">
                  <c:v>5.1806000000000001</c:v>
                </c:pt>
                <c:pt idx="419">
                  <c:v>5</c:v>
                </c:pt>
                <c:pt idx="420">
                  <c:v>5.3997000000000002</c:v>
                </c:pt>
                <c:pt idx="421">
                  <c:v>5.4645000000000001</c:v>
                </c:pt>
                <c:pt idx="422">
                  <c:v>5.0805999999999996</c:v>
                </c:pt>
                <c:pt idx="423">
                  <c:v>5.3766999999999996</c:v>
                </c:pt>
                <c:pt idx="424">
                  <c:v>5.1920000000000002</c:v>
                </c:pt>
                <c:pt idx="425">
                  <c:v>4.8939000000000004</c:v>
                </c:pt>
                <c:pt idx="426">
                  <c:v>4.8151000000000002</c:v>
                </c:pt>
                <c:pt idx="427">
                  <c:v>4.8090000000000002</c:v>
                </c:pt>
                <c:pt idx="428">
                  <c:v>5.3018000000000001</c:v>
                </c:pt>
                <c:pt idx="429">
                  <c:v>5.7333999999999996</c:v>
                </c:pt>
                <c:pt idx="430">
                  <c:v>5.9093</c:v>
                </c:pt>
                <c:pt idx="431">
                  <c:v>5.524</c:v>
                </c:pt>
                <c:pt idx="432">
                  <c:v>5.7824</c:v>
                </c:pt>
                <c:pt idx="433">
                  <c:v>5.23</c:v>
                </c:pt>
                <c:pt idx="434">
                  <c:v>4.7567000000000004</c:v>
                </c:pt>
                <c:pt idx="435">
                  <c:v>4.6797000000000004</c:v>
                </c:pt>
                <c:pt idx="436">
                  <c:v>4.8569000000000004</c:v>
                </c:pt>
                <c:pt idx="437">
                  <c:v>4.4983000000000004</c:v>
                </c:pt>
                <c:pt idx="438">
                  <c:v>4.3663999999999996</c:v>
                </c:pt>
                <c:pt idx="439">
                  <c:v>4.4637000000000002</c:v>
                </c:pt>
                <c:pt idx="440">
                  <c:v>4.5425000000000004</c:v>
                </c:pt>
                <c:pt idx="441">
                  <c:v>4.4042000000000003</c:v>
                </c:pt>
                <c:pt idx="442">
                  <c:v>4.4461000000000004</c:v>
                </c:pt>
                <c:pt idx="443">
                  <c:v>4.4230999999999998</c:v>
                </c:pt>
                <c:pt idx="444">
                  <c:v>4.3463000000000003</c:v>
                </c:pt>
                <c:pt idx="445">
                  <c:v>4.3735999999999997</c:v>
                </c:pt>
                <c:pt idx="446">
                  <c:v>4.2340999999999998</c:v>
                </c:pt>
                <c:pt idx="447">
                  <c:v>4.5826000000000002</c:v>
                </c:pt>
                <c:pt idx="448">
                  <c:v>4.2229000000000001</c:v>
                </c:pt>
                <c:pt idx="449">
                  <c:v>4.0968999999999998</c:v>
                </c:pt>
                <c:pt idx="450">
                  <c:v>4.0362</c:v>
                </c:pt>
                <c:pt idx="451">
                  <c:v>4.0316000000000001</c:v>
                </c:pt>
                <c:pt idx="452">
                  <c:v>4.2210999999999999</c:v>
                </c:pt>
                <c:pt idx="453">
                  <c:v>4.1853999999999996</c:v>
                </c:pt>
                <c:pt idx="454">
                  <c:v>4.0845000000000002</c:v>
                </c:pt>
                <c:pt idx="455">
                  <c:v>4.0605000000000002</c:v>
                </c:pt>
                <c:pt idx="456">
                  <c:v>4.3570000000000002</c:v>
                </c:pt>
                <c:pt idx="457">
                  <c:v>4.6721000000000004</c:v>
                </c:pt>
                <c:pt idx="458">
                  <c:v>4.7031000000000001</c:v>
                </c:pt>
                <c:pt idx="459">
                  <c:v>4.3310000000000004</c:v>
                </c:pt>
                <c:pt idx="460">
                  <c:v>4.3536000000000001</c:v>
                </c:pt>
                <c:pt idx="461">
                  <c:v>4.2633000000000001</c:v>
                </c:pt>
                <c:pt idx="462">
                  <c:v>4.2683</c:v>
                </c:pt>
                <c:pt idx="463">
                  <c:v>4.1352000000000002</c:v>
                </c:pt>
                <c:pt idx="464">
                  <c:v>3.9034</c:v>
                </c:pt>
                <c:pt idx="465">
                  <c:v>3.9860000000000002</c:v>
                </c:pt>
                <c:pt idx="466">
                  <c:v>4.1067999999999998</c:v>
                </c:pt>
                <c:pt idx="467">
                  <c:v>3.9662999999999999</c:v>
                </c:pt>
                <c:pt idx="468">
                  <c:v>3.9106000000000001</c:v>
                </c:pt>
                <c:pt idx="469">
                  <c:v>4.0990000000000002</c:v>
                </c:pt>
                <c:pt idx="470">
                  <c:v>4.1829000000000001</c:v>
                </c:pt>
                <c:pt idx="471">
                  <c:v>4.2473000000000001</c:v>
                </c:pt>
                <c:pt idx="472">
                  <c:v>4.3075000000000001</c:v>
                </c:pt>
                <c:pt idx="473">
                  <c:v>4.2450000000000001</c:v>
                </c:pt>
                <c:pt idx="474">
                  <c:v>4.2606000000000002</c:v>
                </c:pt>
                <c:pt idx="475">
                  <c:v>4.2541000000000002</c:v>
                </c:pt>
                <c:pt idx="476">
                  <c:v>4.1162999999999998</c:v>
                </c:pt>
                <c:pt idx="477">
                  <c:v>3.8517000000000001</c:v>
                </c:pt>
                <c:pt idx="478">
                  <c:v>3.7465000000000002</c:v>
                </c:pt>
                <c:pt idx="479">
                  <c:v>4.1620999999999997</c:v>
                </c:pt>
                <c:pt idx="480">
                  <c:v>4.1769999999999996</c:v>
                </c:pt>
                <c:pt idx="481">
                  <c:v>4.0606999999999998</c:v>
                </c:pt>
                <c:pt idx="482">
                  <c:v>4.1281999999999996</c:v>
                </c:pt>
                <c:pt idx="483">
                  <c:v>4.3468</c:v>
                </c:pt>
                <c:pt idx="484">
                  <c:v>4.3457999999999997</c:v>
                </c:pt>
                <c:pt idx="485">
                  <c:v>4.4969000000000001</c:v>
                </c:pt>
                <c:pt idx="486">
                  <c:v>4.4500999999999999</c:v>
                </c:pt>
                <c:pt idx="487">
                  <c:v>4.2961999999999998</c:v>
                </c:pt>
                <c:pt idx="488">
                  <c:v>4.3308</c:v>
                </c:pt>
                <c:pt idx="489">
                  <c:v>4.4138999999999999</c:v>
                </c:pt>
                <c:pt idx="490">
                  <c:v>4.3781999999999996</c:v>
                </c:pt>
                <c:pt idx="491">
                  <c:v>4.0076999999999998</c:v>
                </c:pt>
                <c:pt idx="492">
                  <c:v>4.1624999999999996</c:v>
                </c:pt>
                <c:pt idx="493">
                  <c:v>4.0690999999999997</c:v>
                </c:pt>
                <c:pt idx="494">
                  <c:v>4.6517999999999997</c:v>
                </c:pt>
                <c:pt idx="495">
                  <c:v>4.9240000000000004</c:v>
                </c:pt>
                <c:pt idx="496">
                  <c:v>5.2615999999999996</c:v>
                </c:pt>
                <c:pt idx="497">
                  <c:v>5.3353999999999999</c:v>
                </c:pt>
                <c:pt idx="498">
                  <c:v>5.0712000000000002</c:v>
                </c:pt>
                <c:pt idx="499">
                  <c:v>5.0534999999999997</c:v>
                </c:pt>
                <c:pt idx="500">
                  <c:v>5.3555000000000001</c:v>
                </c:pt>
                <c:pt idx="501">
                  <c:v>5.3212999999999999</c:v>
                </c:pt>
                <c:pt idx="502">
                  <c:v>5.1384999999999996</c:v>
                </c:pt>
                <c:pt idx="503">
                  <c:v>4.6497999999999999</c:v>
                </c:pt>
                <c:pt idx="504">
                  <c:v>4.5796000000000001</c:v>
                </c:pt>
                <c:pt idx="505">
                  <c:v>4.7003000000000004</c:v>
                </c:pt>
                <c:pt idx="506">
                  <c:v>4.2786999999999997</c:v>
                </c:pt>
                <c:pt idx="507">
                  <c:v>4.5944000000000003</c:v>
                </c:pt>
                <c:pt idx="508">
                  <c:v>4.7839999999999998</c:v>
                </c:pt>
                <c:pt idx="509">
                  <c:v>4.1456</c:v>
                </c:pt>
                <c:pt idx="510">
                  <c:v>5.1018999999999997</c:v>
                </c:pt>
                <c:pt idx="511">
                  <c:v>5.6742999999999997</c:v>
                </c:pt>
                <c:pt idx="512">
                  <c:v>6.1374000000000004</c:v>
                </c:pt>
                <c:pt idx="513">
                  <c:v>6.2389999999999999</c:v>
                </c:pt>
                <c:pt idx="514">
                  <c:v>6.2717999999999998</c:v>
                </c:pt>
                <c:pt idx="515">
                  <c:v>5.8912000000000004</c:v>
                </c:pt>
                <c:pt idx="516">
                  <c:v>6.1333000000000002</c:v>
                </c:pt>
                <c:pt idx="517">
                  <c:v>6.1811999999999996</c:v>
                </c:pt>
                <c:pt idx="518">
                  <c:v>5.6547000000000001</c:v>
                </c:pt>
                <c:pt idx="519">
                  <c:v>6.0708000000000002</c:v>
                </c:pt>
                <c:pt idx="520">
                  <c:v>5.5411999999999999</c:v>
                </c:pt>
                <c:pt idx="521">
                  <c:v>4.5758999999999999</c:v>
                </c:pt>
                <c:pt idx="522">
                  <c:v>3.9779</c:v>
                </c:pt>
                <c:pt idx="523">
                  <c:v>4.4546000000000001</c:v>
                </c:pt>
                <c:pt idx="524">
                  <c:v>2.8330000000000002</c:v>
                </c:pt>
                <c:pt idx="525">
                  <c:v>2.9</c:v>
                </c:pt>
                <c:pt idx="526">
                  <c:v>2.95</c:v>
                </c:pt>
                <c:pt idx="527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C2-45FF-A06D-678C994BDD4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8.1898748607508693</c:v>
                </c:pt>
                <c:pt idx="1">
                  <c:v>8.197430354695646</c:v>
                </c:pt>
                <c:pt idx="2">
                  <c:v>8.2773808454685867</c:v>
                </c:pt>
                <c:pt idx="3">
                  <c:v>8.2650228883372261</c:v>
                </c:pt>
                <c:pt idx="4">
                  <c:v>8.1702721828640819</c:v>
                </c:pt>
                <c:pt idx="5">
                  <c:v>8.1163706022865316</c:v>
                </c:pt>
                <c:pt idx="6">
                  <c:v>8.1041394354086354</c:v>
                </c:pt>
                <c:pt idx="7">
                  <c:v>8.2278243172107981</c:v>
                </c:pt>
                <c:pt idx="8">
                  <c:v>8.2855651514582807</c:v>
                </c:pt>
                <c:pt idx="9">
                  <c:v>8.3206687447965528</c:v>
                </c:pt>
                <c:pt idx="10">
                  <c:v>8.3210592182757868</c:v>
                </c:pt>
                <c:pt idx="11">
                  <c:v>8.3668683866998474</c:v>
                </c:pt>
                <c:pt idx="12">
                  <c:v>8.3861594495725722</c:v>
                </c:pt>
                <c:pt idx="13">
                  <c:v>8.3875710399371304</c:v>
                </c:pt>
                <c:pt idx="14">
                  <c:v>8.3035278541030877</c:v>
                </c:pt>
                <c:pt idx="15">
                  <c:v>8.3738760484853216</c:v>
                </c:pt>
                <c:pt idx="16">
                  <c:v>8.3166853752693584</c:v>
                </c:pt>
                <c:pt idx="17">
                  <c:v>8.2550313019550714</c:v>
                </c:pt>
                <c:pt idx="18">
                  <c:v>8.2638130123690523</c:v>
                </c:pt>
                <c:pt idx="19">
                  <c:v>8.2515010201254153</c:v>
                </c:pt>
                <c:pt idx="20">
                  <c:v>8.2795043002758284</c:v>
                </c:pt>
                <c:pt idx="21">
                  <c:v>8.3506265779819344</c:v>
                </c:pt>
                <c:pt idx="22">
                  <c:v>8.3150383541152699</c:v>
                </c:pt>
                <c:pt idx="23">
                  <c:v>8.3679784702575901</c:v>
                </c:pt>
                <c:pt idx="24">
                  <c:v>8.4759929819700908</c:v>
                </c:pt>
                <c:pt idx="25">
                  <c:v>8.4381117716727463</c:v>
                </c:pt>
                <c:pt idx="26">
                  <c:v>8.4080890750127448</c:v>
                </c:pt>
                <c:pt idx="27">
                  <c:v>8.358443519482595</c:v>
                </c:pt>
                <c:pt idx="28">
                  <c:v>8.4110563891038712</c:v>
                </c:pt>
                <c:pt idx="29">
                  <c:v>8.3940755607109843</c:v>
                </c:pt>
                <c:pt idx="30">
                  <c:v>8.4635933432916275</c:v>
                </c:pt>
                <c:pt idx="31">
                  <c:v>8.588495370597327</c:v>
                </c:pt>
                <c:pt idx="32">
                  <c:v>8.6623161381224545</c:v>
                </c:pt>
                <c:pt idx="33">
                  <c:v>8.5909970033749055</c:v>
                </c:pt>
                <c:pt idx="34">
                  <c:v>8.5700290666935466</c:v>
                </c:pt>
                <c:pt idx="35">
                  <c:v>8.6128219846783303</c:v>
                </c:pt>
                <c:pt idx="36">
                  <c:v>8.5496057474205394</c:v>
                </c:pt>
                <c:pt idx="37">
                  <c:v>8.5087766375777694</c:v>
                </c:pt>
                <c:pt idx="38">
                  <c:v>8.4672879765296614</c:v>
                </c:pt>
                <c:pt idx="39">
                  <c:v>8.4729633200882812</c:v>
                </c:pt>
                <c:pt idx="40">
                  <c:v>8.5164971492053532</c:v>
                </c:pt>
                <c:pt idx="41">
                  <c:v>8.4647785755464131</c:v>
                </c:pt>
                <c:pt idx="42">
                  <c:v>8.5200941542220239</c:v>
                </c:pt>
                <c:pt idx="43">
                  <c:v>8.6051453031958225</c:v>
                </c:pt>
                <c:pt idx="44">
                  <c:v>8.5343145634580555</c:v>
                </c:pt>
                <c:pt idx="45">
                  <c:v>8.4982815876165372</c:v>
                </c:pt>
                <c:pt idx="46">
                  <c:v>8.5834515740534876</c:v>
                </c:pt>
                <c:pt idx="47">
                  <c:v>8.5491987577082931</c:v>
                </c:pt>
                <c:pt idx="48">
                  <c:v>8.541655481988867</c:v>
                </c:pt>
                <c:pt idx="49">
                  <c:v>8.5940320974925442</c:v>
                </c:pt>
                <c:pt idx="50">
                  <c:v>8.6822339183934449</c:v>
                </c:pt>
                <c:pt idx="51">
                  <c:v>8.6412980359658587</c:v>
                </c:pt>
                <c:pt idx="52">
                  <c:v>8.5786880487653328</c:v>
                </c:pt>
                <c:pt idx="53">
                  <c:v>8.4798077766452344</c:v>
                </c:pt>
                <c:pt idx="54">
                  <c:v>8.4612002725645912</c:v>
                </c:pt>
                <c:pt idx="55">
                  <c:v>8.4469684945992896</c:v>
                </c:pt>
                <c:pt idx="56">
                  <c:v>8.4895597675899452</c:v>
                </c:pt>
                <c:pt idx="57">
                  <c:v>8.5006063286267253</c:v>
                </c:pt>
                <c:pt idx="58">
                  <c:v>8.5407087607626639</c:v>
                </c:pt>
                <c:pt idx="59">
                  <c:v>8.5102571482270353</c:v>
                </c:pt>
                <c:pt idx="60">
                  <c:v>8.4658843336993357</c:v>
                </c:pt>
                <c:pt idx="61">
                  <c:v>8.3666535751943893</c:v>
                </c:pt>
                <c:pt idx="62">
                  <c:v>8.375931874856521</c:v>
                </c:pt>
                <c:pt idx="63">
                  <c:v>8.4922452134012278</c:v>
                </c:pt>
                <c:pt idx="64">
                  <c:v>8.4930104672043392</c:v>
                </c:pt>
                <c:pt idx="65">
                  <c:v>8.5041227568020421</c:v>
                </c:pt>
                <c:pt idx="66">
                  <c:v>8.4671667309283194</c:v>
                </c:pt>
                <c:pt idx="67">
                  <c:v>8.5171045139372499</c:v>
                </c:pt>
                <c:pt idx="68">
                  <c:v>8.5243881478221812</c:v>
                </c:pt>
                <c:pt idx="69">
                  <c:v>8.4661741342221806</c:v>
                </c:pt>
                <c:pt idx="70">
                  <c:v>8.4242280961507525</c:v>
                </c:pt>
                <c:pt idx="71">
                  <c:v>8.4941762712625994</c:v>
                </c:pt>
                <c:pt idx="72">
                  <c:v>8.3825073994655845</c:v>
                </c:pt>
                <c:pt idx="73">
                  <c:v>8.4178962489865423</c:v>
                </c:pt>
                <c:pt idx="74">
                  <c:v>8.4716992671372164</c:v>
                </c:pt>
                <c:pt idx="75">
                  <c:v>8.47286198087067</c:v>
                </c:pt>
                <c:pt idx="76">
                  <c:v>8.4338327043167673</c:v>
                </c:pt>
                <c:pt idx="77">
                  <c:v>8.4326695547645922</c:v>
                </c:pt>
                <c:pt idx="78">
                  <c:v>8.4353060722465987</c:v>
                </c:pt>
                <c:pt idx="79">
                  <c:v>8.4578410451213362</c:v>
                </c:pt>
                <c:pt idx="80">
                  <c:v>8.5423633078582721</c:v>
                </c:pt>
                <c:pt idx="81">
                  <c:v>8.4998952232680924</c:v>
                </c:pt>
                <c:pt idx="82">
                  <c:v>8.5119435969957706</c:v>
                </c:pt>
                <c:pt idx="83">
                  <c:v>8.4497836237103918</c:v>
                </c:pt>
                <c:pt idx="84">
                  <c:v>8.4749468594255255</c:v>
                </c:pt>
                <c:pt idx="85">
                  <c:v>8.4561904485756259</c:v>
                </c:pt>
                <c:pt idx="86">
                  <c:v>8.3594480278573453</c:v>
                </c:pt>
                <c:pt idx="87">
                  <c:v>8.2866901318369717</c:v>
                </c:pt>
                <c:pt idx="88">
                  <c:v>8.1259537096029586</c:v>
                </c:pt>
                <c:pt idx="89">
                  <c:v>8.0942121882799807</c:v>
                </c:pt>
                <c:pt idx="90">
                  <c:v>8.1161257879553155</c:v>
                </c:pt>
                <c:pt idx="91">
                  <c:v>8.037694945005855</c:v>
                </c:pt>
                <c:pt idx="92">
                  <c:v>8.0127499200215642</c:v>
                </c:pt>
                <c:pt idx="93">
                  <c:v>8.1019188282514083</c:v>
                </c:pt>
                <c:pt idx="94">
                  <c:v>8.0831864550060555</c:v>
                </c:pt>
                <c:pt idx="95">
                  <c:v>8.0238221044086568</c:v>
                </c:pt>
                <c:pt idx="96">
                  <c:v>8.0443524276127949</c:v>
                </c:pt>
                <c:pt idx="97">
                  <c:v>8.0432755346057778</c:v>
                </c:pt>
                <c:pt idx="98">
                  <c:v>8.1320319664898744</c:v>
                </c:pt>
                <c:pt idx="99">
                  <c:v>8.2039003311643501</c:v>
                </c:pt>
                <c:pt idx="100">
                  <c:v>8.1222384228198585</c:v>
                </c:pt>
                <c:pt idx="101">
                  <c:v>8.0672336492503458</c:v>
                </c:pt>
                <c:pt idx="102">
                  <c:v>8.1094237263650122</c:v>
                </c:pt>
                <c:pt idx="103">
                  <c:v>8.0520644483665045</c:v>
                </c:pt>
                <c:pt idx="104">
                  <c:v>8.150728823371221</c:v>
                </c:pt>
                <c:pt idx="105">
                  <c:v>8.0183987769356886</c:v>
                </c:pt>
                <c:pt idx="106">
                  <c:v>8.0466856978842873</c:v>
                </c:pt>
                <c:pt idx="107">
                  <c:v>7.7974762691861832</c:v>
                </c:pt>
                <c:pt idx="108">
                  <c:v>7.6848359575909448</c:v>
                </c:pt>
                <c:pt idx="109">
                  <c:v>7.7284447311641831</c:v>
                </c:pt>
                <c:pt idx="110">
                  <c:v>7.836159800667799</c:v>
                </c:pt>
                <c:pt idx="111">
                  <c:v>7.7473673992801055</c:v>
                </c:pt>
                <c:pt idx="112">
                  <c:v>7.8099041007924344</c:v>
                </c:pt>
                <c:pt idx="113">
                  <c:v>7.729964947690152</c:v>
                </c:pt>
                <c:pt idx="114">
                  <c:v>7.6512352386042224</c:v>
                </c:pt>
                <c:pt idx="115">
                  <c:v>7.6460292271591008</c:v>
                </c:pt>
                <c:pt idx="116">
                  <c:v>7.6455885163774582</c:v>
                </c:pt>
                <c:pt idx="117">
                  <c:v>7.6322713830879847</c:v>
                </c:pt>
                <c:pt idx="118">
                  <c:v>7.6739079812334392</c:v>
                </c:pt>
                <c:pt idx="119">
                  <c:v>7.5689788375245612</c:v>
                </c:pt>
                <c:pt idx="120">
                  <c:v>7.5195931514342389</c:v>
                </c:pt>
                <c:pt idx="121">
                  <c:v>7.5253553297656905</c:v>
                </c:pt>
                <c:pt idx="122">
                  <c:v>7.6083459262255122</c:v>
                </c:pt>
                <c:pt idx="123">
                  <c:v>7.7024072970733375</c:v>
                </c:pt>
                <c:pt idx="124">
                  <c:v>7.65461028420546</c:v>
                </c:pt>
                <c:pt idx="125">
                  <c:v>7.749284193143537</c:v>
                </c:pt>
                <c:pt idx="126">
                  <c:v>7.7422043817524031</c:v>
                </c:pt>
                <c:pt idx="127">
                  <c:v>7.622940115252403</c:v>
                </c:pt>
                <c:pt idx="128">
                  <c:v>7.4651831921305627</c:v>
                </c:pt>
                <c:pt idx="129">
                  <c:v>7.6196514885158084</c:v>
                </c:pt>
                <c:pt idx="130">
                  <c:v>7.6987415205765553</c:v>
                </c:pt>
                <c:pt idx="131">
                  <c:v>7.7075018883765551</c:v>
                </c:pt>
                <c:pt idx="132">
                  <c:v>7.6683063612072342</c:v>
                </c:pt>
                <c:pt idx="133">
                  <c:v>7.7592683219019696</c:v>
                </c:pt>
                <c:pt idx="134">
                  <c:v>7.7578818260080293</c:v>
                </c:pt>
                <c:pt idx="135">
                  <c:v>7.7886621613185989</c:v>
                </c:pt>
                <c:pt idx="136">
                  <c:v>7.694261335293481</c:v>
                </c:pt>
                <c:pt idx="137">
                  <c:v>7.6859375009910158</c:v>
                </c:pt>
                <c:pt idx="138">
                  <c:v>7.4630437215417933</c:v>
                </c:pt>
                <c:pt idx="139">
                  <c:v>7.3519432434316636</c:v>
                </c:pt>
                <c:pt idx="140">
                  <c:v>7.4879515917740278</c:v>
                </c:pt>
                <c:pt idx="141">
                  <c:v>7.4549813504215692</c:v>
                </c:pt>
                <c:pt idx="142">
                  <c:v>7.3617316422780901</c:v>
                </c:pt>
                <c:pt idx="143">
                  <c:v>7.4362168946485969</c:v>
                </c:pt>
                <c:pt idx="144">
                  <c:v>7.3785150740807399</c:v>
                </c:pt>
                <c:pt idx="145">
                  <c:v>7.3079539190144773</c:v>
                </c:pt>
                <c:pt idx="146">
                  <c:v>7.3562295085073401</c:v>
                </c:pt>
                <c:pt idx="147">
                  <c:v>7.2481194256852195</c:v>
                </c:pt>
                <c:pt idx="148">
                  <c:v>7.3072998360556287</c:v>
                </c:pt>
                <c:pt idx="149">
                  <c:v>7.1279143064672423</c:v>
                </c:pt>
                <c:pt idx="150">
                  <c:v>6.7987454743557914</c:v>
                </c:pt>
                <c:pt idx="151">
                  <c:v>6.7914496095764045</c:v>
                </c:pt>
                <c:pt idx="152">
                  <c:v>6.8061278760518134</c:v>
                </c:pt>
                <c:pt idx="153">
                  <c:v>6.8184139285753425</c:v>
                </c:pt>
                <c:pt idx="154">
                  <c:v>6.7106748797213305</c:v>
                </c:pt>
                <c:pt idx="155">
                  <c:v>6.7945124017684728</c:v>
                </c:pt>
                <c:pt idx="156">
                  <c:v>6.7329123076443329</c:v>
                </c:pt>
                <c:pt idx="157">
                  <c:v>6.8302215879142834</c:v>
                </c:pt>
                <c:pt idx="158">
                  <c:v>6.8477400409929521</c:v>
                </c:pt>
                <c:pt idx="159">
                  <c:v>6.8635275250469867</c:v>
                </c:pt>
                <c:pt idx="160">
                  <c:v>6.9530648820422822</c:v>
                </c:pt>
                <c:pt idx="161">
                  <c:v>6.8214066724487941</c:v>
                </c:pt>
                <c:pt idx="162">
                  <c:v>6.6617557420152957</c:v>
                </c:pt>
                <c:pt idx="163">
                  <c:v>6.6577405737328954</c:v>
                </c:pt>
                <c:pt idx="164">
                  <c:v>6.8780338655825508</c:v>
                </c:pt>
                <c:pt idx="165">
                  <c:v>6.8502912526641362</c:v>
                </c:pt>
                <c:pt idx="166">
                  <c:v>6.7720228026141358</c:v>
                </c:pt>
                <c:pt idx="167">
                  <c:v>6.7428031227003853</c:v>
                </c:pt>
                <c:pt idx="168">
                  <c:v>6.6425542814236458</c:v>
                </c:pt>
                <c:pt idx="169">
                  <c:v>6.6831396395847724</c:v>
                </c:pt>
                <c:pt idx="170">
                  <c:v>6.7110052259203528</c:v>
                </c:pt>
                <c:pt idx="171">
                  <c:v>6.7376155924450734</c:v>
                </c:pt>
                <c:pt idx="172">
                  <c:v>6.6812710953803167</c:v>
                </c:pt>
                <c:pt idx="173">
                  <c:v>6.745179881299169</c:v>
                </c:pt>
                <c:pt idx="174">
                  <c:v>6.7236337660582759</c:v>
                </c:pt>
                <c:pt idx="175">
                  <c:v>6.6078891871165721</c:v>
                </c:pt>
                <c:pt idx="176">
                  <c:v>6.5059242312818268</c:v>
                </c:pt>
                <c:pt idx="177">
                  <c:v>6.3949549997993449</c:v>
                </c:pt>
                <c:pt idx="178">
                  <c:v>6.4389810261372116</c:v>
                </c:pt>
                <c:pt idx="179">
                  <c:v>6.5067179424338484</c:v>
                </c:pt>
                <c:pt idx="180">
                  <c:v>6.4714711067527801</c:v>
                </c:pt>
                <c:pt idx="181">
                  <c:v>6.3896619659278162</c:v>
                </c:pt>
                <c:pt idx="182">
                  <c:v>6.2790608219146407</c:v>
                </c:pt>
                <c:pt idx="183">
                  <c:v>6.1519443636326301</c:v>
                </c:pt>
                <c:pt idx="184">
                  <c:v>6.0872804755693606</c:v>
                </c:pt>
                <c:pt idx="185">
                  <c:v>5.9716387380803519</c:v>
                </c:pt>
                <c:pt idx="186">
                  <c:v>6.1387772561376108</c:v>
                </c:pt>
                <c:pt idx="187">
                  <c:v>6.0590744181066665</c:v>
                </c:pt>
                <c:pt idx="188">
                  <c:v>6.0121832948388301</c:v>
                </c:pt>
                <c:pt idx="189">
                  <c:v>5.89741436738466</c:v>
                </c:pt>
                <c:pt idx="190">
                  <c:v>5.7741347923084563</c:v>
                </c:pt>
                <c:pt idx="191">
                  <c:v>5.6650397162508321</c:v>
                </c:pt>
                <c:pt idx="192">
                  <c:v>5.666990504565768</c:v>
                </c:pt>
                <c:pt idx="193">
                  <c:v>5.7812375616516558</c:v>
                </c:pt>
                <c:pt idx="194">
                  <c:v>5.7677428577610339</c:v>
                </c:pt>
                <c:pt idx="195">
                  <c:v>5.7510251915773907</c:v>
                </c:pt>
                <c:pt idx="196">
                  <c:v>5.8638507026045188</c:v>
                </c:pt>
                <c:pt idx="197">
                  <c:v>5.9180590111515974</c:v>
                </c:pt>
                <c:pt idx="198">
                  <c:v>5.8957467559917855</c:v>
                </c:pt>
                <c:pt idx="199">
                  <c:v>5.9427181622953702</c:v>
                </c:pt>
                <c:pt idx="200">
                  <c:v>5.9625621649816587</c:v>
                </c:pt>
                <c:pt idx="201">
                  <c:v>5.9493733028612379</c:v>
                </c:pt>
                <c:pt idx="202">
                  <c:v>5.9865255900593128</c:v>
                </c:pt>
                <c:pt idx="203">
                  <c:v>5.9380635931561434</c:v>
                </c:pt>
                <c:pt idx="204">
                  <c:v>6.027415377297431</c:v>
                </c:pt>
                <c:pt idx="205">
                  <c:v>6.0310342262332179</c:v>
                </c:pt>
                <c:pt idx="206">
                  <c:v>5.9197943508952529</c:v>
                </c:pt>
                <c:pt idx="207">
                  <c:v>5.9211609793627984</c:v>
                </c:pt>
                <c:pt idx="208">
                  <c:v>5.9085184874581067</c:v>
                </c:pt>
                <c:pt idx="209">
                  <c:v>5.8827538519524714</c:v>
                </c:pt>
                <c:pt idx="210">
                  <c:v>5.8352465856290143</c:v>
                </c:pt>
                <c:pt idx="211">
                  <c:v>5.895134145781058</c:v>
                </c:pt>
                <c:pt idx="212">
                  <c:v>5.7995468486158179</c:v>
                </c:pt>
                <c:pt idx="213">
                  <c:v>5.8159336995862594</c:v>
                </c:pt>
                <c:pt idx="214">
                  <c:v>5.731782503808561</c:v>
                </c:pt>
                <c:pt idx="215">
                  <c:v>5.6348533546877899</c:v>
                </c:pt>
                <c:pt idx="216">
                  <c:v>5.5915077533973134</c:v>
                </c:pt>
                <c:pt idx="217">
                  <c:v>5.7487459937647358</c:v>
                </c:pt>
                <c:pt idx="218">
                  <c:v>5.6651944024483161</c:v>
                </c:pt>
                <c:pt idx="219">
                  <c:v>5.5949649272631632</c:v>
                </c:pt>
                <c:pt idx="220">
                  <c:v>5.6553518358395856</c:v>
                </c:pt>
                <c:pt idx="221">
                  <c:v>5.8915488534218969</c:v>
                </c:pt>
                <c:pt idx="222">
                  <c:v>5.8208358112819161</c:v>
                </c:pt>
                <c:pt idx="223">
                  <c:v>5.8945714850953523</c:v>
                </c:pt>
                <c:pt idx="224">
                  <c:v>5.8904134403130399</c:v>
                </c:pt>
                <c:pt idx="225">
                  <c:v>5.93846976352983</c:v>
                </c:pt>
                <c:pt idx="226">
                  <c:v>6.0051720688233168</c:v>
                </c:pt>
                <c:pt idx="227">
                  <c:v>6.1216322642219572</c:v>
                </c:pt>
                <c:pt idx="228">
                  <c:v>5.9066211853285084</c:v>
                </c:pt>
                <c:pt idx="229">
                  <c:v>5.8407844284896191</c:v>
                </c:pt>
                <c:pt idx="230">
                  <c:v>5.7893704773899257</c:v>
                </c:pt>
                <c:pt idx="231">
                  <c:v>5.874117039231102</c:v>
                </c:pt>
                <c:pt idx="232">
                  <c:v>5.9673924484396723</c:v>
                </c:pt>
                <c:pt idx="233">
                  <c:v>5.8029958413665188</c:v>
                </c:pt>
                <c:pt idx="234">
                  <c:v>5.683329278913142</c:v>
                </c:pt>
                <c:pt idx="235">
                  <c:v>5.818192713584394</c:v>
                </c:pt>
                <c:pt idx="236">
                  <c:v>5.7834783199419419</c:v>
                </c:pt>
                <c:pt idx="237">
                  <c:v>5.861788910837805</c:v>
                </c:pt>
                <c:pt idx="238">
                  <c:v>5.9058243105416368</c:v>
                </c:pt>
                <c:pt idx="239">
                  <c:v>5.925829794494609</c:v>
                </c:pt>
                <c:pt idx="240">
                  <c:v>5.7916319559825826</c:v>
                </c:pt>
                <c:pt idx="241">
                  <c:v>5.7391949768412207</c:v>
                </c:pt>
                <c:pt idx="242">
                  <c:v>5.5415611182472349</c:v>
                </c:pt>
                <c:pt idx="243">
                  <c:v>5.4733896882803972</c:v>
                </c:pt>
                <c:pt idx="244">
                  <c:v>5.552726074191737</c:v>
                </c:pt>
                <c:pt idx="245">
                  <c:v>5.7833488359501937</c:v>
                </c:pt>
                <c:pt idx="246">
                  <c:v>5.6936264885100343</c:v>
                </c:pt>
                <c:pt idx="247">
                  <c:v>5.4727889046188407</c:v>
                </c:pt>
                <c:pt idx="248">
                  <c:v>5.4382810369278047</c:v>
                </c:pt>
                <c:pt idx="249">
                  <c:v>5.0326438715468766</c:v>
                </c:pt>
                <c:pt idx="250">
                  <c:v>5.1173351319916085</c:v>
                </c:pt>
                <c:pt idx="251">
                  <c:v>5.1777574626141005</c:v>
                </c:pt>
                <c:pt idx="252">
                  <c:v>5.2763306450399856</c:v>
                </c:pt>
                <c:pt idx="253">
                  <c:v>5.0283927246311322</c:v>
                </c:pt>
                <c:pt idx="254">
                  <c:v>5.3339175100456178</c:v>
                </c:pt>
                <c:pt idx="255">
                  <c:v>5.2982485675441557</c:v>
                </c:pt>
                <c:pt idx="256">
                  <c:v>5.3039601566906693</c:v>
                </c:pt>
                <c:pt idx="257">
                  <c:v>5.333312287819898</c:v>
                </c:pt>
                <c:pt idx="258">
                  <c:v>5.5529768959805601</c:v>
                </c:pt>
                <c:pt idx="259">
                  <c:v>5.2966732086614474</c:v>
                </c:pt>
                <c:pt idx="260">
                  <c:v>5.1102062109379034</c:v>
                </c:pt>
                <c:pt idx="261">
                  <c:v>5.2411928797141334</c:v>
                </c:pt>
                <c:pt idx="262">
                  <c:v>5.1389716637169807</c:v>
                </c:pt>
                <c:pt idx="263">
                  <c:v>5.1534143167663071</c:v>
                </c:pt>
                <c:pt idx="264">
                  <c:v>5.0757581402652132</c:v>
                </c:pt>
                <c:pt idx="265">
                  <c:v>5.0588963959944291</c:v>
                </c:pt>
                <c:pt idx="266">
                  <c:v>5.1021860874690219</c:v>
                </c:pt>
                <c:pt idx="267">
                  <c:v>5.0592198980547787</c:v>
                </c:pt>
                <c:pt idx="268">
                  <c:v>4.9171351325408645</c:v>
                </c:pt>
                <c:pt idx="269">
                  <c:v>5.0188661073159579</c:v>
                </c:pt>
                <c:pt idx="270">
                  <c:v>5.0369711565618687</c:v>
                </c:pt>
                <c:pt idx="271">
                  <c:v>5.0130232399575716</c:v>
                </c:pt>
                <c:pt idx="272">
                  <c:v>4.9881479554768005</c:v>
                </c:pt>
                <c:pt idx="273">
                  <c:v>4.9140060301299204</c:v>
                </c:pt>
                <c:pt idx="274">
                  <c:v>4.8277480666464134</c:v>
                </c:pt>
                <c:pt idx="275">
                  <c:v>4.828105320914986</c:v>
                </c:pt>
                <c:pt idx="276">
                  <c:v>4.7375347839236968</c:v>
                </c:pt>
                <c:pt idx="277">
                  <c:v>4.6166089104172201</c:v>
                </c:pt>
                <c:pt idx="278">
                  <c:v>4.6106021441769069</c:v>
                </c:pt>
                <c:pt idx="279">
                  <c:v>4.7039227895082094</c:v>
                </c:pt>
                <c:pt idx="280">
                  <c:v>4.5441734086721786</c:v>
                </c:pt>
                <c:pt idx="281">
                  <c:v>4.7079322016508698</c:v>
                </c:pt>
                <c:pt idx="282">
                  <c:v>4.7697309240996137</c:v>
                </c:pt>
                <c:pt idx="283">
                  <c:v>4.6493465035028256</c:v>
                </c:pt>
                <c:pt idx="284">
                  <c:v>4.7308848745582619</c:v>
                </c:pt>
                <c:pt idx="285">
                  <c:v>4.7303802536657296</c:v>
                </c:pt>
                <c:pt idx="286">
                  <c:v>4.8685777382192867</c:v>
                </c:pt>
                <c:pt idx="287">
                  <c:v>4.8939372838781408</c:v>
                </c:pt>
                <c:pt idx="288">
                  <c:v>4.8607479208649131</c:v>
                </c:pt>
                <c:pt idx="289">
                  <c:v>4.8495940180904595</c:v>
                </c:pt>
                <c:pt idx="290">
                  <c:v>4.7782084268099503</c:v>
                </c:pt>
                <c:pt idx="291">
                  <c:v>4.7840046306648141</c:v>
                </c:pt>
                <c:pt idx="292">
                  <c:v>4.7630544843260889</c:v>
                </c:pt>
                <c:pt idx="293">
                  <c:v>4.7546812066131654</c:v>
                </c:pt>
                <c:pt idx="294">
                  <c:v>4.7659846084983135</c:v>
                </c:pt>
                <c:pt idx="295">
                  <c:v>4.7202819664921156</c:v>
                </c:pt>
                <c:pt idx="296">
                  <c:v>4.7647086819109736</c:v>
                </c:pt>
                <c:pt idx="297">
                  <c:v>4.7871698237345912</c:v>
                </c:pt>
                <c:pt idx="298">
                  <c:v>4.7099738944611156</c:v>
                </c:pt>
                <c:pt idx="299">
                  <c:v>4.6532657853658854</c:v>
                </c:pt>
                <c:pt idx="300">
                  <c:v>4.8051774434193799</c:v>
                </c:pt>
                <c:pt idx="301">
                  <c:v>4.7192101240726059</c:v>
                </c:pt>
                <c:pt idx="302">
                  <c:v>4.7200296061284828</c:v>
                </c:pt>
                <c:pt idx="303">
                  <c:v>4.6450369547522579</c:v>
                </c:pt>
                <c:pt idx="304">
                  <c:v>4.6588131530319306</c:v>
                </c:pt>
                <c:pt idx="305">
                  <c:v>4.6082992793426172</c:v>
                </c:pt>
                <c:pt idx="306">
                  <c:v>4.6079189222708052</c:v>
                </c:pt>
                <c:pt idx="307">
                  <c:v>4.5935350261914998</c:v>
                </c:pt>
                <c:pt idx="308">
                  <c:v>4.5222915312676371</c:v>
                </c:pt>
                <c:pt idx="309">
                  <c:v>4.5196887909522703</c:v>
                </c:pt>
                <c:pt idx="310">
                  <c:v>4.5680664165746743</c:v>
                </c:pt>
                <c:pt idx="311">
                  <c:v>4.6173809030839603</c:v>
                </c:pt>
                <c:pt idx="312">
                  <c:v>4.6707938771638426</c:v>
                </c:pt>
                <c:pt idx="313">
                  <c:v>4.6983010571327632</c:v>
                </c:pt>
                <c:pt idx="314">
                  <c:v>4.7799345168522702</c:v>
                </c:pt>
                <c:pt idx="315">
                  <c:v>4.715272353981443</c:v>
                </c:pt>
                <c:pt idx="316">
                  <c:v>4.7505560449684046</c:v>
                </c:pt>
                <c:pt idx="317">
                  <c:v>4.7050918981298997</c:v>
                </c:pt>
                <c:pt idx="318">
                  <c:v>4.6213744187229766</c:v>
                </c:pt>
                <c:pt idx="319">
                  <c:v>4.7077550611872248</c:v>
                </c:pt>
                <c:pt idx="320">
                  <c:v>4.7446069615747124</c:v>
                </c:pt>
                <c:pt idx="321">
                  <c:v>4.7173338794669144</c:v>
                </c:pt>
                <c:pt idx="322">
                  <c:v>4.7166050688276151</c:v>
                </c:pt>
                <c:pt idx="323">
                  <c:v>4.7208139698154827</c:v>
                </c:pt>
                <c:pt idx="324">
                  <c:v>4.7463637501975464</c:v>
                </c:pt>
                <c:pt idx="325">
                  <c:v>4.6582478881064002</c:v>
                </c:pt>
                <c:pt idx="326">
                  <c:v>4.6270341910416253</c:v>
                </c:pt>
                <c:pt idx="327">
                  <c:v>4.5792457036701526</c:v>
                </c:pt>
                <c:pt idx="328">
                  <c:v>4.5660602532430463</c:v>
                </c:pt>
                <c:pt idx="329">
                  <c:v>4.5405585363744203</c:v>
                </c:pt>
                <c:pt idx="330">
                  <c:v>4.6066790336828269</c:v>
                </c:pt>
                <c:pt idx="331">
                  <c:v>4.6331573723436366</c:v>
                </c:pt>
                <c:pt idx="332">
                  <c:v>4.6341824041996613</c:v>
                </c:pt>
                <c:pt idx="333">
                  <c:v>4.500899910242885</c:v>
                </c:pt>
                <c:pt idx="334">
                  <c:v>4.3636084849268357</c:v>
                </c:pt>
                <c:pt idx="335">
                  <c:v>4.36803293219329</c:v>
                </c:pt>
                <c:pt idx="336">
                  <c:v>4.3079032199855263</c:v>
                </c:pt>
                <c:pt idx="337">
                  <c:v>4.4187345690529529</c:v>
                </c:pt>
                <c:pt idx="338">
                  <c:v>4.4408066645630724</c:v>
                </c:pt>
                <c:pt idx="339">
                  <c:v>4.2702904780292679</c:v>
                </c:pt>
                <c:pt idx="340">
                  <c:v>4.126276117912183</c:v>
                </c:pt>
                <c:pt idx="341">
                  <c:v>4.0996871005222077</c:v>
                </c:pt>
                <c:pt idx="342">
                  <c:v>4.0650818477487025</c:v>
                </c:pt>
                <c:pt idx="343">
                  <c:v>3.9103005243039024</c:v>
                </c:pt>
                <c:pt idx="344">
                  <c:v>3.9457888730688371</c:v>
                </c:pt>
                <c:pt idx="345">
                  <c:v>3.8408781433238479</c:v>
                </c:pt>
                <c:pt idx="346">
                  <c:v>3.7322606966986291</c:v>
                </c:pt>
                <c:pt idx="347">
                  <c:v>3.639740648399544</c:v>
                </c:pt>
                <c:pt idx="348">
                  <c:v>3.7131928307625794</c:v>
                </c:pt>
                <c:pt idx="349">
                  <c:v>3.7942519854921515</c:v>
                </c:pt>
                <c:pt idx="350">
                  <c:v>3.7012296534623457</c:v>
                </c:pt>
                <c:pt idx="351">
                  <c:v>3.6390561557584529</c:v>
                </c:pt>
                <c:pt idx="352">
                  <c:v>3.6153123928110795</c:v>
                </c:pt>
                <c:pt idx="353">
                  <c:v>3.6303947061057871</c:v>
                </c:pt>
                <c:pt idx="354">
                  <c:v>3.4556379351623163</c:v>
                </c:pt>
                <c:pt idx="355">
                  <c:v>3.4423162354879921</c:v>
                </c:pt>
                <c:pt idx="356">
                  <c:v>3.4802176517376808</c:v>
                </c:pt>
                <c:pt idx="357">
                  <c:v>3.4013750033928631</c:v>
                </c:pt>
                <c:pt idx="358">
                  <c:v>3.4793379701736327</c:v>
                </c:pt>
                <c:pt idx="359">
                  <c:v>3.2022663953615185</c:v>
                </c:pt>
                <c:pt idx="360">
                  <c:v>3.1295201010482656</c:v>
                </c:pt>
                <c:pt idx="361">
                  <c:v>3.0514009507629063</c:v>
                </c:pt>
                <c:pt idx="362">
                  <c:v>3.1184847286841828</c:v>
                </c:pt>
                <c:pt idx="363">
                  <c:v>3.1337503595396199</c:v>
                </c:pt>
                <c:pt idx="364">
                  <c:v>3.1467009768927872</c:v>
                </c:pt>
                <c:pt idx="365">
                  <c:v>3.0646971403195593</c:v>
                </c:pt>
                <c:pt idx="366">
                  <c:v>3.1810682226712443</c:v>
                </c:pt>
                <c:pt idx="367">
                  <c:v>3.1481831687681847</c:v>
                </c:pt>
                <c:pt idx="368">
                  <c:v>3.3189793677364263</c:v>
                </c:pt>
                <c:pt idx="369">
                  <c:v>3.3225945584675931</c:v>
                </c:pt>
                <c:pt idx="370">
                  <c:v>3.0930889041754392</c:v>
                </c:pt>
                <c:pt idx="371">
                  <c:v>2.9491983527771426</c:v>
                </c:pt>
                <c:pt idx="372">
                  <c:v>3.0921410956915993</c:v>
                </c:pt>
                <c:pt idx="373">
                  <c:v>2.8002818967776077</c:v>
                </c:pt>
                <c:pt idx="374">
                  <c:v>2.887746081892717</c:v>
                </c:pt>
                <c:pt idx="375">
                  <c:v>2.9644963368425459</c:v>
                </c:pt>
                <c:pt idx="376">
                  <c:v>3.0616757902653711</c:v>
                </c:pt>
                <c:pt idx="377">
                  <c:v>2.6206808314208816</c:v>
                </c:pt>
                <c:pt idx="378">
                  <c:v>2.6892353566621576</c:v>
                </c:pt>
                <c:pt idx="379">
                  <c:v>2.2351951874180673</c:v>
                </c:pt>
                <c:pt idx="380">
                  <c:v>1.9921720812766313</c:v>
                </c:pt>
                <c:pt idx="381">
                  <c:v>1.9985359199002566</c:v>
                </c:pt>
                <c:pt idx="382">
                  <c:v>1.9887541041679997</c:v>
                </c:pt>
                <c:pt idx="383">
                  <c:v>1.9899342490128209</c:v>
                </c:pt>
                <c:pt idx="384">
                  <c:v>1.897590511500663</c:v>
                </c:pt>
                <c:pt idx="385">
                  <c:v>1.8963760926960653</c:v>
                </c:pt>
                <c:pt idx="386">
                  <c:v>2.0377950489900654</c:v>
                </c:pt>
                <c:pt idx="387">
                  <c:v>1.9805284703077668</c:v>
                </c:pt>
                <c:pt idx="388">
                  <c:v>1.9088596553999344</c:v>
                </c:pt>
                <c:pt idx="389">
                  <c:v>1.9460348287500742</c:v>
                </c:pt>
                <c:pt idx="390">
                  <c:v>1.7398955011455313</c:v>
                </c:pt>
                <c:pt idx="391">
                  <c:v>1.6095781197519616</c:v>
                </c:pt>
                <c:pt idx="392">
                  <c:v>1.8918363143451065</c:v>
                </c:pt>
                <c:pt idx="393">
                  <c:v>1.5805800763087121</c:v>
                </c:pt>
                <c:pt idx="394">
                  <c:v>1.710540086120012</c:v>
                </c:pt>
                <c:pt idx="395">
                  <c:v>1.3670432922282907</c:v>
                </c:pt>
                <c:pt idx="396">
                  <c:v>1.1179177584723861</c:v>
                </c:pt>
                <c:pt idx="397">
                  <c:v>1.1438889672351518</c:v>
                </c:pt>
                <c:pt idx="398">
                  <c:v>1.1416190197962419</c:v>
                </c:pt>
                <c:pt idx="399">
                  <c:v>1.1222022312829034</c:v>
                </c:pt>
                <c:pt idx="400">
                  <c:v>1.0653088163698847</c:v>
                </c:pt>
                <c:pt idx="401">
                  <c:v>1.1117672812626804</c:v>
                </c:pt>
                <c:pt idx="402">
                  <c:v>1.0489976899371349</c:v>
                </c:pt>
                <c:pt idx="403">
                  <c:v>1.1045586822531772</c:v>
                </c:pt>
                <c:pt idx="404">
                  <c:v>1.1275428854932485</c:v>
                </c:pt>
                <c:pt idx="405">
                  <c:v>1.1610105737116241</c:v>
                </c:pt>
                <c:pt idx="406">
                  <c:v>1.1706336953588474</c:v>
                </c:pt>
                <c:pt idx="407">
                  <c:v>1.2484860257802226</c:v>
                </c:pt>
                <c:pt idx="408">
                  <c:v>1.1743367218523459</c:v>
                </c:pt>
                <c:pt idx="409">
                  <c:v>1.1286383720142807</c:v>
                </c:pt>
                <c:pt idx="410">
                  <c:v>1.1344767098503463</c:v>
                </c:pt>
                <c:pt idx="411">
                  <c:v>1.1380062799738664</c:v>
                </c:pt>
                <c:pt idx="412">
                  <c:v>1.1277901427213912</c:v>
                </c:pt>
                <c:pt idx="413">
                  <c:v>1.1464655702253503</c:v>
                </c:pt>
                <c:pt idx="414">
                  <c:v>1.1483788807331492</c:v>
                </c:pt>
                <c:pt idx="415">
                  <c:v>1.1172605813186376</c:v>
                </c:pt>
                <c:pt idx="416">
                  <c:v>1.1568541555010146</c:v>
                </c:pt>
                <c:pt idx="417">
                  <c:v>1.1658292068183103</c:v>
                </c:pt>
                <c:pt idx="418">
                  <c:v>1.1596063444744031</c:v>
                </c:pt>
                <c:pt idx="419">
                  <c:v>1.1180273630481838</c:v>
                </c:pt>
                <c:pt idx="420">
                  <c:v>1.1633090891162168</c:v>
                </c:pt>
                <c:pt idx="421">
                  <c:v>1.181442111845459</c:v>
                </c:pt>
                <c:pt idx="422">
                  <c:v>1.1317194959737846</c:v>
                </c:pt>
                <c:pt idx="423">
                  <c:v>1.1847256404859856</c:v>
                </c:pt>
                <c:pt idx="424">
                  <c:v>1.1349434583025626</c:v>
                </c:pt>
                <c:pt idx="425">
                  <c:v>1.0847115277360437</c:v>
                </c:pt>
                <c:pt idx="426">
                  <c:v>1.0559857675799453</c:v>
                </c:pt>
                <c:pt idx="427">
                  <c:v>1.0474813325992951</c:v>
                </c:pt>
                <c:pt idx="428">
                  <c:v>1.0888509285004193</c:v>
                </c:pt>
                <c:pt idx="429">
                  <c:v>1.1448066204901746</c:v>
                </c:pt>
                <c:pt idx="430">
                  <c:v>1.2149400348503581</c:v>
                </c:pt>
                <c:pt idx="431">
                  <c:v>1.0935957437312387</c:v>
                </c:pt>
                <c:pt idx="432">
                  <c:v>1.0876863674636488</c:v>
                </c:pt>
                <c:pt idx="433">
                  <c:v>0.95195231006659675</c:v>
                </c:pt>
                <c:pt idx="434">
                  <c:v>0.89105862242706169</c:v>
                </c:pt>
                <c:pt idx="435">
                  <c:v>0.85928969418117296</c:v>
                </c:pt>
                <c:pt idx="436">
                  <c:v>0.87973542736668386</c:v>
                </c:pt>
                <c:pt idx="437">
                  <c:v>0.78907310849816614</c:v>
                </c:pt>
                <c:pt idx="438">
                  <c:v>0.77355032202181517</c:v>
                </c:pt>
                <c:pt idx="439">
                  <c:v>0.79255164415043056</c:v>
                </c:pt>
                <c:pt idx="440">
                  <c:v>0.7871951257677533</c:v>
                </c:pt>
                <c:pt idx="441">
                  <c:v>0.75635920986136818</c:v>
                </c:pt>
                <c:pt idx="442">
                  <c:v>0.7501816222391926</c:v>
                </c:pt>
                <c:pt idx="443">
                  <c:v>0.79560954605710998</c:v>
                </c:pt>
                <c:pt idx="444">
                  <c:v>0.78545682480155998</c:v>
                </c:pt>
                <c:pt idx="445">
                  <c:v>0.78830532143257559</c:v>
                </c:pt>
                <c:pt idx="446">
                  <c:v>0.75430555520057574</c:v>
                </c:pt>
                <c:pt idx="447">
                  <c:v>0.84950632821059391</c:v>
                </c:pt>
                <c:pt idx="448">
                  <c:v>0.78355084281735166</c:v>
                </c:pt>
                <c:pt idx="449">
                  <c:v>0.75416060031413923</c:v>
                </c:pt>
                <c:pt idx="450">
                  <c:v>0.71291338391678971</c:v>
                </c:pt>
                <c:pt idx="451">
                  <c:v>0.67998461891419792</c:v>
                </c:pt>
                <c:pt idx="452">
                  <c:v>0.7073706885055423</c:v>
                </c:pt>
                <c:pt idx="453">
                  <c:v>0.684442580157122</c:v>
                </c:pt>
                <c:pt idx="454">
                  <c:v>0.67987054082444198</c:v>
                </c:pt>
                <c:pt idx="455">
                  <c:v>0.65265416976286894</c:v>
                </c:pt>
                <c:pt idx="456">
                  <c:v>0.6786233683265247</c:v>
                </c:pt>
                <c:pt idx="457">
                  <c:v>0.73450426246516098</c:v>
                </c:pt>
                <c:pt idx="458">
                  <c:v>0.82072632258743361</c:v>
                </c:pt>
                <c:pt idx="459">
                  <c:v>0.72964173615315897</c:v>
                </c:pt>
                <c:pt idx="460">
                  <c:v>0.73959674987193169</c:v>
                </c:pt>
                <c:pt idx="461">
                  <c:v>0.73045532885958131</c:v>
                </c:pt>
                <c:pt idx="462">
                  <c:v>0.76964390588900489</c:v>
                </c:pt>
                <c:pt idx="463">
                  <c:v>0.74946678997996496</c:v>
                </c:pt>
                <c:pt idx="464">
                  <c:v>0.72584163112375044</c:v>
                </c:pt>
                <c:pt idx="465">
                  <c:v>0.76741378561609863</c:v>
                </c:pt>
                <c:pt idx="466">
                  <c:v>0.78343240589792729</c:v>
                </c:pt>
                <c:pt idx="467">
                  <c:v>0.76410033921371678</c:v>
                </c:pt>
                <c:pt idx="468">
                  <c:v>0.75068156321036106</c:v>
                </c:pt>
                <c:pt idx="469">
                  <c:v>0.77169349904135498</c:v>
                </c:pt>
                <c:pt idx="470">
                  <c:v>0.77382069408941212</c:v>
                </c:pt>
                <c:pt idx="471">
                  <c:v>0.79104860006163247</c:v>
                </c:pt>
                <c:pt idx="472">
                  <c:v>0.7871828633974326</c:v>
                </c:pt>
                <c:pt idx="473">
                  <c:v>0.79316684026138318</c:v>
                </c:pt>
                <c:pt idx="474">
                  <c:v>0.79620058420899076</c:v>
                </c:pt>
                <c:pt idx="475">
                  <c:v>0.83577958186798706</c:v>
                </c:pt>
                <c:pt idx="476">
                  <c:v>0.8077439609750775</c:v>
                </c:pt>
                <c:pt idx="477">
                  <c:v>0.73732392173698214</c:v>
                </c:pt>
                <c:pt idx="478">
                  <c:v>0.67726964707605075</c:v>
                </c:pt>
                <c:pt idx="479">
                  <c:v>0.72451911282761849</c:v>
                </c:pt>
                <c:pt idx="480">
                  <c:v>0.73415226288928537</c:v>
                </c:pt>
                <c:pt idx="481">
                  <c:v>0.71276259239700235</c:v>
                </c:pt>
                <c:pt idx="482">
                  <c:v>0.72404635603401901</c:v>
                </c:pt>
                <c:pt idx="483">
                  <c:v>0.72304896435090016</c:v>
                </c:pt>
                <c:pt idx="484">
                  <c:v>0.74879555426290245</c:v>
                </c:pt>
                <c:pt idx="485">
                  <c:v>0.75485600868192904</c:v>
                </c:pt>
                <c:pt idx="486">
                  <c:v>0.74057850257700397</c:v>
                </c:pt>
                <c:pt idx="487">
                  <c:v>0.72385886332421889</c:v>
                </c:pt>
                <c:pt idx="488">
                  <c:v>0.70652658527419865</c:v>
                </c:pt>
                <c:pt idx="489">
                  <c:v>0.71321002108102316</c:v>
                </c:pt>
                <c:pt idx="490">
                  <c:v>0.70008010071577553</c:v>
                </c:pt>
                <c:pt idx="491">
                  <c:v>0.65183375045657821</c:v>
                </c:pt>
                <c:pt idx="492">
                  <c:v>0.71290877910502914</c:v>
                </c:pt>
                <c:pt idx="493">
                  <c:v>0.65739365355826807</c:v>
                </c:pt>
                <c:pt idx="494">
                  <c:v>0.76609008563968917</c:v>
                </c:pt>
                <c:pt idx="495">
                  <c:v>0.77343415292810713</c:v>
                </c:pt>
                <c:pt idx="496">
                  <c:v>0.79935205176377044</c:v>
                </c:pt>
                <c:pt idx="497">
                  <c:v>0.80450621598675587</c:v>
                </c:pt>
                <c:pt idx="498">
                  <c:v>0.74672872538740842</c:v>
                </c:pt>
                <c:pt idx="499">
                  <c:v>0.77072001376450328</c:v>
                </c:pt>
                <c:pt idx="500">
                  <c:v>0.85425398749852155</c:v>
                </c:pt>
                <c:pt idx="501">
                  <c:v>0.84135058913810901</c:v>
                </c:pt>
                <c:pt idx="502">
                  <c:v>0.75006638730032238</c:v>
                </c:pt>
                <c:pt idx="503">
                  <c:v>0.67412080583566547</c:v>
                </c:pt>
                <c:pt idx="504">
                  <c:v>0.6250408958100292</c:v>
                </c:pt>
                <c:pt idx="505">
                  <c:v>0.65984017891665792</c:v>
                </c:pt>
                <c:pt idx="506">
                  <c:v>0.57678519005672735</c:v>
                </c:pt>
                <c:pt idx="507">
                  <c:v>0.61309766341484595</c:v>
                </c:pt>
                <c:pt idx="508">
                  <c:v>0.54550087734087205</c:v>
                </c:pt>
                <c:pt idx="509">
                  <c:v>0.36371868600366603</c:v>
                </c:pt>
                <c:pt idx="510">
                  <c:v>0.46592247576825707</c:v>
                </c:pt>
                <c:pt idx="511">
                  <c:v>0.52030979242341169</c:v>
                </c:pt>
                <c:pt idx="512">
                  <c:v>0.66391011898070762</c:v>
                </c:pt>
                <c:pt idx="513">
                  <c:v>0.61965361748273684</c:v>
                </c:pt>
                <c:pt idx="514">
                  <c:v>0.73056911071360364</c:v>
                </c:pt>
                <c:pt idx="515">
                  <c:v>0.6689870769452706</c:v>
                </c:pt>
                <c:pt idx="516">
                  <c:v>0.70954979334583312</c:v>
                </c:pt>
                <c:pt idx="517">
                  <c:v>0.79085345100314108</c:v>
                </c:pt>
                <c:pt idx="518">
                  <c:v>0.64197785848566369</c:v>
                </c:pt>
                <c:pt idx="519">
                  <c:v>0.82600192602297218</c:v>
                </c:pt>
                <c:pt idx="520">
                  <c:v>0.70495871574190971</c:v>
                </c:pt>
                <c:pt idx="521">
                  <c:v>0.45035162442659177</c:v>
                </c:pt>
                <c:pt idx="522">
                  <c:v>0.30480014535048466</c:v>
                </c:pt>
                <c:pt idx="523">
                  <c:v>0.37598290066419754</c:v>
                </c:pt>
                <c:pt idx="524">
                  <c:v>4.7746384946725567E-3</c:v>
                </c:pt>
                <c:pt idx="525">
                  <c:v>3.0326071697519729E-2</c:v>
                </c:pt>
                <c:pt idx="526">
                  <c:v>1.1121752111528776E-2</c:v>
                </c:pt>
                <c:pt idx="527">
                  <c:v>-5.9408675114754131E-3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C2-45FF-A06D-678C994BD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9602559"/>
        <c:axId val="989604639"/>
      </c:lineChart>
      <c:dateAx>
        <c:axId val="9896025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604639"/>
        <c:crosses val="autoZero"/>
        <c:auto val="1"/>
        <c:lblOffset val="100"/>
        <c:baseTimeUnit val="days"/>
      </c:dateAx>
      <c:valAx>
        <c:axId val="989604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60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06A102E-73A7-4C8A-A579-FF06CEA7CA8E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915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171777-B986-4774-854A-C3011FB0413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55.09</v>
      </c>
      <c r="D2" s="4">
        <f>MIN(D3:D1912)</f>
        <v>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18.079999999999998</v>
      </c>
      <c r="C5">
        <v>18.21</v>
      </c>
      <c r="D5">
        <v>17.54</v>
      </c>
      <c r="E5">
        <v>17.579999999999998</v>
      </c>
      <c r="F5">
        <v>857996.77</v>
      </c>
      <c r="G5">
        <v>17.579999999999998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-0.88059701492537601</v>
      </c>
      <c r="Q5">
        <f t="shared" ref="Q5" si="1">F5*P5</f>
        <v>-755549.39447761443</v>
      </c>
      <c r="R5">
        <f t="shared" ref="R5" si="2">R6+Q5</f>
        <v>818987486.07508695</v>
      </c>
      <c r="S5">
        <f t="shared" ref="S5" si="3">R5/100000</f>
        <v>8189.8748607508696</v>
      </c>
      <c r="T5">
        <f t="shared" ref="T5" si="4">S5/1000</f>
        <v>8.1898748607508693</v>
      </c>
    </row>
    <row r="6" spans="1:20" x14ac:dyDescent="0.25">
      <c r="A6" s="5">
        <v>44587</v>
      </c>
      <c r="B6">
        <v>18.32</v>
      </c>
      <c r="C6">
        <v>20.059999999999999</v>
      </c>
      <c r="D6">
        <v>17.510000000000002</v>
      </c>
      <c r="E6">
        <v>18.079999999999998</v>
      </c>
      <c r="F6">
        <v>14459131.310000001</v>
      </c>
      <c r="G6">
        <v>18.079999999999998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-0.55294117647059027</v>
      </c>
      <c r="Q6">
        <f t="shared" ref="Q6" si="6">F6*P6</f>
        <v>-7995049.0772941476</v>
      </c>
      <c r="R6">
        <f t="shared" ref="R6" si="7">R7+Q6</f>
        <v>819743035.46956456</v>
      </c>
      <c r="S6">
        <f t="shared" ref="S6" si="8">R6/100000</f>
        <v>8197.4303546956453</v>
      </c>
      <c r="T6">
        <f t="shared" ref="T6" si="9">S6/1000</f>
        <v>8.197430354695646</v>
      </c>
    </row>
    <row r="7" spans="1:20" x14ac:dyDescent="0.25">
      <c r="A7" s="5">
        <v>44586</v>
      </c>
      <c r="B7">
        <v>18.02</v>
      </c>
      <c r="C7">
        <v>19.05</v>
      </c>
      <c r="D7">
        <v>17.36</v>
      </c>
      <c r="E7">
        <v>18.309999999999999</v>
      </c>
      <c r="F7">
        <v>9945213.1199999992</v>
      </c>
      <c r="G7">
        <v>18.309999999999999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0.1242603550295841</v>
      </c>
      <c r="Q7">
        <f t="shared" ref="Q7" si="11">F7*P7</f>
        <v>1235795.7131360776</v>
      </c>
      <c r="R7">
        <f t="shared" ref="R7" si="12">R8+Q7</f>
        <v>827738084.54685867</v>
      </c>
      <c r="S7">
        <f t="shared" ref="S7" si="13">R7/100000</f>
        <v>8277.3808454685859</v>
      </c>
      <c r="T7">
        <f t="shared" ref="T7" si="14">S7/1000</f>
        <v>8.2773808454685867</v>
      </c>
    </row>
    <row r="8" spans="1:20" x14ac:dyDescent="0.25">
      <c r="A8" s="5">
        <v>44585</v>
      </c>
      <c r="B8">
        <v>18.809999999999999</v>
      </c>
      <c r="C8">
        <v>18.82</v>
      </c>
      <c r="D8">
        <v>15.83</v>
      </c>
      <c r="E8">
        <v>18.02</v>
      </c>
      <c r="F8">
        <v>20381626.572999999</v>
      </c>
      <c r="G8">
        <v>18.02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0.46488294314381229</v>
      </c>
      <c r="Q8">
        <f t="shared" ref="Q8" si="16">F8*P8</f>
        <v>9475070.5473143719</v>
      </c>
      <c r="R8">
        <f t="shared" ref="R8" si="17">R9+Q8</f>
        <v>826502288.83372259</v>
      </c>
      <c r="S8">
        <f t="shared" ref="S8" si="18">R8/100000</f>
        <v>8265.0228883372256</v>
      </c>
      <c r="T8">
        <f t="shared" ref="T8" si="19">S8/1000</f>
        <v>8.2650228883372261</v>
      </c>
    </row>
    <row r="9" spans="1:20" x14ac:dyDescent="0.25">
      <c r="A9" s="5">
        <v>44584</v>
      </c>
      <c r="B9">
        <v>18.27</v>
      </c>
      <c r="C9">
        <v>19.2</v>
      </c>
      <c r="D9">
        <v>17.73</v>
      </c>
      <c r="E9">
        <v>18.809999999999999</v>
      </c>
      <c r="F9">
        <v>11483380.210000001</v>
      </c>
      <c r="G9">
        <v>18.809999999999999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0.46938775510203962</v>
      </c>
      <c r="Q9">
        <f t="shared" ref="Q9" si="21">F9*P9</f>
        <v>5390158.0577550884</v>
      </c>
      <c r="R9">
        <f t="shared" ref="R9" si="22">R10+Q9</f>
        <v>817027218.28640819</v>
      </c>
      <c r="S9">
        <f t="shared" ref="S9" si="23">R9/100000</f>
        <v>8170.2721828640815</v>
      </c>
      <c r="T9">
        <f t="shared" ref="T9" si="24">S9/1000</f>
        <v>8.1702721828640819</v>
      </c>
    </row>
    <row r="10" spans="1:20" x14ac:dyDescent="0.25">
      <c r="A10" s="5">
        <v>44583</v>
      </c>
      <c r="B10">
        <v>19.66</v>
      </c>
      <c r="C10">
        <v>20.16</v>
      </c>
      <c r="D10">
        <v>16.170000000000002</v>
      </c>
      <c r="E10">
        <v>18.27</v>
      </c>
      <c r="F10">
        <v>23239217.068</v>
      </c>
      <c r="G10">
        <v>18.27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5.2631578947367766E-2</v>
      </c>
      <c r="Q10">
        <f t="shared" ref="Q10" si="26">F10*P10</f>
        <v>1223116.6877894585</v>
      </c>
      <c r="R10">
        <f t="shared" ref="R10" si="27">R11+Q10</f>
        <v>811637060.22865307</v>
      </c>
      <c r="S10">
        <f t="shared" ref="S10" si="28">R10/100000</f>
        <v>8116.3706022865308</v>
      </c>
      <c r="T10">
        <f t="shared" ref="T10" si="29">S10/1000</f>
        <v>8.1163706022865316</v>
      </c>
    </row>
    <row r="11" spans="1:20" x14ac:dyDescent="0.25">
      <c r="A11" s="5">
        <v>44582</v>
      </c>
      <c r="B11">
        <v>23.01</v>
      </c>
      <c r="C11">
        <v>23.48</v>
      </c>
      <c r="D11">
        <v>19.04</v>
      </c>
      <c r="E11">
        <v>19.670000000000002</v>
      </c>
      <c r="F11">
        <v>17269209.912</v>
      </c>
      <c r="G11">
        <v>19.670000000000002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-0.71621621621621512</v>
      </c>
      <c r="Q11">
        <f t="shared" ref="Q11" si="31">F11*P11</f>
        <v>-12368488.180216197</v>
      </c>
      <c r="R11">
        <f t="shared" ref="R11" si="32">R12+Q11</f>
        <v>810413943.54086363</v>
      </c>
      <c r="S11">
        <f t="shared" ref="S11" si="33">R11/100000</f>
        <v>8104.139435408636</v>
      </c>
      <c r="T11">
        <f t="shared" ref="T11" si="34">S11/1000</f>
        <v>8.1041394354086354</v>
      </c>
    </row>
    <row r="12" spans="1:20" x14ac:dyDescent="0.25">
      <c r="A12" s="5">
        <v>44581</v>
      </c>
      <c r="B12">
        <v>24.06</v>
      </c>
      <c r="C12">
        <v>25.62</v>
      </c>
      <c r="D12">
        <v>22.84</v>
      </c>
      <c r="E12">
        <v>23.01</v>
      </c>
      <c r="F12">
        <v>6578668.8200000003</v>
      </c>
      <c r="G12">
        <v>23.01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-0.87769784172661758</v>
      </c>
      <c r="Q12">
        <f t="shared" ref="Q12" si="36">F12*P12</f>
        <v>-5774083.4247481944</v>
      </c>
      <c r="R12">
        <f t="shared" ref="R12" si="37">R13+Q12</f>
        <v>822782431.72107983</v>
      </c>
      <c r="S12">
        <f t="shared" ref="S12" si="38">R12/100000</f>
        <v>8227.8243172107977</v>
      </c>
      <c r="T12">
        <f t="shared" ref="T12" si="39">S12/1000</f>
        <v>8.2278243172107981</v>
      </c>
    </row>
    <row r="13" spans="1:20" x14ac:dyDescent="0.25">
      <c r="A13" s="5">
        <v>44580</v>
      </c>
      <c r="B13">
        <v>25.15</v>
      </c>
      <c r="C13">
        <v>25.3</v>
      </c>
      <c r="D13">
        <v>23.68</v>
      </c>
      <c r="E13">
        <v>24.05</v>
      </c>
      <c r="F13">
        <v>6462252.4100000001</v>
      </c>
      <c r="G13">
        <v>24.05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-0.54320987654320896</v>
      </c>
      <c r="Q13">
        <f t="shared" ref="Q13" si="41">F13*P13</f>
        <v>-3510359.3338271547</v>
      </c>
      <c r="R13">
        <f t="shared" ref="R13" si="42">R14+Q13</f>
        <v>828556515.14582801</v>
      </c>
      <c r="S13">
        <f t="shared" ref="S13" si="43">R13/100000</f>
        <v>8285.5651514582805</v>
      </c>
      <c r="T13">
        <f t="shared" ref="T13" si="44">S13/1000</f>
        <v>8.2855651514582807</v>
      </c>
    </row>
    <row r="14" spans="1:20" x14ac:dyDescent="0.25">
      <c r="A14" s="5">
        <v>44579</v>
      </c>
      <c r="B14">
        <v>25.69</v>
      </c>
      <c r="C14">
        <v>26.07</v>
      </c>
      <c r="D14">
        <v>24.24</v>
      </c>
      <c r="E14">
        <v>25.15</v>
      </c>
      <c r="F14">
        <v>7145664.6699999999</v>
      </c>
      <c r="G14">
        <v>25.15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-5.4644808743177882E-3</v>
      </c>
      <c r="Q14">
        <f t="shared" ref="Q14" si="46">F14*P14</f>
        <v>-39047.34792350333</v>
      </c>
      <c r="R14">
        <f t="shared" ref="R14" si="47">R15+Q14</f>
        <v>832066874.47965515</v>
      </c>
      <c r="S14">
        <f t="shared" ref="S14" si="48">R14/100000</f>
        <v>8320.6687447965523</v>
      </c>
      <c r="T14">
        <f t="shared" ref="T14" si="49">S14/1000</f>
        <v>8.3206687447965528</v>
      </c>
    </row>
    <row r="15" spans="1:20" x14ac:dyDescent="0.25">
      <c r="A15" s="5">
        <v>44578</v>
      </c>
      <c r="B15">
        <v>27.7</v>
      </c>
      <c r="C15">
        <v>27.76</v>
      </c>
      <c r="D15">
        <v>25.1</v>
      </c>
      <c r="E15">
        <v>25.69</v>
      </c>
      <c r="F15">
        <v>8233269.46</v>
      </c>
      <c r="G15">
        <v>25.69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-0.5563909774436091</v>
      </c>
      <c r="Q15">
        <f t="shared" ref="Q15" si="51">F15*P15</f>
        <v>-4580916.8424060158</v>
      </c>
      <c r="R15">
        <f t="shared" ref="R15" si="52">R16+Q15</f>
        <v>832105921.82757866</v>
      </c>
      <c r="S15">
        <f t="shared" ref="S15" si="53">R15/100000</f>
        <v>8321.0592182757864</v>
      </c>
      <c r="T15">
        <f t="shared" ref="T15" si="54">S15/1000</f>
        <v>8.3210592182757868</v>
      </c>
    </row>
    <row r="16" spans="1:20" x14ac:dyDescent="0.25">
      <c r="A16" s="5">
        <v>44577</v>
      </c>
      <c r="B16">
        <v>27.6</v>
      </c>
      <c r="C16">
        <v>28.47</v>
      </c>
      <c r="D16">
        <v>27.26</v>
      </c>
      <c r="E16">
        <v>27.7</v>
      </c>
      <c r="F16">
        <v>7073389.7199999997</v>
      </c>
      <c r="G16">
        <v>27.7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-0.27272727272727487</v>
      </c>
      <c r="Q16">
        <f t="shared" ref="Q16" si="56">F16*P16</f>
        <v>-1929106.2872727425</v>
      </c>
      <c r="R16">
        <f t="shared" ref="R16" si="57">R17+Q16</f>
        <v>836686838.6699847</v>
      </c>
      <c r="S16">
        <f t="shared" ref="S16" si="58">R16/100000</f>
        <v>8366.8683866998472</v>
      </c>
      <c r="T16">
        <f t="shared" ref="T16" si="59">S16/1000</f>
        <v>8.3668683866998474</v>
      </c>
    </row>
    <row r="17" spans="1:20" x14ac:dyDescent="0.25">
      <c r="A17" s="5">
        <v>44576</v>
      </c>
      <c r="B17">
        <v>27.75</v>
      </c>
      <c r="C17">
        <v>28.41</v>
      </c>
      <c r="D17">
        <v>26.83</v>
      </c>
      <c r="E17">
        <v>27.6</v>
      </c>
      <c r="F17">
        <v>5575781.9400000004</v>
      </c>
      <c r="G17">
        <v>27.6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-2.5316455696199714E-2</v>
      </c>
      <c r="Q17">
        <f t="shared" ref="Q17" si="61">F17*P17</f>
        <v>-141159.0364556805</v>
      </c>
      <c r="R17">
        <f t="shared" ref="R17" si="62">R18+Q17</f>
        <v>838615944.95725739</v>
      </c>
      <c r="S17">
        <f t="shared" ref="S17" si="63">R17/100000</f>
        <v>8386.1594495725731</v>
      </c>
      <c r="T17">
        <f t="shared" ref="T17" si="64">S17/1000</f>
        <v>8.3861594495725722</v>
      </c>
    </row>
    <row r="18" spans="1:20" x14ac:dyDescent="0.25">
      <c r="A18" s="5">
        <v>44575</v>
      </c>
      <c r="B18">
        <v>25.79</v>
      </c>
      <c r="C18">
        <v>27.88</v>
      </c>
      <c r="D18">
        <v>25.53</v>
      </c>
      <c r="E18">
        <v>27.75</v>
      </c>
      <c r="F18">
        <v>9449831.9000000004</v>
      </c>
      <c r="G18">
        <v>27.75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0.8893617021276603</v>
      </c>
      <c r="Q18">
        <f t="shared" ref="Q18" si="66">F18*P18</f>
        <v>8404318.5834042616</v>
      </c>
      <c r="R18">
        <f t="shared" ref="R18" si="67">R19+Q18</f>
        <v>838757103.99371302</v>
      </c>
      <c r="S18">
        <f t="shared" ref="S18" si="68">R18/100000</f>
        <v>8387.571039937131</v>
      </c>
      <c r="T18">
        <f t="shared" ref="T18" si="69">S18/1000</f>
        <v>8.3875710399371304</v>
      </c>
    </row>
    <row r="19" spans="1:20" x14ac:dyDescent="0.25">
      <c r="A19" s="5">
        <v>44574</v>
      </c>
      <c r="B19">
        <v>27.33</v>
      </c>
      <c r="C19">
        <v>27.68</v>
      </c>
      <c r="D19">
        <v>25.71</v>
      </c>
      <c r="E19">
        <v>25.79</v>
      </c>
      <c r="F19">
        <v>7656681.9299999997</v>
      </c>
      <c r="G19">
        <v>25.79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-0.91878172588832652</v>
      </c>
      <c r="Q19">
        <f t="shared" ref="Q19" si="71">F19*P19</f>
        <v>-7034819.4382233629</v>
      </c>
      <c r="R19">
        <f t="shared" ref="R19" si="72">R20+Q19</f>
        <v>830352785.41030872</v>
      </c>
      <c r="S19">
        <f t="shared" ref="S19" si="73">R19/100000</f>
        <v>8303.5278541030875</v>
      </c>
      <c r="T19">
        <f t="shared" ref="T19" si="74">S19/1000</f>
        <v>8.3035278541030877</v>
      </c>
    </row>
    <row r="20" spans="1:20" x14ac:dyDescent="0.25">
      <c r="A20" s="5">
        <v>44573</v>
      </c>
      <c r="B20">
        <v>25.56</v>
      </c>
      <c r="C20">
        <v>27.58</v>
      </c>
      <c r="D20">
        <v>25.45</v>
      </c>
      <c r="E20">
        <v>27.32</v>
      </c>
      <c r="F20">
        <v>7566219.5</v>
      </c>
      <c r="G20">
        <v>27.32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0.75586854460094077</v>
      </c>
      <c r="Q20">
        <f t="shared" ref="Q20" si="76">F20*P20</f>
        <v>5719067.3215962574</v>
      </c>
      <c r="R20">
        <f t="shared" ref="R20" si="77">R21+Q20</f>
        <v>837387604.84853208</v>
      </c>
      <c r="S20">
        <f t="shared" ref="S20" si="78">R20/100000</f>
        <v>8373.876048485321</v>
      </c>
      <c r="T20">
        <f t="shared" ref="T20" si="79">S20/1000</f>
        <v>8.3738760484853216</v>
      </c>
    </row>
    <row r="21" spans="1:20" x14ac:dyDescent="0.25">
      <c r="A21" s="5">
        <v>44572</v>
      </c>
      <c r="B21">
        <v>23.73</v>
      </c>
      <c r="C21">
        <v>26</v>
      </c>
      <c r="D21">
        <v>23.48</v>
      </c>
      <c r="E21">
        <v>25.56</v>
      </c>
      <c r="F21">
        <v>9473674.6799999997</v>
      </c>
      <c r="G21">
        <v>25.56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0.6507936507936497</v>
      </c>
      <c r="Q21">
        <f t="shared" ref="Q21" si="81">F21*P21</f>
        <v>6165407.3314285614</v>
      </c>
      <c r="R21">
        <f t="shared" ref="R21" si="82">R22+Q21</f>
        <v>831668537.52693582</v>
      </c>
      <c r="S21">
        <f t="shared" ref="S21" si="83">R21/100000</f>
        <v>8316.6853752693587</v>
      </c>
      <c r="T21">
        <f t="shared" ref="T21" si="84">S21/1000</f>
        <v>8.3166853752693584</v>
      </c>
    </row>
    <row r="22" spans="1:20" x14ac:dyDescent="0.25">
      <c r="A22" s="5">
        <v>44571</v>
      </c>
      <c r="B22">
        <v>24.63</v>
      </c>
      <c r="C22">
        <v>25.22</v>
      </c>
      <c r="D22">
        <v>22.43</v>
      </c>
      <c r="E22">
        <v>23.72</v>
      </c>
      <c r="F22">
        <v>11667129.550000001</v>
      </c>
      <c r="G22">
        <v>23.72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-7.5268817204301397E-2</v>
      </c>
      <c r="Q22">
        <f t="shared" ref="Q22" si="86">F22*P22</f>
        <v>-878171.04139785329</v>
      </c>
      <c r="R22">
        <f t="shared" ref="R22" si="87">R23+Q22</f>
        <v>825503130.19550729</v>
      </c>
      <c r="S22">
        <f t="shared" ref="S22" si="88">R22/100000</f>
        <v>8255.0313019550722</v>
      </c>
      <c r="T22">
        <f t="shared" ref="T22" si="89">S22/1000</f>
        <v>8.2550313019550714</v>
      </c>
    </row>
    <row r="23" spans="1:20" x14ac:dyDescent="0.25">
      <c r="A23" s="5">
        <v>44570</v>
      </c>
      <c r="B23">
        <v>23.98</v>
      </c>
      <c r="C23">
        <v>25.32</v>
      </c>
      <c r="D23">
        <v>23.67</v>
      </c>
      <c r="E23">
        <v>24.63</v>
      </c>
      <c r="F23">
        <v>7523995.2599999998</v>
      </c>
      <c r="G23">
        <v>24.63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0.16363636363636136</v>
      </c>
      <c r="Q23">
        <f t="shared" ref="Q23" si="91">F23*P23</f>
        <v>1231199.2243636192</v>
      </c>
      <c r="R23">
        <f t="shared" ref="R23" si="92">R24+Q23</f>
        <v>826381301.2369051</v>
      </c>
      <c r="S23">
        <f t="shared" ref="S23" si="93">R23/100000</f>
        <v>8263.8130123690516</v>
      </c>
      <c r="T23">
        <f t="shared" ref="T23" si="94">S23/1000</f>
        <v>8.2638130123690523</v>
      </c>
    </row>
    <row r="24" spans="1:20" x14ac:dyDescent="0.25">
      <c r="A24" s="5">
        <v>44569</v>
      </c>
      <c r="B24">
        <v>24.9</v>
      </c>
      <c r="C24">
        <v>25.54</v>
      </c>
      <c r="D24">
        <v>23.12</v>
      </c>
      <c r="E24">
        <v>23.99</v>
      </c>
      <c r="F24">
        <v>9965873.2300000004</v>
      </c>
      <c r="G24">
        <v>23.99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-0.28099173553719164</v>
      </c>
      <c r="Q24">
        <f t="shared" ref="Q24" si="96">F24*P24</f>
        <v>-2800328.0150413378</v>
      </c>
      <c r="R24">
        <f t="shared" ref="R24" si="97">R25+Q24</f>
        <v>825150102.01254153</v>
      </c>
      <c r="S24">
        <f t="shared" ref="S24" si="98">R24/100000</f>
        <v>8251.5010201254154</v>
      </c>
      <c r="T24">
        <f t="shared" ref="T24" si="99">S24/1000</f>
        <v>8.2515010201254153</v>
      </c>
    </row>
    <row r="25" spans="1:20" x14ac:dyDescent="0.25">
      <c r="A25" s="5">
        <v>44568</v>
      </c>
      <c r="B25">
        <v>26.72</v>
      </c>
      <c r="C25">
        <v>26.86</v>
      </c>
      <c r="D25">
        <v>24.24</v>
      </c>
      <c r="E25">
        <v>24.9</v>
      </c>
      <c r="F25">
        <v>14333874.43</v>
      </c>
      <c r="G25">
        <v>24.9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-0.49618320610687033</v>
      </c>
      <c r="Q25">
        <f t="shared" ref="Q25" si="101">F25*P25</f>
        <v>-7112227.7706106883</v>
      </c>
      <c r="R25">
        <f t="shared" ref="R25" si="102">R26+Q25</f>
        <v>827950430.02758288</v>
      </c>
      <c r="S25">
        <f t="shared" ref="S25" si="103">R25/100000</f>
        <v>8279.5043002758284</v>
      </c>
      <c r="T25">
        <f t="shared" ref="T25" si="104">S25/1000</f>
        <v>8.2795043002758284</v>
      </c>
    </row>
    <row r="26" spans="1:20" x14ac:dyDescent="0.25">
      <c r="A26" s="5">
        <v>44567</v>
      </c>
      <c r="B26">
        <v>26.73</v>
      </c>
      <c r="C26">
        <v>27.36</v>
      </c>
      <c r="D26">
        <v>25.5</v>
      </c>
      <c r="E26">
        <v>26.72</v>
      </c>
      <c r="F26">
        <v>11412775.24</v>
      </c>
      <c r="G26">
        <v>26.72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0.31182795698924648</v>
      </c>
      <c r="Q26">
        <f t="shared" ref="Q26" si="106">F26*P26</f>
        <v>3558822.3866666574</v>
      </c>
      <c r="R26">
        <f t="shared" ref="R26" si="107">R27+Q26</f>
        <v>835062657.79819357</v>
      </c>
      <c r="S26">
        <f t="shared" ref="S26" si="108">R26/100000</f>
        <v>8350.626577981935</v>
      </c>
      <c r="T26">
        <f t="shared" ref="T26" si="109">S26/1000</f>
        <v>8.3506265779819344</v>
      </c>
    </row>
    <row r="27" spans="1:20" x14ac:dyDescent="0.25">
      <c r="A27" s="5">
        <v>44566</v>
      </c>
      <c r="B27">
        <v>28.69</v>
      </c>
      <c r="C27">
        <v>30.39</v>
      </c>
      <c r="D27">
        <v>25.05</v>
      </c>
      <c r="E27">
        <v>26.72</v>
      </c>
      <c r="F27">
        <v>14135011.01</v>
      </c>
      <c r="G27">
        <v>26.72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-0.3745318352059932</v>
      </c>
      <c r="Q27">
        <f t="shared" ref="Q27" si="111">F27*P27</f>
        <v>-5294011.6142322198</v>
      </c>
      <c r="R27">
        <f t="shared" ref="R27" si="112">R28+Q27</f>
        <v>831503835.41152692</v>
      </c>
      <c r="S27">
        <f t="shared" ref="S27" si="113">R27/100000</f>
        <v>8315.0383541152696</v>
      </c>
      <c r="T27">
        <f t="shared" ref="T27" si="114">S27/1000</f>
        <v>8.3150383541152699</v>
      </c>
    </row>
    <row r="28" spans="1:20" x14ac:dyDescent="0.25">
      <c r="A28" s="5">
        <v>44565</v>
      </c>
      <c r="B28">
        <v>30.1</v>
      </c>
      <c r="C28">
        <v>30.58</v>
      </c>
      <c r="D28">
        <v>28.66</v>
      </c>
      <c r="E28">
        <v>28.69</v>
      </c>
      <c r="F28">
        <v>11149885.08</v>
      </c>
      <c r="G28">
        <v>28.69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-0.96874999999999878</v>
      </c>
      <c r="Q28">
        <f t="shared" ref="Q28" si="116">F28*P28</f>
        <v>-10801451.171249986</v>
      </c>
      <c r="R28">
        <f t="shared" ref="R28" si="117">R29+Q28</f>
        <v>836797847.0257591</v>
      </c>
      <c r="S28">
        <f t="shared" ref="S28" si="118">R28/100000</f>
        <v>8367.9784702575907</v>
      </c>
      <c r="T28">
        <f t="shared" ref="T28" si="119">S28/1000</f>
        <v>8.3679784702575901</v>
      </c>
    </row>
    <row r="29" spans="1:20" x14ac:dyDescent="0.25">
      <c r="A29" s="5">
        <v>44564</v>
      </c>
      <c r="B29">
        <v>29.69</v>
      </c>
      <c r="C29">
        <v>30.88</v>
      </c>
      <c r="D29">
        <v>28.62</v>
      </c>
      <c r="E29">
        <v>30.11</v>
      </c>
      <c r="F29">
        <v>11890491.01</v>
      </c>
      <c r="G29">
        <v>30.11</v>
      </c>
      <c r="L29" t="s">
        <v>8</v>
      </c>
      <c r="M29" t="s">
        <v>8</v>
      </c>
      <c r="N29" t="s">
        <v>7</v>
      </c>
      <c r="P29">
        <f t="shared" ref="P29" si="120">IF(C29=D29,0,((E29-D29)-(C29-E29))/(C29-D29))</f>
        <v>0.31858407079645995</v>
      </c>
      <c r="Q29">
        <f t="shared" ref="Q29" si="121">F29*P29</f>
        <v>3788121.0297345105</v>
      </c>
      <c r="R29">
        <f t="shared" ref="R29" si="122">R30+Q29</f>
        <v>847599298.19700909</v>
      </c>
      <c r="S29">
        <f t="shared" ref="S29" si="123">R29/100000</f>
        <v>8475.9929819700901</v>
      </c>
      <c r="T29">
        <f t="shared" ref="T29" si="124">S29/1000</f>
        <v>8.4759929819700908</v>
      </c>
    </row>
    <row r="30" spans="1:20" x14ac:dyDescent="0.25">
      <c r="A30" s="5">
        <v>44563</v>
      </c>
      <c r="B30">
        <v>28.6</v>
      </c>
      <c r="C30">
        <v>30.62</v>
      </c>
      <c r="D30">
        <v>27.82</v>
      </c>
      <c r="E30">
        <v>29.69</v>
      </c>
      <c r="F30">
        <v>8942930.9199999999</v>
      </c>
      <c r="G30">
        <v>29.69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0.33571428571428608</v>
      </c>
      <c r="Q30">
        <f t="shared" ref="Q30" si="126">F30*P30</f>
        <v>3002269.666000003</v>
      </c>
      <c r="R30">
        <f t="shared" ref="R30" si="127">R31+Q30</f>
        <v>843811177.16727459</v>
      </c>
      <c r="S30">
        <f t="shared" ref="S30" si="128">R30/100000</f>
        <v>8438.1117716727458</v>
      </c>
      <c r="T30">
        <f t="shared" ref="T30" si="129">S30/1000</f>
        <v>8.4381117716727463</v>
      </c>
    </row>
    <row r="31" spans="1:20" x14ac:dyDescent="0.25">
      <c r="A31" s="5">
        <v>44562</v>
      </c>
      <c r="B31">
        <v>26.67</v>
      </c>
      <c r="C31">
        <v>28.65</v>
      </c>
      <c r="D31">
        <v>26.66</v>
      </c>
      <c r="E31">
        <v>28.6</v>
      </c>
      <c r="F31">
        <v>5227230.45</v>
      </c>
      <c r="G31">
        <v>28.6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0.94974874371859574</v>
      </c>
      <c r="Q31">
        <f t="shared" ref="Q31" si="131">F31*P31</f>
        <v>4964555.5530150905</v>
      </c>
      <c r="R31">
        <f t="shared" ref="R31" si="132">R32+Q31</f>
        <v>840808907.50127459</v>
      </c>
      <c r="S31">
        <f t="shared" ref="S31" si="133">R31/100000</f>
        <v>8408.0890750127455</v>
      </c>
      <c r="T31">
        <f t="shared" ref="T31" si="134">S31/1000</f>
        <v>8.4080890750127448</v>
      </c>
    </row>
    <row r="32" spans="1:20" x14ac:dyDescent="0.25">
      <c r="A32" s="5">
        <v>44561</v>
      </c>
      <c r="B32">
        <v>27.54</v>
      </c>
      <c r="C32">
        <v>28.12</v>
      </c>
      <c r="D32">
        <v>26.24</v>
      </c>
      <c r="E32">
        <v>26.66</v>
      </c>
      <c r="F32">
        <v>9510787.9700000007</v>
      </c>
      <c r="G32">
        <v>26.66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-0.55319148936170093</v>
      </c>
      <c r="Q32">
        <f t="shared" ref="Q32" si="136">F32*P32</f>
        <v>-5261286.9621276483</v>
      </c>
      <c r="R32">
        <f t="shared" ref="R32" si="137">R33+Q32</f>
        <v>835844351.94825947</v>
      </c>
      <c r="S32">
        <f t="shared" ref="S32" si="138">R32/100000</f>
        <v>8358.4435194825946</v>
      </c>
      <c r="T32">
        <f t="shared" ref="T32" si="139">S32/1000</f>
        <v>8.358443519482595</v>
      </c>
    </row>
    <row r="33" spans="1:20" x14ac:dyDescent="0.25">
      <c r="A33" s="5">
        <v>44560</v>
      </c>
      <c r="B33">
        <v>26.81</v>
      </c>
      <c r="C33">
        <v>28.42</v>
      </c>
      <c r="D33">
        <v>26.17</v>
      </c>
      <c r="E33">
        <v>27.54</v>
      </c>
      <c r="F33">
        <v>7797319.1600000001</v>
      </c>
      <c r="G33">
        <v>27.54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0.21777777777777552</v>
      </c>
      <c r="Q33">
        <f t="shared" ref="Q33" si="141">F33*P33</f>
        <v>1698082.8392888713</v>
      </c>
      <c r="R33">
        <f t="shared" ref="R33" si="142">R34+Q33</f>
        <v>841105638.91038716</v>
      </c>
      <c r="S33">
        <f t="shared" ref="S33" si="143">R33/100000</f>
        <v>8411.056389103871</v>
      </c>
      <c r="T33">
        <f t="shared" ref="T33" si="144">S33/1000</f>
        <v>8.4110563891038712</v>
      </c>
    </row>
    <row r="34" spans="1:20" x14ac:dyDescent="0.25">
      <c r="A34" s="5">
        <v>44559</v>
      </c>
      <c r="B34">
        <v>27.84</v>
      </c>
      <c r="C34">
        <v>28.96</v>
      </c>
      <c r="D34">
        <v>26.48</v>
      </c>
      <c r="E34">
        <v>26.82</v>
      </c>
      <c r="F34">
        <v>9578005.5999999996</v>
      </c>
      <c r="G34">
        <v>26.82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-0.72580645161290336</v>
      </c>
      <c r="Q34">
        <f t="shared" ref="Q34" si="146">F34*P34</f>
        <v>-6951778.2580645168</v>
      </c>
      <c r="R34">
        <f t="shared" ref="R34" si="147">R35+Q34</f>
        <v>839407556.07109833</v>
      </c>
      <c r="S34">
        <f t="shared" ref="S34" si="148">R34/100000</f>
        <v>8394.0755607109841</v>
      </c>
      <c r="T34">
        <f t="shared" ref="T34" si="149">S34/1000</f>
        <v>8.3940755607109843</v>
      </c>
    </row>
    <row r="35" spans="1:20" x14ac:dyDescent="0.25">
      <c r="A35" s="5">
        <v>44558</v>
      </c>
      <c r="B35">
        <v>30.96</v>
      </c>
      <c r="C35">
        <v>30.97</v>
      </c>
      <c r="D35">
        <v>27.46</v>
      </c>
      <c r="E35">
        <v>27.83</v>
      </c>
      <c r="F35">
        <v>15826935.59</v>
      </c>
      <c r="G35">
        <v>27.83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-0.78917378917379055</v>
      </c>
      <c r="Q35">
        <f t="shared" ref="Q35" si="151">F35*P35</f>
        <v>-12490202.730569823</v>
      </c>
      <c r="R35">
        <f t="shared" ref="R35" si="152">R36+Q35</f>
        <v>846359334.32916284</v>
      </c>
      <c r="S35">
        <f t="shared" ref="S35" si="153">R35/100000</f>
        <v>8463.5933432916281</v>
      </c>
      <c r="T35">
        <f t="shared" ref="T35" si="154">S35/1000</f>
        <v>8.4635933432916275</v>
      </c>
    </row>
    <row r="36" spans="1:20" x14ac:dyDescent="0.25">
      <c r="A36" s="5">
        <v>44557</v>
      </c>
      <c r="B36">
        <v>31.32</v>
      </c>
      <c r="C36">
        <v>32.78</v>
      </c>
      <c r="D36">
        <v>30.83</v>
      </c>
      <c r="E36">
        <v>30.97</v>
      </c>
      <c r="F36">
        <v>8619790.2200000007</v>
      </c>
      <c r="G36">
        <v>30.97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-0.85641025641025603</v>
      </c>
      <c r="Q36">
        <f t="shared" ref="Q36" si="156">F36*P36</f>
        <v>-7382076.7525128182</v>
      </c>
      <c r="R36">
        <f t="shared" ref="R36" si="157">R37+Q36</f>
        <v>858849537.05973268</v>
      </c>
      <c r="S36">
        <f t="shared" ref="S36" si="158">R36/100000</f>
        <v>8588.4953705973276</v>
      </c>
      <c r="T36">
        <f t="shared" ref="T36" si="159">S36/1000</f>
        <v>8.588495370597327</v>
      </c>
    </row>
    <row r="37" spans="1:20" x14ac:dyDescent="0.25">
      <c r="A37" s="5">
        <v>44556</v>
      </c>
      <c r="B37">
        <v>28.86</v>
      </c>
      <c r="C37">
        <v>31.74</v>
      </c>
      <c r="D37">
        <v>28.27</v>
      </c>
      <c r="E37">
        <v>31.32</v>
      </c>
      <c r="F37">
        <v>9409786.9800000004</v>
      </c>
      <c r="G37">
        <v>31.32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0.75792507204611048</v>
      </c>
      <c r="Q37">
        <f t="shared" ref="Q37" si="161">F37*P37</f>
        <v>7131913.4747550525</v>
      </c>
      <c r="R37">
        <f t="shared" ref="R37" si="162">R38+Q37</f>
        <v>866231613.81224549</v>
      </c>
      <c r="S37">
        <f t="shared" ref="S37" si="163">R37/100000</f>
        <v>8662.3161381224545</v>
      </c>
      <c r="T37">
        <f t="shared" ref="T37" si="164">S37/1000</f>
        <v>8.6623161381224545</v>
      </c>
    </row>
    <row r="38" spans="1:20" x14ac:dyDescent="0.25">
      <c r="A38" s="5">
        <v>44555</v>
      </c>
      <c r="B38">
        <v>28.14</v>
      </c>
      <c r="C38">
        <v>29.12</v>
      </c>
      <c r="D38">
        <v>27.94</v>
      </c>
      <c r="E38">
        <v>28.84</v>
      </c>
      <c r="F38">
        <v>3990671.82</v>
      </c>
      <c r="G38">
        <v>28.84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0.52542372881355726</v>
      </c>
      <c r="Q38">
        <f t="shared" ref="Q38" si="166">F38*P38</f>
        <v>2096793.6681355848</v>
      </c>
      <c r="R38">
        <f t="shared" ref="R38" si="167">R39+Q38</f>
        <v>859099700.33749044</v>
      </c>
      <c r="S38">
        <f t="shared" ref="S38" si="168">R38/100000</f>
        <v>8590.997003374905</v>
      </c>
      <c r="T38">
        <f t="shared" ref="T38" si="169">S38/1000</f>
        <v>8.5909970033749055</v>
      </c>
    </row>
    <row r="39" spans="1:20" x14ac:dyDescent="0.25">
      <c r="A39" s="5">
        <v>44554</v>
      </c>
      <c r="B39">
        <v>29.16</v>
      </c>
      <c r="C39">
        <v>29.67</v>
      </c>
      <c r="D39">
        <v>27.83</v>
      </c>
      <c r="E39">
        <v>28.14</v>
      </c>
      <c r="F39">
        <v>6454013.8600000003</v>
      </c>
      <c r="G39">
        <v>28.14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-0.66304347826086774</v>
      </c>
      <c r="Q39">
        <f t="shared" ref="Q39" si="171">F39*P39</f>
        <v>-4279291.7984782495</v>
      </c>
      <c r="R39">
        <f t="shared" ref="R39" si="172">R40+Q39</f>
        <v>857002906.6693548</v>
      </c>
      <c r="S39">
        <f t="shared" ref="S39" si="173">R39/100000</f>
        <v>8570.0290666935471</v>
      </c>
      <c r="T39">
        <f t="shared" ref="T39" si="174">S39/1000</f>
        <v>8.5700290666935466</v>
      </c>
    </row>
    <row r="40" spans="1:20" x14ac:dyDescent="0.25">
      <c r="A40" s="5">
        <v>44553</v>
      </c>
      <c r="B40">
        <v>27.23</v>
      </c>
      <c r="C40">
        <v>29.81</v>
      </c>
      <c r="D40">
        <v>26.73</v>
      </c>
      <c r="E40">
        <v>29.16</v>
      </c>
      <c r="F40">
        <v>10938539.93</v>
      </c>
      <c r="G40">
        <v>29.16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0.57792207792207861</v>
      </c>
      <c r="Q40">
        <f t="shared" ref="Q40" si="176">F40*P40</f>
        <v>6321623.7257792279</v>
      </c>
      <c r="R40">
        <f t="shared" ref="R40" si="177">R41+Q40</f>
        <v>861282198.46783304</v>
      </c>
      <c r="S40">
        <f t="shared" ref="S40" si="178">R40/100000</f>
        <v>8612.8219846783304</v>
      </c>
      <c r="T40">
        <f t="shared" ref="T40" si="179">S40/1000</f>
        <v>8.6128219846783303</v>
      </c>
    </row>
    <row r="41" spans="1:20" x14ac:dyDescent="0.25">
      <c r="A41" s="5">
        <v>44552</v>
      </c>
      <c r="B41">
        <v>25.16</v>
      </c>
      <c r="C41">
        <v>28.23</v>
      </c>
      <c r="D41">
        <v>24.98</v>
      </c>
      <c r="E41">
        <v>27.22</v>
      </c>
      <c r="F41">
        <v>10788179.43</v>
      </c>
      <c r="G41">
        <v>27.22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0.37846153846153752</v>
      </c>
      <c r="Q41">
        <f t="shared" ref="Q41" si="181">F41*P41</f>
        <v>4082910.9842769126</v>
      </c>
      <c r="R41">
        <f t="shared" ref="R41" si="182">R42+Q41</f>
        <v>854960574.74205387</v>
      </c>
      <c r="S41">
        <f t="shared" ref="S41" si="183">R41/100000</f>
        <v>8549.605747420539</v>
      </c>
      <c r="T41">
        <f t="shared" ref="T41" si="184">S41/1000</f>
        <v>8.5496057474205394</v>
      </c>
    </row>
    <row r="42" spans="1:20" x14ac:dyDescent="0.25">
      <c r="A42" s="5">
        <v>44551</v>
      </c>
      <c r="B42">
        <v>24.07</v>
      </c>
      <c r="C42">
        <v>25.59</v>
      </c>
      <c r="D42">
        <v>23.74</v>
      </c>
      <c r="E42">
        <v>25.16</v>
      </c>
      <c r="F42">
        <v>7752931.6100000003</v>
      </c>
      <c r="G42">
        <v>25.16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0.53513513513513578</v>
      </c>
      <c r="Q42">
        <f t="shared" ref="Q42" si="186">F42*P42</f>
        <v>4148866.1048108158</v>
      </c>
      <c r="R42">
        <f t="shared" ref="R42" si="187">R43+Q42</f>
        <v>850877663.75777698</v>
      </c>
      <c r="S42">
        <f t="shared" ref="S42" si="188">R42/100000</f>
        <v>8508.7766375777701</v>
      </c>
      <c r="T42">
        <f t="shared" ref="T42" si="189">S42/1000</f>
        <v>8.5087766375777694</v>
      </c>
    </row>
    <row r="43" spans="1:20" x14ac:dyDescent="0.25">
      <c r="A43" s="5">
        <v>44550</v>
      </c>
      <c r="B43">
        <v>24.78</v>
      </c>
      <c r="C43">
        <v>25.01</v>
      </c>
      <c r="D43">
        <v>23.27</v>
      </c>
      <c r="E43">
        <v>24.07</v>
      </c>
      <c r="F43">
        <v>7053641.2800000003</v>
      </c>
      <c r="G43">
        <v>24.07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-8.0459770114942764E-2</v>
      </c>
      <c r="Q43">
        <f t="shared" ref="Q43" si="191">F43*P43</f>
        <v>-567534.35586207069</v>
      </c>
      <c r="R43">
        <f t="shared" ref="R43" si="192">R44+Q43</f>
        <v>846728797.65296614</v>
      </c>
      <c r="S43">
        <f t="shared" ref="S43" si="193">R43/100000</f>
        <v>8467.287976529662</v>
      </c>
      <c r="T43">
        <f t="shared" ref="T43" si="194">S43/1000</f>
        <v>8.4672879765296614</v>
      </c>
    </row>
    <row r="44" spans="1:20" x14ac:dyDescent="0.25">
      <c r="A44" s="5">
        <v>44549</v>
      </c>
      <c r="B44">
        <v>25.48</v>
      </c>
      <c r="C44">
        <v>25.86</v>
      </c>
      <c r="D44">
        <v>24.63</v>
      </c>
      <c r="E44">
        <v>24.78</v>
      </c>
      <c r="F44">
        <v>5757699.9800000004</v>
      </c>
      <c r="G44">
        <v>24.78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-0.75609756097560632</v>
      </c>
      <c r="Q44">
        <f t="shared" ref="Q44" si="196">F44*P44</f>
        <v>-4353382.9117072979</v>
      </c>
      <c r="R44">
        <f t="shared" ref="R44" si="197">R45+Q44</f>
        <v>847296332.00882816</v>
      </c>
      <c r="S44">
        <f t="shared" ref="S44" si="198">R44/100000</f>
        <v>8472.9633200882818</v>
      </c>
      <c r="T44">
        <f t="shared" ref="T44" si="199">S44/1000</f>
        <v>8.4729633200882812</v>
      </c>
    </row>
    <row r="45" spans="1:20" x14ac:dyDescent="0.25">
      <c r="A45" s="5">
        <v>44548</v>
      </c>
      <c r="B45">
        <v>24.64</v>
      </c>
      <c r="C45">
        <v>25.72</v>
      </c>
      <c r="D45">
        <v>24.21</v>
      </c>
      <c r="E45">
        <v>25.49</v>
      </c>
      <c r="F45">
        <v>7437623.4500000002</v>
      </c>
      <c r="G45">
        <v>25.49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0.69536423841059503</v>
      </c>
      <c r="Q45">
        <f t="shared" ref="Q45" si="201">F45*P45</f>
        <v>5171857.3658940326</v>
      </c>
      <c r="R45">
        <f t="shared" ref="R45" si="202">R46+Q45</f>
        <v>851649714.92053545</v>
      </c>
      <c r="S45">
        <f t="shared" ref="S45" si="203">R45/100000</f>
        <v>8516.4971492053537</v>
      </c>
      <c r="T45">
        <f t="shared" ref="T45" si="204">S45/1000</f>
        <v>8.5164971492053532</v>
      </c>
    </row>
    <row r="46" spans="1:20" x14ac:dyDescent="0.25">
      <c r="A46" s="5">
        <v>44547</v>
      </c>
      <c r="B46">
        <v>26.02</v>
      </c>
      <c r="C46">
        <v>26.21</v>
      </c>
      <c r="D46">
        <v>24.16</v>
      </c>
      <c r="E46">
        <v>24.64</v>
      </c>
      <c r="F46">
        <v>10403388.65</v>
      </c>
      <c r="G46">
        <v>24.64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-0.53170731707317043</v>
      </c>
      <c r="Q46">
        <f t="shared" ref="Q46" si="206">F46*P46</f>
        <v>-5531557.8675609725</v>
      </c>
      <c r="R46">
        <f t="shared" ref="R46" si="207">R47+Q46</f>
        <v>846477857.55464137</v>
      </c>
      <c r="S46">
        <f t="shared" ref="S46" si="208">R46/100000</f>
        <v>8464.7785755464138</v>
      </c>
      <c r="T46">
        <f t="shared" ref="T46" si="209">S46/1000</f>
        <v>8.4647785755464131</v>
      </c>
    </row>
    <row r="47" spans="1:20" x14ac:dyDescent="0.25">
      <c r="A47" s="5">
        <v>44546</v>
      </c>
      <c r="B47">
        <v>27.14</v>
      </c>
      <c r="C47">
        <v>27.84</v>
      </c>
      <c r="D47">
        <v>25.55</v>
      </c>
      <c r="E47">
        <v>26.02</v>
      </c>
      <c r="F47">
        <v>14427194.9</v>
      </c>
      <c r="G47">
        <v>26.02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-0.58951965065502265</v>
      </c>
      <c r="Q47">
        <f t="shared" ref="Q47" si="211">F47*P47</f>
        <v>-8505114.8973799255</v>
      </c>
      <c r="R47">
        <f t="shared" ref="R47" si="212">R48+Q47</f>
        <v>852009415.42220235</v>
      </c>
      <c r="S47">
        <f t="shared" ref="S47" si="213">R47/100000</f>
        <v>8520.0941542220244</v>
      </c>
      <c r="T47">
        <f t="shared" ref="T47" si="214">S47/1000</f>
        <v>8.5200941542220239</v>
      </c>
    </row>
    <row r="48" spans="1:20" x14ac:dyDescent="0.25">
      <c r="A48" s="5">
        <v>44545</v>
      </c>
      <c r="B48">
        <v>26.14</v>
      </c>
      <c r="C48">
        <v>28.03</v>
      </c>
      <c r="D48">
        <v>24.27</v>
      </c>
      <c r="E48">
        <v>27.14</v>
      </c>
      <c r="F48">
        <v>13450685.93</v>
      </c>
      <c r="G48">
        <v>27.14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0.52659574468085091</v>
      </c>
      <c r="Q48">
        <f t="shared" ref="Q48" si="216">F48*P48</f>
        <v>7083073.9737765938</v>
      </c>
      <c r="R48">
        <f t="shared" ref="R48" si="217">R49+Q48</f>
        <v>860514530.31958222</v>
      </c>
      <c r="S48">
        <f t="shared" ref="S48" si="218">R48/100000</f>
        <v>8605.1453031958226</v>
      </c>
      <c r="T48">
        <f t="shared" ref="T48" si="219">S48/1000</f>
        <v>8.6051453031958225</v>
      </c>
    </row>
    <row r="49" spans="1:20" x14ac:dyDescent="0.25">
      <c r="A49" s="5">
        <v>44544</v>
      </c>
      <c r="B49">
        <v>25.97</v>
      </c>
      <c r="C49">
        <v>26.71</v>
      </c>
      <c r="D49">
        <v>25</v>
      </c>
      <c r="E49">
        <v>26.15</v>
      </c>
      <c r="F49">
        <v>10443455.710000001</v>
      </c>
      <c r="G49">
        <v>26.15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0.34502923976607952</v>
      </c>
      <c r="Q49">
        <f t="shared" ref="Q49" si="221">F49*P49</f>
        <v>3603297.5841520224</v>
      </c>
      <c r="R49">
        <f t="shared" ref="R49" si="222">R50+Q49</f>
        <v>853431456.34580564</v>
      </c>
      <c r="S49">
        <f t="shared" ref="S49" si="223">R49/100000</f>
        <v>8534.314563458056</v>
      </c>
      <c r="T49">
        <f t="shared" ref="T49" si="224">S49/1000</f>
        <v>8.5343145634580555</v>
      </c>
    </row>
    <row r="50" spans="1:20" x14ac:dyDescent="0.25">
      <c r="A50" s="5">
        <v>44543</v>
      </c>
      <c r="B50">
        <v>29.54</v>
      </c>
      <c r="C50">
        <v>29.87</v>
      </c>
      <c r="D50">
        <v>25.54</v>
      </c>
      <c r="E50">
        <v>25.96</v>
      </c>
      <c r="F50">
        <v>10566935.279999999</v>
      </c>
      <c r="G50">
        <v>25.96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-0.80600461893764364</v>
      </c>
      <c r="Q50">
        <f t="shared" ref="Q50" si="226">F50*P50</f>
        <v>-8516998.6436951421</v>
      </c>
      <c r="R50">
        <f t="shared" ref="R50" si="227">R51+Q50</f>
        <v>849828158.76165366</v>
      </c>
      <c r="S50">
        <f t="shared" ref="S50" si="228">R50/100000</f>
        <v>8498.2815876165369</v>
      </c>
      <c r="T50">
        <f t="shared" ref="T50" si="229">S50/1000</f>
        <v>8.4982815876165372</v>
      </c>
    </row>
    <row r="51" spans="1:20" x14ac:dyDescent="0.25">
      <c r="A51" s="5">
        <v>44542</v>
      </c>
      <c r="B51">
        <v>27.82</v>
      </c>
      <c r="C51">
        <v>30.12</v>
      </c>
      <c r="D51">
        <v>27.31</v>
      </c>
      <c r="E51">
        <v>29.54</v>
      </c>
      <c r="F51">
        <v>5833358.4199999999</v>
      </c>
      <c r="G51">
        <v>29.54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0.58718861209964313</v>
      </c>
      <c r="Q51">
        <f t="shared" ref="Q51" si="231">F51*P51</f>
        <v>3425281.6345195672</v>
      </c>
      <c r="R51">
        <f t="shared" ref="R51" si="232">R52+Q51</f>
        <v>858345157.40534878</v>
      </c>
      <c r="S51">
        <f t="shared" ref="S51" si="233">R51/100000</f>
        <v>8583.451574053488</v>
      </c>
      <c r="T51">
        <f t="shared" ref="T51" si="234">S51/1000</f>
        <v>8.5834515740534876</v>
      </c>
    </row>
    <row r="52" spans="1:20" x14ac:dyDescent="0.25">
      <c r="A52" s="5">
        <v>44541</v>
      </c>
      <c r="B52">
        <v>26.44</v>
      </c>
      <c r="C52">
        <v>27.2</v>
      </c>
      <c r="D52">
        <v>25.81</v>
      </c>
      <c r="E52">
        <v>27.13</v>
      </c>
      <c r="F52">
        <v>838812.26</v>
      </c>
      <c r="G52">
        <v>27.13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0.89928057553956797</v>
      </c>
      <c r="Q52">
        <f t="shared" ref="Q52" si="236">F52*P52</f>
        <v>754327.57194244571</v>
      </c>
      <c r="R52">
        <f t="shared" ref="R52" si="237">R53+Q52</f>
        <v>854919875.7708292</v>
      </c>
      <c r="S52">
        <f t="shared" ref="S52" si="238">R52/100000</f>
        <v>8549.1987577082928</v>
      </c>
      <c r="T52">
        <f t="shared" ref="T52" si="239">S52/1000</f>
        <v>8.5491987577082931</v>
      </c>
    </row>
    <row r="53" spans="1:20" x14ac:dyDescent="0.25">
      <c r="A53" s="5">
        <v>44540</v>
      </c>
      <c r="B53">
        <v>26.91</v>
      </c>
      <c r="C53">
        <v>28.43</v>
      </c>
      <c r="D53">
        <v>25.71</v>
      </c>
      <c r="E53">
        <v>26.44</v>
      </c>
      <c r="F53">
        <v>11306697.949999999</v>
      </c>
      <c r="G53">
        <v>26.44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-0.46323529411764652</v>
      </c>
      <c r="Q53">
        <f t="shared" ref="Q53" si="241">F53*P53</f>
        <v>-5237661.5503676403</v>
      </c>
      <c r="R53">
        <f t="shared" ref="R53" si="242">R54+Q53</f>
        <v>854165548.19888675</v>
      </c>
      <c r="S53">
        <f t="shared" ref="S53" si="243">R53/100000</f>
        <v>8541.6554819888679</v>
      </c>
      <c r="T53">
        <f t="shared" ref="T53" si="244">S53/1000</f>
        <v>8.541655481988867</v>
      </c>
    </row>
    <row r="54" spans="1:20" x14ac:dyDescent="0.25">
      <c r="A54" s="5">
        <v>44539</v>
      </c>
      <c r="B54">
        <v>29.85</v>
      </c>
      <c r="C54">
        <v>30.13</v>
      </c>
      <c r="D54">
        <v>26.8</v>
      </c>
      <c r="E54">
        <v>26.9</v>
      </c>
      <c r="F54">
        <v>9383772</v>
      </c>
      <c r="G54">
        <v>26.9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-0.93993993993994118</v>
      </c>
      <c r="Q54">
        <f t="shared" ref="Q54" si="246">F54*P54</f>
        <v>-8820182.0900901016</v>
      </c>
      <c r="R54">
        <f t="shared" ref="R54" si="247">R55+Q54</f>
        <v>859403209.74925435</v>
      </c>
      <c r="S54">
        <f t="shared" ref="S54" si="248">R54/100000</f>
        <v>8594.0320974925435</v>
      </c>
      <c r="T54">
        <f t="shared" ref="T54" si="249">S54/1000</f>
        <v>8.5940320974925442</v>
      </c>
    </row>
    <row r="55" spans="1:20" x14ac:dyDescent="0.25">
      <c r="A55" s="5">
        <v>44538</v>
      </c>
      <c r="B55">
        <v>30.49</v>
      </c>
      <c r="C55">
        <v>30.63</v>
      </c>
      <c r="D55">
        <v>28.02</v>
      </c>
      <c r="E55">
        <v>29.84</v>
      </c>
      <c r="F55">
        <v>10373073.119999999</v>
      </c>
      <c r="G55">
        <v>29.84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0.394636015325671</v>
      </c>
      <c r="Q55">
        <f t="shared" ref="Q55" si="251">F55*P55</f>
        <v>4093588.2427586257</v>
      </c>
      <c r="R55">
        <f t="shared" ref="R55" si="252">R56+Q55</f>
        <v>868223391.8393445</v>
      </c>
      <c r="S55">
        <f t="shared" ref="S55" si="253">R55/100000</f>
        <v>8682.2339183934455</v>
      </c>
      <c r="T55">
        <f t="shared" ref="T55" si="254">S55/1000</f>
        <v>8.6822339183934449</v>
      </c>
    </row>
    <row r="56" spans="1:20" x14ac:dyDescent="0.25">
      <c r="A56" s="5">
        <v>44537</v>
      </c>
      <c r="B56">
        <v>28.12</v>
      </c>
      <c r="C56">
        <v>31.49</v>
      </c>
      <c r="D56">
        <v>27.69</v>
      </c>
      <c r="E56">
        <v>30.5</v>
      </c>
      <c r="F56">
        <v>13072414.91</v>
      </c>
      <c r="G56">
        <v>30.5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0.47894736842105307</v>
      </c>
      <c r="Q56">
        <f t="shared" ref="Q56" si="256">F56*P56</f>
        <v>6260998.7200526372</v>
      </c>
      <c r="R56">
        <f t="shared" ref="R56" si="257">R57+Q56</f>
        <v>864129803.59658587</v>
      </c>
      <c r="S56">
        <f t="shared" ref="S56" si="258">R56/100000</f>
        <v>8641.2980359658595</v>
      </c>
      <c r="T56">
        <f t="shared" ref="T56" si="259">S56/1000</f>
        <v>8.6412980359658587</v>
      </c>
    </row>
    <row r="57" spans="1:20" x14ac:dyDescent="0.25">
      <c r="A57" s="5">
        <v>44536</v>
      </c>
      <c r="B57">
        <v>28.31</v>
      </c>
      <c r="C57">
        <v>28.92</v>
      </c>
      <c r="D57">
        <v>24.84</v>
      </c>
      <c r="E57">
        <v>28.13</v>
      </c>
      <c r="F57">
        <v>16137260.41</v>
      </c>
      <c r="G57">
        <v>28.13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0.61274509803921451</v>
      </c>
      <c r="Q57">
        <f t="shared" ref="Q57" si="261">F57*P57</f>
        <v>9888027.2120097857</v>
      </c>
      <c r="R57">
        <f t="shared" ref="R57" si="262">R58+Q57</f>
        <v>857868804.87653327</v>
      </c>
      <c r="S57">
        <f t="shared" ref="S57" si="263">R57/100000</f>
        <v>8578.6880487653325</v>
      </c>
      <c r="T57">
        <f t="shared" ref="T57" si="264">S57/1000</f>
        <v>8.5786880487653328</v>
      </c>
    </row>
    <row r="58" spans="1:20" x14ac:dyDescent="0.25">
      <c r="A58" s="5">
        <v>44535</v>
      </c>
      <c r="B58">
        <v>29.38</v>
      </c>
      <c r="C58">
        <v>29.74</v>
      </c>
      <c r="D58">
        <v>26.33</v>
      </c>
      <c r="E58">
        <v>28.31</v>
      </c>
      <c r="F58">
        <v>11536652.529999999</v>
      </c>
      <c r="G58">
        <v>28.31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0.16129032258064535</v>
      </c>
      <c r="Q58">
        <f t="shared" ref="Q58" si="266">F58*P58</f>
        <v>1860750.4080645181</v>
      </c>
      <c r="R58">
        <f t="shared" ref="R58" si="267">R59+Q58</f>
        <v>847980777.66452348</v>
      </c>
      <c r="S58">
        <f t="shared" ref="S58" si="268">R58/100000</f>
        <v>8479.8077766452352</v>
      </c>
      <c r="T58">
        <f t="shared" ref="T58" si="269">S58/1000</f>
        <v>8.4798077766452344</v>
      </c>
    </row>
    <row r="59" spans="1:20" x14ac:dyDescent="0.25">
      <c r="A59" s="5">
        <v>44534</v>
      </c>
      <c r="B59">
        <v>33.700000000000003</v>
      </c>
      <c r="C59">
        <v>33.86</v>
      </c>
      <c r="D59">
        <v>24.35</v>
      </c>
      <c r="E59">
        <v>29.38</v>
      </c>
      <c r="F59">
        <v>24608037.899999999</v>
      </c>
      <c r="G59">
        <v>29.38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5.7833859095688459E-2</v>
      </c>
      <c r="Q59">
        <f t="shared" ref="Q59" si="271">F59*P59</f>
        <v>1423177.7965299613</v>
      </c>
      <c r="R59">
        <f t="shared" ref="R59" si="272">R60+Q59</f>
        <v>846120027.256459</v>
      </c>
      <c r="S59">
        <f t="shared" ref="S59" si="273">R59/100000</f>
        <v>8461.2002725645907</v>
      </c>
      <c r="T59">
        <f t="shared" ref="T59" si="274">S59/1000</f>
        <v>8.4612002725645912</v>
      </c>
    </row>
    <row r="60" spans="1:20" x14ac:dyDescent="0.25">
      <c r="A60" s="5">
        <v>44533</v>
      </c>
      <c r="B60">
        <v>35.76</v>
      </c>
      <c r="C60">
        <v>36.840000000000003</v>
      </c>
      <c r="D60">
        <v>32.56</v>
      </c>
      <c r="E60">
        <v>33.700000000000003</v>
      </c>
      <c r="F60">
        <v>9114532.4199999999</v>
      </c>
      <c r="G60">
        <v>33.700000000000003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-0.46728971962616811</v>
      </c>
      <c r="Q60">
        <f t="shared" ref="Q60" si="276">F60*P60</f>
        <v>-4259127.2990654195</v>
      </c>
      <c r="R60">
        <f t="shared" ref="R60" si="277">R61+Q60</f>
        <v>844696849.45992899</v>
      </c>
      <c r="S60">
        <f t="shared" ref="S60" si="278">R60/100000</f>
        <v>8446.9684945992904</v>
      </c>
      <c r="T60">
        <f t="shared" ref="T60" si="279">S60/1000</f>
        <v>8.4469684945992896</v>
      </c>
    </row>
    <row r="61" spans="1:20" x14ac:dyDescent="0.25">
      <c r="A61" s="5">
        <v>44532</v>
      </c>
      <c r="B61">
        <v>36.76</v>
      </c>
      <c r="C61">
        <v>36.79</v>
      </c>
      <c r="D61">
        <v>35.049999999999997</v>
      </c>
      <c r="E61">
        <v>35.75</v>
      </c>
      <c r="F61">
        <v>5653240.0599999996</v>
      </c>
      <c r="G61">
        <v>35.75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-0.19540229885057236</v>
      </c>
      <c r="Q61">
        <f t="shared" ref="Q61" si="281">F61*P61</f>
        <v>-1104656.1036781475</v>
      </c>
      <c r="R61">
        <f t="shared" ref="R61" si="282">R62+Q61</f>
        <v>848955976.75899446</v>
      </c>
      <c r="S61">
        <f t="shared" ref="S61" si="283">R61/100000</f>
        <v>8489.5597675899444</v>
      </c>
      <c r="T61">
        <f t="shared" ref="T61" si="284">S61/1000</f>
        <v>8.4895597675899452</v>
      </c>
    </row>
    <row r="62" spans="1:20" x14ac:dyDescent="0.25">
      <c r="A62" s="5">
        <v>44531</v>
      </c>
      <c r="B62">
        <v>37.96</v>
      </c>
      <c r="C62">
        <v>38.78</v>
      </c>
      <c r="D62">
        <v>36.22</v>
      </c>
      <c r="E62">
        <v>36.76</v>
      </c>
      <c r="F62">
        <v>6936636.9100000001</v>
      </c>
      <c r="G62">
        <v>36.76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-0.578125000000001</v>
      </c>
      <c r="Q62">
        <f t="shared" ref="Q62" si="286">F62*P62</f>
        <v>-4010243.2135937572</v>
      </c>
      <c r="R62">
        <f t="shared" ref="R62" si="287">R63+Q62</f>
        <v>850060632.86267257</v>
      </c>
      <c r="S62">
        <f t="shared" ref="S62" si="288">R62/100000</f>
        <v>8500.6063286267254</v>
      </c>
      <c r="T62">
        <f t="shared" ref="T62" si="289">S62/1000</f>
        <v>8.5006063286267253</v>
      </c>
    </row>
    <row r="63" spans="1:20" x14ac:dyDescent="0.25">
      <c r="A63" s="5">
        <v>44530</v>
      </c>
      <c r="B63">
        <v>37.1</v>
      </c>
      <c r="C63">
        <v>39.35</v>
      </c>
      <c r="D63">
        <v>35.28</v>
      </c>
      <c r="E63">
        <v>37.950000000000003</v>
      </c>
      <c r="F63">
        <v>9758902.5999999996</v>
      </c>
      <c r="G63">
        <v>37.950000000000003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0.31203931203931279</v>
      </c>
      <c r="Q63">
        <f t="shared" ref="Q63" si="291">F63*P63</f>
        <v>3045161.2535626609</v>
      </c>
      <c r="R63">
        <f t="shared" ref="R63" si="292">R64+Q63</f>
        <v>854070876.07626629</v>
      </c>
      <c r="S63">
        <f t="shared" ref="S63" si="293">R63/100000</f>
        <v>8540.7087607626636</v>
      </c>
      <c r="T63">
        <f t="shared" ref="T63" si="294">S63/1000</f>
        <v>8.5407087607626639</v>
      </c>
    </row>
    <row r="64" spans="1:20" x14ac:dyDescent="0.25">
      <c r="A64" s="5">
        <v>44529</v>
      </c>
      <c r="B64">
        <v>35.75</v>
      </c>
      <c r="C64">
        <v>37.53</v>
      </c>
      <c r="D64">
        <v>35.4</v>
      </c>
      <c r="E64">
        <v>37.1</v>
      </c>
      <c r="F64">
        <v>7442054.7199999997</v>
      </c>
      <c r="G64">
        <v>37.1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0.59624413145539978</v>
      </c>
      <c r="Q64">
        <f t="shared" ref="Q64" si="296">F64*P64</f>
        <v>4437281.4527699584</v>
      </c>
      <c r="R64">
        <f t="shared" ref="R64" si="297">R65+Q64</f>
        <v>851025714.8227036</v>
      </c>
      <c r="S64">
        <f t="shared" ref="S64" si="298">R64/100000</f>
        <v>8510.2571482270359</v>
      </c>
      <c r="T64">
        <f t="shared" ref="T64" si="299">S64/1000</f>
        <v>8.5102571482270353</v>
      </c>
    </row>
    <row r="65" spans="1:20" x14ac:dyDescent="0.25">
      <c r="A65" s="5">
        <v>44528</v>
      </c>
      <c r="B65">
        <v>35.159999999999997</v>
      </c>
      <c r="C65">
        <v>35.85</v>
      </c>
      <c r="D65">
        <v>32.21</v>
      </c>
      <c r="E65">
        <v>35.76</v>
      </c>
      <c r="F65">
        <v>10439305.23</v>
      </c>
      <c r="G65">
        <v>35.76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0.95054945054944873</v>
      </c>
      <c r="Q65">
        <f t="shared" ref="Q65" si="301">F65*P65</f>
        <v>9923075.8504944872</v>
      </c>
      <c r="R65">
        <f t="shared" ref="R65" si="302">R66+Q65</f>
        <v>846588433.36993361</v>
      </c>
      <c r="S65">
        <f t="shared" ref="S65" si="303">R65/100000</f>
        <v>8465.8843336993359</v>
      </c>
      <c r="T65">
        <f t="shared" ref="T65" si="304">S65/1000</f>
        <v>8.4658843336993357</v>
      </c>
    </row>
    <row r="66" spans="1:20" x14ac:dyDescent="0.25">
      <c r="A66" s="5">
        <v>44527</v>
      </c>
      <c r="B66">
        <v>34.549999999999997</v>
      </c>
      <c r="C66">
        <v>36.119999999999997</v>
      </c>
      <c r="D66">
        <v>34.43</v>
      </c>
      <c r="E66">
        <v>35.159999999999997</v>
      </c>
      <c r="F66">
        <v>6817533.2300000004</v>
      </c>
      <c r="G66">
        <v>35.159999999999997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-0.13609467455621554</v>
      </c>
      <c r="Q66">
        <f t="shared" ref="Q66" si="306">F66*P66</f>
        <v>-927829.96621303505</v>
      </c>
      <c r="R66">
        <f t="shared" ref="R66" si="307">R67+Q66</f>
        <v>836665357.5194391</v>
      </c>
      <c r="S66">
        <f t="shared" ref="S66" si="308">R66/100000</f>
        <v>8366.6535751943902</v>
      </c>
      <c r="T66">
        <f t="shared" ref="T66" si="309">S66/1000</f>
        <v>8.3666535751943893</v>
      </c>
    </row>
    <row r="67" spans="1:20" x14ac:dyDescent="0.25">
      <c r="A67" s="5">
        <v>44526</v>
      </c>
      <c r="B67">
        <v>39.479999999999997</v>
      </c>
      <c r="C67">
        <v>39.619999999999997</v>
      </c>
      <c r="D67">
        <v>33.67</v>
      </c>
      <c r="E67">
        <v>34.56</v>
      </c>
      <c r="F67">
        <v>16596267.73</v>
      </c>
      <c r="G67">
        <v>34.56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-0.7008403361344534</v>
      </c>
      <c r="Q67">
        <f t="shared" ref="Q67" si="311">F67*P67</f>
        <v>-11631333.854470583</v>
      </c>
      <c r="R67">
        <f t="shared" ref="R67" si="312">R68+Q67</f>
        <v>837593187.48565209</v>
      </c>
      <c r="S67">
        <f t="shared" ref="S67" si="313">R67/100000</f>
        <v>8375.9318748565202</v>
      </c>
      <c r="T67">
        <f t="shared" ref="T67" si="314">S67/1000</f>
        <v>8.375931874856521</v>
      </c>
    </row>
    <row r="68" spans="1:20" x14ac:dyDescent="0.25">
      <c r="A68" s="5">
        <v>44525</v>
      </c>
      <c r="B68">
        <v>38.270000000000003</v>
      </c>
      <c r="C68">
        <v>40.93</v>
      </c>
      <c r="D68">
        <v>38.04</v>
      </c>
      <c r="E68">
        <v>39.47</v>
      </c>
      <c r="F68">
        <v>7371944.9699999997</v>
      </c>
      <c r="G68">
        <v>39.47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-1.0380622837370634E-2</v>
      </c>
      <c r="Q68">
        <f t="shared" ref="Q68" si="316">F68*P68</f>
        <v>-76525.38031142157</v>
      </c>
      <c r="R68">
        <f t="shared" ref="R68" si="317">R69+Q68</f>
        <v>849224521.3401227</v>
      </c>
      <c r="S68">
        <f t="shared" ref="S68" si="318">R68/100000</f>
        <v>8492.2452134012274</v>
      </c>
      <c r="T68">
        <f t="shared" ref="T68" si="319">S68/1000</f>
        <v>8.4922452134012278</v>
      </c>
    </row>
    <row r="69" spans="1:20" x14ac:dyDescent="0.25">
      <c r="A69" s="5">
        <v>44524</v>
      </c>
      <c r="B69">
        <v>40.76</v>
      </c>
      <c r="C69">
        <v>40.92</v>
      </c>
      <c r="D69">
        <v>39.18</v>
      </c>
      <c r="E69">
        <v>39.549999999999997</v>
      </c>
      <c r="F69">
        <v>1933538.39</v>
      </c>
      <c r="G69">
        <v>39.549999999999997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-0.57471264367816433</v>
      </c>
      <c r="Q69">
        <f t="shared" ref="Q69" si="321">F69*P69</f>
        <v>-1111228.9597701214</v>
      </c>
      <c r="R69">
        <f t="shared" ref="R69" si="322">R70+Q69</f>
        <v>849301046.72043407</v>
      </c>
      <c r="S69">
        <f t="shared" ref="S69" si="323">R69/100000</f>
        <v>8493.0104672043399</v>
      </c>
      <c r="T69">
        <f t="shared" ref="T69" si="324">S69/1000</f>
        <v>8.4930104672043392</v>
      </c>
    </row>
    <row r="70" spans="1:20" x14ac:dyDescent="0.25">
      <c r="A70" s="5">
        <v>44523</v>
      </c>
      <c r="B70">
        <v>39.479999999999997</v>
      </c>
      <c r="C70">
        <v>41.47</v>
      </c>
      <c r="D70">
        <v>38.54</v>
      </c>
      <c r="E70">
        <v>40.78</v>
      </c>
      <c r="F70">
        <v>6985881.0199999996</v>
      </c>
      <c r="G70">
        <v>40.78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0.52901023890785137</v>
      </c>
      <c r="Q70">
        <f t="shared" ref="Q70" si="326">F70*P70</f>
        <v>3695602.5873720241</v>
      </c>
      <c r="R70">
        <f t="shared" ref="R70" si="327">R71+Q70</f>
        <v>850412275.68020415</v>
      </c>
      <c r="S70">
        <f t="shared" ref="S70" si="328">R70/100000</f>
        <v>8504.1227568020422</v>
      </c>
      <c r="T70">
        <f t="shared" ref="T70" si="329">S70/1000</f>
        <v>8.5041227568020421</v>
      </c>
    </row>
    <row r="71" spans="1:20" x14ac:dyDescent="0.25">
      <c r="A71" s="5">
        <v>44522</v>
      </c>
      <c r="B71">
        <v>41.95</v>
      </c>
      <c r="C71">
        <v>42.16</v>
      </c>
      <c r="D71">
        <v>38.799999999999997</v>
      </c>
      <c r="E71">
        <v>39.49</v>
      </c>
      <c r="F71">
        <v>8474290.4499999993</v>
      </c>
      <c r="G71">
        <v>39.49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-0.5892857142857113</v>
      </c>
      <c r="Q71">
        <f t="shared" ref="Q71" si="331">F71*P71</f>
        <v>-4993778.3008928318</v>
      </c>
      <c r="R71">
        <f t="shared" ref="R71" si="332">R72+Q71</f>
        <v>846716673.09283209</v>
      </c>
      <c r="S71">
        <f t="shared" ref="S71" si="333">R71/100000</f>
        <v>8467.1667309283202</v>
      </c>
      <c r="T71">
        <f t="shared" ref="T71" si="334">S71/1000</f>
        <v>8.4671667309283194</v>
      </c>
    </row>
    <row r="72" spans="1:20" x14ac:dyDescent="0.25">
      <c r="A72" s="5">
        <v>44521</v>
      </c>
      <c r="B72">
        <v>42.09</v>
      </c>
      <c r="C72">
        <v>43.56</v>
      </c>
      <c r="D72">
        <v>40.64</v>
      </c>
      <c r="E72">
        <v>41.94</v>
      </c>
      <c r="F72">
        <v>6646315.9199999999</v>
      </c>
      <c r="G72">
        <v>41.94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-0.10958904109589288</v>
      </c>
      <c r="Q72">
        <f t="shared" ref="Q72" si="336">F72*P72</f>
        <v>-728363.388493167</v>
      </c>
      <c r="R72">
        <f t="shared" ref="R72" si="337">R73+Q72</f>
        <v>851710451.39372492</v>
      </c>
      <c r="S72">
        <f t="shared" ref="S72" si="338">R72/100000</f>
        <v>8517.1045139372491</v>
      </c>
      <c r="T72">
        <f t="shared" ref="T72" si="339">S72/1000</f>
        <v>8.5171045139372499</v>
      </c>
    </row>
    <row r="73" spans="1:20" x14ac:dyDescent="0.25">
      <c r="A73" s="5">
        <v>44520</v>
      </c>
      <c r="B73">
        <v>41.23</v>
      </c>
      <c r="C73">
        <v>42.1</v>
      </c>
      <c r="D73">
        <v>39.83</v>
      </c>
      <c r="E73">
        <v>42.1</v>
      </c>
      <c r="F73">
        <v>5821401.3600000003</v>
      </c>
      <c r="G73">
        <v>42.1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1</v>
      </c>
      <c r="Q73">
        <f t="shared" ref="Q73" si="341">F73*P73</f>
        <v>5821401.3600000003</v>
      </c>
      <c r="R73">
        <f t="shared" ref="R73" si="342">R74+Q73</f>
        <v>852438814.7822181</v>
      </c>
      <c r="S73">
        <f t="shared" ref="S73" si="343">R73/100000</f>
        <v>8524.3881478221811</v>
      </c>
      <c r="T73">
        <f t="shared" ref="T73" si="344">S73/1000</f>
        <v>8.5243881478221812</v>
      </c>
    </row>
    <row r="74" spans="1:20" x14ac:dyDescent="0.25">
      <c r="A74" s="5">
        <v>44519</v>
      </c>
      <c r="B74">
        <v>39.03</v>
      </c>
      <c r="C74">
        <v>42.28</v>
      </c>
      <c r="D74">
        <v>38.36</v>
      </c>
      <c r="E74">
        <v>41.24</v>
      </c>
      <c r="F74">
        <v>8936329.8499999996</v>
      </c>
      <c r="G74">
        <v>41.24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0.4693877551020415</v>
      </c>
      <c r="Q74">
        <f t="shared" ref="Q74" si="346">F74*P74</f>
        <v>4194603.8071428631</v>
      </c>
      <c r="R74">
        <f t="shared" ref="R74" si="347">R75+Q74</f>
        <v>846617413.42221808</v>
      </c>
      <c r="S74">
        <f t="shared" ref="S74" si="348">R74/100000</f>
        <v>8466.1741342221812</v>
      </c>
      <c r="T74">
        <f t="shared" ref="T74" si="349">S74/1000</f>
        <v>8.4661741342221806</v>
      </c>
    </row>
    <row r="75" spans="1:20" x14ac:dyDescent="0.25">
      <c r="A75" s="5">
        <v>44518</v>
      </c>
      <c r="B75">
        <v>42.75</v>
      </c>
      <c r="C75">
        <v>43.27</v>
      </c>
      <c r="D75">
        <v>37.53</v>
      </c>
      <c r="E75">
        <v>39.03</v>
      </c>
      <c r="F75">
        <v>14653376.83</v>
      </c>
      <c r="G75">
        <v>39.03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-0.47735191637630681</v>
      </c>
      <c r="Q75">
        <f t="shared" ref="Q75" si="351">F75*P75</f>
        <v>-6994817.5111846719</v>
      </c>
      <c r="R75">
        <f t="shared" ref="R75" si="352">R76+Q75</f>
        <v>842422809.61507523</v>
      </c>
      <c r="S75">
        <f t="shared" ref="S75" si="353">R75/100000</f>
        <v>8424.2280961507531</v>
      </c>
      <c r="T75">
        <f t="shared" ref="T75" si="354">S75/1000</f>
        <v>8.4242280961507525</v>
      </c>
    </row>
    <row r="76" spans="1:20" x14ac:dyDescent="0.25">
      <c r="A76" s="5">
        <v>44517</v>
      </c>
      <c r="B76">
        <v>40.840000000000003</v>
      </c>
      <c r="C76">
        <v>42.78</v>
      </c>
      <c r="D76">
        <v>38.76</v>
      </c>
      <c r="E76">
        <v>42.75</v>
      </c>
      <c r="F76">
        <v>11336082.439999999</v>
      </c>
      <c r="G76">
        <v>42.75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0.98507462686567104</v>
      </c>
      <c r="Q76">
        <f t="shared" ref="Q76" si="356">F76*P76</f>
        <v>11166887.179701485</v>
      </c>
      <c r="R76">
        <f t="shared" ref="R76" si="357">R77+Q76</f>
        <v>849417627.12625992</v>
      </c>
      <c r="S76">
        <f t="shared" ref="S76" si="358">R76/100000</f>
        <v>8494.1762712625987</v>
      </c>
      <c r="T76">
        <f t="shared" ref="T76" si="359">S76/1000</f>
        <v>8.4941762712625994</v>
      </c>
    </row>
    <row r="77" spans="1:20" x14ac:dyDescent="0.25">
      <c r="A77" s="5">
        <v>44516</v>
      </c>
      <c r="B77">
        <v>44.78</v>
      </c>
      <c r="C77">
        <v>44.78</v>
      </c>
      <c r="D77">
        <v>38.1</v>
      </c>
      <c r="E77">
        <v>40.840000000000003</v>
      </c>
      <c r="F77">
        <v>19699792.899999999</v>
      </c>
      <c r="G77">
        <v>40.840000000000003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-0.17964071856287361</v>
      </c>
      <c r="Q77">
        <f t="shared" ref="Q77" si="361">F77*P77</f>
        <v>-3538884.9520957954</v>
      </c>
      <c r="R77">
        <f t="shared" ref="R77" si="362">R78+Q77</f>
        <v>838250739.94655848</v>
      </c>
      <c r="S77">
        <f t="shared" ref="S77" si="363">R77/100000</f>
        <v>8382.507399465585</v>
      </c>
      <c r="T77">
        <f t="shared" ref="T77" si="364">S77/1000</f>
        <v>8.3825073994655845</v>
      </c>
    </row>
    <row r="78" spans="1:20" x14ac:dyDescent="0.25">
      <c r="A78" s="5">
        <v>44515</v>
      </c>
      <c r="B78">
        <v>46.39</v>
      </c>
      <c r="C78">
        <v>47.46</v>
      </c>
      <c r="D78">
        <v>44.5</v>
      </c>
      <c r="E78">
        <v>44.77</v>
      </c>
      <c r="F78">
        <v>6580865.0300000003</v>
      </c>
      <c r="G78">
        <v>44.77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-0.81756756756756555</v>
      </c>
      <c r="Q78">
        <f t="shared" ref="Q78" si="366">F78*P78</f>
        <v>-5380301.8150675548</v>
      </c>
      <c r="R78">
        <f t="shared" ref="R78" si="367">R79+Q78</f>
        <v>841789624.89865422</v>
      </c>
      <c r="S78">
        <f t="shared" ref="S78" si="368">R78/100000</f>
        <v>8417.8962489865426</v>
      </c>
      <c r="T78">
        <f t="shared" ref="T78" si="369">S78/1000</f>
        <v>8.4178962489865423</v>
      </c>
    </row>
    <row r="79" spans="1:20" x14ac:dyDescent="0.25">
      <c r="A79" s="5">
        <v>44514</v>
      </c>
      <c r="B79">
        <v>47.07</v>
      </c>
      <c r="C79">
        <v>47.83</v>
      </c>
      <c r="D79">
        <v>45.02</v>
      </c>
      <c r="E79">
        <v>46.39</v>
      </c>
      <c r="F79">
        <v>4667465.13</v>
      </c>
      <c r="G79">
        <v>46.39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-2.4911032028469896E-2</v>
      </c>
      <c r="Q79">
        <f t="shared" ref="Q79" si="371">F79*P79</f>
        <v>-116271.37334519641</v>
      </c>
      <c r="R79">
        <f t="shared" ref="R79" si="372">R80+Q79</f>
        <v>847169926.71372175</v>
      </c>
      <c r="S79">
        <f t="shared" ref="S79" si="373">R79/100000</f>
        <v>8471.6992671372172</v>
      </c>
      <c r="T79">
        <f t="shared" ref="T79" si="374">S79/1000</f>
        <v>8.4716992671372164</v>
      </c>
    </row>
    <row r="80" spans="1:20" x14ac:dyDescent="0.25">
      <c r="A80" s="5">
        <v>44513</v>
      </c>
      <c r="B80">
        <v>45.9</v>
      </c>
      <c r="C80">
        <v>47.55</v>
      </c>
      <c r="D80">
        <v>44.86</v>
      </c>
      <c r="E80">
        <v>47.07</v>
      </c>
      <c r="F80">
        <v>6068714.0999999996</v>
      </c>
      <c r="G80">
        <v>47.07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0.64312267657992772</v>
      </c>
      <c r="Q80">
        <f t="shared" ref="Q80" si="376">F80*P80</f>
        <v>3902927.6553903469</v>
      </c>
      <c r="R80">
        <f t="shared" ref="R80" si="377">R81+Q80</f>
        <v>847286198.08706701</v>
      </c>
      <c r="S80">
        <f t="shared" ref="S80" si="378">R80/100000</f>
        <v>8472.8619808706699</v>
      </c>
      <c r="T80">
        <f t="shared" ref="T80" si="379">S80/1000</f>
        <v>8.47286198087067</v>
      </c>
    </row>
    <row r="81" spans="1:20" x14ac:dyDescent="0.25">
      <c r="A81" s="5">
        <v>44512</v>
      </c>
      <c r="B81">
        <v>47.44</v>
      </c>
      <c r="C81">
        <v>47.72</v>
      </c>
      <c r="D81">
        <v>44.04</v>
      </c>
      <c r="E81">
        <v>45.9</v>
      </c>
      <c r="F81">
        <v>10700975.880000001</v>
      </c>
      <c r="G81">
        <v>45.9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1.0869565217391073E-2</v>
      </c>
      <c r="Q81">
        <f t="shared" ref="Q81" si="381">F81*P81</f>
        <v>116314.95521738884</v>
      </c>
      <c r="R81">
        <f t="shared" ref="R81" si="382">R82+Q81</f>
        <v>843383270.43167663</v>
      </c>
      <c r="S81">
        <f t="shared" ref="S81" si="383">R81/100000</f>
        <v>8433.8327043167665</v>
      </c>
      <c r="T81">
        <f t="shared" ref="T81" si="384">S81/1000</f>
        <v>8.4338327043167673</v>
      </c>
    </row>
    <row r="82" spans="1:20" x14ac:dyDescent="0.25">
      <c r="A82" s="5">
        <v>44511</v>
      </c>
      <c r="B82">
        <v>46.74</v>
      </c>
      <c r="C82">
        <v>49.44</v>
      </c>
      <c r="D82">
        <v>45.55</v>
      </c>
      <c r="E82">
        <v>47.44</v>
      </c>
      <c r="F82">
        <v>9323684.5500000007</v>
      </c>
      <c r="G82">
        <v>47.44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-2.8277634961439438E-2</v>
      </c>
      <c r="Q82">
        <f t="shared" ref="Q82" si="386">F82*P82</f>
        <v>-263651.74820051278</v>
      </c>
      <c r="R82">
        <f t="shared" ref="R82" si="387">R83+Q82</f>
        <v>843266955.47645926</v>
      </c>
      <c r="S82">
        <f t="shared" ref="S82" si="388">R82/100000</f>
        <v>8432.6695547645922</v>
      </c>
      <c r="T82">
        <f t="shared" ref="T82" si="389">S82/1000</f>
        <v>8.4326695547645922</v>
      </c>
    </row>
    <row r="83" spans="1:20" x14ac:dyDescent="0.25">
      <c r="A83" s="5">
        <v>44510</v>
      </c>
      <c r="B83">
        <v>50.79</v>
      </c>
      <c r="C83">
        <v>52.08</v>
      </c>
      <c r="D83">
        <v>42.5</v>
      </c>
      <c r="E83">
        <v>46.74</v>
      </c>
      <c r="F83">
        <v>19625912.739999998</v>
      </c>
      <c r="G83">
        <v>46.74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-0.11482254697285955</v>
      </c>
      <c r="Q83">
        <f t="shared" ref="Q83" si="391">F83*P83</f>
        <v>-2253497.2874738928</v>
      </c>
      <c r="R83">
        <f t="shared" ref="R83" si="392">R84+Q83</f>
        <v>843530607.2246598</v>
      </c>
      <c r="S83">
        <f t="shared" ref="S83" si="393">R83/100000</f>
        <v>8435.306072246598</v>
      </c>
      <c r="T83">
        <f t="shared" ref="T83" si="394">S83/1000</f>
        <v>8.4353060722465987</v>
      </c>
    </row>
    <row r="84" spans="1:20" x14ac:dyDescent="0.25">
      <c r="A84" s="5">
        <v>44509</v>
      </c>
      <c r="B84">
        <v>53.36</v>
      </c>
      <c r="C84">
        <v>53.39</v>
      </c>
      <c r="D84">
        <v>50.52</v>
      </c>
      <c r="E84">
        <v>50.78</v>
      </c>
      <c r="F84">
        <v>10322506.130000001</v>
      </c>
      <c r="G84">
        <v>50.78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-0.81881533101045423</v>
      </c>
      <c r="Q84">
        <f t="shared" ref="Q84" si="396">F84*P84</f>
        <v>-8452226.2736933939</v>
      </c>
      <c r="R84">
        <f t="shared" ref="R84" si="397">R85+Q84</f>
        <v>845784104.51213372</v>
      </c>
      <c r="S84">
        <f t="shared" ref="S84" si="398">R84/100000</f>
        <v>8457.8410451213367</v>
      </c>
      <c r="T84">
        <f t="shared" ref="T84" si="399">S84/1000</f>
        <v>8.4578410451213362</v>
      </c>
    </row>
    <row r="85" spans="1:20" x14ac:dyDescent="0.25">
      <c r="A85" s="5">
        <v>44508</v>
      </c>
      <c r="B85">
        <v>52.22</v>
      </c>
      <c r="C85">
        <v>53.87</v>
      </c>
      <c r="D85">
        <v>51.63</v>
      </c>
      <c r="E85">
        <v>53.36</v>
      </c>
      <c r="F85">
        <v>7797418.8099999996</v>
      </c>
      <c r="G85">
        <v>53.36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0.54464285714285787</v>
      </c>
      <c r="Q85">
        <f t="shared" ref="Q85" si="401">F85*P85</f>
        <v>4246808.4590178626</v>
      </c>
      <c r="R85">
        <f t="shared" ref="R85" si="402">R86+Q85</f>
        <v>854236330.78582716</v>
      </c>
      <c r="S85">
        <f t="shared" ref="S85" si="403">R85/100000</f>
        <v>8542.3633078582716</v>
      </c>
      <c r="T85">
        <f t="shared" ref="T85" si="404">S85/1000</f>
        <v>8.5423633078582721</v>
      </c>
    </row>
    <row r="86" spans="1:20" x14ac:dyDescent="0.25">
      <c r="A86" s="5">
        <v>44507</v>
      </c>
      <c r="B86">
        <v>52.03</v>
      </c>
      <c r="C86">
        <v>53.53</v>
      </c>
      <c r="D86">
        <v>51.29</v>
      </c>
      <c r="E86">
        <v>52.22</v>
      </c>
      <c r="F86">
        <v>7102199.25</v>
      </c>
      <c r="G86">
        <v>52.22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-0.16964285714285812</v>
      </c>
      <c r="Q86">
        <f t="shared" ref="Q86" si="406">F86*P86</f>
        <v>-1204837.372767864</v>
      </c>
      <c r="R86">
        <f t="shared" ref="R86" si="407">R87+Q86</f>
        <v>849989522.32680929</v>
      </c>
      <c r="S86">
        <f t="shared" ref="S86" si="408">R86/100000</f>
        <v>8499.8952232680931</v>
      </c>
      <c r="T86">
        <f t="shared" ref="T86" si="409">S86/1000</f>
        <v>8.4998952232680924</v>
      </c>
    </row>
    <row r="87" spans="1:20" x14ac:dyDescent="0.25">
      <c r="A87" s="5">
        <v>44506</v>
      </c>
      <c r="B87">
        <v>51.75</v>
      </c>
      <c r="C87">
        <v>52.42</v>
      </c>
      <c r="D87">
        <v>49</v>
      </c>
      <c r="E87">
        <v>52.02</v>
      </c>
      <c r="F87">
        <v>8114011.7800000003</v>
      </c>
      <c r="G87">
        <v>52.02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0.76608187134503014</v>
      </c>
      <c r="Q87">
        <f t="shared" ref="Q87" si="411">F87*P87</f>
        <v>6215997.3285380192</v>
      </c>
      <c r="R87">
        <f t="shared" ref="R87" si="412">R88+Q87</f>
        <v>851194359.69957709</v>
      </c>
      <c r="S87">
        <f t="shared" ref="S87" si="413">R87/100000</f>
        <v>8511.9435969957703</v>
      </c>
      <c r="T87">
        <f t="shared" ref="T87" si="414">S87/1000</f>
        <v>8.5119435969957706</v>
      </c>
    </row>
    <row r="88" spans="1:20" x14ac:dyDescent="0.25">
      <c r="A88" s="5">
        <v>44505</v>
      </c>
      <c r="B88">
        <v>53.83</v>
      </c>
      <c r="C88">
        <v>53.93</v>
      </c>
      <c r="D88">
        <v>50.56</v>
      </c>
      <c r="E88">
        <v>51.76</v>
      </c>
      <c r="F88">
        <v>8742278.8000000007</v>
      </c>
      <c r="G88">
        <v>51.76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-0.28783382789317707</v>
      </c>
      <c r="Q88">
        <f t="shared" ref="Q88" si="416">F88*P88</f>
        <v>-2516323.5715133706</v>
      </c>
      <c r="R88">
        <f t="shared" ref="R88" si="417">R89+Q88</f>
        <v>844978362.37103903</v>
      </c>
      <c r="S88">
        <f t="shared" ref="S88" si="418">R88/100000</f>
        <v>8449.7836237103911</v>
      </c>
      <c r="T88">
        <f t="shared" ref="T88" si="419">S88/1000</f>
        <v>8.4497836237103918</v>
      </c>
    </row>
    <row r="89" spans="1:20" x14ac:dyDescent="0.25">
      <c r="A89" s="5">
        <v>44504</v>
      </c>
      <c r="B89">
        <v>53.35</v>
      </c>
      <c r="C89">
        <v>55.09</v>
      </c>
      <c r="D89">
        <v>52.16</v>
      </c>
      <c r="E89">
        <v>53.82</v>
      </c>
      <c r="F89">
        <v>14091354.818</v>
      </c>
      <c r="G89">
        <v>53.82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0.13310580204778144</v>
      </c>
      <c r="Q89">
        <f t="shared" ref="Q89" si="421">F89*P89</f>
        <v>1875641.0849897594</v>
      </c>
      <c r="R89">
        <f t="shared" ref="R89" si="422">R90+Q89</f>
        <v>847494685.94255245</v>
      </c>
      <c r="S89">
        <f t="shared" ref="S89" si="423">R89/100000</f>
        <v>8474.946859425525</v>
      </c>
      <c r="T89">
        <f t="shared" ref="T89" si="424">S89/1000</f>
        <v>8.4749468594255255</v>
      </c>
    </row>
    <row r="90" spans="1:20" x14ac:dyDescent="0.25">
      <c r="A90" s="5">
        <v>44503</v>
      </c>
      <c r="B90">
        <v>51.66</v>
      </c>
      <c r="C90">
        <v>54.54</v>
      </c>
      <c r="D90">
        <v>49.07</v>
      </c>
      <c r="E90">
        <v>53.34</v>
      </c>
      <c r="F90">
        <v>17237167.469999999</v>
      </c>
      <c r="G90">
        <v>53.34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0.56124314442413314</v>
      </c>
      <c r="Q90">
        <f t="shared" ref="Q90" si="426">F90*P90</f>
        <v>9674242.0718281791</v>
      </c>
      <c r="R90">
        <f t="shared" ref="R90" si="427">R91+Q90</f>
        <v>845619044.85756266</v>
      </c>
      <c r="S90">
        <f t="shared" ref="S90" si="428">R90/100000</f>
        <v>8456.1904485756259</v>
      </c>
      <c r="T90">
        <f t="shared" ref="T90" si="429">S90/1000</f>
        <v>8.4561904485756259</v>
      </c>
    </row>
    <row r="91" spans="1:20" x14ac:dyDescent="0.25">
      <c r="A91" s="5">
        <v>44502</v>
      </c>
      <c r="B91">
        <v>49.98</v>
      </c>
      <c r="C91">
        <v>53.35</v>
      </c>
      <c r="D91">
        <v>48.01</v>
      </c>
      <c r="E91">
        <v>51.66</v>
      </c>
      <c r="F91">
        <v>19822814.528000001</v>
      </c>
      <c r="G91">
        <v>51.66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0.36704119850187128</v>
      </c>
      <c r="Q91">
        <f t="shared" ref="Q91" si="431">F91*P91</f>
        <v>7275789.6020374261</v>
      </c>
      <c r="R91">
        <f t="shared" ref="R91" si="432">R92+Q91</f>
        <v>835944802.78573453</v>
      </c>
      <c r="S91">
        <f t="shared" ref="S91" si="433">R91/100000</f>
        <v>8359.4480278573446</v>
      </c>
      <c r="T91">
        <f t="shared" ref="T91" si="434">S91/1000</f>
        <v>8.3594480278573453</v>
      </c>
    </row>
    <row r="92" spans="1:20" x14ac:dyDescent="0.25">
      <c r="A92" s="5">
        <v>44501</v>
      </c>
      <c r="B92">
        <v>42.78</v>
      </c>
      <c r="C92">
        <v>51.57</v>
      </c>
      <c r="D92">
        <v>41.7</v>
      </c>
      <c r="E92">
        <v>49.98</v>
      </c>
      <c r="F92">
        <v>23714028.213</v>
      </c>
      <c r="G92">
        <v>49.98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0.67781155015197492</v>
      </c>
      <c r="Q92">
        <f t="shared" ref="Q92" si="436">F92*P92</f>
        <v>16073642.223401198</v>
      </c>
      <c r="R92">
        <f t="shared" ref="R92" si="437">R93+Q92</f>
        <v>828669013.1836971</v>
      </c>
      <c r="S92">
        <f t="shared" ref="S92" si="438">R92/100000</f>
        <v>8286.690131836971</v>
      </c>
      <c r="T92">
        <f t="shared" ref="T92" si="439">S92/1000</f>
        <v>8.2866901318369717</v>
      </c>
    </row>
    <row r="93" spans="1:20" x14ac:dyDescent="0.25">
      <c r="A93" s="5">
        <v>44500</v>
      </c>
      <c r="B93">
        <v>42.73</v>
      </c>
      <c r="C93">
        <v>43.36</v>
      </c>
      <c r="D93">
        <v>41.01</v>
      </c>
      <c r="E93">
        <v>42.77</v>
      </c>
      <c r="F93">
        <v>6375433.7699999996</v>
      </c>
      <c r="G93">
        <v>42.77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0.49787234042553535</v>
      </c>
      <c r="Q93">
        <f t="shared" ref="Q93" si="441">F93*P93</f>
        <v>3174152.132297894</v>
      </c>
      <c r="R93">
        <f t="shared" ref="R93" si="442">R94+Q93</f>
        <v>812595370.96029592</v>
      </c>
      <c r="S93">
        <f t="shared" ref="S93" si="443">R93/100000</f>
        <v>8125.953709602959</v>
      </c>
      <c r="T93">
        <f t="shared" ref="T93" si="444">S93/1000</f>
        <v>8.1259537096029586</v>
      </c>
    </row>
    <row r="94" spans="1:20" x14ac:dyDescent="0.25">
      <c r="A94" s="5">
        <v>44499</v>
      </c>
      <c r="B94">
        <v>44.19</v>
      </c>
      <c r="C94">
        <v>44.31</v>
      </c>
      <c r="D94">
        <v>42.08</v>
      </c>
      <c r="E94">
        <v>42.73</v>
      </c>
      <c r="F94">
        <v>5254551.32</v>
      </c>
      <c r="G94">
        <v>42.73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-0.41704035874439693</v>
      </c>
      <c r="Q94">
        <f t="shared" ref="Q94" si="446">F94*P94</f>
        <v>-2191359.9675336448</v>
      </c>
      <c r="R94">
        <f t="shared" ref="R94" si="447">R95+Q94</f>
        <v>809421218.82799804</v>
      </c>
      <c r="S94">
        <f t="shared" ref="S94" si="448">R94/100000</f>
        <v>8094.2121882799802</v>
      </c>
      <c r="T94">
        <f t="shared" ref="T94" si="449">S94/1000</f>
        <v>8.0942121882799807</v>
      </c>
    </row>
    <row r="95" spans="1:20" x14ac:dyDescent="0.25">
      <c r="A95" s="5">
        <v>44498</v>
      </c>
      <c r="B95">
        <v>41.82</v>
      </c>
      <c r="C95">
        <v>44.35</v>
      </c>
      <c r="D95">
        <v>41.56</v>
      </c>
      <c r="E95">
        <v>44.2</v>
      </c>
      <c r="F95">
        <v>8788034.2100000009</v>
      </c>
      <c r="G95">
        <v>44.2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0.89247311827957088</v>
      </c>
      <c r="Q95">
        <f t="shared" ref="Q95" si="451">F95*P95</f>
        <v>7843084.2949462458</v>
      </c>
      <c r="R95">
        <f t="shared" ref="R95" si="452">R96+Q95</f>
        <v>811612578.79553163</v>
      </c>
      <c r="S95">
        <f t="shared" ref="S95" si="453">R95/100000</f>
        <v>8116.1257879553159</v>
      </c>
      <c r="T95">
        <f t="shared" ref="T95" si="454">S95/1000</f>
        <v>8.1161257879553155</v>
      </c>
    </row>
    <row r="96" spans="1:20" x14ac:dyDescent="0.25">
      <c r="A96" s="5">
        <v>44497</v>
      </c>
      <c r="B96">
        <v>40.43</v>
      </c>
      <c r="C96">
        <v>43.12</v>
      </c>
      <c r="D96">
        <v>39.81</v>
      </c>
      <c r="E96">
        <v>41.82</v>
      </c>
      <c r="F96">
        <v>11629300.380000001</v>
      </c>
      <c r="G96">
        <v>41.82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0.2145015105740187</v>
      </c>
      <c r="Q96">
        <f t="shared" ref="Q96" si="456">F96*P96</f>
        <v>2494502.4984290097</v>
      </c>
      <c r="R96">
        <f t="shared" ref="R96" si="457">R97+Q96</f>
        <v>803769494.50058544</v>
      </c>
      <c r="S96">
        <f t="shared" ref="S96" si="458">R96/100000</f>
        <v>8037.6949450058546</v>
      </c>
      <c r="T96">
        <f t="shared" ref="T96" si="459">S96/1000</f>
        <v>8.037694945005855</v>
      </c>
    </row>
    <row r="97" spans="1:20" x14ac:dyDescent="0.25">
      <c r="A97" s="5">
        <v>44496</v>
      </c>
      <c r="B97">
        <v>44.93</v>
      </c>
      <c r="C97">
        <v>45.77</v>
      </c>
      <c r="D97">
        <v>38.700000000000003</v>
      </c>
      <c r="E97">
        <v>40.44</v>
      </c>
      <c r="F97">
        <v>17560562.149999999</v>
      </c>
      <c r="G97">
        <v>40.44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-0.50777934936350921</v>
      </c>
      <c r="Q97">
        <f t="shared" ref="Q97" si="461">F97*P97</f>
        <v>-8916890.8229844663</v>
      </c>
      <c r="R97">
        <f t="shared" ref="R97" si="462">R98+Q97</f>
        <v>801274992.00215638</v>
      </c>
      <c r="S97">
        <f t="shared" ref="S97" si="463">R97/100000</f>
        <v>8012.7499200215634</v>
      </c>
      <c r="T97">
        <f t="shared" ref="T97" si="464">S97/1000</f>
        <v>8.0127499200215642</v>
      </c>
    </row>
    <row r="98" spans="1:20" x14ac:dyDescent="0.25">
      <c r="A98" s="5">
        <v>44495</v>
      </c>
      <c r="B98">
        <v>44.55</v>
      </c>
      <c r="C98">
        <v>46</v>
      </c>
      <c r="D98">
        <v>43.31</v>
      </c>
      <c r="E98">
        <v>44.93</v>
      </c>
      <c r="F98">
        <v>9161833.4600000009</v>
      </c>
      <c r="G98">
        <v>44.93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0.20446096654275003</v>
      </c>
      <c r="Q98">
        <f t="shared" ref="Q98" si="466">F98*P98</f>
        <v>1873237.3245353079</v>
      </c>
      <c r="R98">
        <f t="shared" ref="R98" si="467">R99+Q98</f>
        <v>810191882.82514083</v>
      </c>
      <c r="S98">
        <f t="shared" ref="S98" si="468">R98/100000</f>
        <v>8101.9188282514087</v>
      </c>
      <c r="T98">
        <f t="shared" ref="T98" si="469">S98/1000</f>
        <v>8.1019188282514083</v>
      </c>
    </row>
    <row r="99" spans="1:20" x14ac:dyDescent="0.25">
      <c r="A99" s="5">
        <v>44494</v>
      </c>
      <c r="B99">
        <v>42.3</v>
      </c>
      <c r="C99">
        <v>44.8</v>
      </c>
      <c r="D99">
        <v>42.11</v>
      </c>
      <c r="E99">
        <v>44.55</v>
      </c>
      <c r="F99">
        <v>7291785.5300000003</v>
      </c>
      <c r="G99">
        <v>44.55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0.81412639405204446</v>
      </c>
      <c r="Q99">
        <f t="shared" ref="Q99" si="471">F99*P99</f>
        <v>5936435.059739776</v>
      </c>
      <c r="R99">
        <f t="shared" ref="R99" si="472">R100+Q99</f>
        <v>808318645.50060558</v>
      </c>
      <c r="S99">
        <f t="shared" ref="S99" si="473">R99/100000</f>
        <v>8083.1864550060554</v>
      </c>
      <c r="T99">
        <f t="shared" ref="T99" si="474">S99/1000</f>
        <v>8.0831864550060555</v>
      </c>
    </row>
    <row r="100" spans="1:20" x14ac:dyDescent="0.25">
      <c r="A100" s="5">
        <v>44493</v>
      </c>
      <c r="B100">
        <v>43.94</v>
      </c>
      <c r="C100">
        <v>44.17</v>
      </c>
      <c r="D100">
        <v>41.27</v>
      </c>
      <c r="E100">
        <v>42.31</v>
      </c>
      <c r="F100">
        <v>7260724.0599999996</v>
      </c>
      <c r="G100">
        <v>42.31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-0.2827586206896554</v>
      </c>
      <c r="Q100">
        <f t="shared" ref="Q100" si="476">F100*P100</f>
        <v>-2053032.3204137946</v>
      </c>
      <c r="R100">
        <f t="shared" ref="R100" si="477">R101+Q100</f>
        <v>802382210.44086576</v>
      </c>
      <c r="S100">
        <f t="shared" ref="S100" si="478">R100/100000</f>
        <v>8023.8221044086577</v>
      </c>
      <c r="T100">
        <f t="shared" ref="T100" si="479">S100/1000</f>
        <v>8.0238221044086568</v>
      </c>
    </row>
    <row r="101" spans="1:20" x14ac:dyDescent="0.25">
      <c r="A101" s="5">
        <v>44492</v>
      </c>
      <c r="B101">
        <v>43.5</v>
      </c>
      <c r="C101">
        <v>44.79</v>
      </c>
      <c r="D101">
        <v>43.08</v>
      </c>
      <c r="E101">
        <v>43.95</v>
      </c>
      <c r="F101">
        <v>6138290.1399999997</v>
      </c>
      <c r="G101">
        <v>43.95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1.7543859649127618E-2</v>
      </c>
      <c r="Q101">
        <f t="shared" ref="Q101" si="481">F101*P101</f>
        <v>107689.30070178391</v>
      </c>
      <c r="R101">
        <f t="shared" ref="R101" si="482">R102+Q101</f>
        <v>804435242.76127958</v>
      </c>
      <c r="S101">
        <f t="shared" ref="S101" si="483">R101/100000</f>
        <v>8044.3524276127955</v>
      </c>
      <c r="T101">
        <f t="shared" ref="T101" si="484">S101/1000</f>
        <v>8.0443524276127949</v>
      </c>
    </row>
    <row r="102" spans="1:20" x14ac:dyDescent="0.25">
      <c r="A102" s="5">
        <v>44491</v>
      </c>
      <c r="B102">
        <v>42.83</v>
      </c>
      <c r="C102">
        <v>46.39</v>
      </c>
      <c r="D102">
        <v>42.68</v>
      </c>
      <c r="E102">
        <v>43.51</v>
      </c>
      <c r="F102">
        <v>16062749.380000001</v>
      </c>
      <c r="G102">
        <v>43.51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-0.55256064690027051</v>
      </c>
      <c r="Q102">
        <f t="shared" ref="Q102" si="486">F102*P102</f>
        <v>-8875643.1884097196</v>
      </c>
      <c r="R102">
        <f t="shared" ref="R102" si="487">R103+Q102</f>
        <v>804327553.46057785</v>
      </c>
      <c r="S102">
        <f t="shared" ref="S102" si="488">R102/100000</f>
        <v>8043.2755346057784</v>
      </c>
      <c r="T102">
        <f t="shared" ref="T102" si="489">S102/1000</f>
        <v>8.0432755346057778</v>
      </c>
    </row>
    <row r="103" spans="1:20" x14ac:dyDescent="0.25">
      <c r="A103" s="5">
        <v>44490</v>
      </c>
      <c r="B103">
        <v>44.41</v>
      </c>
      <c r="C103">
        <v>45.53</v>
      </c>
      <c r="D103">
        <v>41.91</v>
      </c>
      <c r="E103">
        <v>42.84</v>
      </c>
      <c r="F103">
        <v>14782015.915999999</v>
      </c>
      <c r="G103">
        <v>42.84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-0.48618784530386427</v>
      </c>
      <c r="Q103">
        <f t="shared" ref="Q103" si="491">F103*P103</f>
        <v>-7186836.4674474671</v>
      </c>
      <c r="R103">
        <f t="shared" ref="R103" si="492">R104+Q103</f>
        <v>813203196.64898753</v>
      </c>
      <c r="S103">
        <f t="shared" ref="S103" si="493">R103/100000</f>
        <v>8132.0319664898752</v>
      </c>
      <c r="T103">
        <f t="shared" ref="T103" si="494">S103/1000</f>
        <v>8.1320319664898744</v>
      </c>
    </row>
    <row r="104" spans="1:20" x14ac:dyDescent="0.25">
      <c r="A104" s="5">
        <v>44489</v>
      </c>
      <c r="B104">
        <v>41.35</v>
      </c>
      <c r="C104">
        <v>45.22</v>
      </c>
      <c r="D104">
        <v>41.08</v>
      </c>
      <c r="E104">
        <v>44.42</v>
      </c>
      <c r="F104">
        <v>13310248.052999999</v>
      </c>
      <c r="G104">
        <v>44.42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0.61352657004831057</v>
      </c>
      <c r="Q104">
        <f t="shared" ref="Q104" si="496">F104*P104</f>
        <v>8166190.8344492931</v>
      </c>
      <c r="R104">
        <f t="shared" ref="R104" si="497">R105+Q104</f>
        <v>820390033.11643505</v>
      </c>
      <c r="S104">
        <f t="shared" ref="S104" si="498">R104/100000</f>
        <v>8203.9003311643501</v>
      </c>
      <c r="T104">
        <f t="shared" ref="T104" si="499">S104/1000</f>
        <v>8.2039003311643501</v>
      </c>
    </row>
    <row r="105" spans="1:20" x14ac:dyDescent="0.25">
      <c r="A105" s="5">
        <v>44488</v>
      </c>
      <c r="B105">
        <v>41.16</v>
      </c>
      <c r="C105">
        <v>41.65</v>
      </c>
      <c r="D105">
        <v>40.01</v>
      </c>
      <c r="E105">
        <v>41.34</v>
      </c>
      <c r="F105">
        <v>8843904.7699999996</v>
      </c>
      <c r="G105">
        <v>41.34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0.62195121951220111</v>
      </c>
      <c r="Q105">
        <f t="shared" ref="Q105" si="501">F105*P105</f>
        <v>5500477.3569512721</v>
      </c>
      <c r="R105">
        <f t="shared" ref="R105" si="502">R106+Q105</f>
        <v>812223842.28198576</v>
      </c>
      <c r="S105">
        <f t="shared" ref="S105" si="503">R105/100000</f>
        <v>8122.238422819858</v>
      </c>
      <c r="T105">
        <f t="shared" ref="T105" si="504">S105/1000</f>
        <v>8.1222384228198585</v>
      </c>
    </row>
    <row r="106" spans="1:20" x14ac:dyDescent="0.25">
      <c r="A106" s="5">
        <v>44487</v>
      </c>
      <c r="B106">
        <v>42.11</v>
      </c>
      <c r="C106">
        <v>43.25</v>
      </c>
      <c r="D106">
        <v>40.25</v>
      </c>
      <c r="E106">
        <v>41.17</v>
      </c>
      <c r="F106">
        <v>10911226.84</v>
      </c>
      <c r="G106">
        <v>41.17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-0.38666666666666555</v>
      </c>
      <c r="Q106">
        <f t="shared" ref="Q106" si="506">F106*P106</f>
        <v>-4219007.7114666542</v>
      </c>
      <c r="R106">
        <f t="shared" ref="R106" si="507">R107+Q106</f>
        <v>806723364.92503452</v>
      </c>
      <c r="S106">
        <f t="shared" ref="S106" si="508">R106/100000</f>
        <v>8067.2336492503455</v>
      </c>
      <c r="T106">
        <f t="shared" ref="T106" si="509">S106/1000</f>
        <v>8.0672336492503458</v>
      </c>
    </row>
    <row r="107" spans="1:20" x14ac:dyDescent="0.25">
      <c r="A107" s="5">
        <v>44486</v>
      </c>
      <c r="B107">
        <v>41.74</v>
      </c>
      <c r="C107">
        <v>42.87</v>
      </c>
      <c r="D107">
        <v>39.520000000000003</v>
      </c>
      <c r="E107">
        <v>42.12</v>
      </c>
      <c r="F107">
        <v>10386680.07</v>
      </c>
      <c r="G107">
        <v>42.12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0.55223880597014852</v>
      </c>
      <c r="Q107">
        <f t="shared" ref="Q107" si="511">F107*P107</f>
        <v>5735927.7998507386</v>
      </c>
      <c r="R107">
        <f t="shared" ref="R107" si="512">R108+Q107</f>
        <v>810942372.63650119</v>
      </c>
      <c r="S107">
        <f t="shared" ref="S107" si="513">R107/100000</f>
        <v>8109.423726365012</v>
      </c>
      <c r="T107">
        <f t="shared" ref="T107" si="514">S107/1000</f>
        <v>8.1094237263650122</v>
      </c>
    </row>
    <row r="108" spans="1:20" x14ac:dyDescent="0.25">
      <c r="A108" s="5">
        <v>44485</v>
      </c>
      <c r="B108">
        <v>43.27</v>
      </c>
      <c r="C108">
        <v>44.78</v>
      </c>
      <c r="D108">
        <v>41.26</v>
      </c>
      <c r="E108">
        <v>41.75</v>
      </c>
      <c r="F108">
        <v>13673173.229</v>
      </c>
      <c r="G108">
        <v>41.75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-0.72159090909090817</v>
      </c>
      <c r="Q108">
        <f t="shared" ref="Q108" si="516">F108*P108</f>
        <v>-9866437.5004715789</v>
      </c>
      <c r="R108">
        <f t="shared" ref="R108" si="517">R109+Q108</f>
        <v>805206444.83665049</v>
      </c>
      <c r="S108">
        <f t="shared" ref="S108" si="518">R108/100000</f>
        <v>8052.0644483665046</v>
      </c>
      <c r="T108">
        <f t="shared" ref="T108" si="519">S108/1000</f>
        <v>8.0520644483665045</v>
      </c>
    </row>
    <row r="109" spans="1:20" x14ac:dyDescent="0.25">
      <c r="A109" s="5">
        <v>44484</v>
      </c>
      <c r="B109">
        <v>40.69</v>
      </c>
      <c r="C109">
        <v>44.24</v>
      </c>
      <c r="D109">
        <v>39.450000000000003</v>
      </c>
      <c r="E109">
        <v>43.28</v>
      </c>
      <c r="F109">
        <v>22085746.425999999</v>
      </c>
      <c r="G109">
        <v>43.28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0.59916492693110601</v>
      </c>
      <c r="Q109">
        <f t="shared" ref="Q109" si="521">F109*P109</f>
        <v>13233004.643553225</v>
      </c>
      <c r="R109">
        <f t="shared" ref="R109" si="522">R110+Q109</f>
        <v>815072882.33712208</v>
      </c>
      <c r="S109">
        <f t="shared" ref="S109" si="523">R109/100000</f>
        <v>8150.7288233712206</v>
      </c>
      <c r="T109">
        <f t="shared" ref="T109" si="524">S109/1000</f>
        <v>8.150728823371221</v>
      </c>
    </row>
    <row r="110" spans="1:20" x14ac:dyDescent="0.25">
      <c r="A110" s="5">
        <v>44483</v>
      </c>
      <c r="B110">
        <v>41.69</v>
      </c>
      <c r="C110">
        <v>42.54</v>
      </c>
      <c r="D110">
        <v>39.33</v>
      </c>
      <c r="E110">
        <v>40.71</v>
      </c>
      <c r="F110">
        <v>20178003.609999999</v>
      </c>
      <c r="G110">
        <v>40.71</v>
      </c>
      <c r="L110" t="s">
        <v>7</v>
      </c>
      <c r="M110" t="s">
        <v>8</v>
      </c>
      <c r="N110" t="s">
        <v>8</v>
      </c>
      <c r="P110">
        <f t="shared" ref="P110" si="525">IF(C110=D110,0,((E110-D110)-(C110-E110))/(C110-D110))</f>
        <v>-0.1401869158878491</v>
      </c>
      <c r="Q110">
        <f t="shared" ref="Q110" si="526">F110*P110</f>
        <v>-2828692.0948597854</v>
      </c>
      <c r="R110">
        <f t="shared" ref="R110" si="527">R111+Q110</f>
        <v>801839877.69356883</v>
      </c>
      <c r="S110">
        <f t="shared" ref="S110" si="528">R110/100000</f>
        <v>8018.3987769356881</v>
      </c>
      <c r="T110">
        <f t="shared" ref="T110" si="529">S110/1000</f>
        <v>8.0183987769356886</v>
      </c>
    </row>
    <row r="111" spans="1:20" x14ac:dyDescent="0.25">
      <c r="A111" s="5">
        <v>44482</v>
      </c>
      <c r="B111">
        <v>35.159999999999997</v>
      </c>
      <c r="C111">
        <v>43.22</v>
      </c>
      <c r="D111">
        <v>33.57</v>
      </c>
      <c r="E111">
        <v>41.69</v>
      </c>
      <c r="F111">
        <v>36492731.213</v>
      </c>
      <c r="G111">
        <v>41.69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0.68290155440414479</v>
      </c>
      <c r="Q111">
        <f t="shared" ref="Q111" si="531">F111*P111</f>
        <v>24920942.86981035</v>
      </c>
      <c r="R111">
        <f t="shared" ref="R111" si="532">R112+Q111</f>
        <v>804668569.78842866</v>
      </c>
      <c r="S111">
        <f t="shared" ref="S111" si="533">R111/100000</f>
        <v>8046.685697884287</v>
      </c>
      <c r="T111">
        <f t="shared" ref="T111" si="534">S111/1000</f>
        <v>8.0466856978842873</v>
      </c>
    </row>
    <row r="112" spans="1:20" x14ac:dyDescent="0.25">
      <c r="A112" s="5">
        <v>44481</v>
      </c>
      <c r="B112">
        <v>34.119999999999997</v>
      </c>
      <c r="C112">
        <v>35.43</v>
      </c>
      <c r="D112">
        <v>32.07</v>
      </c>
      <c r="E112">
        <v>35.17</v>
      </c>
      <c r="F112">
        <v>13326459.4</v>
      </c>
      <c r="G112">
        <v>35.17</v>
      </c>
      <c r="L112" t="s">
        <v>7</v>
      </c>
      <c r="M112" t="s">
        <v>8</v>
      </c>
      <c r="N112" t="s">
        <v>8</v>
      </c>
      <c r="P112">
        <f t="shared" ref="P112" si="535">IF(C112=D112,0,((E112-D112)-(C112-E112))/(C112-D112))</f>
        <v>0.84523809523809634</v>
      </c>
      <c r="Q112">
        <f t="shared" ref="Q112" si="536">F112*P112</f>
        <v>11264031.159523824</v>
      </c>
      <c r="R112">
        <f t="shared" ref="R112" si="537">R113+Q112</f>
        <v>779747626.91861832</v>
      </c>
      <c r="S112">
        <f t="shared" ref="S112" si="538">R112/100000</f>
        <v>7797.4762691861833</v>
      </c>
      <c r="T112">
        <f t="shared" ref="T112" si="539">S112/1000</f>
        <v>7.7974762691861832</v>
      </c>
    </row>
    <row r="113" spans="1:20" x14ac:dyDescent="0.25">
      <c r="A113" s="5">
        <v>44480</v>
      </c>
      <c r="B113">
        <v>34.42</v>
      </c>
      <c r="C113">
        <v>36.090000000000003</v>
      </c>
      <c r="D113">
        <v>33.25</v>
      </c>
      <c r="E113">
        <v>34.130000000000003</v>
      </c>
      <c r="F113">
        <v>11467492.310000001</v>
      </c>
      <c r="G113">
        <v>34.130000000000003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-0.38028169014084401</v>
      </c>
      <c r="Q113">
        <f t="shared" ref="Q113" si="541">F113*P113</f>
        <v>-4360877.3573239315</v>
      </c>
      <c r="R113">
        <f t="shared" ref="R113" si="542">R114+Q113</f>
        <v>768483595.75909448</v>
      </c>
      <c r="S113">
        <f t="shared" ref="S113" si="543">R113/100000</f>
        <v>7684.8359575909444</v>
      </c>
      <c r="T113">
        <f t="shared" ref="T113" si="544">S113/1000</f>
        <v>7.6848359575909448</v>
      </c>
    </row>
    <row r="114" spans="1:20" x14ac:dyDescent="0.25">
      <c r="A114" s="5">
        <v>44479</v>
      </c>
      <c r="B114">
        <v>36.33</v>
      </c>
      <c r="C114">
        <v>37.450000000000003</v>
      </c>
      <c r="D114">
        <v>34.130000000000003</v>
      </c>
      <c r="E114">
        <v>34.43</v>
      </c>
      <c r="F114">
        <v>13147574.66</v>
      </c>
      <c r="G114">
        <v>34.43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-0.81927710843373669</v>
      </c>
      <c r="Q114">
        <f t="shared" ref="Q114" si="546">F114*P114</f>
        <v>-10771506.95036147</v>
      </c>
      <c r="R114">
        <f t="shared" ref="R114" si="547">R115+Q114</f>
        <v>772844473.11641836</v>
      </c>
      <c r="S114">
        <f t="shared" ref="S114" si="548">R114/100000</f>
        <v>7728.4447311641834</v>
      </c>
      <c r="T114">
        <f t="shared" ref="T114" si="549">S114/1000</f>
        <v>7.7284447311641831</v>
      </c>
    </row>
    <row r="115" spans="1:20" x14ac:dyDescent="0.25">
      <c r="A115" s="5">
        <v>44478</v>
      </c>
      <c r="B115">
        <v>33.36</v>
      </c>
      <c r="C115">
        <v>36.9</v>
      </c>
      <c r="D115">
        <v>33</v>
      </c>
      <c r="E115">
        <v>36.33</v>
      </c>
      <c r="F115">
        <v>12546752.369999999</v>
      </c>
      <c r="G115">
        <v>36.33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0.7076923076923074</v>
      </c>
      <c r="Q115">
        <f t="shared" ref="Q115" si="551">F115*P115</f>
        <v>8879240.1387692261</v>
      </c>
      <c r="R115">
        <f t="shared" ref="R115" si="552">R116+Q115</f>
        <v>783615980.06677985</v>
      </c>
      <c r="S115">
        <f t="shared" ref="S115" si="553">R115/100000</f>
        <v>7836.1598006677987</v>
      </c>
      <c r="T115">
        <f t="shared" ref="T115" si="554">S115/1000</f>
        <v>7.836159800667799</v>
      </c>
    </row>
    <row r="116" spans="1:20" x14ac:dyDescent="0.25">
      <c r="A116" s="5">
        <v>44477</v>
      </c>
      <c r="B116">
        <v>33.979999999999997</v>
      </c>
      <c r="C116">
        <v>34.49</v>
      </c>
      <c r="D116">
        <v>33.03</v>
      </c>
      <c r="E116">
        <v>33.35</v>
      </c>
      <c r="F116">
        <v>11134583.439999999</v>
      </c>
      <c r="G116">
        <v>33.35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-0.56164383561643827</v>
      </c>
      <c r="Q116">
        <f t="shared" ref="Q116" si="556">F116*P116</f>
        <v>-6253670.1512328759</v>
      </c>
      <c r="R116">
        <f t="shared" ref="R116" si="557">R117+Q116</f>
        <v>774736739.92801058</v>
      </c>
      <c r="S116">
        <f t="shared" ref="S116" si="558">R116/100000</f>
        <v>7747.3673992801059</v>
      </c>
      <c r="T116">
        <f t="shared" ref="T116" si="559">S116/1000</f>
        <v>7.7473673992801055</v>
      </c>
    </row>
    <row r="117" spans="1:20" x14ac:dyDescent="0.25">
      <c r="A117" s="5">
        <v>44476</v>
      </c>
      <c r="B117">
        <v>32.19</v>
      </c>
      <c r="C117">
        <v>35.31</v>
      </c>
      <c r="D117">
        <v>30.93</v>
      </c>
      <c r="E117">
        <v>33.979999999999997</v>
      </c>
      <c r="F117">
        <v>20356598.289999999</v>
      </c>
      <c r="G117">
        <v>33.979999999999997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0.39269406392693851</v>
      </c>
      <c r="Q117">
        <f t="shared" ref="Q117" si="561">F117*P117</f>
        <v>7993915.3102282668</v>
      </c>
      <c r="R117">
        <f t="shared" ref="R117" si="562">R118+Q117</f>
        <v>780990410.07924342</v>
      </c>
      <c r="S117">
        <f t="shared" ref="S117" si="563">R117/100000</f>
        <v>7809.9041007924343</v>
      </c>
      <c r="T117">
        <f t="shared" ref="T117" si="564">S117/1000</f>
        <v>7.8099041007924344</v>
      </c>
    </row>
    <row r="118" spans="1:20" x14ac:dyDescent="0.25">
      <c r="A118" s="5">
        <v>44475</v>
      </c>
      <c r="B118">
        <v>31.39</v>
      </c>
      <c r="C118">
        <v>33.090000000000003</v>
      </c>
      <c r="D118">
        <v>29.11</v>
      </c>
      <c r="E118">
        <v>32.19</v>
      </c>
      <c r="F118">
        <v>14373589.09</v>
      </c>
      <c r="G118">
        <v>32.19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0.54773869346733428</v>
      </c>
      <c r="Q118">
        <f t="shared" ref="Q118" si="566">F118*P118</f>
        <v>7872970.9085929301</v>
      </c>
      <c r="R118">
        <f t="shared" ref="R118" si="567">R119+Q118</f>
        <v>772996494.76901519</v>
      </c>
      <c r="S118">
        <f t="shared" ref="S118" si="568">R118/100000</f>
        <v>7729.9649476901523</v>
      </c>
      <c r="T118">
        <f t="shared" ref="T118" si="569">S118/1000</f>
        <v>7.729964947690152</v>
      </c>
    </row>
    <row r="119" spans="1:20" x14ac:dyDescent="0.25">
      <c r="A119" s="5">
        <v>44474</v>
      </c>
      <c r="B119">
        <v>31.15</v>
      </c>
      <c r="C119">
        <v>32.159999999999997</v>
      </c>
      <c r="D119">
        <v>30.52</v>
      </c>
      <c r="E119">
        <v>31.39</v>
      </c>
      <c r="F119">
        <v>8537858.7699999996</v>
      </c>
      <c r="G119">
        <v>31.39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6.0975609756100703E-2</v>
      </c>
      <c r="Q119">
        <f t="shared" ref="Q119" si="571">F119*P119</f>
        <v>520601.14451222192</v>
      </c>
      <c r="R119">
        <f t="shared" ref="R119" si="572">R120+Q119</f>
        <v>765123523.86042225</v>
      </c>
      <c r="S119">
        <f t="shared" ref="S119" si="573">R119/100000</f>
        <v>7651.2352386042221</v>
      </c>
      <c r="T119">
        <f t="shared" ref="T119" si="574">S119/1000</f>
        <v>7.6512352386042224</v>
      </c>
    </row>
    <row r="120" spans="1:20" x14ac:dyDescent="0.25">
      <c r="A120" s="5">
        <v>44473</v>
      </c>
      <c r="B120">
        <v>32.1</v>
      </c>
      <c r="C120">
        <v>32.11</v>
      </c>
      <c r="D120">
        <v>30.04</v>
      </c>
      <c r="E120">
        <v>31.08</v>
      </c>
      <c r="F120">
        <v>9122713.1799999997</v>
      </c>
      <c r="G120">
        <v>31.08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4.8309178743951731E-3</v>
      </c>
      <c r="Q120">
        <f t="shared" ref="Q120" si="576">F120*P120</f>
        <v>44071.078164242426</v>
      </c>
      <c r="R120">
        <f t="shared" ref="R120" si="577">R121+Q120</f>
        <v>764602922.71591008</v>
      </c>
      <c r="S120">
        <f t="shared" ref="S120" si="578">R120/100000</f>
        <v>7646.0292271591006</v>
      </c>
      <c r="T120">
        <f t="shared" ref="T120" si="579">S120/1000</f>
        <v>7.6460292271591008</v>
      </c>
    </row>
    <row r="121" spans="1:20" x14ac:dyDescent="0.25">
      <c r="A121" s="5">
        <v>44472</v>
      </c>
      <c r="B121">
        <v>32.01</v>
      </c>
      <c r="C121">
        <v>32.69</v>
      </c>
      <c r="D121">
        <v>31.17</v>
      </c>
      <c r="E121">
        <v>32.06</v>
      </c>
      <c r="F121">
        <v>7785401</v>
      </c>
      <c r="G121">
        <v>32.06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0.17105263157895118</v>
      </c>
      <c r="Q121">
        <f t="shared" ref="Q121" si="581">F121*P121</f>
        <v>1331713.3289473981</v>
      </c>
      <c r="R121">
        <f t="shared" ref="R121" si="582">R122+Q121</f>
        <v>764558851.63774586</v>
      </c>
      <c r="S121">
        <f t="shared" ref="S121" si="583">R121/100000</f>
        <v>7645.5885163774583</v>
      </c>
      <c r="T121">
        <f t="shared" ref="T121" si="584">S121/1000</f>
        <v>7.6455885163774582</v>
      </c>
    </row>
    <row r="122" spans="1:20" x14ac:dyDescent="0.25">
      <c r="A122" s="5">
        <v>44471</v>
      </c>
      <c r="B122">
        <v>31.94</v>
      </c>
      <c r="C122">
        <v>33.39</v>
      </c>
      <c r="D122">
        <v>31.52</v>
      </c>
      <c r="E122">
        <v>32.01</v>
      </c>
      <c r="F122">
        <v>8748363.8800000008</v>
      </c>
      <c r="G122">
        <v>32.01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-0.47593582887700731</v>
      </c>
      <c r="Q122">
        <f t="shared" ref="Q122" si="586">F122*P122</f>
        <v>-4163659.8145454722</v>
      </c>
      <c r="R122">
        <f t="shared" ref="R122" si="587">R123+Q122</f>
        <v>763227138.30879843</v>
      </c>
      <c r="S122">
        <f t="shared" ref="S122" si="588">R122/100000</f>
        <v>7632.2713830879848</v>
      </c>
      <c r="T122">
        <f t="shared" ref="T122" si="589">S122/1000</f>
        <v>7.6322713830879847</v>
      </c>
    </row>
    <row r="123" spans="1:20" x14ac:dyDescent="0.25">
      <c r="A123" s="5">
        <v>44470</v>
      </c>
      <c r="B123">
        <v>28.61</v>
      </c>
      <c r="C123">
        <v>32.33</v>
      </c>
      <c r="D123">
        <v>28.5</v>
      </c>
      <c r="E123">
        <v>31.94</v>
      </c>
      <c r="F123">
        <v>13176348.210000001</v>
      </c>
      <c r="G123">
        <v>31.94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0.79634464751958367</v>
      </c>
      <c r="Q123">
        <f t="shared" ref="Q123" si="591">F123*P123</f>
        <v>10492914.370887747</v>
      </c>
      <c r="R123">
        <f t="shared" ref="R123" si="592">R124+Q123</f>
        <v>767390798.12334394</v>
      </c>
      <c r="S123">
        <f t="shared" ref="S123" si="593">R123/100000</f>
        <v>7673.9079812334394</v>
      </c>
      <c r="T123">
        <f t="shared" ref="T123" si="594">S123/1000</f>
        <v>7.6739079812334392</v>
      </c>
    </row>
    <row r="124" spans="1:20" x14ac:dyDescent="0.25">
      <c r="A124" s="5">
        <v>44469</v>
      </c>
      <c r="B124">
        <v>27.28</v>
      </c>
      <c r="C124">
        <v>28.99</v>
      </c>
      <c r="D124">
        <v>27.13</v>
      </c>
      <c r="E124">
        <v>28.62</v>
      </c>
      <c r="F124">
        <v>8201551.4400000004</v>
      </c>
      <c r="G124">
        <v>28.62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0.60215053763441118</v>
      </c>
      <c r="Q124">
        <f t="shared" ref="Q124" si="596">F124*P124</f>
        <v>4938568.6090322798</v>
      </c>
      <c r="R124">
        <f t="shared" ref="R124" si="597">R125+Q124</f>
        <v>756897883.75245619</v>
      </c>
      <c r="S124">
        <f t="shared" ref="S124" si="598">R124/100000</f>
        <v>7568.9788375245616</v>
      </c>
      <c r="T124">
        <f t="shared" ref="T124" si="599">S124/1000</f>
        <v>7.5689788375245612</v>
      </c>
    </row>
    <row r="125" spans="1:20" x14ac:dyDescent="0.25">
      <c r="A125" s="5">
        <v>44468</v>
      </c>
      <c r="B125">
        <v>26.31</v>
      </c>
      <c r="C125">
        <v>28.59</v>
      </c>
      <c r="D125">
        <v>26.11</v>
      </c>
      <c r="E125">
        <v>27.28</v>
      </c>
      <c r="F125">
        <v>10207287.33</v>
      </c>
      <c r="G125">
        <v>27.28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-5.6451612903224591E-2</v>
      </c>
      <c r="Q125">
        <f t="shared" ref="Q125" si="601">F125*P125</f>
        <v>-576217.83314514894</v>
      </c>
      <c r="R125">
        <f t="shared" ref="R125" si="602">R126+Q125</f>
        <v>751959315.14342391</v>
      </c>
      <c r="S125">
        <f t="shared" ref="S125" si="603">R125/100000</f>
        <v>7519.5931514342392</v>
      </c>
      <c r="T125">
        <f t="shared" ref="T125" si="604">S125/1000</f>
        <v>7.5195931514342389</v>
      </c>
    </row>
    <row r="126" spans="1:20" x14ac:dyDescent="0.25">
      <c r="A126" s="5">
        <v>44467</v>
      </c>
      <c r="B126">
        <v>27.72</v>
      </c>
      <c r="C126">
        <v>28.38</v>
      </c>
      <c r="D126">
        <v>26.14</v>
      </c>
      <c r="E126">
        <v>26.31</v>
      </c>
      <c r="F126">
        <v>9784154.5299999993</v>
      </c>
      <c r="G126">
        <v>26.31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-0.84821428571428725</v>
      </c>
      <c r="Q126">
        <f t="shared" ref="Q126" si="606">F126*P126</f>
        <v>-8299059.6459821574</v>
      </c>
      <c r="R126">
        <f t="shared" ref="R126" si="607">R127+Q126</f>
        <v>752535532.97656906</v>
      </c>
      <c r="S126">
        <f t="shared" ref="S126" si="608">R126/100000</f>
        <v>7525.3553297656908</v>
      </c>
      <c r="T126">
        <f t="shared" ref="T126" si="609">S126/1000</f>
        <v>7.5253553297656905</v>
      </c>
    </row>
    <row r="127" spans="1:20" x14ac:dyDescent="0.25">
      <c r="A127" s="5">
        <v>44466</v>
      </c>
      <c r="B127">
        <v>28.84</v>
      </c>
      <c r="C127">
        <v>30.26</v>
      </c>
      <c r="D127">
        <v>27.5</v>
      </c>
      <c r="E127">
        <v>27.71</v>
      </c>
      <c r="F127">
        <v>11094418.1</v>
      </c>
      <c r="G127">
        <v>27.71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-0.84782608695652117</v>
      </c>
      <c r="Q127">
        <f t="shared" ref="Q127" si="611">F127*P127</f>
        <v>-9406137.0847826023</v>
      </c>
      <c r="R127">
        <f t="shared" ref="R127" si="612">R128+Q127</f>
        <v>760834592.6225512</v>
      </c>
      <c r="S127">
        <f t="shared" ref="S127" si="613">R127/100000</f>
        <v>7608.3459262255119</v>
      </c>
      <c r="T127">
        <f t="shared" ref="T127" si="614">S127/1000</f>
        <v>7.6083459262255122</v>
      </c>
    </row>
    <row r="128" spans="1:20" x14ac:dyDescent="0.25">
      <c r="A128" s="5">
        <v>44465</v>
      </c>
      <c r="B128">
        <v>29.83</v>
      </c>
      <c r="C128">
        <v>30.06</v>
      </c>
      <c r="D128">
        <v>26.76</v>
      </c>
      <c r="E128">
        <v>28.84</v>
      </c>
      <c r="F128">
        <v>18340714.239999998</v>
      </c>
      <c r="G128">
        <v>28.84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0.26060606060606067</v>
      </c>
      <c r="Q128">
        <f t="shared" ref="Q128" si="616">F128*P128</f>
        <v>4779701.2867878797</v>
      </c>
      <c r="R128">
        <f t="shared" ref="R128" si="617">R129+Q128</f>
        <v>770240729.7073338</v>
      </c>
      <c r="S128">
        <f t="shared" ref="S128" si="618">R128/100000</f>
        <v>7702.4072970733378</v>
      </c>
      <c r="T128">
        <f t="shared" ref="T128" si="619">S128/1000</f>
        <v>7.7024072970733375</v>
      </c>
    </row>
    <row r="129" spans="1:20" x14ac:dyDescent="0.25">
      <c r="A129" s="5">
        <v>44464</v>
      </c>
      <c r="B129">
        <v>30.79</v>
      </c>
      <c r="C129">
        <v>32.22</v>
      </c>
      <c r="D129">
        <v>29.41</v>
      </c>
      <c r="E129">
        <v>29.82</v>
      </c>
      <c r="F129">
        <v>13368526.84</v>
      </c>
      <c r="G129">
        <v>29.82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-0.70818505338078264</v>
      </c>
      <c r="Q129">
        <f t="shared" ref="Q129" si="621">F129*P129</f>
        <v>-9467390.8938078247</v>
      </c>
      <c r="R129">
        <f t="shared" ref="R129" si="622">R130+Q129</f>
        <v>765461028.42054594</v>
      </c>
      <c r="S129">
        <f t="shared" ref="S129" si="623">R129/100000</f>
        <v>7654.6102842054597</v>
      </c>
      <c r="T129">
        <f t="shared" ref="T129" si="624">S129/1000</f>
        <v>7.65461028420546</v>
      </c>
    </row>
    <row r="130" spans="1:20" x14ac:dyDescent="0.25">
      <c r="A130" s="5">
        <v>44463</v>
      </c>
      <c r="B130">
        <v>33.42</v>
      </c>
      <c r="C130">
        <v>33.54</v>
      </c>
      <c r="D130">
        <v>27.9</v>
      </c>
      <c r="E130">
        <v>30.79</v>
      </c>
      <c r="F130">
        <v>28521525.890000001</v>
      </c>
      <c r="G130">
        <v>30.79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2.4822695035461091E-2</v>
      </c>
      <c r="Q130">
        <f t="shared" ref="Q130" si="626">F130*P130</f>
        <v>707981.13911347801</v>
      </c>
      <c r="R130">
        <f t="shared" ref="R130" si="627">R131+Q130</f>
        <v>774928419.3143537</v>
      </c>
      <c r="S130">
        <f t="shared" ref="S130" si="628">R130/100000</f>
        <v>7749.2841931435369</v>
      </c>
      <c r="T130">
        <f t="shared" ref="T130" si="629">S130/1000</f>
        <v>7.749284193143537</v>
      </c>
    </row>
    <row r="131" spans="1:20" x14ac:dyDescent="0.25">
      <c r="A131" s="5">
        <v>44462</v>
      </c>
      <c r="B131">
        <v>31.58</v>
      </c>
      <c r="C131">
        <v>33.6</v>
      </c>
      <c r="D131">
        <v>30.37</v>
      </c>
      <c r="E131">
        <v>33.409999999999997</v>
      </c>
      <c r="F131">
        <v>13516616.869999999</v>
      </c>
      <c r="G131">
        <v>33.409999999999997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0.88235294117646756</v>
      </c>
      <c r="Q131">
        <f t="shared" ref="Q131" si="631">F131*P131</f>
        <v>11926426.649999958</v>
      </c>
      <c r="R131">
        <f t="shared" ref="R131" si="632">R132+Q131</f>
        <v>774220438.17524028</v>
      </c>
      <c r="S131">
        <f t="shared" ref="S131" si="633">R131/100000</f>
        <v>7742.2043817524027</v>
      </c>
      <c r="T131">
        <f t="shared" ref="T131" si="634">S131/1000</f>
        <v>7.7422043817524031</v>
      </c>
    </row>
    <row r="132" spans="1:20" x14ac:dyDescent="0.25">
      <c r="A132" s="5">
        <v>44461</v>
      </c>
      <c r="B132">
        <v>26.39</v>
      </c>
      <c r="C132">
        <v>32</v>
      </c>
      <c r="D132">
        <v>25.91</v>
      </c>
      <c r="E132">
        <v>31.6</v>
      </c>
      <c r="F132">
        <v>18161430.280000001</v>
      </c>
      <c r="G132">
        <v>31.6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0.86863711001642085</v>
      </c>
      <c r="Q132">
        <f t="shared" ref="Q132" si="636">F132*P132</f>
        <v>15775692.312183918</v>
      </c>
      <c r="R132">
        <f t="shared" ref="R132" si="637">R133+Q132</f>
        <v>762294011.5252403</v>
      </c>
      <c r="S132">
        <f t="shared" ref="S132" si="638">R132/100000</f>
        <v>7622.9401152524033</v>
      </c>
      <c r="T132">
        <f t="shared" ref="T132" si="639">S132/1000</f>
        <v>7.622940115252403</v>
      </c>
    </row>
    <row r="133" spans="1:20" x14ac:dyDescent="0.25">
      <c r="A133" s="5">
        <v>44460</v>
      </c>
      <c r="B133">
        <v>28.31</v>
      </c>
      <c r="C133">
        <v>30.38</v>
      </c>
      <c r="D133">
        <v>25.5</v>
      </c>
      <c r="E133">
        <v>26.39</v>
      </c>
      <c r="F133">
        <v>24316299.559999999</v>
      </c>
      <c r="G133">
        <v>26.39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-0.63524590163934391</v>
      </c>
      <c r="Q133">
        <f t="shared" ref="Q133" si="641">F133*P133</f>
        <v>-15446829.638524581</v>
      </c>
      <c r="R133">
        <f t="shared" ref="R133" si="642">R134+Q133</f>
        <v>746518319.21305633</v>
      </c>
      <c r="S133">
        <f t="shared" ref="S133" si="643">R133/100000</f>
        <v>7465.1831921305629</v>
      </c>
      <c r="T133">
        <f t="shared" ref="T133" si="644">S133/1000</f>
        <v>7.4651831921305627</v>
      </c>
    </row>
    <row r="134" spans="1:20" x14ac:dyDescent="0.25">
      <c r="A134" s="5">
        <v>44459</v>
      </c>
      <c r="B134">
        <v>33.86</v>
      </c>
      <c r="C134">
        <v>33.909999999999997</v>
      </c>
      <c r="D134">
        <v>29.63</v>
      </c>
      <c r="E134">
        <v>30.07</v>
      </c>
      <c r="F134">
        <v>9956039.3300000001</v>
      </c>
      <c r="G134">
        <v>30.07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-0.79439252336448529</v>
      </c>
      <c r="Q134">
        <f t="shared" ref="Q134" si="646">F134*P134</f>
        <v>-7909003.2060747594</v>
      </c>
      <c r="R134">
        <f t="shared" ref="R134" si="647">R135+Q134</f>
        <v>761965148.85158086</v>
      </c>
      <c r="S134">
        <f t="shared" ref="S134" si="648">R134/100000</f>
        <v>7619.6514885158085</v>
      </c>
      <c r="T134">
        <f t="shared" ref="T134" si="649">S134/1000</f>
        <v>7.6196514885158084</v>
      </c>
    </row>
    <row r="135" spans="1:20" x14ac:dyDescent="0.25">
      <c r="A135" s="5">
        <v>44458</v>
      </c>
      <c r="B135">
        <v>34.86</v>
      </c>
      <c r="C135">
        <v>34.9</v>
      </c>
      <c r="D135">
        <v>33.01</v>
      </c>
      <c r="E135">
        <v>33.85</v>
      </c>
      <c r="F135">
        <v>7884331.0199999996</v>
      </c>
      <c r="G135">
        <v>33.85</v>
      </c>
      <c r="L135" t="s">
        <v>7</v>
      </c>
      <c r="M135" t="s">
        <v>8</v>
      </c>
      <c r="N135" t="s">
        <v>8</v>
      </c>
      <c r="P135">
        <f t="shared" ref="P135" si="650">IF(C135=D135,0,((E135-D135)-(C135-E135))/(C135-D135))</f>
        <v>-0.11111111111110777</v>
      </c>
      <c r="Q135">
        <f t="shared" ref="Q135" si="651">F135*P135</f>
        <v>-876036.7799999736</v>
      </c>
      <c r="R135">
        <f t="shared" ref="R135" si="652">R136+Q135</f>
        <v>769874152.05765557</v>
      </c>
      <c r="S135">
        <f t="shared" ref="S135" si="653">R135/100000</f>
        <v>7698.7415205765556</v>
      </c>
      <c r="T135">
        <f t="shared" ref="T135" si="654">S135/1000</f>
        <v>7.6987415205765553</v>
      </c>
    </row>
    <row r="136" spans="1:20" x14ac:dyDescent="0.25">
      <c r="A136" s="5">
        <v>44457</v>
      </c>
      <c r="B136">
        <v>33.04</v>
      </c>
      <c r="C136">
        <v>35.9</v>
      </c>
      <c r="D136">
        <v>32.51</v>
      </c>
      <c r="E136">
        <v>34.869999999999997</v>
      </c>
      <c r="F136">
        <v>9990438.8800000008</v>
      </c>
      <c r="G136">
        <v>34.869999999999997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0.39233038348082538</v>
      </c>
      <c r="Q136">
        <f t="shared" ref="Q136" si="656">F136*P136</f>
        <v>3919552.7169321482</v>
      </c>
      <c r="R136">
        <f t="shared" ref="R136" si="657">R137+Q136</f>
        <v>770750188.83765554</v>
      </c>
      <c r="S136">
        <f t="shared" ref="S136" si="658">R136/100000</f>
        <v>7707.5018883765551</v>
      </c>
      <c r="T136">
        <f t="shared" ref="T136" si="659">S136/1000</f>
        <v>7.7075018883765551</v>
      </c>
    </row>
    <row r="137" spans="1:20" x14ac:dyDescent="0.25">
      <c r="A137" s="5">
        <v>44456</v>
      </c>
      <c r="B137">
        <v>35.51</v>
      </c>
      <c r="C137">
        <v>36.94</v>
      </c>
      <c r="D137">
        <v>32.19</v>
      </c>
      <c r="E137">
        <v>33.03</v>
      </c>
      <c r="F137">
        <v>14073919</v>
      </c>
      <c r="G137">
        <v>33.03</v>
      </c>
      <c r="L137" t="s">
        <v>7</v>
      </c>
      <c r="M137" t="s">
        <v>8</v>
      </c>
      <c r="N137" t="s">
        <v>8</v>
      </c>
      <c r="P137">
        <f t="shared" ref="P137" si="660">IF(C137=D137,0,((E137-D137)-(C137-E137))/(C137-D137))</f>
        <v>-0.64631578947368273</v>
      </c>
      <c r="Q137">
        <f t="shared" ref="Q137" si="661">F137*P137</f>
        <v>-9096196.0694736633</v>
      </c>
      <c r="R137">
        <f t="shared" ref="R137" si="662">R138+Q137</f>
        <v>766830636.12072337</v>
      </c>
      <c r="S137">
        <f t="shared" ref="S137" si="663">R137/100000</f>
        <v>7668.3063612072337</v>
      </c>
      <c r="T137">
        <f t="shared" ref="T137" si="664">S137/1000</f>
        <v>7.6683063612072342</v>
      </c>
    </row>
    <row r="138" spans="1:20" x14ac:dyDescent="0.25">
      <c r="A138" s="5">
        <v>44455</v>
      </c>
      <c r="B138">
        <v>36.46</v>
      </c>
      <c r="C138">
        <v>36.97</v>
      </c>
      <c r="D138">
        <v>34</v>
      </c>
      <c r="E138">
        <v>35.5</v>
      </c>
      <c r="F138">
        <v>13726309.35</v>
      </c>
      <c r="G138">
        <v>35.5</v>
      </c>
      <c r="L138" t="s">
        <v>7</v>
      </c>
      <c r="M138" t="s">
        <v>8</v>
      </c>
      <c r="N138" t="s">
        <v>8</v>
      </c>
      <c r="P138">
        <f t="shared" ref="P138" si="665">IF(C138=D138,0,((E138-D138)-(C138-E138))/(C138-D138))</f>
        <v>1.0101010101010487E-2</v>
      </c>
      <c r="Q138">
        <f t="shared" ref="Q138" si="666">F138*P138</f>
        <v>138649.58939394468</v>
      </c>
      <c r="R138">
        <f t="shared" ref="R138" si="667">R139+Q138</f>
        <v>775926832.19019699</v>
      </c>
      <c r="S138">
        <f t="shared" ref="S138" si="668">R138/100000</f>
        <v>7759.26832190197</v>
      </c>
      <c r="T138">
        <f t="shared" ref="T138" si="669">S138/1000</f>
        <v>7.7592683219019696</v>
      </c>
    </row>
    <row r="139" spans="1:20" x14ac:dyDescent="0.25">
      <c r="A139" s="5">
        <v>44454</v>
      </c>
      <c r="B139">
        <v>37.35</v>
      </c>
      <c r="C139">
        <v>38.01</v>
      </c>
      <c r="D139">
        <v>35.549999999999997</v>
      </c>
      <c r="E139">
        <v>36.47</v>
      </c>
      <c r="F139">
        <v>12212842.720000001</v>
      </c>
      <c r="G139">
        <v>36.47</v>
      </c>
      <c r="L139" t="s">
        <v>7</v>
      </c>
      <c r="M139" t="s">
        <v>8</v>
      </c>
      <c r="N139" t="s">
        <v>8</v>
      </c>
      <c r="P139">
        <f t="shared" ref="P139" si="670">IF(C139=D139,0,((E139-D139)-(C139-E139))/(C139-D139))</f>
        <v>-0.25203252032520213</v>
      </c>
      <c r="Q139">
        <f t="shared" ref="Q139" si="671">F139*P139</f>
        <v>-3078033.5310568968</v>
      </c>
      <c r="R139">
        <f t="shared" ref="R139" si="672">R140+Q139</f>
        <v>775788182.60080302</v>
      </c>
      <c r="S139">
        <f t="shared" ref="S139" si="673">R139/100000</f>
        <v>7757.8818260080297</v>
      </c>
      <c r="T139">
        <f t="shared" ref="T139" si="674">S139/1000</f>
        <v>7.7578818260080293</v>
      </c>
    </row>
    <row r="140" spans="1:20" x14ac:dyDescent="0.25">
      <c r="A140" s="5">
        <v>44453</v>
      </c>
      <c r="B140">
        <v>34.840000000000003</v>
      </c>
      <c r="C140">
        <v>38.770000000000003</v>
      </c>
      <c r="D140">
        <v>34.08</v>
      </c>
      <c r="E140">
        <v>37.36</v>
      </c>
      <c r="F140">
        <v>23675929.094000001</v>
      </c>
      <c r="G140">
        <v>37.36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0.39872068230277091</v>
      </c>
      <c r="Q140">
        <f t="shared" ref="Q140" si="676">F140*P140</f>
        <v>9440082.6025117058</v>
      </c>
      <c r="R140">
        <f t="shared" ref="R140" si="677">R141+Q140</f>
        <v>778866216.1318599</v>
      </c>
      <c r="S140">
        <f t="shared" ref="S140" si="678">R140/100000</f>
        <v>7788.6621613185989</v>
      </c>
      <c r="T140">
        <f t="shared" ref="T140" si="679">S140/1000</f>
        <v>7.7886621613185989</v>
      </c>
    </row>
    <row r="141" spans="1:20" x14ac:dyDescent="0.25">
      <c r="A141" s="5">
        <v>44452</v>
      </c>
      <c r="B141">
        <v>35.81</v>
      </c>
      <c r="C141">
        <v>38.07</v>
      </c>
      <c r="D141">
        <v>31.5</v>
      </c>
      <c r="E141">
        <v>34.840000000000003</v>
      </c>
      <c r="F141">
        <v>49715992.152000003</v>
      </c>
      <c r="G141">
        <v>34.840000000000003</v>
      </c>
      <c r="L141" t="s">
        <v>8</v>
      </c>
      <c r="M141" t="s">
        <v>8</v>
      </c>
      <c r="N141" t="s">
        <v>8</v>
      </c>
      <c r="P141">
        <f t="shared" ref="P141" si="680">IF(C141=D141,0,((E141-D141)-(C141-E141))/(C141-D141))</f>
        <v>1.6742770167428696E-2</v>
      </c>
      <c r="Q141">
        <f t="shared" ref="Q141" si="681">F141*P141</f>
        <v>832383.43024662486</v>
      </c>
      <c r="R141">
        <f t="shared" ref="R141" si="682">R142+Q141</f>
        <v>769426133.52934813</v>
      </c>
      <c r="S141">
        <f t="shared" ref="S141" si="683">R141/100000</f>
        <v>7694.2613352934814</v>
      </c>
      <c r="T141">
        <f t="shared" ref="T141" si="684">S141/1000</f>
        <v>7.694261335293481</v>
      </c>
    </row>
    <row r="142" spans="1:20" x14ac:dyDescent="0.25">
      <c r="A142" s="5">
        <v>44451</v>
      </c>
      <c r="B142">
        <v>31.57</v>
      </c>
      <c r="C142">
        <v>36.450000000000003</v>
      </c>
      <c r="D142">
        <v>30.66</v>
      </c>
      <c r="E142">
        <v>35.79</v>
      </c>
      <c r="F142">
        <v>28871476.129999999</v>
      </c>
      <c r="G142">
        <v>35.79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0.77202072538859989</v>
      </c>
      <c r="Q142">
        <f t="shared" ref="Q142" si="686">F142*P142</f>
        <v>22289377.944922246</v>
      </c>
      <c r="R142">
        <f t="shared" ref="R142" si="687">R143+Q142</f>
        <v>768593750.09910154</v>
      </c>
      <c r="S142">
        <f t="shared" ref="S142" si="688">R142/100000</f>
        <v>7685.9375009910154</v>
      </c>
      <c r="T142">
        <f t="shared" ref="T142" si="689">S142/1000</f>
        <v>7.6859375009910158</v>
      </c>
    </row>
    <row r="143" spans="1:20" x14ac:dyDescent="0.25">
      <c r="A143" s="5">
        <v>44450</v>
      </c>
      <c r="B143">
        <v>29.18</v>
      </c>
      <c r="C143">
        <v>32.1</v>
      </c>
      <c r="D143">
        <v>28.25</v>
      </c>
      <c r="E143">
        <v>31.57</v>
      </c>
      <c r="F143">
        <v>15331069.560000001</v>
      </c>
      <c r="G143">
        <v>31.57</v>
      </c>
      <c r="L143" t="s">
        <v>7</v>
      </c>
      <c r="M143" t="s">
        <v>8</v>
      </c>
      <c r="N143" t="s">
        <v>8</v>
      </c>
      <c r="P143">
        <f t="shared" ref="P143" si="690">IF(C143=D143,0,((E143-D143)-(C143-E143))/(C143-D143))</f>
        <v>0.72467532467532414</v>
      </c>
      <c r="Q143">
        <f t="shared" ref="Q143" si="691">F143*P143</f>
        <v>11110047.81101298</v>
      </c>
      <c r="R143">
        <f t="shared" ref="R143" si="692">R144+Q143</f>
        <v>746304372.15417933</v>
      </c>
      <c r="S143">
        <f t="shared" ref="S143" si="693">R143/100000</f>
        <v>7463.0437215417933</v>
      </c>
      <c r="T143">
        <f t="shared" ref="T143" si="694">S143/1000</f>
        <v>7.4630437215417933</v>
      </c>
    </row>
    <row r="144" spans="1:20" x14ac:dyDescent="0.25">
      <c r="A144" s="5">
        <v>44449</v>
      </c>
      <c r="B144">
        <v>29.82</v>
      </c>
      <c r="C144">
        <v>32.65</v>
      </c>
      <c r="D144">
        <v>28</v>
      </c>
      <c r="E144">
        <v>29.19</v>
      </c>
      <c r="F144">
        <v>27860740.960000001</v>
      </c>
      <c r="G144">
        <v>29.19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-0.48817204301075195</v>
      </c>
      <c r="Q144">
        <f t="shared" ref="Q144" si="696">F144*P144</f>
        <v>-13600834.83423654</v>
      </c>
      <c r="R144">
        <f t="shared" ref="R144" si="697">R145+Q144</f>
        <v>735194324.34316635</v>
      </c>
      <c r="S144">
        <f t="shared" ref="S144" si="698">R144/100000</f>
        <v>7351.9432434316632</v>
      </c>
      <c r="T144">
        <f t="shared" ref="T144" si="699">S144/1000</f>
        <v>7.3519432434316636</v>
      </c>
    </row>
    <row r="145" spans="1:20" x14ac:dyDescent="0.25">
      <c r="A145" s="5">
        <v>44448</v>
      </c>
      <c r="B145">
        <v>27.76</v>
      </c>
      <c r="C145">
        <v>31.88</v>
      </c>
      <c r="D145">
        <v>27</v>
      </c>
      <c r="E145">
        <v>29.82</v>
      </c>
      <c r="F145">
        <v>21170365.5</v>
      </c>
      <c r="G145">
        <v>29.82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0.15573770491803313</v>
      </c>
      <c r="Q145">
        <f t="shared" ref="Q145" si="701">F145*P145</f>
        <v>3297024.135245909</v>
      </c>
      <c r="R145">
        <f t="shared" ref="R145" si="702">R146+Q145</f>
        <v>748795159.17740285</v>
      </c>
      <c r="S145">
        <f t="shared" ref="S145" si="703">R145/100000</f>
        <v>7487.9515917740282</v>
      </c>
      <c r="T145">
        <f t="shared" ref="T145" si="704">S145/1000</f>
        <v>7.4879515917740278</v>
      </c>
    </row>
    <row r="146" spans="1:20" x14ac:dyDescent="0.25">
      <c r="A146" s="5">
        <v>44447</v>
      </c>
      <c r="B146">
        <v>27.97</v>
      </c>
      <c r="C146">
        <v>28.88</v>
      </c>
      <c r="D146">
        <v>25.2</v>
      </c>
      <c r="E146">
        <v>27.76</v>
      </c>
      <c r="F146">
        <v>23830480.969999999</v>
      </c>
      <c r="G146">
        <v>27.76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0.39130434782608831</v>
      </c>
      <c r="Q146">
        <f t="shared" ref="Q146" si="706">F146*P146</f>
        <v>9324970.8143478576</v>
      </c>
      <c r="R146">
        <f t="shared" ref="R146" si="707">R147+Q146</f>
        <v>745498135.04215693</v>
      </c>
      <c r="S146">
        <f t="shared" ref="S146" si="708">R146/100000</f>
        <v>7454.981350421569</v>
      </c>
      <c r="T146">
        <f t="shared" ref="T146" si="709">S146/1000</f>
        <v>7.4549813504215692</v>
      </c>
    </row>
    <row r="147" spans="1:20" x14ac:dyDescent="0.25">
      <c r="A147" s="5">
        <v>44446</v>
      </c>
      <c r="B147">
        <v>34.35</v>
      </c>
      <c r="C147">
        <v>35.68</v>
      </c>
      <c r="D147">
        <v>22.66</v>
      </c>
      <c r="E147">
        <v>27.97</v>
      </c>
      <c r="F147">
        <v>40408249.410999998</v>
      </c>
      <c r="G147">
        <v>27.97</v>
      </c>
      <c r="L147" t="s">
        <v>7</v>
      </c>
      <c r="M147" t="s">
        <v>8</v>
      </c>
      <c r="N147" t="s">
        <v>7</v>
      </c>
      <c r="P147">
        <f t="shared" ref="P147" si="710">IF(C147=D147,0,((E147-D147)-(C147-E147))/(C147-D147))</f>
        <v>-0.18433179723502321</v>
      </c>
      <c r="Q147">
        <f t="shared" ref="Q147" si="711">F147*P147</f>
        <v>-7448525.2370506981</v>
      </c>
      <c r="R147">
        <f t="shared" ref="R147" si="712">R148+Q147</f>
        <v>736173164.22780907</v>
      </c>
      <c r="S147">
        <f t="shared" ref="S147" si="713">R147/100000</f>
        <v>7361.7316422780905</v>
      </c>
      <c r="T147">
        <f t="shared" ref="T147" si="714">S147/1000</f>
        <v>7.3617316422780901</v>
      </c>
    </row>
    <row r="148" spans="1:20" x14ac:dyDescent="0.25">
      <c r="A148" s="5">
        <v>44445</v>
      </c>
      <c r="B148">
        <v>34.43</v>
      </c>
      <c r="C148">
        <v>35.1</v>
      </c>
      <c r="D148">
        <v>32.299999999999997</v>
      </c>
      <c r="E148">
        <v>34.35</v>
      </c>
      <c r="F148">
        <v>12428084.43</v>
      </c>
      <c r="G148">
        <v>34.35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0.46428571428571508</v>
      </c>
      <c r="Q148">
        <f t="shared" ref="Q148" si="716">F148*P148</f>
        <v>5770182.0567857241</v>
      </c>
      <c r="R148">
        <f t="shared" ref="R148" si="717">R149+Q148</f>
        <v>743621689.46485972</v>
      </c>
      <c r="S148">
        <f t="shared" ref="S148" si="718">R148/100000</f>
        <v>7436.2168946485972</v>
      </c>
      <c r="T148">
        <f t="shared" ref="T148" si="719">S148/1000</f>
        <v>7.4362168946485969</v>
      </c>
    </row>
    <row r="149" spans="1:20" x14ac:dyDescent="0.25">
      <c r="A149" s="5">
        <v>44444</v>
      </c>
      <c r="B149">
        <v>32.409999999999997</v>
      </c>
      <c r="C149">
        <v>34.78</v>
      </c>
      <c r="D149">
        <v>31.97</v>
      </c>
      <c r="E149">
        <v>34.42</v>
      </c>
      <c r="F149">
        <v>9486930.4179999996</v>
      </c>
      <c r="G149">
        <v>34.42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0.74377224199288317</v>
      </c>
      <c r="Q149">
        <f t="shared" ref="Q149" si="721">F149*P149</f>
        <v>7056115.5066263396</v>
      </c>
      <c r="R149">
        <f t="shared" ref="R149" si="722">R150+Q149</f>
        <v>737851507.40807402</v>
      </c>
      <c r="S149">
        <f t="shared" ref="S149" si="723">R149/100000</f>
        <v>7378.5150740807403</v>
      </c>
      <c r="T149">
        <f t="shared" ref="T149" si="724">S149/1000</f>
        <v>7.3785150740807399</v>
      </c>
    </row>
    <row r="150" spans="1:20" x14ac:dyDescent="0.25">
      <c r="A150" s="5">
        <v>44443</v>
      </c>
      <c r="B150">
        <v>33.58</v>
      </c>
      <c r="C150">
        <v>34.130000000000003</v>
      </c>
      <c r="D150">
        <v>32</v>
      </c>
      <c r="E150">
        <v>32.4</v>
      </c>
      <c r="F150">
        <v>7731353.8059999999</v>
      </c>
      <c r="G150">
        <v>32.4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-0.6244131455399079</v>
      </c>
      <c r="Q150">
        <f t="shared" ref="Q150" si="726">F150*P150</f>
        <v>-4827558.9492863985</v>
      </c>
      <c r="R150">
        <f t="shared" ref="R150" si="727">R151+Q150</f>
        <v>730795391.90144765</v>
      </c>
      <c r="S150">
        <f t="shared" ref="S150" si="728">R150/100000</f>
        <v>7307.9539190144769</v>
      </c>
      <c r="T150">
        <f t="shared" ref="T150" si="729">S150/1000</f>
        <v>7.3079539190144773</v>
      </c>
    </row>
    <row r="151" spans="1:20" x14ac:dyDescent="0.25">
      <c r="A151" s="5">
        <v>44442</v>
      </c>
      <c r="B151">
        <v>31.78</v>
      </c>
      <c r="C151">
        <v>34</v>
      </c>
      <c r="D151">
        <v>30.51</v>
      </c>
      <c r="E151">
        <v>33.57</v>
      </c>
      <c r="F151">
        <v>14346166.884</v>
      </c>
      <c r="G151">
        <v>33.57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0.75358166189111753</v>
      </c>
      <c r="Q151">
        <f t="shared" ref="Q151" si="731">F151*P151</f>
        <v>10811008.282212034</v>
      </c>
      <c r="R151">
        <f t="shared" ref="R151" si="732">R152+Q151</f>
        <v>735622950.850734</v>
      </c>
      <c r="S151">
        <f t="shared" ref="S151" si="733">R151/100000</f>
        <v>7356.2295085073401</v>
      </c>
      <c r="T151">
        <f t="shared" ref="T151" si="734">S151/1000</f>
        <v>7.3562295085073401</v>
      </c>
    </row>
    <row r="152" spans="1:20" x14ac:dyDescent="0.25">
      <c r="A152" s="5">
        <v>44441</v>
      </c>
      <c r="B152">
        <v>33.17</v>
      </c>
      <c r="C152">
        <v>33.200000000000003</v>
      </c>
      <c r="D152">
        <v>31.24</v>
      </c>
      <c r="E152">
        <v>31.79</v>
      </c>
      <c r="F152">
        <v>13487628.41</v>
      </c>
      <c r="G152">
        <v>31.79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-0.43877551020408218</v>
      </c>
      <c r="Q152">
        <f t="shared" ref="Q152" si="736">F152*P152</f>
        <v>-5918041.0370408241</v>
      </c>
      <c r="R152">
        <f t="shared" ref="R152" si="737">R153+Q152</f>
        <v>724811942.56852198</v>
      </c>
      <c r="S152">
        <f t="shared" ref="S152" si="738">R152/100000</f>
        <v>7248.1194256852195</v>
      </c>
      <c r="T152">
        <f t="shared" ref="T152" si="739">S152/1000</f>
        <v>7.2481194256852195</v>
      </c>
    </row>
    <row r="153" spans="1:20" x14ac:dyDescent="0.25">
      <c r="A153" s="5">
        <v>44440</v>
      </c>
      <c r="B153">
        <v>31.34</v>
      </c>
      <c r="C153">
        <v>33.838000000000001</v>
      </c>
      <c r="D153">
        <v>29.6</v>
      </c>
      <c r="E153">
        <v>33.18</v>
      </c>
      <c r="F153">
        <v>26017654.839000002</v>
      </c>
      <c r="G153">
        <v>33.18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0.68947616800377476</v>
      </c>
      <c r="Q153">
        <f t="shared" ref="Q153" si="741">F153*P153</f>
        <v>17938552.958838589</v>
      </c>
      <c r="R153">
        <f t="shared" ref="R153" si="742">R154+Q153</f>
        <v>730729983.60556281</v>
      </c>
      <c r="S153">
        <f t="shared" ref="S153" si="743">R153/100000</f>
        <v>7307.2998360556285</v>
      </c>
      <c r="T153">
        <f t="shared" ref="T153" si="744">S153/1000</f>
        <v>7.3072998360556287</v>
      </c>
    </row>
    <row r="154" spans="1:20" x14ac:dyDescent="0.25">
      <c r="A154" s="5">
        <v>44439</v>
      </c>
      <c r="B154">
        <v>26.05</v>
      </c>
      <c r="C154">
        <v>31.95</v>
      </c>
      <c r="D154">
        <v>25.61</v>
      </c>
      <c r="E154">
        <v>31.35</v>
      </c>
      <c r="F154">
        <v>40601758.669</v>
      </c>
      <c r="G154">
        <v>31.35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0.81072555205047381</v>
      </c>
      <c r="Q154">
        <f t="shared" ref="Q154" si="746">F154*P154</f>
        <v>32916883.211145137</v>
      </c>
      <c r="R154">
        <f t="shared" ref="R154" si="747">R155+Q154</f>
        <v>712791430.64672422</v>
      </c>
      <c r="S154">
        <f t="shared" ref="S154" si="748">R154/100000</f>
        <v>7127.9143064672426</v>
      </c>
      <c r="T154">
        <f t="shared" ref="T154" si="749">S154/1000</f>
        <v>7.1279143064672423</v>
      </c>
    </row>
    <row r="155" spans="1:20" x14ac:dyDescent="0.25">
      <c r="A155" s="5">
        <v>44438</v>
      </c>
      <c r="B155">
        <v>25.71</v>
      </c>
      <c r="C155">
        <v>27.58</v>
      </c>
      <c r="D155">
        <v>24.32</v>
      </c>
      <c r="E155">
        <v>26.03</v>
      </c>
      <c r="F155">
        <v>14865324.488</v>
      </c>
      <c r="G155">
        <v>26.03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4.9079754601228154E-2</v>
      </c>
      <c r="Q155">
        <f t="shared" ref="Q155" si="751">F155*P155</f>
        <v>729586.47793866752</v>
      </c>
      <c r="R155">
        <f t="shared" ref="R155" si="752">R156+Q155</f>
        <v>679874547.43557906</v>
      </c>
      <c r="S155">
        <f t="shared" ref="S155" si="753">R155/100000</f>
        <v>6798.745474355791</v>
      </c>
      <c r="T155">
        <f t="shared" ref="T155" si="754">S155/1000</f>
        <v>6.7987454743557914</v>
      </c>
    </row>
    <row r="156" spans="1:20" x14ac:dyDescent="0.25">
      <c r="A156" s="5">
        <v>44437</v>
      </c>
      <c r="B156">
        <v>25.96</v>
      </c>
      <c r="C156">
        <v>26.46</v>
      </c>
      <c r="D156">
        <v>25.24</v>
      </c>
      <c r="E156">
        <v>25.7</v>
      </c>
      <c r="F156">
        <v>5969161.7000000002</v>
      </c>
      <c r="G156">
        <v>25.7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-0.2459016393442624</v>
      </c>
      <c r="Q156">
        <f t="shared" ref="Q156" si="756">F156*P156</f>
        <v>-1467826.6475409842</v>
      </c>
      <c r="R156">
        <f t="shared" ref="R156" si="757">R157+Q156</f>
        <v>679144960.95764041</v>
      </c>
      <c r="S156">
        <f t="shared" ref="S156" si="758">R156/100000</f>
        <v>6791.4496095764043</v>
      </c>
      <c r="T156">
        <f t="shared" ref="T156" si="759">S156/1000</f>
        <v>6.7914496095764045</v>
      </c>
    </row>
    <row r="157" spans="1:20" x14ac:dyDescent="0.25">
      <c r="A157" s="5">
        <v>44436</v>
      </c>
      <c r="B157">
        <v>26.53</v>
      </c>
      <c r="C157">
        <v>26.76</v>
      </c>
      <c r="D157">
        <v>25.4</v>
      </c>
      <c r="E157">
        <v>25.96</v>
      </c>
      <c r="F157">
        <v>6962096.4299999997</v>
      </c>
      <c r="G157">
        <v>25.96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-0.17647058823529257</v>
      </c>
      <c r="Q157">
        <f t="shared" ref="Q157" si="761">F157*P157</f>
        <v>-1228605.2523529304</v>
      </c>
      <c r="R157">
        <f t="shared" ref="R157" si="762">R158+Q157</f>
        <v>680612787.60518134</v>
      </c>
      <c r="S157">
        <f t="shared" ref="S157" si="763">R157/100000</f>
        <v>6806.1278760518135</v>
      </c>
      <c r="T157">
        <f t="shared" ref="T157" si="764">S157/1000</f>
        <v>6.8061278760518134</v>
      </c>
    </row>
    <row r="158" spans="1:20" x14ac:dyDescent="0.25">
      <c r="A158" s="5">
        <v>44435</v>
      </c>
      <c r="B158">
        <v>23.92</v>
      </c>
      <c r="C158">
        <v>26.79</v>
      </c>
      <c r="D158">
        <v>23.45</v>
      </c>
      <c r="E158">
        <v>26.53</v>
      </c>
      <c r="F158">
        <v>12760582.381999999</v>
      </c>
      <c r="G158">
        <v>26.53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0.8443113772455102</v>
      </c>
      <c r="Q158">
        <f t="shared" ref="Q158" si="766">F158*P158</f>
        <v>10773904.885401212</v>
      </c>
      <c r="R158">
        <f t="shared" ref="R158" si="767">R159+Q158</f>
        <v>681841392.85753429</v>
      </c>
      <c r="S158">
        <f t="shared" ref="S158" si="768">R158/100000</f>
        <v>6818.4139285753427</v>
      </c>
      <c r="T158">
        <f t="shared" ref="T158" si="769">S158/1000</f>
        <v>6.8184139285753425</v>
      </c>
    </row>
    <row r="159" spans="1:20" x14ac:dyDescent="0.25">
      <c r="A159" s="5">
        <v>44434</v>
      </c>
      <c r="B159">
        <v>25.981999999999999</v>
      </c>
      <c r="C159">
        <v>26.4</v>
      </c>
      <c r="D159">
        <v>23.46</v>
      </c>
      <c r="E159">
        <v>23.92</v>
      </c>
      <c r="F159">
        <v>12202094.793</v>
      </c>
      <c r="G159">
        <v>23.92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-0.687074829931972</v>
      </c>
      <c r="Q159">
        <f t="shared" ref="Q159" si="771">F159*P159</f>
        <v>-8383752.2047142759</v>
      </c>
      <c r="R159">
        <f t="shared" ref="R159" si="772">R160+Q159</f>
        <v>671067487.97213304</v>
      </c>
      <c r="S159">
        <f t="shared" ref="S159" si="773">R159/100000</f>
        <v>6710.6748797213304</v>
      </c>
      <c r="T159">
        <f t="shared" ref="T159" si="774">S159/1000</f>
        <v>6.7106748797213305</v>
      </c>
    </row>
    <row r="160" spans="1:20" x14ac:dyDescent="0.25">
      <c r="A160" s="5">
        <v>44433</v>
      </c>
      <c r="B160">
        <v>25.07</v>
      </c>
      <c r="C160">
        <v>26.55</v>
      </c>
      <c r="D160">
        <v>24.471</v>
      </c>
      <c r="E160">
        <v>25.981999999999999</v>
      </c>
      <c r="F160">
        <v>13580763.062999999</v>
      </c>
      <c r="G160">
        <v>25.981999999999999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0.45358345358345242</v>
      </c>
      <c r="Q160">
        <f t="shared" ref="Q160" si="776">F160*P160</f>
        <v>6160009.4124141252</v>
      </c>
      <c r="R160">
        <f t="shared" ref="R160" si="777">R161+Q160</f>
        <v>679451240.17684734</v>
      </c>
      <c r="S160">
        <f t="shared" ref="S160" si="778">R160/100000</f>
        <v>6794.512401768473</v>
      </c>
      <c r="T160">
        <f t="shared" ref="T160" si="779">S160/1000</f>
        <v>6.7945124017684728</v>
      </c>
    </row>
    <row r="161" spans="1:20" x14ac:dyDescent="0.25">
      <c r="A161" s="5">
        <v>44432</v>
      </c>
      <c r="B161">
        <v>27.876000000000001</v>
      </c>
      <c r="C161">
        <v>28.172000000000001</v>
      </c>
      <c r="D161">
        <v>24.350999999999999</v>
      </c>
      <c r="E161">
        <v>25.067</v>
      </c>
      <c r="F161">
        <v>15563782.332</v>
      </c>
      <c r="G161">
        <v>25.067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-0.62522899764459527</v>
      </c>
      <c r="Q161">
        <f t="shared" ref="Q161" si="781">F161*P161</f>
        <v>-9730928.0269950218</v>
      </c>
      <c r="R161">
        <f t="shared" ref="R161" si="782">R162+Q161</f>
        <v>673291230.76443326</v>
      </c>
      <c r="S161">
        <f t="shared" ref="S161" si="783">R161/100000</f>
        <v>6732.9123076443329</v>
      </c>
      <c r="T161">
        <f t="shared" ref="T161" si="784">S161/1000</f>
        <v>6.7329123076443329</v>
      </c>
    </row>
    <row r="162" spans="1:20" x14ac:dyDescent="0.25">
      <c r="A162" s="5">
        <v>44431</v>
      </c>
      <c r="B162">
        <v>27.683</v>
      </c>
      <c r="C162">
        <v>28.626999999999999</v>
      </c>
      <c r="D162">
        <v>27.312000000000001</v>
      </c>
      <c r="E162">
        <v>27.876999999999999</v>
      </c>
      <c r="F162">
        <v>12452305.836999999</v>
      </c>
      <c r="G162">
        <v>27.876999999999999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-0.14068441064638981</v>
      </c>
      <c r="Q162">
        <f t="shared" ref="Q162" si="786">F162*P162</f>
        <v>-1751845.3078669447</v>
      </c>
      <c r="R162">
        <f t="shared" ref="R162" si="787">R163+Q162</f>
        <v>683022158.79142833</v>
      </c>
      <c r="S162">
        <f t="shared" ref="S162" si="788">R162/100000</f>
        <v>6830.2215879142832</v>
      </c>
      <c r="T162">
        <f t="shared" ref="T162" si="789">S162/1000</f>
        <v>6.8302215879142834</v>
      </c>
    </row>
    <row r="163" spans="1:20" x14ac:dyDescent="0.25">
      <c r="A163" s="5">
        <v>44430</v>
      </c>
      <c r="B163">
        <v>27.861000000000001</v>
      </c>
      <c r="C163">
        <v>28.52</v>
      </c>
      <c r="D163">
        <v>27.521000000000001</v>
      </c>
      <c r="E163">
        <v>27.798999999999999</v>
      </c>
      <c r="F163">
        <v>3560202.3859999999</v>
      </c>
      <c r="G163">
        <v>27.798999999999999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-0.44344344344344538</v>
      </c>
      <c r="Q163">
        <f t="shared" ref="Q163" si="791">F163*P163</f>
        <v>-1578748.4054034103</v>
      </c>
      <c r="R163">
        <f t="shared" ref="R163" si="792">R164+Q163</f>
        <v>684774004.09929526</v>
      </c>
      <c r="S163">
        <f t="shared" ref="S163" si="793">R163/100000</f>
        <v>6847.7400409929523</v>
      </c>
      <c r="T163">
        <f t="shared" ref="T163" si="794">S163/1000</f>
        <v>6.8477400409929521</v>
      </c>
    </row>
    <row r="164" spans="1:20" x14ac:dyDescent="0.25">
      <c r="A164" s="5">
        <v>44429</v>
      </c>
      <c r="B164">
        <v>28.149000000000001</v>
      </c>
      <c r="C164">
        <v>29.350999999999999</v>
      </c>
      <c r="D164">
        <v>27.47</v>
      </c>
      <c r="E164">
        <v>27.863</v>
      </c>
      <c r="F164">
        <v>15380800.777000001</v>
      </c>
      <c r="G164">
        <v>27.863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-0.58213716108452884</v>
      </c>
      <c r="Q164">
        <f t="shared" ref="Q164" si="796">F164*P164</f>
        <v>-8953735.6995294951</v>
      </c>
      <c r="R164">
        <f t="shared" ref="R164" si="797">R165+Q164</f>
        <v>686352752.50469863</v>
      </c>
      <c r="S164">
        <f t="shared" ref="S164" si="798">R164/100000</f>
        <v>6863.5275250469867</v>
      </c>
      <c r="T164">
        <f t="shared" ref="T164" si="799">S164/1000</f>
        <v>6.8635275250469867</v>
      </c>
    </row>
    <row r="165" spans="1:20" x14ac:dyDescent="0.25">
      <c r="A165" s="5">
        <v>44428</v>
      </c>
      <c r="B165">
        <v>26.579000000000001</v>
      </c>
      <c r="C165">
        <v>28.477</v>
      </c>
      <c r="D165">
        <v>26.065999999999999</v>
      </c>
      <c r="E165">
        <v>28.149000000000001</v>
      </c>
      <c r="F165">
        <v>18087062.298</v>
      </c>
      <c r="G165">
        <v>28.149000000000001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0.72791372874326066</v>
      </c>
      <c r="Q165">
        <f t="shared" ref="Q165" si="801">F165*P165</f>
        <v>13165820.959348829</v>
      </c>
      <c r="R165">
        <f t="shared" ref="R165" si="802">R166+Q165</f>
        <v>695306488.20422816</v>
      </c>
      <c r="S165">
        <f t="shared" ref="S165" si="803">R165/100000</f>
        <v>6953.0648820422821</v>
      </c>
      <c r="T165">
        <f t="shared" ref="T165" si="804">S165/1000</f>
        <v>6.9530648820422822</v>
      </c>
    </row>
    <row r="166" spans="1:20" x14ac:dyDescent="0.25">
      <c r="A166" s="5">
        <v>44427</v>
      </c>
      <c r="B166">
        <v>23.867999999999999</v>
      </c>
      <c r="C166">
        <v>26.849</v>
      </c>
      <c r="D166">
        <v>23.463999999999999</v>
      </c>
      <c r="E166">
        <v>26.582000000000001</v>
      </c>
      <c r="F166">
        <v>18955398.089000002</v>
      </c>
      <c r="G166">
        <v>26.582000000000001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0.84224519940915843</v>
      </c>
      <c r="Q166">
        <f t="shared" ref="Q166" si="806">F166*P166</f>
        <v>15965093.043349788</v>
      </c>
      <c r="R166">
        <f t="shared" ref="R166" si="807">R167+Q166</f>
        <v>682140667.24487936</v>
      </c>
      <c r="S166">
        <f t="shared" ref="S166" si="808">R166/100000</f>
        <v>6821.4066724487939</v>
      </c>
      <c r="T166">
        <f t="shared" ref="T166" si="809">S166/1000</f>
        <v>6.8214066724487941</v>
      </c>
    </row>
    <row r="167" spans="1:20" x14ac:dyDescent="0.25">
      <c r="A167" s="5">
        <v>44426</v>
      </c>
      <c r="B167">
        <v>23.547999999999998</v>
      </c>
      <c r="C167">
        <v>25.183</v>
      </c>
      <c r="D167">
        <v>22.5</v>
      </c>
      <c r="E167">
        <v>23.867999999999999</v>
      </c>
      <c r="F167">
        <v>20325842.456</v>
      </c>
      <c r="G167">
        <v>23.867999999999999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1.9754006708906924E-2</v>
      </c>
      <c r="Q167">
        <f t="shared" ref="Q167" si="811">F167*P167</f>
        <v>401516.8282400092</v>
      </c>
      <c r="R167">
        <f t="shared" ref="R167" si="812">R168+Q167</f>
        <v>666175574.20152962</v>
      </c>
      <c r="S167">
        <f t="shared" ref="S167" si="813">R167/100000</f>
        <v>6661.7557420152962</v>
      </c>
      <c r="T167">
        <f t="shared" ref="T167" si="814">S167/1000</f>
        <v>6.6617557420152957</v>
      </c>
    </row>
    <row r="168" spans="1:20" x14ac:dyDescent="0.25">
      <c r="A168" s="5">
        <v>44425</v>
      </c>
      <c r="B168">
        <v>24.419</v>
      </c>
      <c r="C168">
        <v>27.422000000000001</v>
      </c>
      <c r="D168">
        <v>23.01</v>
      </c>
      <c r="E168">
        <v>23.545000000000002</v>
      </c>
      <c r="F168">
        <v>29082405.853999998</v>
      </c>
      <c r="G168">
        <v>23.545000000000002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-0.75747960108794188</v>
      </c>
      <c r="Q168">
        <f t="shared" ref="Q168" si="816">F168*P168</f>
        <v>-22029329.184965543</v>
      </c>
      <c r="R168">
        <f t="shared" ref="R168" si="817">R169+Q168</f>
        <v>665774057.37328959</v>
      </c>
      <c r="S168">
        <f t="shared" ref="S168" si="818">R168/100000</f>
        <v>6657.7405737328954</v>
      </c>
      <c r="T168">
        <f t="shared" ref="T168" si="819">S168/1000</f>
        <v>6.6577405737328954</v>
      </c>
    </row>
    <row r="169" spans="1:20" x14ac:dyDescent="0.25">
      <c r="A169" s="5">
        <v>44424</v>
      </c>
      <c r="B169">
        <v>23.15</v>
      </c>
      <c r="C169">
        <v>25.699000000000002</v>
      </c>
      <c r="D169">
        <v>22.821000000000002</v>
      </c>
      <c r="E169">
        <v>24.431999999999999</v>
      </c>
      <c r="F169">
        <v>23210244.18</v>
      </c>
      <c r="G169">
        <v>24.431999999999999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0.11952744961778808</v>
      </c>
      <c r="Q169">
        <f t="shared" ref="Q169" si="821">F169*P169</f>
        <v>2774261.2918415088</v>
      </c>
      <c r="R169">
        <f t="shared" ref="R169" si="822">R170+Q169</f>
        <v>687803386.55825508</v>
      </c>
      <c r="S169">
        <f t="shared" ref="S169" si="823">R169/100000</f>
        <v>6878.0338655825508</v>
      </c>
      <c r="T169">
        <f t="shared" ref="T169" si="824">S169/1000</f>
        <v>6.8780338655825508</v>
      </c>
    </row>
    <row r="170" spans="1:20" x14ac:dyDescent="0.25">
      <c r="A170" s="5">
        <v>44423</v>
      </c>
      <c r="B170">
        <v>22.832999999999998</v>
      </c>
      <c r="C170">
        <v>23.33</v>
      </c>
      <c r="D170">
        <v>21.835999999999999</v>
      </c>
      <c r="E170">
        <v>23.15</v>
      </c>
      <c r="F170">
        <v>10311557.705</v>
      </c>
      <c r="G170">
        <v>23.15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0.75903614457831359</v>
      </c>
      <c r="Q170">
        <f t="shared" ref="Q170" si="826">F170*P170</f>
        <v>7826845.0050000036</v>
      </c>
      <c r="R170">
        <f t="shared" ref="R170" si="827">R171+Q170</f>
        <v>685029125.26641357</v>
      </c>
      <c r="S170">
        <f t="shared" ref="S170" si="828">R170/100000</f>
        <v>6850.2912526641358</v>
      </c>
      <c r="T170">
        <f t="shared" ref="T170" si="829">S170/1000</f>
        <v>6.8502912526641362</v>
      </c>
    </row>
    <row r="171" spans="1:20" x14ac:dyDescent="0.25">
      <c r="A171" s="5">
        <v>44422</v>
      </c>
      <c r="B171">
        <v>22.722999999999999</v>
      </c>
      <c r="C171">
        <v>23.488</v>
      </c>
      <c r="D171">
        <v>21.771000000000001</v>
      </c>
      <c r="E171">
        <v>22.835000000000001</v>
      </c>
      <c r="F171">
        <v>12206858.981000001</v>
      </c>
      <c r="G171">
        <v>22.835000000000001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0.23937099592312269</v>
      </c>
      <c r="Q171">
        <f t="shared" ref="Q171" si="831">F171*P171</f>
        <v>2921967.991375085</v>
      </c>
      <c r="R171">
        <f t="shared" ref="R171" si="832">R172+Q171</f>
        <v>677202280.26141357</v>
      </c>
      <c r="S171">
        <f t="shared" ref="S171" si="833">R171/100000</f>
        <v>6772.0228026141358</v>
      </c>
      <c r="T171">
        <f t="shared" ref="T171" si="834">S171/1000</f>
        <v>6.7720228026141358</v>
      </c>
    </row>
    <row r="172" spans="1:20" x14ac:dyDescent="0.25">
      <c r="A172" s="5">
        <v>44421</v>
      </c>
      <c r="B172">
        <v>20.759</v>
      </c>
      <c r="C172">
        <v>22.728999999999999</v>
      </c>
      <c r="D172">
        <v>20.503</v>
      </c>
      <c r="E172">
        <v>22.722999999999999</v>
      </c>
      <c r="F172">
        <v>10079219.543</v>
      </c>
      <c r="G172">
        <v>22.722999999999999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0.99460916442048497</v>
      </c>
      <c r="Q172">
        <f t="shared" ref="Q172" si="836">F172*P172</f>
        <v>10024884.127673851</v>
      </c>
      <c r="R172">
        <f t="shared" ref="R172" si="837">R173+Q172</f>
        <v>674280312.27003849</v>
      </c>
      <c r="S172">
        <f t="shared" ref="S172" si="838">R172/100000</f>
        <v>6742.8031227003848</v>
      </c>
      <c r="T172">
        <f t="shared" ref="T172" si="839">S172/1000</f>
        <v>6.7428031227003853</v>
      </c>
    </row>
    <row r="173" spans="1:20" x14ac:dyDescent="0.25">
      <c r="A173" s="5">
        <v>44420</v>
      </c>
      <c r="B173">
        <v>21.346</v>
      </c>
      <c r="C173">
        <v>22.314</v>
      </c>
      <c r="D173">
        <v>19.899999999999999</v>
      </c>
      <c r="E173">
        <v>20.754999999999999</v>
      </c>
      <c r="F173">
        <v>13916627.073999999</v>
      </c>
      <c r="G173">
        <v>20.754999999999999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-0.291632145816073</v>
      </c>
      <c r="Q173">
        <f t="shared" ref="Q173" si="841">F173*P173</f>
        <v>-4058535.8161126771</v>
      </c>
      <c r="R173">
        <f t="shared" ref="R173" si="842">R174+Q173</f>
        <v>664255428.14236462</v>
      </c>
      <c r="S173">
        <f t="shared" ref="S173" si="843">R173/100000</f>
        <v>6642.554281423646</v>
      </c>
      <c r="T173">
        <f t="shared" ref="T173" si="844">S173/1000</f>
        <v>6.6425542814236458</v>
      </c>
    </row>
    <row r="174" spans="1:20" x14ac:dyDescent="0.25">
      <c r="A174" s="5">
        <v>44419</v>
      </c>
      <c r="B174">
        <v>20.61</v>
      </c>
      <c r="C174">
        <v>22.45</v>
      </c>
      <c r="D174">
        <v>20.54</v>
      </c>
      <c r="E174">
        <v>21.347000000000001</v>
      </c>
      <c r="F174">
        <v>17980834.425999999</v>
      </c>
      <c r="G174">
        <v>21.347000000000001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-0.15497382198952658</v>
      </c>
      <c r="Q174">
        <f t="shared" ref="Q174" si="846">F174*P174</f>
        <v>-2786558.6335580754</v>
      </c>
      <c r="R174">
        <f t="shared" ref="R174" si="847">R175+Q174</f>
        <v>668313963.95847726</v>
      </c>
      <c r="S174">
        <f t="shared" ref="S174" si="848">R174/100000</f>
        <v>6683.1396395847723</v>
      </c>
      <c r="T174">
        <f t="shared" ref="T174" si="849">S174/1000</f>
        <v>6.6831396395847724</v>
      </c>
    </row>
    <row r="175" spans="1:20" x14ac:dyDescent="0.25">
      <c r="A175" s="5">
        <v>44418</v>
      </c>
      <c r="B175">
        <v>20.565999999999999</v>
      </c>
      <c r="C175">
        <v>21.419</v>
      </c>
      <c r="D175">
        <v>20.079999999999998</v>
      </c>
      <c r="E175">
        <v>20.616</v>
      </c>
      <c r="F175">
        <v>13345048.98</v>
      </c>
      <c r="G175">
        <v>20.616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-0.19940253920836373</v>
      </c>
      <c r="Q175">
        <f t="shared" ref="Q175" si="851">F175*P175</f>
        <v>-2661036.6524719847</v>
      </c>
      <c r="R175">
        <f t="shared" ref="R175" si="852">R176+Q175</f>
        <v>671100522.59203529</v>
      </c>
      <c r="S175">
        <f t="shared" ref="S175" si="853">R175/100000</f>
        <v>6711.005225920353</v>
      </c>
      <c r="T175">
        <f t="shared" ref="T175" si="854">S175/1000</f>
        <v>6.7110052259203528</v>
      </c>
    </row>
    <row r="176" spans="1:20" x14ac:dyDescent="0.25">
      <c r="A176" s="5">
        <v>44417</v>
      </c>
      <c r="B176">
        <v>19.651</v>
      </c>
      <c r="C176">
        <v>21.266999999999999</v>
      </c>
      <c r="D176">
        <v>18.706</v>
      </c>
      <c r="E176">
        <v>20.565999999999999</v>
      </c>
      <c r="F176">
        <v>12450237.876</v>
      </c>
      <c r="G176">
        <v>20.565999999999999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0.45255759468957396</v>
      </c>
      <c r="Q176">
        <f t="shared" ref="Q176" si="856">F176*P176</f>
        <v>5634449.7064755904</v>
      </c>
      <c r="R176">
        <f t="shared" ref="R176" si="857">R177+Q176</f>
        <v>673761559.24450731</v>
      </c>
      <c r="S176">
        <f t="shared" ref="S176" si="858">R176/100000</f>
        <v>6737.6155924450732</v>
      </c>
      <c r="T176">
        <f t="shared" ref="T176" si="859">S176/1000</f>
        <v>6.7376155924450734</v>
      </c>
    </row>
    <row r="177" spans="1:20" x14ac:dyDescent="0.25">
      <c r="A177" s="5">
        <v>44416</v>
      </c>
      <c r="B177">
        <v>20.963000000000001</v>
      </c>
      <c r="C177">
        <v>21.204999999999998</v>
      </c>
      <c r="D177">
        <v>19.192</v>
      </c>
      <c r="E177">
        <v>19.649999999999999</v>
      </c>
      <c r="F177">
        <v>11727291.345000001</v>
      </c>
      <c r="G177">
        <v>19.649999999999999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-0.54495777446597238</v>
      </c>
      <c r="Q177">
        <f t="shared" ref="Q177" si="861">F177*P177</f>
        <v>-6390878.5918852603</v>
      </c>
      <c r="R177">
        <f t="shared" ref="R177" si="862">R178+Q177</f>
        <v>668127109.5380317</v>
      </c>
      <c r="S177">
        <f t="shared" ref="S177" si="863">R177/100000</f>
        <v>6681.2710953803171</v>
      </c>
      <c r="T177">
        <f t="shared" ref="T177" si="864">S177/1000</f>
        <v>6.6812710953803167</v>
      </c>
    </row>
    <row r="178" spans="1:20" x14ac:dyDescent="0.25">
      <c r="A178" s="5">
        <v>44415</v>
      </c>
      <c r="B178">
        <v>20.417000000000002</v>
      </c>
      <c r="C178">
        <v>21.683</v>
      </c>
      <c r="D178">
        <v>20.024999999999999</v>
      </c>
      <c r="E178">
        <v>20.963000000000001</v>
      </c>
      <c r="F178">
        <v>16386907.83</v>
      </c>
      <c r="G178">
        <v>20.963000000000001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0.13148371531966427</v>
      </c>
      <c r="Q178">
        <f t="shared" ref="Q178" si="866">F178*P178</f>
        <v>2154611.5240892973</v>
      </c>
      <c r="R178">
        <f t="shared" ref="R178" si="867">R179+Q178</f>
        <v>674517988.12991691</v>
      </c>
      <c r="S178">
        <f t="shared" ref="S178" si="868">R178/100000</f>
        <v>6745.1798812991692</v>
      </c>
      <c r="T178">
        <f t="shared" ref="T178" si="869">S178/1000</f>
        <v>6.745179881299169</v>
      </c>
    </row>
    <row r="179" spans="1:20" x14ac:dyDescent="0.25">
      <c r="A179" s="5">
        <v>44414</v>
      </c>
      <c r="B179">
        <v>19.123999999999999</v>
      </c>
      <c r="C179">
        <v>20.8</v>
      </c>
      <c r="D179">
        <v>18.521999999999998</v>
      </c>
      <c r="E179">
        <v>20.416</v>
      </c>
      <c r="F179">
        <v>17461334.491999999</v>
      </c>
      <c r="G179">
        <v>20.416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0.66286215978928886</v>
      </c>
      <c r="Q179">
        <f t="shared" ref="Q179" si="871">F179*P179</f>
        <v>11574457.894170323</v>
      </c>
      <c r="R179">
        <f t="shared" ref="R179" si="872">R180+Q179</f>
        <v>672363376.60582757</v>
      </c>
      <c r="S179">
        <f t="shared" ref="S179" si="873">R179/100000</f>
        <v>6723.6337660582758</v>
      </c>
      <c r="T179">
        <f t="shared" ref="T179" si="874">S179/1000</f>
        <v>6.7236337660582759</v>
      </c>
    </row>
    <row r="180" spans="1:20" x14ac:dyDescent="0.25">
      <c r="A180" s="5">
        <v>44413</v>
      </c>
      <c r="B180">
        <v>19.146000000000001</v>
      </c>
      <c r="C180">
        <v>19.457999999999998</v>
      </c>
      <c r="D180">
        <v>17.861000000000001</v>
      </c>
      <c r="E180">
        <v>19.123999999999999</v>
      </c>
      <c r="F180">
        <v>17528313.721000001</v>
      </c>
      <c r="G180">
        <v>19.123999999999999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0.58171571696931734</v>
      </c>
      <c r="Q180">
        <f t="shared" ref="Q180" si="876">F180*P180</f>
        <v>10196495.583474638</v>
      </c>
      <c r="R180">
        <f t="shared" ref="R180" si="877">R181+Q180</f>
        <v>660788918.71165729</v>
      </c>
      <c r="S180">
        <f t="shared" ref="S180" si="878">R180/100000</f>
        <v>6607.8891871165724</v>
      </c>
      <c r="T180">
        <f t="shared" ref="T180" si="879">S180/1000</f>
        <v>6.6078891871165721</v>
      </c>
    </row>
    <row r="181" spans="1:20" x14ac:dyDescent="0.25">
      <c r="A181" s="5">
        <v>44412</v>
      </c>
      <c r="B181">
        <v>17.425999999999998</v>
      </c>
      <c r="C181">
        <v>19.584</v>
      </c>
      <c r="D181">
        <v>17.094000000000001</v>
      </c>
      <c r="E181">
        <v>19.149999999999999</v>
      </c>
      <c r="F181">
        <v>17035350.579</v>
      </c>
      <c r="G181">
        <v>19.149999999999999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0.65140562248995881</v>
      </c>
      <c r="Q181">
        <f t="shared" ref="Q181" si="881">F181*P181</f>
        <v>11096923.148248175</v>
      </c>
      <c r="R181">
        <f t="shared" ref="R181" si="882">R182+Q181</f>
        <v>650592423.12818265</v>
      </c>
      <c r="S181">
        <f t="shared" ref="S181" si="883">R181/100000</f>
        <v>6505.9242312818269</v>
      </c>
      <c r="T181">
        <f t="shared" ref="T181" si="884">S181/1000</f>
        <v>6.5059242312818268</v>
      </c>
    </row>
    <row r="182" spans="1:20" x14ac:dyDescent="0.25">
      <c r="A182" s="5">
        <v>44411</v>
      </c>
      <c r="B182">
        <v>17.984000000000002</v>
      </c>
      <c r="C182">
        <v>18.545999999999999</v>
      </c>
      <c r="D182">
        <v>16.811</v>
      </c>
      <c r="E182">
        <v>17.425000000000001</v>
      </c>
      <c r="F182">
        <v>15066105.66</v>
      </c>
      <c r="G182">
        <v>17.425000000000001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-0.29221902017290957</v>
      </c>
      <c r="Q182">
        <f t="shared" ref="Q182" si="886">F182*P182</f>
        <v>-4402602.6337867267</v>
      </c>
      <c r="R182">
        <f t="shared" ref="R182" si="887">R183+Q182</f>
        <v>639495499.97993445</v>
      </c>
      <c r="S182">
        <f t="shared" ref="S182" si="888">R182/100000</f>
        <v>6394.9549997993445</v>
      </c>
      <c r="T182">
        <f t="shared" ref="T182" si="889">S182/1000</f>
        <v>6.3949549997993449</v>
      </c>
    </row>
    <row r="183" spans="1:20" x14ac:dyDescent="0.25">
      <c r="A183" s="5">
        <v>44410</v>
      </c>
      <c r="B183">
        <v>18.417999999999999</v>
      </c>
      <c r="C183">
        <v>18.937999999999999</v>
      </c>
      <c r="D183">
        <v>17.555</v>
      </c>
      <c r="E183">
        <v>17.984000000000002</v>
      </c>
      <c r="F183">
        <v>17843839.092999998</v>
      </c>
      <c r="G183">
        <v>17.984000000000002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-0.37960954446854328</v>
      </c>
      <c r="Q183">
        <f t="shared" ref="Q183" si="891">F183*P183</f>
        <v>-6773691.6296637142</v>
      </c>
      <c r="R183">
        <f t="shared" ref="R183" si="892">R184+Q183</f>
        <v>643898102.61372113</v>
      </c>
      <c r="S183">
        <f t="shared" ref="S183" si="893">R183/100000</f>
        <v>6438.9810261372113</v>
      </c>
      <c r="T183">
        <f t="shared" ref="T183" si="894">S183/1000</f>
        <v>6.4389810261372116</v>
      </c>
    </row>
    <row r="184" spans="1:20" x14ac:dyDescent="0.25">
      <c r="A184" s="5">
        <v>44409</v>
      </c>
      <c r="B184">
        <v>16.779</v>
      </c>
      <c r="C184">
        <v>19.899999999999999</v>
      </c>
      <c r="D184">
        <v>16.539000000000001</v>
      </c>
      <c r="E184">
        <v>18.417999999999999</v>
      </c>
      <c r="F184">
        <v>29839953.331</v>
      </c>
      <c r="G184">
        <v>18.417999999999999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0.11811960725974377</v>
      </c>
      <c r="Q184">
        <f t="shared" ref="Q184" si="896">F184*P184</f>
        <v>3524683.5681068031</v>
      </c>
      <c r="R184">
        <f t="shared" ref="R184" si="897">R185+Q184</f>
        <v>650671794.24338484</v>
      </c>
      <c r="S184">
        <f t="shared" ref="S184" si="898">R184/100000</f>
        <v>6506.7179424338483</v>
      </c>
      <c r="T184">
        <f t="shared" ref="T184" si="899">S184/1000</f>
        <v>6.5067179424338484</v>
      </c>
    </row>
    <row r="185" spans="1:20" x14ac:dyDescent="0.25">
      <c r="A185" s="5">
        <v>44408</v>
      </c>
      <c r="B185">
        <v>15.791</v>
      </c>
      <c r="C185">
        <v>17.018000000000001</v>
      </c>
      <c r="D185">
        <v>15.58</v>
      </c>
      <c r="E185">
        <v>16.783999999999999</v>
      </c>
      <c r="F185">
        <v>12127994.278999999</v>
      </c>
      <c r="G185">
        <v>16.783999999999999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0.67454798331015065</v>
      </c>
      <c r="Q185">
        <f t="shared" ref="Q185" si="901">F185*P185</f>
        <v>8180914.0824964941</v>
      </c>
      <c r="R185">
        <f t="shared" ref="R185" si="902">R186+Q185</f>
        <v>647147110.67527807</v>
      </c>
      <c r="S185">
        <f t="shared" ref="S185" si="903">R185/100000</f>
        <v>6471.4711067527805</v>
      </c>
      <c r="T185">
        <f t="shared" ref="T185" si="904">S185/1000</f>
        <v>6.4714711067527801</v>
      </c>
    </row>
    <row r="186" spans="1:20" x14ac:dyDescent="0.25">
      <c r="A186" s="5">
        <v>44407</v>
      </c>
      <c r="B186">
        <v>15.257999999999999</v>
      </c>
      <c r="C186">
        <v>15.859</v>
      </c>
      <c r="D186">
        <v>14.404</v>
      </c>
      <c r="E186">
        <v>15.792999999999999</v>
      </c>
      <c r="F186">
        <v>12163617.879000001</v>
      </c>
      <c r="G186">
        <v>15.792999999999999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0.90927835051546291</v>
      </c>
      <c r="Q186">
        <f t="shared" ref="Q186" si="906">F186*P186</f>
        <v>11060114.401317514</v>
      </c>
      <c r="R186">
        <f t="shared" ref="R186" si="907">R187+Q186</f>
        <v>638966196.59278154</v>
      </c>
      <c r="S186">
        <f t="shared" ref="S186" si="908">R186/100000</f>
        <v>6389.6619659278158</v>
      </c>
      <c r="T186">
        <f t="shared" ref="T186" si="909">S186/1000</f>
        <v>6.3896619659278162</v>
      </c>
    </row>
    <row r="187" spans="1:20" x14ac:dyDescent="0.25">
      <c r="A187" s="5">
        <v>44406</v>
      </c>
      <c r="B187">
        <v>14.542</v>
      </c>
      <c r="C187">
        <v>15.391</v>
      </c>
      <c r="D187">
        <v>14.257</v>
      </c>
      <c r="E187">
        <v>15.254</v>
      </c>
      <c r="F187">
        <v>16761635.312999999</v>
      </c>
      <c r="G187">
        <v>15.254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0.758377425044091</v>
      </c>
      <c r="Q187">
        <f t="shared" ref="Q187" si="911">F187*P187</f>
        <v>12711645.828201046</v>
      </c>
      <c r="R187">
        <f t="shared" ref="R187" si="912">R188+Q187</f>
        <v>627906082.19146407</v>
      </c>
      <c r="S187">
        <f t="shared" ref="S187" si="913">R187/100000</f>
        <v>6279.0608219146407</v>
      </c>
      <c r="T187">
        <f t="shared" ref="T187" si="914">S187/1000</f>
        <v>6.2790608219146407</v>
      </c>
    </row>
    <row r="188" spans="1:20" x14ac:dyDescent="0.25">
      <c r="A188" s="5">
        <v>44405</v>
      </c>
      <c r="B188">
        <v>14.364000000000001</v>
      </c>
      <c r="C188">
        <v>14.762</v>
      </c>
      <c r="D188">
        <v>13.920999999999999</v>
      </c>
      <c r="E188">
        <v>14.545999999999999</v>
      </c>
      <c r="F188">
        <v>13296413.169</v>
      </c>
      <c r="G188">
        <v>14.545999999999999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0.4863258026159315</v>
      </c>
      <c r="Q188">
        <f t="shared" ref="Q188" si="916">F188*P188</f>
        <v>6466388.8063269658</v>
      </c>
      <c r="R188">
        <f t="shared" ref="R188" si="917">R189+Q188</f>
        <v>615194436.36326301</v>
      </c>
      <c r="S188">
        <f t="shared" ref="S188" si="918">R188/100000</f>
        <v>6151.9443636326305</v>
      </c>
      <c r="T188">
        <f t="shared" ref="T188" si="919">S188/1000</f>
        <v>6.1519443636326301</v>
      </c>
    </row>
    <row r="189" spans="1:20" x14ac:dyDescent="0.25">
      <c r="A189" s="5">
        <v>44404</v>
      </c>
      <c r="B189">
        <v>13.923999999999999</v>
      </c>
      <c r="C189">
        <v>14.54</v>
      </c>
      <c r="D189">
        <v>13.349</v>
      </c>
      <c r="E189">
        <v>14.365</v>
      </c>
      <c r="F189">
        <v>16376850.101</v>
      </c>
      <c r="G189">
        <v>14.365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0.70612930310663458</v>
      </c>
      <c r="Q189">
        <f t="shared" ref="Q189" si="921">F189*P189</f>
        <v>11564173.748900948</v>
      </c>
      <c r="R189">
        <f t="shared" ref="R189" si="922">R190+Q189</f>
        <v>608728047.55693603</v>
      </c>
      <c r="S189">
        <f t="shared" ref="S189" si="923">R189/100000</f>
        <v>6087.2804755693605</v>
      </c>
      <c r="T189">
        <f t="shared" ref="T189" si="924">S189/1000</f>
        <v>6.0872804755693606</v>
      </c>
    </row>
    <row r="190" spans="1:20" x14ac:dyDescent="0.25">
      <c r="A190" s="5">
        <v>44403</v>
      </c>
      <c r="B190">
        <v>13.731999999999999</v>
      </c>
      <c r="C190">
        <v>15.298</v>
      </c>
      <c r="D190">
        <v>13.634</v>
      </c>
      <c r="E190">
        <v>13.925000000000001</v>
      </c>
      <c r="F190">
        <v>25704112.204</v>
      </c>
      <c r="G190">
        <v>13.925000000000001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-0.65024038461538414</v>
      </c>
      <c r="Q190">
        <f t="shared" ref="Q190" si="926">F190*P190</f>
        <v>-16713851.805725949</v>
      </c>
      <c r="R190">
        <f t="shared" ref="R190" si="927">R191+Q190</f>
        <v>597163873.80803514</v>
      </c>
      <c r="S190">
        <f t="shared" ref="S190" si="928">R190/100000</f>
        <v>5971.6387380803517</v>
      </c>
      <c r="T190">
        <f t="shared" ref="T190" si="929">S190/1000</f>
        <v>5.9716387380803519</v>
      </c>
    </row>
    <row r="191" spans="1:20" x14ac:dyDescent="0.25">
      <c r="A191" s="5">
        <v>44402</v>
      </c>
      <c r="B191">
        <v>13.759</v>
      </c>
      <c r="C191">
        <v>13.827</v>
      </c>
      <c r="D191">
        <v>13.085000000000001</v>
      </c>
      <c r="E191">
        <v>13.734</v>
      </c>
      <c r="F191">
        <v>10636601.766000001</v>
      </c>
      <c r="G191">
        <v>13.734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0.74932614555256039</v>
      </c>
      <c r="Q191">
        <f t="shared" ref="Q191" si="931">F191*P191</f>
        <v>7970283.8030943377</v>
      </c>
      <c r="R191">
        <f t="shared" ref="R191" si="932">R192+Q191</f>
        <v>613877725.61376107</v>
      </c>
      <c r="S191">
        <f t="shared" ref="S191" si="933">R191/100000</f>
        <v>6138.7772561376105</v>
      </c>
      <c r="T191">
        <f t="shared" ref="T191:T197" si="934">S191/1000</f>
        <v>6.1387772561376108</v>
      </c>
    </row>
    <row r="192" spans="1:20" x14ac:dyDescent="0.25">
      <c r="A192" s="5">
        <v>44401</v>
      </c>
      <c r="B192">
        <v>13.4</v>
      </c>
      <c r="C192">
        <v>14.057</v>
      </c>
      <c r="D192">
        <v>13.122999999999999</v>
      </c>
      <c r="E192">
        <v>13.754</v>
      </c>
      <c r="F192">
        <v>13352533.272</v>
      </c>
      <c r="G192">
        <v>13.754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0.35117773019271847</v>
      </c>
      <c r="Q192">
        <f t="shared" ref="Q192" si="936">F192*P192</f>
        <v>4689112.326783712</v>
      </c>
      <c r="R192">
        <f t="shared" ref="R192" si="937">R193+Q192</f>
        <v>605907441.81066668</v>
      </c>
      <c r="S192">
        <f t="shared" ref="S192" si="938">R192/100000</f>
        <v>6059.0744181066666</v>
      </c>
      <c r="T192">
        <f t="shared" si="934"/>
        <v>6.0590744181066665</v>
      </c>
    </row>
    <row r="193" spans="1:20" x14ac:dyDescent="0.25">
      <c r="A193" s="5">
        <v>44400</v>
      </c>
      <c r="B193">
        <v>13.154</v>
      </c>
      <c r="C193">
        <v>13.52</v>
      </c>
      <c r="D193">
        <v>12.321</v>
      </c>
      <c r="E193">
        <v>13.401</v>
      </c>
      <c r="F193">
        <v>14319244.955</v>
      </c>
      <c r="G193">
        <v>13.401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0.80150125104253578</v>
      </c>
      <c r="Q193">
        <f t="shared" ref="Q193" si="940">F193*P193</f>
        <v>11476892.745417019</v>
      </c>
      <c r="R193">
        <f t="shared" ref="R193" si="941">R194+Q193</f>
        <v>601218329.48388302</v>
      </c>
      <c r="S193">
        <f t="shared" ref="S193" si="942">R193/100000</f>
        <v>6012.1832948388301</v>
      </c>
      <c r="T193">
        <f t="shared" si="934"/>
        <v>6.0121832948388301</v>
      </c>
    </row>
    <row r="194" spans="1:20" x14ac:dyDescent="0.25">
      <c r="A194" s="5">
        <v>44399</v>
      </c>
      <c r="B194">
        <v>12.343999999999999</v>
      </c>
      <c r="C194">
        <v>13.37</v>
      </c>
      <c r="D194">
        <v>11.81</v>
      </c>
      <c r="E194">
        <v>13.151999999999999</v>
      </c>
      <c r="F194">
        <v>17109976.612</v>
      </c>
      <c r="G194">
        <v>13.151999999999999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0.72051282051282028</v>
      </c>
      <c r="Q194">
        <f t="shared" ref="Q194" si="944">F194*P194</f>
        <v>12327957.507620508</v>
      </c>
      <c r="R194">
        <f t="shared" ref="R194" si="945">R195+Q194</f>
        <v>589741436.73846602</v>
      </c>
      <c r="S194">
        <f t="shared" ref="S194" si="946">R194/100000</f>
        <v>5897.4143673846602</v>
      </c>
      <c r="T194">
        <f t="shared" si="934"/>
        <v>5.89741436738466</v>
      </c>
    </row>
    <row r="195" spans="1:20" x14ac:dyDescent="0.25">
      <c r="A195" s="5">
        <v>44398</v>
      </c>
      <c r="B195">
        <v>10.962</v>
      </c>
      <c r="C195">
        <v>12.861000000000001</v>
      </c>
      <c r="D195">
        <v>10.673</v>
      </c>
      <c r="E195">
        <v>12.343</v>
      </c>
      <c r="F195">
        <v>20720488.403999999</v>
      </c>
      <c r="G195">
        <v>12.343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0.52650822669104158</v>
      </c>
      <c r="Q195">
        <f t="shared" ref="Q195" si="948">F195*P195</f>
        <v>10909507.605762331</v>
      </c>
      <c r="R195">
        <f t="shared" ref="R195" si="949">R196+Q195</f>
        <v>577413479.23084557</v>
      </c>
      <c r="S195">
        <f t="shared" ref="S195" si="950">R195/100000</f>
        <v>5774.1347923084559</v>
      </c>
      <c r="T195">
        <f t="shared" si="934"/>
        <v>5.7741347923084563</v>
      </c>
    </row>
    <row r="196" spans="1:20" x14ac:dyDescent="0.25">
      <c r="A196" s="5">
        <v>44397</v>
      </c>
      <c r="B196">
        <v>11.462999999999999</v>
      </c>
      <c r="C196">
        <v>11.558</v>
      </c>
      <c r="D196">
        <v>10.372999999999999</v>
      </c>
      <c r="E196">
        <v>10.958</v>
      </c>
      <c r="F196">
        <v>15411227.687999999</v>
      </c>
      <c r="G196">
        <v>10.958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-1.265822784810024E-2</v>
      </c>
      <c r="Q196">
        <f t="shared" ref="Q196" si="952">F196*P196</f>
        <v>-195078.83149365507</v>
      </c>
      <c r="R196">
        <f t="shared" ref="R196" si="953">R197+Q196</f>
        <v>566503971.62508321</v>
      </c>
      <c r="S196">
        <f t="shared" ref="S196" si="954">R196/100000</f>
        <v>5665.0397162508325</v>
      </c>
      <c r="T196">
        <f t="shared" si="934"/>
        <v>5.6650397162508321</v>
      </c>
    </row>
    <row r="197" spans="1:20" x14ac:dyDescent="0.25">
      <c r="A197" s="5">
        <v>44396</v>
      </c>
      <c r="B197">
        <v>12.648</v>
      </c>
      <c r="C197">
        <v>12.734999999999999</v>
      </c>
      <c r="D197">
        <v>11.353999999999999</v>
      </c>
      <c r="E197">
        <v>11.46</v>
      </c>
      <c r="F197">
        <v>13496594.169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-0.84648805213613088</v>
      </c>
      <c r="Q197">
        <f t="shared" ref="Q197" si="956">F197*P197</f>
        <v>-11424705.708588671</v>
      </c>
      <c r="R197">
        <f t="shared" ref="R197" si="957">R198+Q197</f>
        <v>566699050.45657682</v>
      </c>
      <c r="S197">
        <f t="shared" ref="S197" si="958">R197/100000</f>
        <v>5666.9905045657679</v>
      </c>
      <c r="T197">
        <f t="shared" si="934"/>
        <v>5.666990504565768</v>
      </c>
    </row>
    <row r="198" spans="1:20" x14ac:dyDescent="0.25">
      <c r="A198" s="5">
        <v>44395</v>
      </c>
      <c r="B198">
        <v>12.295999999999999</v>
      </c>
      <c r="C198">
        <v>12.933999999999999</v>
      </c>
      <c r="D198">
        <v>12.257999999999999</v>
      </c>
      <c r="E198">
        <v>12.647</v>
      </c>
      <c r="F198">
        <v>8943548.8530000001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0.15088757396450009</v>
      </c>
      <c r="Q198">
        <f t="shared" ref="Q198:Q261" si="960">F198*P198</f>
        <v>1349470.3890621574</v>
      </c>
      <c r="R198">
        <f t="shared" ref="R198:R261" si="961">R199+Q198</f>
        <v>578123756.16516554</v>
      </c>
      <c r="S198">
        <f t="shared" ref="S198:S261" si="962">R198/100000</f>
        <v>5781.2375616516556</v>
      </c>
      <c r="T198">
        <f t="shared" ref="T198:T261" si="963">S198/1000</f>
        <v>5.7812375616516558</v>
      </c>
    </row>
    <row r="199" spans="1:20" x14ac:dyDescent="0.25">
      <c r="A199" s="5">
        <v>44394</v>
      </c>
      <c r="B199">
        <v>12.025</v>
      </c>
      <c r="C199">
        <v>12.742000000000001</v>
      </c>
      <c r="D199">
        <v>11.71</v>
      </c>
      <c r="E199">
        <v>12.294</v>
      </c>
      <c r="F199">
        <v>12685758.457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0.13178294573643337</v>
      </c>
      <c r="Q199">
        <f t="shared" si="960"/>
        <v>1671766.6183643318</v>
      </c>
      <c r="R199">
        <f t="shared" si="961"/>
        <v>576774285.77610338</v>
      </c>
      <c r="S199">
        <f t="shared" si="962"/>
        <v>5767.7428577610335</v>
      </c>
      <c r="T199">
        <f t="shared" si="963"/>
        <v>5.7677428577610339</v>
      </c>
    </row>
    <row r="200" spans="1:20" x14ac:dyDescent="0.25">
      <c r="A200" s="5">
        <v>44393</v>
      </c>
      <c r="B200">
        <v>13.095000000000001</v>
      </c>
      <c r="C200">
        <v>13.313000000000001</v>
      </c>
      <c r="D200">
        <v>12</v>
      </c>
      <c r="E200">
        <v>12.026</v>
      </c>
      <c r="F200">
        <v>11747810.942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-0.96039603960396069</v>
      </c>
      <c r="Q200">
        <f t="shared" si="960"/>
        <v>-11282551.102712875</v>
      </c>
      <c r="R200">
        <f t="shared" si="961"/>
        <v>575102519.15773904</v>
      </c>
      <c r="S200">
        <f t="shared" si="962"/>
        <v>5751.0251915773906</v>
      </c>
      <c r="T200">
        <f t="shared" si="963"/>
        <v>5.7510251915773907</v>
      </c>
    </row>
    <row r="201" spans="1:20" x14ac:dyDescent="0.25">
      <c r="A201" s="5">
        <v>44392</v>
      </c>
      <c r="B201">
        <v>13.798</v>
      </c>
      <c r="C201">
        <v>14.108000000000001</v>
      </c>
      <c r="D201">
        <v>12.739000000000001</v>
      </c>
      <c r="E201">
        <v>13.095000000000001</v>
      </c>
      <c r="F201">
        <v>11295460.335000001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-0.47991234477720973</v>
      </c>
      <c r="Q201">
        <f t="shared" si="960"/>
        <v>-5420830.8547078175</v>
      </c>
      <c r="R201">
        <f t="shared" si="961"/>
        <v>586385070.26045191</v>
      </c>
      <c r="S201">
        <f t="shared" si="962"/>
        <v>5863.850702604519</v>
      </c>
      <c r="T201">
        <f t="shared" si="963"/>
        <v>5.8638507026045188</v>
      </c>
    </row>
    <row r="202" spans="1:20" x14ac:dyDescent="0.25">
      <c r="A202" s="5">
        <v>44391</v>
      </c>
      <c r="B202">
        <v>14.191000000000001</v>
      </c>
      <c r="C202">
        <v>14.227</v>
      </c>
      <c r="D202">
        <v>13.164</v>
      </c>
      <c r="E202">
        <v>13.801</v>
      </c>
      <c r="F202">
        <v>11240723.808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0.19849482596425227</v>
      </c>
      <c r="Q202">
        <f t="shared" si="960"/>
        <v>2231225.5159811871</v>
      </c>
      <c r="R202">
        <f t="shared" si="961"/>
        <v>591805901.11515975</v>
      </c>
      <c r="S202">
        <f t="shared" si="962"/>
        <v>5918.0590111515976</v>
      </c>
      <c r="T202">
        <f t="shared" si="963"/>
        <v>5.9180590111515974</v>
      </c>
    </row>
    <row r="203" spans="1:20" x14ac:dyDescent="0.25">
      <c r="A203" s="5">
        <v>44390</v>
      </c>
      <c r="B203">
        <v>14.845000000000001</v>
      </c>
      <c r="C203">
        <v>15.099</v>
      </c>
      <c r="D203">
        <v>14.010999999999999</v>
      </c>
      <c r="E203">
        <v>14.19</v>
      </c>
      <c r="F203">
        <v>7000669.8710000003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-0.67095588235294101</v>
      </c>
      <c r="Q203">
        <f t="shared" si="960"/>
        <v>-4697140.6303584548</v>
      </c>
      <c r="R203">
        <f t="shared" si="961"/>
        <v>589574675.59917855</v>
      </c>
      <c r="S203">
        <f t="shared" si="962"/>
        <v>5895.7467559917859</v>
      </c>
      <c r="T203">
        <f t="shared" si="963"/>
        <v>5.8957467559917855</v>
      </c>
    </row>
    <row r="204" spans="1:20" x14ac:dyDescent="0.25">
      <c r="A204" s="5">
        <v>44389</v>
      </c>
      <c r="B204">
        <v>15.494999999999999</v>
      </c>
      <c r="C204">
        <v>15.65</v>
      </c>
      <c r="D204">
        <v>14.381</v>
      </c>
      <c r="E204">
        <v>14.845000000000001</v>
      </c>
      <c r="F204">
        <v>7384762.29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-0.26871552403467241</v>
      </c>
      <c r="Q204">
        <f t="shared" si="960"/>
        <v>-1984400.2686288375</v>
      </c>
      <c r="R204">
        <f t="shared" si="961"/>
        <v>594271816.22953701</v>
      </c>
      <c r="S204">
        <f t="shared" si="962"/>
        <v>5942.7181622953703</v>
      </c>
      <c r="T204">
        <f t="shared" si="963"/>
        <v>5.9427181622953702</v>
      </c>
    </row>
    <row r="205" spans="1:20" x14ac:dyDescent="0.25">
      <c r="A205" s="5">
        <v>44388</v>
      </c>
      <c r="B205">
        <v>15.276999999999999</v>
      </c>
      <c r="C205">
        <v>15.708</v>
      </c>
      <c r="D205">
        <v>15.138</v>
      </c>
      <c r="E205">
        <v>15.494999999999999</v>
      </c>
      <c r="F205">
        <v>5220591.2560000001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0.25263157894736538</v>
      </c>
      <c r="Q205">
        <f t="shared" si="960"/>
        <v>1318886.2120420893</v>
      </c>
      <c r="R205">
        <f t="shared" si="961"/>
        <v>596256216.49816585</v>
      </c>
      <c r="S205">
        <f t="shared" si="962"/>
        <v>5962.5621649816585</v>
      </c>
      <c r="T205">
        <f t="shared" si="963"/>
        <v>5.9625621649816587</v>
      </c>
    </row>
    <row r="206" spans="1:20" x14ac:dyDescent="0.25">
      <c r="A206" s="5">
        <v>44387</v>
      </c>
      <c r="B206">
        <v>15.680999999999999</v>
      </c>
      <c r="C206">
        <v>15.999000000000001</v>
      </c>
      <c r="D206">
        <v>15.038</v>
      </c>
      <c r="E206">
        <v>15.276</v>
      </c>
      <c r="F206">
        <v>7361515.051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-0.50468262226847149</v>
      </c>
      <c r="Q206">
        <f t="shared" si="960"/>
        <v>-3715228.7198075005</v>
      </c>
      <c r="R206">
        <f t="shared" si="961"/>
        <v>594937330.28612375</v>
      </c>
      <c r="S206">
        <f t="shared" si="962"/>
        <v>5949.3733028612378</v>
      </c>
      <c r="T206">
        <f t="shared" si="963"/>
        <v>5.9493733028612379</v>
      </c>
    </row>
    <row r="207" spans="1:20" x14ac:dyDescent="0.25">
      <c r="A207" s="5">
        <v>44386</v>
      </c>
      <c r="B207">
        <v>15.311</v>
      </c>
      <c r="C207">
        <v>15.917999999999999</v>
      </c>
      <c r="D207">
        <v>14.82</v>
      </c>
      <c r="E207">
        <v>15.680999999999999</v>
      </c>
      <c r="F207">
        <v>8527447.5319999997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0.56830601092896116</v>
      </c>
      <c r="Q207">
        <f t="shared" si="960"/>
        <v>4846199.6903169351</v>
      </c>
      <c r="R207">
        <f t="shared" si="961"/>
        <v>598652559.00593126</v>
      </c>
      <c r="S207">
        <f t="shared" si="962"/>
        <v>5986.5255900593129</v>
      </c>
      <c r="T207">
        <f t="shared" si="963"/>
        <v>5.9865255900593128</v>
      </c>
    </row>
    <row r="208" spans="1:20" x14ac:dyDescent="0.25">
      <c r="A208" s="5">
        <v>44385</v>
      </c>
      <c r="B208">
        <v>16.861999999999998</v>
      </c>
      <c r="C208">
        <v>16.893000000000001</v>
      </c>
      <c r="D208">
        <v>14.99</v>
      </c>
      <c r="E208">
        <v>15.317</v>
      </c>
      <c r="F208">
        <v>13613806.663000001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-0.65633210719915935</v>
      </c>
      <c r="Q208">
        <f t="shared" si="960"/>
        <v>-8935178.4141287468</v>
      </c>
      <c r="R208">
        <f t="shared" si="961"/>
        <v>593806359.31561434</v>
      </c>
      <c r="S208">
        <f t="shared" si="962"/>
        <v>5938.0635931561437</v>
      </c>
      <c r="T208">
        <f t="shared" si="963"/>
        <v>5.9380635931561434</v>
      </c>
    </row>
    <row r="209" spans="1:20" x14ac:dyDescent="0.25">
      <c r="A209" s="5">
        <v>44384</v>
      </c>
      <c r="B209">
        <v>16.126999999999999</v>
      </c>
      <c r="C209">
        <v>17.667999999999999</v>
      </c>
      <c r="D209">
        <v>16.085000000000001</v>
      </c>
      <c r="E209">
        <v>16.861000000000001</v>
      </c>
      <c r="F209">
        <v>18479476.984999999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-1.9583070120024533E-2</v>
      </c>
      <c r="Q209">
        <f t="shared" si="960"/>
        <v>-361884.89357863454</v>
      </c>
      <c r="R209">
        <f t="shared" si="961"/>
        <v>602741537.72974312</v>
      </c>
      <c r="S209">
        <f t="shared" si="962"/>
        <v>6027.4153772974314</v>
      </c>
      <c r="T209">
        <f t="shared" si="963"/>
        <v>6.027415377297431</v>
      </c>
    </row>
    <row r="210" spans="1:20" x14ac:dyDescent="0.25">
      <c r="A210" s="5">
        <v>44383</v>
      </c>
      <c r="B210">
        <v>15.228999999999999</v>
      </c>
      <c r="C210">
        <v>16.190999999999999</v>
      </c>
      <c r="D210">
        <v>15.194000000000001</v>
      </c>
      <c r="E210">
        <v>16.135000000000002</v>
      </c>
      <c r="F210">
        <v>12531769.006999999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0.88766298896690576</v>
      </c>
      <c r="Q210">
        <f t="shared" si="960"/>
        <v>11123987.533796452</v>
      </c>
      <c r="R210">
        <f t="shared" si="961"/>
        <v>603103422.62332177</v>
      </c>
      <c r="S210">
        <f t="shared" si="962"/>
        <v>6031.0342262332179</v>
      </c>
      <c r="T210">
        <f t="shared" si="963"/>
        <v>6.0310342262332179</v>
      </c>
    </row>
    <row r="211" spans="1:20" x14ac:dyDescent="0.25">
      <c r="A211" s="5">
        <v>44382</v>
      </c>
      <c r="B211">
        <v>15.974</v>
      </c>
      <c r="C211">
        <v>15.975</v>
      </c>
      <c r="D211">
        <v>14.5</v>
      </c>
      <c r="E211">
        <v>15.228</v>
      </c>
      <c r="F211">
        <v>10609352.577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-1.288135593220348E-2</v>
      </c>
      <c r="Q211">
        <f t="shared" si="960"/>
        <v>-136662.84675457721</v>
      </c>
      <c r="R211">
        <f t="shared" si="961"/>
        <v>591979435.08952534</v>
      </c>
      <c r="S211">
        <f t="shared" si="962"/>
        <v>5919.794350895253</v>
      </c>
      <c r="T211">
        <f t="shared" si="963"/>
        <v>5.9197943508952529</v>
      </c>
    </row>
    <row r="212" spans="1:20" x14ac:dyDescent="0.25">
      <c r="A212" s="5">
        <v>44381</v>
      </c>
      <c r="B212">
        <v>15.523</v>
      </c>
      <c r="C212">
        <v>16.574999999999999</v>
      </c>
      <c r="D212">
        <v>15.162000000000001</v>
      </c>
      <c r="E212">
        <v>15.975</v>
      </c>
      <c r="F212">
        <v>8386779.841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0.15074309978768535</v>
      </c>
      <c r="Q212">
        <f t="shared" si="960"/>
        <v>1264249.190469211</v>
      </c>
      <c r="R212">
        <f t="shared" si="961"/>
        <v>592116097.93627989</v>
      </c>
      <c r="S212">
        <f t="shared" si="962"/>
        <v>5921.1609793627986</v>
      </c>
      <c r="T212">
        <f t="shared" si="963"/>
        <v>5.9211609793627984</v>
      </c>
    </row>
    <row r="213" spans="1:20" x14ac:dyDescent="0.25">
      <c r="A213" s="5">
        <v>44380</v>
      </c>
      <c r="B213">
        <v>15.288</v>
      </c>
      <c r="C213">
        <v>15.752000000000001</v>
      </c>
      <c r="D213">
        <v>15.019</v>
      </c>
      <c r="E213">
        <v>15.52</v>
      </c>
      <c r="F213">
        <v>7020623.727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0.36698499317871508</v>
      </c>
      <c r="Q213">
        <f t="shared" si="960"/>
        <v>2576463.5505634202</v>
      </c>
      <c r="R213">
        <f t="shared" si="961"/>
        <v>590851848.74581063</v>
      </c>
      <c r="S213">
        <f t="shared" si="962"/>
        <v>5908.5184874581064</v>
      </c>
      <c r="T213">
        <f t="shared" si="963"/>
        <v>5.9085184874581067</v>
      </c>
    </row>
    <row r="214" spans="1:20" x14ac:dyDescent="0.25">
      <c r="A214" s="5">
        <v>44379</v>
      </c>
      <c r="B214">
        <v>15.173</v>
      </c>
      <c r="C214">
        <v>15.455</v>
      </c>
      <c r="D214">
        <v>14.622</v>
      </c>
      <c r="E214">
        <v>15.289</v>
      </c>
      <c r="F214">
        <v>7898912.7439999999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0.60144057623049141</v>
      </c>
      <c r="Q214">
        <f t="shared" si="960"/>
        <v>4750726.6323457323</v>
      </c>
      <c r="R214">
        <f t="shared" si="961"/>
        <v>588275385.19524717</v>
      </c>
      <c r="S214">
        <f t="shared" si="962"/>
        <v>5882.7538519524715</v>
      </c>
      <c r="T214">
        <f t="shared" si="963"/>
        <v>5.8827538519524714</v>
      </c>
    </row>
    <row r="215" spans="1:20" x14ac:dyDescent="0.25">
      <c r="A215" s="5">
        <v>44378</v>
      </c>
      <c r="B215">
        <v>16.399999999999999</v>
      </c>
      <c r="C215">
        <v>16.411000000000001</v>
      </c>
      <c r="D215">
        <v>14.85</v>
      </c>
      <c r="E215">
        <v>15.173999999999999</v>
      </c>
      <c r="F215">
        <v>10239264.118000001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-0.58488148622677838</v>
      </c>
      <c r="Q215">
        <f t="shared" si="960"/>
        <v>-5988756.0152043635</v>
      </c>
      <c r="R215">
        <f t="shared" si="961"/>
        <v>583524658.5629015</v>
      </c>
      <c r="S215">
        <f t="shared" si="962"/>
        <v>5835.2465856290146</v>
      </c>
      <c r="T215">
        <f t="shared" si="963"/>
        <v>5.8352465856290143</v>
      </c>
    </row>
    <row r="216" spans="1:20" x14ac:dyDescent="0.25">
      <c r="A216" s="5">
        <v>44377</v>
      </c>
      <c r="B216">
        <v>16.305</v>
      </c>
      <c r="C216">
        <v>16.628</v>
      </c>
      <c r="D216">
        <v>15.086</v>
      </c>
      <c r="E216">
        <v>16.402000000000001</v>
      </c>
      <c r="F216">
        <v>13522533.232000001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0.70687418936446289</v>
      </c>
      <c r="Q216">
        <f t="shared" si="960"/>
        <v>9558729.7165240105</v>
      </c>
      <c r="R216">
        <f t="shared" si="961"/>
        <v>589513414.57810581</v>
      </c>
      <c r="S216">
        <f t="shared" si="962"/>
        <v>5895.1341457810577</v>
      </c>
      <c r="T216">
        <f t="shared" si="963"/>
        <v>5.895134145781058</v>
      </c>
    </row>
    <row r="217" spans="1:20" x14ac:dyDescent="0.25">
      <c r="A217" s="5">
        <v>44376</v>
      </c>
      <c r="B217">
        <v>15.792999999999999</v>
      </c>
      <c r="C217">
        <v>17.029</v>
      </c>
      <c r="D217">
        <v>15.714</v>
      </c>
      <c r="E217">
        <v>16.3</v>
      </c>
      <c r="F217">
        <v>15069027.290999999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-0.10874524714828818</v>
      </c>
      <c r="Q217">
        <f t="shared" si="960"/>
        <v>-1638685.0970440945</v>
      </c>
      <c r="R217">
        <f t="shared" si="961"/>
        <v>579954684.8615818</v>
      </c>
      <c r="S217">
        <f t="shared" si="962"/>
        <v>5799.5468486158179</v>
      </c>
      <c r="T217">
        <f t="shared" si="963"/>
        <v>5.7995468486158179</v>
      </c>
    </row>
    <row r="218" spans="1:20" x14ac:dyDescent="0.25">
      <c r="A218" s="5">
        <v>44375</v>
      </c>
      <c r="B218">
        <v>15.007999999999999</v>
      </c>
      <c r="C218">
        <v>16.026</v>
      </c>
      <c r="D218">
        <v>14.584</v>
      </c>
      <c r="E218">
        <v>15.794</v>
      </c>
      <c r="F218">
        <v>12407568.948000001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0.67822468793342683</v>
      </c>
      <c r="Q218">
        <f t="shared" si="960"/>
        <v>8415119.5777697768</v>
      </c>
      <c r="R218">
        <f t="shared" si="961"/>
        <v>581593369.95862591</v>
      </c>
      <c r="S218">
        <f t="shared" si="962"/>
        <v>5815.9336995862595</v>
      </c>
      <c r="T218">
        <f t="shared" si="963"/>
        <v>5.8159336995862594</v>
      </c>
    </row>
    <row r="219" spans="1:20" x14ac:dyDescent="0.25">
      <c r="A219" s="5">
        <v>44374</v>
      </c>
      <c r="B219">
        <v>14.507</v>
      </c>
      <c r="C219">
        <v>15.026999999999999</v>
      </c>
      <c r="D219">
        <v>14.03</v>
      </c>
      <c r="E219">
        <v>15.01</v>
      </c>
      <c r="F219">
        <v>10035136.207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0.96589769307923878</v>
      </c>
      <c r="Q219">
        <f t="shared" si="960"/>
        <v>9692914.9120772425</v>
      </c>
      <c r="R219">
        <f t="shared" si="961"/>
        <v>573178250.38085616</v>
      </c>
      <c r="S219">
        <f t="shared" si="962"/>
        <v>5731.7825038085612</v>
      </c>
      <c r="T219">
        <f t="shared" si="963"/>
        <v>5.731782503808561</v>
      </c>
    </row>
    <row r="220" spans="1:20" x14ac:dyDescent="0.25">
      <c r="A220" s="5">
        <v>44373</v>
      </c>
      <c r="B220">
        <v>14.423999999999999</v>
      </c>
      <c r="C220">
        <v>14.981</v>
      </c>
      <c r="D220">
        <v>13.616</v>
      </c>
      <c r="E220">
        <v>14.510999999999999</v>
      </c>
      <c r="F220">
        <v>13921587.238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0.31135531135531053</v>
      </c>
      <c r="Q220">
        <f t="shared" si="960"/>
        <v>4334560.1290476071</v>
      </c>
      <c r="R220">
        <f t="shared" si="961"/>
        <v>563485335.46877897</v>
      </c>
      <c r="S220">
        <f t="shared" si="962"/>
        <v>5634.8533546877898</v>
      </c>
      <c r="T220">
        <f t="shared" si="963"/>
        <v>5.6348533546877899</v>
      </c>
    </row>
    <row r="221" spans="1:20" x14ac:dyDescent="0.25">
      <c r="A221" s="5">
        <v>44372</v>
      </c>
      <c r="B221">
        <v>16.224</v>
      </c>
      <c r="C221">
        <v>16.742000000000001</v>
      </c>
      <c r="D221">
        <v>14.414</v>
      </c>
      <c r="E221">
        <v>14.422000000000001</v>
      </c>
      <c r="F221">
        <v>15832639.427999999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-0.99312714776632227</v>
      </c>
      <c r="Q221">
        <f t="shared" si="960"/>
        <v>-15723824.036742255</v>
      </c>
      <c r="R221">
        <f t="shared" si="961"/>
        <v>559150775.33973134</v>
      </c>
      <c r="S221">
        <f t="shared" si="962"/>
        <v>5591.5077533973135</v>
      </c>
      <c r="T221">
        <f t="shared" si="963"/>
        <v>5.5915077533973134</v>
      </c>
    </row>
    <row r="222" spans="1:20" x14ac:dyDescent="0.25">
      <c r="A222" s="5">
        <v>44371</v>
      </c>
      <c r="B222">
        <v>15.794</v>
      </c>
      <c r="C222">
        <v>16.609000000000002</v>
      </c>
      <c r="D222">
        <v>14.724</v>
      </c>
      <c r="E222">
        <v>16.222999999999999</v>
      </c>
      <c r="F222">
        <v>14150471.664999999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0.59045092838196023</v>
      </c>
      <c r="Q222">
        <f t="shared" si="960"/>
        <v>8355159.1316418722</v>
      </c>
      <c r="R222">
        <f t="shared" si="961"/>
        <v>574874599.37647355</v>
      </c>
      <c r="S222">
        <f t="shared" si="962"/>
        <v>5748.7459937647354</v>
      </c>
      <c r="T222">
        <f t="shared" si="963"/>
        <v>5.7487459937647358</v>
      </c>
    </row>
    <row r="223" spans="1:20" x14ac:dyDescent="0.25">
      <c r="A223" s="5">
        <v>44370</v>
      </c>
      <c r="B223">
        <v>14.683999999999999</v>
      </c>
      <c r="C223">
        <v>16.8</v>
      </c>
      <c r="D223">
        <v>13.962999999999999</v>
      </c>
      <c r="E223">
        <v>15.792</v>
      </c>
      <c r="F223">
        <v>24268090.267999999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0.28939020091646078</v>
      </c>
      <c r="Q223">
        <f t="shared" si="960"/>
        <v>7022947.5185153261</v>
      </c>
      <c r="R223">
        <f t="shared" si="961"/>
        <v>566519440.24483168</v>
      </c>
      <c r="S223">
        <f t="shared" si="962"/>
        <v>5665.1944024483164</v>
      </c>
      <c r="T223">
        <f t="shared" si="963"/>
        <v>5.6651944024483161</v>
      </c>
    </row>
    <row r="224" spans="1:20" x14ac:dyDescent="0.25">
      <c r="A224" s="5">
        <v>44369</v>
      </c>
      <c r="B224">
        <v>15.711</v>
      </c>
      <c r="C224">
        <v>16.936</v>
      </c>
      <c r="D224">
        <v>13</v>
      </c>
      <c r="E224">
        <v>14.688000000000001</v>
      </c>
      <c r="F224">
        <v>42443370.027999997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-0.14227642276422731</v>
      </c>
      <c r="Q224">
        <f t="shared" si="960"/>
        <v>-6038690.8576422613</v>
      </c>
      <c r="R224">
        <f t="shared" si="961"/>
        <v>559496492.72631633</v>
      </c>
      <c r="S224">
        <f t="shared" si="962"/>
        <v>5594.9649272631632</v>
      </c>
      <c r="T224">
        <f t="shared" si="963"/>
        <v>5.5949649272631632</v>
      </c>
    </row>
    <row r="225" spans="1:20" x14ac:dyDescent="0.25">
      <c r="A225" s="5">
        <v>44368</v>
      </c>
      <c r="B225">
        <v>20.616</v>
      </c>
      <c r="C225">
        <v>20.794</v>
      </c>
      <c r="D225">
        <v>15.35</v>
      </c>
      <c r="E225">
        <v>15.707000000000001</v>
      </c>
      <c r="F225">
        <v>27185128.197000001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-0.86884643644379089</v>
      </c>
      <c r="Q225">
        <f t="shared" si="960"/>
        <v>-23619701.75823107</v>
      </c>
      <c r="R225">
        <f t="shared" si="961"/>
        <v>565535183.58395863</v>
      </c>
      <c r="S225">
        <f t="shared" si="962"/>
        <v>5655.3518358395859</v>
      </c>
      <c r="T225">
        <f t="shared" si="963"/>
        <v>5.6553518358395856</v>
      </c>
    </row>
    <row r="226" spans="1:20" x14ac:dyDescent="0.25">
      <c r="A226" s="5">
        <v>44367</v>
      </c>
      <c r="B226">
        <v>20.221</v>
      </c>
      <c r="C226">
        <v>21</v>
      </c>
      <c r="D226">
        <v>18.870999999999999</v>
      </c>
      <c r="E226">
        <v>20.617000000000001</v>
      </c>
      <c r="F226">
        <v>11045346.054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0.64020666979802832</v>
      </c>
      <c r="Q226">
        <f t="shared" si="960"/>
        <v>7071304.2139981324</v>
      </c>
      <c r="R226">
        <f t="shared" si="961"/>
        <v>589154885.34218967</v>
      </c>
      <c r="S226">
        <f t="shared" si="962"/>
        <v>5891.5488534218966</v>
      </c>
      <c r="T226">
        <f t="shared" si="963"/>
        <v>5.8915488534218969</v>
      </c>
    </row>
    <row r="227" spans="1:20" x14ac:dyDescent="0.25">
      <c r="A227" s="5">
        <v>44366</v>
      </c>
      <c r="B227">
        <v>21.431999999999999</v>
      </c>
      <c r="C227">
        <v>21.632000000000001</v>
      </c>
      <c r="D227">
        <v>20.215</v>
      </c>
      <c r="E227">
        <v>20.222000000000001</v>
      </c>
      <c r="F227">
        <v>7447145.3880000003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-0.99011997177134592</v>
      </c>
      <c r="Q227">
        <f t="shared" si="960"/>
        <v>-7373567.3813436693</v>
      </c>
      <c r="R227">
        <f t="shared" si="961"/>
        <v>582083581.12819159</v>
      </c>
      <c r="S227">
        <f t="shared" si="962"/>
        <v>5820.835811281916</v>
      </c>
      <c r="T227">
        <f t="shared" si="963"/>
        <v>5.8208358112819161</v>
      </c>
    </row>
    <row r="228" spans="1:20" x14ac:dyDescent="0.25">
      <c r="A228" s="5">
        <v>44365</v>
      </c>
      <c r="B228">
        <v>22.536000000000001</v>
      </c>
      <c r="C228">
        <v>22.565999999999999</v>
      </c>
      <c r="D228">
        <v>20.204999999999998</v>
      </c>
      <c r="E228">
        <v>21.431999999999999</v>
      </c>
      <c r="F228">
        <v>10556068.528000001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3.9390088945362112E-2</v>
      </c>
      <c r="Q228">
        <f t="shared" si="960"/>
        <v>415804.47823125776</v>
      </c>
      <c r="R228">
        <f t="shared" si="961"/>
        <v>589457148.50953531</v>
      </c>
      <c r="S228">
        <f t="shared" si="962"/>
        <v>5894.5714850953527</v>
      </c>
      <c r="T228">
        <f t="shared" si="963"/>
        <v>5.8945714850953523</v>
      </c>
    </row>
    <row r="229" spans="1:20" x14ac:dyDescent="0.25">
      <c r="A229" s="5">
        <v>44364</v>
      </c>
      <c r="B229">
        <v>23.027999999999999</v>
      </c>
      <c r="C229">
        <v>24</v>
      </c>
      <c r="D229">
        <v>22</v>
      </c>
      <c r="E229">
        <v>22.533000000000001</v>
      </c>
      <c r="F229">
        <v>10290433.237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-0.46699999999999875</v>
      </c>
      <c r="Q229">
        <f t="shared" si="960"/>
        <v>-4805632.3216789868</v>
      </c>
      <c r="R229">
        <f t="shared" si="961"/>
        <v>589041344.031304</v>
      </c>
      <c r="S229">
        <f t="shared" si="962"/>
        <v>5890.4134403130402</v>
      </c>
      <c r="T229">
        <f t="shared" si="963"/>
        <v>5.8904134403130399</v>
      </c>
    </row>
    <row r="230" spans="1:20" x14ac:dyDescent="0.25">
      <c r="A230" s="5">
        <v>44363</v>
      </c>
      <c r="B230">
        <v>23.942</v>
      </c>
      <c r="C230">
        <v>24.584</v>
      </c>
      <c r="D230">
        <v>22.491</v>
      </c>
      <c r="E230">
        <v>23.033000000000001</v>
      </c>
      <c r="F230">
        <v>13836266.103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-0.4820831342570458</v>
      </c>
      <c r="Q230">
        <f t="shared" si="960"/>
        <v>-6670230.5293487608</v>
      </c>
      <c r="R230">
        <f t="shared" si="961"/>
        <v>593846976.352983</v>
      </c>
      <c r="S230">
        <f t="shared" si="962"/>
        <v>5938.4697635298298</v>
      </c>
      <c r="T230">
        <f t="shared" si="963"/>
        <v>5.93846976352983</v>
      </c>
    </row>
    <row r="231" spans="1:20" x14ac:dyDescent="0.25">
      <c r="A231" s="5">
        <v>44362</v>
      </c>
      <c r="B231">
        <v>25.858000000000001</v>
      </c>
      <c r="C231">
        <v>26.009</v>
      </c>
      <c r="D231">
        <v>23.513999999999999</v>
      </c>
      <c r="E231">
        <v>23.942</v>
      </c>
      <c r="F231">
        <v>17728382.399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-0.65691382765531015</v>
      </c>
      <c r="Q231">
        <f t="shared" si="960"/>
        <v>-11646019.539864119</v>
      </c>
      <c r="R231">
        <f t="shared" si="961"/>
        <v>600517206.88233173</v>
      </c>
      <c r="S231">
        <f t="shared" si="962"/>
        <v>6005.1720688233172</v>
      </c>
      <c r="T231">
        <f t="shared" si="963"/>
        <v>6.0051720688233168</v>
      </c>
    </row>
    <row r="232" spans="1:20" x14ac:dyDescent="0.25">
      <c r="A232" s="5">
        <v>44361</v>
      </c>
      <c r="B232">
        <v>22.041</v>
      </c>
      <c r="C232">
        <v>26.026</v>
      </c>
      <c r="D232">
        <v>21.233000000000001</v>
      </c>
      <c r="E232">
        <v>25.858000000000001</v>
      </c>
      <c r="F232">
        <v>23122012.59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0.9298977675777178</v>
      </c>
      <c r="Q232">
        <f t="shared" si="960"/>
        <v>21501107.889344886</v>
      </c>
      <c r="R232">
        <f t="shared" si="961"/>
        <v>612163226.42219579</v>
      </c>
      <c r="S232">
        <f t="shared" si="962"/>
        <v>6121.6322642219575</v>
      </c>
      <c r="T232">
        <f t="shared" si="963"/>
        <v>6.1216322642219572</v>
      </c>
    </row>
    <row r="233" spans="1:20" x14ac:dyDescent="0.25">
      <c r="A233" s="5">
        <v>44360</v>
      </c>
      <c r="B233">
        <v>20.742000000000001</v>
      </c>
      <c r="C233">
        <v>22.411999999999999</v>
      </c>
      <c r="D233">
        <v>19.928000000000001</v>
      </c>
      <c r="E233">
        <v>22.04</v>
      </c>
      <c r="F233">
        <v>9398764.5969999991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0.7004830917874395</v>
      </c>
      <c r="Q233">
        <f t="shared" si="960"/>
        <v>6583675.6838888871</v>
      </c>
      <c r="R233">
        <f t="shared" si="961"/>
        <v>590662118.53285086</v>
      </c>
      <c r="S233">
        <f t="shared" si="962"/>
        <v>5906.6211853285085</v>
      </c>
      <c r="T233">
        <f t="shared" si="963"/>
        <v>5.9066211853285084</v>
      </c>
    </row>
    <row r="234" spans="1:20" x14ac:dyDescent="0.25">
      <c r="A234" s="5">
        <v>44359</v>
      </c>
      <c r="B234">
        <v>20.945</v>
      </c>
      <c r="C234">
        <v>21.262</v>
      </c>
      <c r="D234">
        <v>19.5</v>
      </c>
      <c r="E234">
        <v>20.742000000000001</v>
      </c>
      <c r="F234">
        <v>12547282.802999999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0.40976163450624353</v>
      </c>
      <c r="Q234">
        <f t="shared" si="960"/>
        <v>5141395.1099693608</v>
      </c>
      <c r="R234">
        <f t="shared" si="961"/>
        <v>584078442.84896195</v>
      </c>
      <c r="S234">
        <f t="shared" si="962"/>
        <v>5840.7844284896191</v>
      </c>
      <c r="T234">
        <f t="shared" si="963"/>
        <v>5.8407844284896191</v>
      </c>
    </row>
    <row r="235" spans="1:20" x14ac:dyDescent="0.25">
      <c r="A235" s="5">
        <v>44358</v>
      </c>
      <c r="B235">
        <v>22.68</v>
      </c>
      <c r="C235">
        <v>23.206</v>
      </c>
      <c r="D235">
        <v>20.486999999999998</v>
      </c>
      <c r="E235">
        <v>20.95</v>
      </c>
      <c r="F235">
        <v>12851416.711999999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-0.65943361529974198</v>
      </c>
      <c r="Q235">
        <f t="shared" si="960"/>
        <v>-8474656.1841176823</v>
      </c>
      <c r="R235">
        <f t="shared" si="961"/>
        <v>578937047.73899257</v>
      </c>
      <c r="S235">
        <f t="shared" si="962"/>
        <v>5789.3704773899253</v>
      </c>
      <c r="T235">
        <f t="shared" si="963"/>
        <v>5.7893704773899257</v>
      </c>
    </row>
    <row r="236" spans="1:20" x14ac:dyDescent="0.25">
      <c r="A236" s="5">
        <v>44357</v>
      </c>
      <c r="B236">
        <v>23.216000000000001</v>
      </c>
      <c r="C236">
        <v>24.6</v>
      </c>
      <c r="D236">
        <v>22.042000000000002</v>
      </c>
      <c r="E236">
        <v>22.683</v>
      </c>
      <c r="F236">
        <v>18698941.752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-0.49882720875684261</v>
      </c>
      <c r="Q236">
        <f t="shared" si="960"/>
        <v>-9327540.9208569452</v>
      </c>
      <c r="R236">
        <f t="shared" si="961"/>
        <v>587411703.92311025</v>
      </c>
      <c r="S236">
        <f t="shared" si="962"/>
        <v>5874.1170392311024</v>
      </c>
      <c r="T236">
        <f t="shared" si="963"/>
        <v>5.874117039231102</v>
      </c>
    </row>
    <row r="237" spans="1:20" x14ac:dyDescent="0.25">
      <c r="A237" s="5">
        <v>44356</v>
      </c>
      <c r="B237">
        <v>21.643000000000001</v>
      </c>
      <c r="C237">
        <v>23.335000000000001</v>
      </c>
      <c r="D237">
        <v>20.361000000000001</v>
      </c>
      <c r="E237">
        <v>23.213999999999999</v>
      </c>
      <c r="F237">
        <v>17895882.482999999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0.91862811028917135</v>
      </c>
      <c r="Q237">
        <f t="shared" si="960"/>
        <v>16439660.707315372</v>
      </c>
      <c r="R237">
        <f t="shared" si="961"/>
        <v>596739244.8439672</v>
      </c>
      <c r="S237">
        <f t="shared" si="962"/>
        <v>5967.3924484396721</v>
      </c>
      <c r="T237">
        <f t="shared" si="963"/>
        <v>5.9673924484396723</v>
      </c>
    </row>
    <row r="238" spans="1:20" x14ac:dyDescent="0.25">
      <c r="A238" s="5">
        <v>44355</v>
      </c>
      <c r="B238">
        <v>21.686</v>
      </c>
      <c r="C238">
        <v>22.291</v>
      </c>
      <c r="D238">
        <v>19.600000000000001</v>
      </c>
      <c r="E238">
        <v>21.65</v>
      </c>
      <c r="F238">
        <v>22854699.756000001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0.52359717577108733</v>
      </c>
      <c r="Q238">
        <f t="shared" si="960"/>
        <v>11966656.24533776</v>
      </c>
      <c r="R238">
        <f t="shared" si="961"/>
        <v>580299584.13665187</v>
      </c>
      <c r="S238">
        <f t="shared" si="962"/>
        <v>5802.995841366519</v>
      </c>
      <c r="T238">
        <f t="shared" si="963"/>
        <v>5.8029958413665188</v>
      </c>
    </row>
    <row r="239" spans="1:20" x14ac:dyDescent="0.25">
      <c r="A239" s="5">
        <v>44354</v>
      </c>
      <c r="B239">
        <v>24.189</v>
      </c>
      <c r="C239">
        <v>25.283000000000001</v>
      </c>
      <c r="D239">
        <v>21.3</v>
      </c>
      <c r="E239">
        <v>21.686</v>
      </c>
      <c r="F239">
        <v>16728777.960000001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-0.80617624905849905</v>
      </c>
      <c r="Q239">
        <f t="shared" si="960"/>
        <v>-13486343.467125291</v>
      </c>
      <c r="R239">
        <f t="shared" si="961"/>
        <v>568332927.89131415</v>
      </c>
      <c r="S239">
        <f t="shared" si="962"/>
        <v>5683.3292789131419</v>
      </c>
      <c r="T239">
        <f t="shared" si="963"/>
        <v>5.683329278913142</v>
      </c>
    </row>
    <row r="240" spans="1:20" x14ac:dyDescent="0.25">
      <c r="A240" s="5">
        <v>44353</v>
      </c>
      <c r="B240">
        <v>23.771999999999998</v>
      </c>
      <c r="C240">
        <v>24.501000000000001</v>
      </c>
      <c r="D240">
        <v>23.433</v>
      </c>
      <c r="E240">
        <v>24.184000000000001</v>
      </c>
      <c r="F240">
        <v>8542620.3709999993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0.40636704119850231</v>
      </c>
      <c r="Q240">
        <f t="shared" si="960"/>
        <v>3471439.3642453216</v>
      </c>
      <c r="R240">
        <f t="shared" si="961"/>
        <v>581819271.35843945</v>
      </c>
      <c r="S240">
        <f t="shared" si="962"/>
        <v>5818.1927135843944</v>
      </c>
      <c r="T240">
        <f t="shared" si="963"/>
        <v>5.818192713584394</v>
      </c>
    </row>
    <row r="241" spans="1:20" x14ac:dyDescent="0.25">
      <c r="A241" s="5">
        <v>44352</v>
      </c>
      <c r="B241">
        <v>24.991</v>
      </c>
      <c r="C241">
        <v>26.4</v>
      </c>
      <c r="D241">
        <v>22.933</v>
      </c>
      <c r="E241">
        <v>23.771000000000001</v>
      </c>
      <c r="F241">
        <v>15159286.356000001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-0.51658494375540742</v>
      </c>
      <c r="Q241">
        <f t="shared" si="960"/>
        <v>-7831059.0895863753</v>
      </c>
      <c r="R241">
        <f t="shared" si="961"/>
        <v>578347831.99419415</v>
      </c>
      <c r="S241">
        <f t="shared" si="962"/>
        <v>5783.4783199419417</v>
      </c>
      <c r="T241">
        <f t="shared" si="963"/>
        <v>5.7834783199419419</v>
      </c>
    </row>
    <row r="242" spans="1:20" x14ac:dyDescent="0.25">
      <c r="A242" s="5">
        <v>44351</v>
      </c>
      <c r="B242">
        <v>27.004999999999999</v>
      </c>
      <c r="C242">
        <v>27.018999999999998</v>
      </c>
      <c r="D242">
        <v>23.605</v>
      </c>
      <c r="E242">
        <v>24.988</v>
      </c>
      <c r="F242">
        <v>23200131.881000001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-0.18980667838312831</v>
      </c>
      <c r="Q242">
        <f t="shared" si="960"/>
        <v>-4403539.9703831291</v>
      </c>
      <c r="R242">
        <f t="shared" si="961"/>
        <v>586178891.08378053</v>
      </c>
      <c r="S242">
        <f t="shared" si="962"/>
        <v>5861.7889108378049</v>
      </c>
      <c r="T242">
        <f t="shared" si="963"/>
        <v>5.861788910837805</v>
      </c>
    </row>
    <row r="243" spans="1:20" x14ac:dyDescent="0.25">
      <c r="A243" s="5">
        <v>44350</v>
      </c>
      <c r="B243">
        <v>25.913</v>
      </c>
      <c r="C243">
        <v>28.6</v>
      </c>
      <c r="D243">
        <v>25.672999999999998</v>
      </c>
      <c r="E243">
        <v>27.004000000000001</v>
      </c>
      <c r="F243">
        <v>22096623.219000001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-9.0536385377518527E-2</v>
      </c>
      <c r="Q243">
        <f t="shared" si="960"/>
        <v>-2000548.3952972081</v>
      </c>
      <c r="R243">
        <f t="shared" si="961"/>
        <v>590582431.05416369</v>
      </c>
      <c r="S243">
        <f t="shared" si="962"/>
        <v>5905.8243105416368</v>
      </c>
      <c r="T243">
        <f t="shared" si="963"/>
        <v>5.9058243105416368</v>
      </c>
    </row>
    <row r="244" spans="1:20" x14ac:dyDescent="0.25">
      <c r="A244" s="5">
        <v>44349</v>
      </c>
      <c r="B244">
        <v>22.84</v>
      </c>
      <c r="C244">
        <v>26.87</v>
      </c>
      <c r="D244">
        <v>22.649000000000001</v>
      </c>
      <c r="E244">
        <v>25.916</v>
      </c>
      <c r="F244">
        <v>24489800.102000002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0.54797441364605515</v>
      </c>
      <c r="Q244">
        <f t="shared" si="960"/>
        <v>13419783.851202553</v>
      </c>
      <c r="R244">
        <f t="shared" si="961"/>
        <v>592582979.44946086</v>
      </c>
      <c r="S244">
        <f t="shared" si="962"/>
        <v>5925.8297944946089</v>
      </c>
      <c r="T244">
        <f t="shared" si="963"/>
        <v>5.925829794494609</v>
      </c>
    </row>
    <row r="245" spans="1:20" x14ac:dyDescent="0.25">
      <c r="A245" s="5">
        <v>44348</v>
      </c>
      <c r="B245">
        <v>23.273</v>
      </c>
      <c r="C245">
        <v>23.539000000000001</v>
      </c>
      <c r="D245">
        <v>21.6</v>
      </c>
      <c r="E245">
        <v>22.84</v>
      </c>
      <c r="F245">
        <v>18793956.109999999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0.2790097988653929</v>
      </c>
      <c r="Q245">
        <f t="shared" si="960"/>
        <v>5243697.914136122</v>
      </c>
      <c r="R245">
        <f t="shared" si="961"/>
        <v>579163195.59825826</v>
      </c>
      <c r="S245">
        <f t="shared" si="962"/>
        <v>5791.6319559825824</v>
      </c>
      <c r="T245">
        <f t="shared" si="963"/>
        <v>5.7916319559825826</v>
      </c>
    </row>
    <row r="246" spans="1:20" x14ac:dyDescent="0.25">
      <c r="A246" s="5">
        <v>44347</v>
      </c>
      <c r="B246">
        <v>20.46</v>
      </c>
      <c r="C246">
        <v>23.45</v>
      </c>
      <c r="D246">
        <v>19.059999999999999</v>
      </c>
      <c r="E246">
        <v>23.263999999999999</v>
      </c>
      <c r="F246">
        <v>21593146.82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0.91526195899772211</v>
      </c>
      <c r="Q246">
        <f t="shared" si="960"/>
        <v>19763385.859398633</v>
      </c>
      <c r="R246">
        <f t="shared" si="961"/>
        <v>573919497.68412209</v>
      </c>
      <c r="S246">
        <f t="shared" si="962"/>
        <v>5739.1949768412205</v>
      </c>
      <c r="T246">
        <f t="shared" si="963"/>
        <v>5.7391949768412207</v>
      </c>
    </row>
    <row r="247" spans="1:20" x14ac:dyDescent="0.25">
      <c r="A247" s="5">
        <v>44346</v>
      </c>
      <c r="B247">
        <v>19.881</v>
      </c>
      <c r="C247">
        <v>21.356000000000002</v>
      </c>
      <c r="D247">
        <v>18.416</v>
      </c>
      <c r="E247">
        <v>20.465</v>
      </c>
      <c r="F247">
        <v>17307772.375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0.39387755102040722</v>
      </c>
      <c r="Q247">
        <f t="shared" si="960"/>
        <v>6817142.9966836572</v>
      </c>
      <c r="R247">
        <f t="shared" si="961"/>
        <v>554156111.82472348</v>
      </c>
      <c r="S247">
        <f t="shared" si="962"/>
        <v>5541.5611182472348</v>
      </c>
      <c r="T247">
        <f t="shared" si="963"/>
        <v>5.5415611182472349</v>
      </c>
    </row>
    <row r="248" spans="1:20" x14ac:dyDescent="0.25">
      <c r="A248" s="5">
        <v>44345</v>
      </c>
      <c r="B248">
        <v>21.349</v>
      </c>
      <c r="C248">
        <v>22.318999999999999</v>
      </c>
      <c r="D248">
        <v>18.779</v>
      </c>
      <c r="E248">
        <v>19.867999999999999</v>
      </c>
      <c r="F248">
        <v>20620470.346999999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-0.384745762711865</v>
      </c>
      <c r="Q248">
        <f t="shared" si="960"/>
        <v>-7933638.5911339102</v>
      </c>
      <c r="R248">
        <f t="shared" si="961"/>
        <v>547338968.82803977</v>
      </c>
      <c r="S248">
        <f t="shared" si="962"/>
        <v>5473.3896882803974</v>
      </c>
      <c r="T248">
        <f t="shared" si="963"/>
        <v>5.4733896882803972</v>
      </c>
    </row>
    <row r="249" spans="1:20" x14ac:dyDescent="0.25">
      <c r="A249" s="5">
        <v>44344</v>
      </c>
      <c r="B249">
        <v>23.986999999999998</v>
      </c>
      <c r="C249">
        <v>26.22</v>
      </c>
      <c r="D249">
        <v>20</v>
      </c>
      <c r="E249">
        <v>21.35</v>
      </c>
      <c r="F249">
        <v>40752090.288000003</v>
      </c>
      <c r="G249">
        <v>0</v>
      </c>
      <c r="L249" t="s">
        <v>7</v>
      </c>
      <c r="M249" t="s">
        <v>8</v>
      </c>
      <c r="N249" t="s">
        <v>8</v>
      </c>
      <c r="P249">
        <f t="shared" si="959"/>
        <v>-0.56591639871382582</v>
      </c>
      <c r="Q249">
        <f t="shared" si="960"/>
        <v>-23062276.175845638</v>
      </c>
      <c r="R249">
        <f t="shared" si="961"/>
        <v>555272607.41917372</v>
      </c>
      <c r="S249">
        <f t="shared" si="962"/>
        <v>5552.7260741917371</v>
      </c>
      <c r="T249">
        <f t="shared" si="963"/>
        <v>5.552726074191737</v>
      </c>
    </row>
    <row r="250" spans="1:20" x14ac:dyDescent="0.25">
      <c r="A250" s="5">
        <v>44343</v>
      </c>
      <c r="B250">
        <v>24.529</v>
      </c>
      <c r="C250">
        <v>24.946000000000002</v>
      </c>
      <c r="D250">
        <v>21.747</v>
      </c>
      <c r="E250">
        <v>23.981999999999999</v>
      </c>
      <c r="F250">
        <v>22582359.517000001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0.3973116598937157</v>
      </c>
      <c r="Q250">
        <f t="shared" si="960"/>
        <v>8972234.744015919</v>
      </c>
      <c r="R250">
        <f t="shared" si="961"/>
        <v>578334883.59501934</v>
      </c>
      <c r="S250">
        <f t="shared" si="962"/>
        <v>5783.3488359501935</v>
      </c>
      <c r="T250">
        <f t="shared" si="963"/>
        <v>5.7833488359501937</v>
      </c>
    </row>
    <row r="251" spans="1:20" x14ac:dyDescent="0.25">
      <c r="A251" s="5">
        <v>44342</v>
      </c>
      <c r="B251">
        <v>22.149000000000001</v>
      </c>
      <c r="C251">
        <v>24.771000000000001</v>
      </c>
      <c r="D251">
        <v>21.603000000000002</v>
      </c>
      <c r="E251">
        <v>24.527999999999999</v>
      </c>
      <c r="F251">
        <v>26085513.265000001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0.84659090909090773</v>
      </c>
      <c r="Q251">
        <f t="shared" si="960"/>
        <v>22083758.389119282</v>
      </c>
      <c r="R251">
        <f t="shared" si="961"/>
        <v>569362648.85100341</v>
      </c>
      <c r="S251">
        <f t="shared" si="962"/>
        <v>5693.6264885100345</v>
      </c>
      <c r="T251">
        <f t="shared" si="963"/>
        <v>5.6936264885100343</v>
      </c>
    </row>
    <row r="252" spans="1:20" x14ac:dyDescent="0.25">
      <c r="A252" s="5">
        <v>44341</v>
      </c>
      <c r="B252">
        <v>23.266999999999999</v>
      </c>
      <c r="C252">
        <v>24.216999999999999</v>
      </c>
      <c r="D252">
        <v>19.649999999999999</v>
      </c>
      <c r="E252">
        <v>22.16</v>
      </c>
      <c r="F252">
        <v>34789720.031999998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9.9189840157653364E-2</v>
      </c>
      <c r="Q252">
        <f t="shared" si="960"/>
        <v>3450786.7691035909</v>
      </c>
      <c r="R252">
        <f t="shared" si="961"/>
        <v>547278890.46188414</v>
      </c>
      <c r="S252">
        <f t="shared" si="962"/>
        <v>5472.7889046188411</v>
      </c>
      <c r="T252">
        <f t="shared" si="963"/>
        <v>5.4727889046188407</v>
      </c>
    </row>
    <row r="253" spans="1:20" x14ac:dyDescent="0.25">
      <c r="A253" s="5">
        <v>44340</v>
      </c>
      <c r="B253">
        <v>17.913</v>
      </c>
      <c r="C253">
        <v>23.481999999999999</v>
      </c>
      <c r="D253">
        <v>17.097999999999999</v>
      </c>
      <c r="E253">
        <v>23.260999999999999</v>
      </c>
      <c r="F253">
        <v>43581078.152000003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0.93076441102756891</v>
      </c>
      <c r="Q253">
        <f t="shared" si="960"/>
        <v>40563716.538092732</v>
      </c>
      <c r="R253">
        <f t="shared" si="961"/>
        <v>543828103.69278049</v>
      </c>
      <c r="S253">
        <f t="shared" si="962"/>
        <v>5438.281036927805</v>
      </c>
      <c r="T253">
        <f t="shared" si="963"/>
        <v>5.4382810369278047</v>
      </c>
    </row>
    <row r="254" spans="1:20" x14ac:dyDescent="0.25">
      <c r="A254" s="5">
        <v>44339</v>
      </c>
      <c r="B254">
        <v>22.05</v>
      </c>
      <c r="C254">
        <v>23.465</v>
      </c>
      <c r="D254">
        <v>13.638</v>
      </c>
      <c r="E254">
        <v>17.911999999999999</v>
      </c>
      <c r="F254">
        <v>65071228.803000003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-0.13015162307927156</v>
      </c>
      <c r="Q254">
        <f t="shared" si="960"/>
        <v>-8469126.0444730949</v>
      </c>
      <c r="R254">
        <f t="shared" si="961"/>
        <v>503264387.1546877</v>
      </c>
      <c r="S254">
        <f t="shared" si="962"/>
        <v>5032.6438715468767</v>
      </c>
      <c r="T254">
        <f t="shared" si="963"/>
        <v>5.0326438715468766</v>
      </c>
    </row>
    <row r="255" spans="1:20" x14ac:dyDescent="0.25">
      <c r="A255" s="5">
        <v>44338</v>
      </c>
      <c r="B255">
        <v>24.385999999999999</v>
      </c>
      <c r="C255">
        <v>24.6</v>
      </c>
      <c r="D255">
        <v>20.314</v>
      </c>
      <c r="E255">
        <v>22.056999999999999</v>
      </c>
      <c r="F255">
        <v>32371263.631000001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-0.18665422305179749</v>
      </c>
      <c r="Q255">
        <f t="shared" si="960"/>
        <v>-6042233.0622492144</v>
      </c>
      <c r="R255">
        <f t="shared" si="961"/>
        <v>511733513.19916081</v>
      </c>
      <c r="S255">
        <f t="shared" si="962"/>
        <v>5117.3351319916083</v>
      </c>
      <c r="T255">
        <f t="shared" si="963"/>
        <v>5.1173351319916085</v>
      </c>
    </row>
    <row r="256" spans="1:20" x14ac:dyDescent="0.25">
      <c r="A256" s="5">
        <v>44337</v>
      </c>
      <c r="B256">
        <v>28.943999999999999</v>
      </c>
      <c r="C256">
        <v>30.998999999999999</v>
      </c>
      <c r="D256">
        <v>20</v>
      </c>
      <c r="E256">
        <v>24.399000000000001</v>
      </c>
      <c r="F256">
        <v>49259719.832000002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-0.20010910082734767</v>
      </c>
      <c r="Q256">
        <f t="shared" si="960"/>
        <v>-9857318.2425885871</v>
      </c>
      <c r="R256">
        <f t="shared" si="961"/>
        <v>517775746.26141006</v>
      </c>
      <c r="S256">
        <f t="shared" si="962"/>
        <v>5177.7574626141004</v>
      </c>
      <c r="T256">
        <f t="shared" si="963"/>
        <v>5.1777574626141005</v>
      </c>
    </row>
    <row r="257" spans="1:20" x14ac:dyDescent="0.25">
      <c r="A257" s="5">
        <v>44336</v>
      </c>
      <c r="B257">
        <v>25.044</v>
      </c>
      <c r="C257">
        <v>31.288</v>
      </c>
      <c r="D257">
        <v>21.2</v>
      </c>
      <c r="E257">
        <v>28.957999999999998</v>
      </c>
      <c r="F257">
        <v>46079545.708999999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0.53806502775574905</v>
      </c>
      <c r="Q257">
        <f t="shared" si="960"/>
        <v>24793792.040885393</v>
      </c>
      <c r="R257">
        <f t="shared" si="961"/>
        <v>527633064.50399864</v>
      </c>
      <c r="S257">
        <f t="shared" si="962"/>
        <v>5276.3306450399859</v>
      </c>
      <c r="T257">
        <f t="shared" si="963"/>
        <v>5.2763306450399856</v>
      </c>
    </row>
    <row r="258" spans="1:20" x14ac:dyDescent="0.25">
      <c r="A258" s="5">
        <v>44335</v>
      </c>
      <c r="B258">
        <v>40.603000000000002</v>
      </c>
      <c r="C258">
        <v>41.402999999999999</v>
      </c>
      <c r="D258">
        <v>18</v>
      </c>
      <c r="E258">
        <v>25.044</v>
      </c>
      <c r="F258">
        <v>76760027.408000007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-0.39802589411613887</v>
      </c>
      <c r="Q258">
        <f t="shared" si="960"/>
        <v>-30552478.54144853</v>
      </c>
      <c r="R258">
        <f t="shared" si="961"/>
        <v>502839272.46311325</v>
      </c>
      <c r="S258">
        <f t="shared" si="962"/>
        <v>5028.3927246311323</v>
      </c>
      <c r="T258">
        <f t="shared" si="963"/>
        <v>5.0283927246311322</v>
      </c>
    </row>
    <row r="259" spans="1:20" x14ac:dyDescent="0.25">
      <c r="A259" s="5">
        <v>44334</v>
      </c>
      <c r="B259">
        <v>38.691000000000003</v>
      </c>
      <c r="C259">
        <v>42.597999999999999</v>
      </c>
      <c r="D259">
        <v>37.652999999999999</v>
      </c>
      <c r="E259">
        <v>40.594999999999999</v>
      </c>
      <c r="F259">
        <v>18784123.607000001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0.18988877654196157</v>
      </c>
      <c r="Q259">
        <f t="shared" si="960"/>
        <v>3566894.2501462083</v>
      </c>
      <c r="R259">
        <f t="shared" si="961"/>
        <v>533391751.00456178</v>
      </c>
      <c r="S259">
        <f t="shared" si="962"/>
        <v>5333.9175100456177</v>
      </c>
      <c r="T259">
        <f t="shared" si="963"/>
        <v>5.3339175100456178</v>
      </c>
    </row>
    <row r="260" spans="1:20" x14ac:dyDescent="0.25">
      <c r="A260" s="5">
        <v>44333</v>
      </c>
      <c r="B260">
        <v>42.426000000000002</v>
      </c>
      <c r="C260">
        <v>42.470999999999997</v>
      </c>
      <c r="D260">
        <v>35.1</v>
      </c>
      <c r="E260">
        <v>38.692999999999998</v>
      </c>
      <c r="F260">
        <v>22756823.567000002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-2.5098358431692089E-2</v>
      </c>
      <c r="Q260">
        <f t="shared" si="960"/>
        <v>-571158.91465134372</v>
      </c>
      <c r="R260">
        <f t="shared" si="961"/>
        <v>529824856.75441557</v>
      </c>
      <c r="S260">
        <f t="shared" si="962"/>
        <v>5298.2485675441558</v>
      </c>
      <c r="T260">
        <f t="shared" si="963"/>
        <v>5.2982485675441557</v>
      </c>
    </row>
    <row r="261" spans="1:20" x14ac:dyDescent="0.25">
      <c r="A261" s="5">
        <v>44332</v>
      </c>
      <c r="B261">
        <v>43.637999999999998</v>
      </c>
      <c r="C261">
        <v>46.722000000000001</v>
      </c>
      <c r="D261">
        <v>39.277000000000001</v>
      </c>
      <c r="E261">
        <v>42.436</v>
      </c>
      <c r="F261">
        <v>19390116.793000001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-0.15137676292814001</v>
      </c>
      <c r="Q261">
        <f t="shared" si="960"/>
        <v>-2935213.1129229078</v>
      </c>
      <c r="R261">
        <f t="shared" si="961"/>
        <v>530396015.66906691</v>
      </c>
      <c r="S261">
        <f t="shared" si="962"/>
        <v>5303.9601566906695</v>
      </c>
      <c r="T261">
        <f t="shared" si="963"/>
        <v>5.3039601566906693</v>
      </c>
    </row>
    <row r="262" spans="1:20" x14ac:dyDescent="0.25">
      <c r="A262" s="5">
        <v>44331</v>
      </c>
      <c r="B262">
        <v>47.97</v>
      </c>
      <c r="C262">
        <v>49.78</v>
      </c>
      <c r="D262">
        <v>42.722999999999999</v>
      </c>
      <c r="E262">
        <v>43.643000000000001</v>
      </c>
      <c r="F262">
        <v>29713880.386999998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-0.73926597704406927</v>
      </c>
      <c r="Q262">
        <f t="shared" ref="Q262:Q325" si="965">F262*P262</f>
        <v>-21966460.816066161</v>
      </c>
      <c r="R262">
        <f t="shared" ref="R262:R325" si="966">R263+Q262</f>
        <v>533331228.78198981</v>
      </c>
      <c r="S262">
        <f t="shared" ref="S262:S325" si="967">R262/100000</f>
        <v>5333.3122878198983</v>
      </c>
      <c r="T262">
        <f t="shared" ref="T262:T325" si="968">S262/1000</f>
        <v>5.333312287819898</v>
      </c>
    </row>
    <row r="263" spans="1:20" x14ac:dyDescent="0.25">
      <c r="A263" s="5">
        <v>44330</v>
      </c>
      <c r="B263">
        <v>39.981999999999999</v>
      </c>
      <c r="C263">
        <v>48</v>
      </c>
      <c r="D263">
        <v>39.381</v>
      </c>
      <c r="E263">
        <v>47.978999999999999</v>
      </c>
      <c r="F263">
        <v>25755875.958999999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0.99512704490080039</v>
      </c>
      <c r="Q263">
        <f t="shared" si="965"/>
        <v>25630368.731911238</v>
      </c>
      <c r="R263">
        <f t="shared" si="966"/>
        <v>555297689.59805596</v>
      </c>
      <c r="S263">
        <f t="shared" si="967"/>
        <v>5552.9768959805597</v>
      </c>
      <c r="T263">
        <f t="shared" si="968"/>
        <v>5.5529768959805601</v>
      </c>
    </row>
    <row r="264" spans="1:20" x14ac:dyDescent="0.25">
      <c r="A264" s="5">
        <v>44329</v>
      </c>
      <c r="B264">
        <v>35.128999999999998</v>
      </c>
      <c r="C264">
        <v>41.869</v>
      </c>
      <c r="D264">
        <v>33</v>
      </c>
      <c r="E264">
        <v>39.988</v>
      </c>
      <c r="F264">
        <v>32382529.916000001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0.57582591047468701</v>
      </c>
      <c r="Q264">
        <f t="shared" si="965"/>
        <v>18646699.772354491</v>
      </c>
      <c r="R264">
        <f t="shared" si="966"/>
        <v>529667320.86614478</v>
      </c>
      <c r="S264">
        <f t="shared" si="967"/>
        <v>5296.6732086614475</v>
      </c>
      <c r="T264">
        <f t="shared" si="968"/>
        <v>5.2966732086614474</v>
      </c>
    </row>
    <row r="265" spans="1:20" x14ac:dyDescent="0.25">
      <c r="A265" s="5">
        <v>44328</v>
      </c>
      <c r="B265">
        <v>38.637999999999998</v>
      </c>
      <c r="C265">
        <v>42.472000000000001</v>
      </c>
      <c r="D265">
        <v>33.74</v>
      </c>
      <c r="E265">
        <v>35.128</v>
      </c>
      <c r="F265">
        <v>19203754.059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-0.68208886852954687</v>
      </c>
      <c r="Q265">
        <f t="shared" si="965"/>
        <v>-13098666.877623003</v>
      </c>
      <c r="R265">
        <f t="shared" si="966"/>
        <v>511020621.09379029</v>
      </c>
      <c r="S265">
        <f t="shared" si="967"/>
        <v>5110.2062109379031</v>
      </c>
      <c r="T265">
        <f t="shared" si="968"/>
        <v>5.1102062109379034</v>
      </c>
    </row>
    <row r="266" spans="1:20" x14ac:dyDescent="0.25">
      <c r="A266" s="5">
        <v>44327</v>
      </c>
      <c r="B266">
        <v>36.488</v>
      </c>
      <c r="C266">
        <v>38.683</v>
      </c>
      <c r="D266">
        <v>35.529000000000003</v>
      </c>
      <c r="E266">
        <v>38.637</v>
      </c>
      <c r="F266">
        <v>10529252.620999999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0.97083069118579612</v>
      </c>
      <c r="Q266">
        <f t="shared" si="965"/>
        <v>10222121.599715285</v>
      </c>
      <c r="R266">
        <f t="shared" si="966"/>
        <v>524119287.97141331</v>
      </c>
      <c r="S266">
        <f t="shared" si="967"/>
        <v>5241.1928797141336</v>
      </c>
      <c r="T266">
        <f t="shared" si="968"/>
        <v>5.2411928797141334</v>
      </c>
    </row>
    <row r="267" spans="1:20" x14ac:dyDescent="0.25">
      <c r="A267" s="5">
        <v>44326</v>
      </c>
      <c r="B267">
        <v>40.308999999999997</v>
      </c>
      <c r="C267">
        <v>41.85</v>
      </c>
      <c r="D267">
        <v>32.058999999999997</v>
      </c>
      <c r="E267">
        <v>36.488</v>
      </c>
      <c r="F267">
        <v>15156271.812000001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-9.529159432131544E-2</v>
      </c>
      <c r="Q267">
        <f t="shared" si="965"/>
        <v>-1444265.3049326926</v>
      </c>
      <c r="R267">
        <f t="shared" si="966"/>
        <v>513897166.37169802</v>
      </c>
      <c r="S267">
        <f t="shared" si="967"/>
        <v>5138.9716637169804</v>
      </c>
      <c r="T267">
        <f t="shared" si="968"/>
        <v>5.1389716637169807</v>
      </c>
    </row>
    <row r="268" spans="1:20" x14ac:dyDescent="0.25">
      <c r="A268" s="5">
        <v>44325</v>
      </c>
      <c r="B268">
        <v>39.898000000000003</v>
      </c>
      <c r="C268">
        <v>40.558</v>
      </c>
      <c r="D268">
        <v>38.200000000000003</v>
      </c>
      <c r="E268">
        <v>40.299999999999997</v>
      </c>
      <c r="F268">
        <v>9941002.3990000002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0.78117048346055729</v>
      </c>
      <c r="Q268">
        <f t="shared" si="965"/>
        <v>7765617.6501093898</v>
      </c>
      <c r="R268">
        <f t="shared" si="966"/>
        <v>515341431.67663074</v>
      </c>
      <c r="S268">
        <f t="shared" si="967"/>
        <v>5153.4143167663069</v>
      </c>
      <c r="T268">
        <f t="shared" si="968"/>
        <v>5.1534143167663071</v>
      </c>
    </row>
    <row r="269" spans="1:20" x14ac:dyDescent="0.25">
      <c r="A269" s="5">
        <v>44324</v>
      </c>
      <c r="B269">
        <v>39.869</v>
      </c>
      <c r="C269">
        <v>40.646000000000001</v>
      </c>
      <c r="D269">
        <v>38.692999999999998</v>
      </c>
      <c r="E269">
        <v>39.899000000000001</v>
      </c>
      <c r="F269">
        <v>7174506.8760000002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0.23502304147465566</v>
      </c>
      <c r="Q269">
        <f t="shared" si="965"/>
        <v>1686174.4270783502</v>
      </c>
      <c r="R269">
        <f t="shared" si="966"/>
        <v>507575814.02652133</v>
      </c>
      <c r="S269">
        <f t="shared" si="967"/>
        <v>5075.7581402652131</v>
      </c>
      <c r="T269">
        <f t="shared" si="968"/>
        <v>5.0757581402652132</v>
      </c>
    </row>
    <row r="270" spans="1:20" x14ac:dyDescent="0.25">
      <c r="A270" s="5">
        <v>44323</v>
      </c>
      <c r="B270">
        <v>41.564</v>
      </c>
      <c r="C270">
        <v>42.8</v>
      </c>
      <c r="D270">
        <v>38.340000000000003</v>
      </c>
      <c r="E270">
        <v>39.863999999999997</v>
      </c>
      <c r="F270">
        <v>13673656.089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-0.31659192825112292</v>
      </c>
      <c r="Q270">
        <f t="shared" si="965"/>
        <v>-4328969.1474592183</v>
      </c>
      <c r="R270">
        <f t="shared" si="966"/>
        <v>505889639.59944296</v>
      </c>
      <c r="S270">
        <f t="shared" si="967"/>
        <v>5058.8963959944294</v>
      </c>
      <c r="T270">
        <f t="shared" si="968"/>
        <v>5.0588963959944291</v>
      </c>
    </row>
    <row r="271" spans="1:20" x14ac:dyDescent="0.25">
      <c r="A271" s="5">
        <v>44322</v>
      </c>
      <c r="B271">
        <v>40.423000000000002</v>
      </c>
      <c r="C271">
        <v>43.9</v>
      </c>
      <c r="D271">
        <v>37.979999999999997</v>
      </c>
      <c r="E271">
        <v>41.588000000000001</v>
      </c>
      <c r="F271">
        <v>19626530.967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0.21891891891891996</v>
      </c>
      <c r="Q271">
        <f t="shared" si="965"/>
        <v>4296618.9414243447</v>
      </c>
      <c r="R271">
        <f t="shared" si="966"/>
        <v>510218608.74690217</v>
      </c>
      <c r="S271">
        <f t="shared" si="967"/>
        <v>5102.1860874690219</v>
      </c>
      <c r="T271">
        <f t="shared" si="968"/>
        <v>5.1021860874690219</v>
      </c>
    </row>
    <row r="272" spans="1:20" x14ac:dyDescent="0.25">
      <c r="A272" s="5">
        <v>44321</v>
      </c>
      <c r="B272">
        <v>34.777999999999999</v>
      </c>
      <c r="C272">
        <v>40.761000000000003</v>
      </c>
      <c r="D272">
        <v>34.521999999999998</v>
      </c>
      <c r="E272">
        <v>40.421999999999997</v>
      </c>
      <c r="F272">
        <v>15940781.370999999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0.8913287385798988</v>
      </c>
      <c r="Q272">
        <f t="shared" si="965"/>
        <v>14208476.55139138</v>
      </c>
      <c r="R272">
        <f t="shared" si="966"/>
        <v>505921989.8054778</v>
      </c>
      <c r="S272">
        <f t="shared" si="967"/>
        <v>5059.2198980547782</v>
      </c>
      <c r="T272">
        <f t="shared" si="968"/>
        <v>5.0592198980547787</v>
      </c>
    </row>
    <row r="273" spans="1:20" x14ac:dyDescent="0.25">
      <c r="A273" s="5">
        <v>44320</v>
      </c>
      <c r="B273">
        <v>37.249000000000002</v>
      </c>
      <c r="C273">
        <v>37.930999999999997</v>
      </c>
      <c r="D273">
        <v>34.366</v>
      </c>
      <c r="E273">
        <v>34.777000000000001</v>
      </c>
      <c r="F273">
        <v>13221688.846999999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-0.7694249649368855</v>
      </c>
      <c r="Q273">
        <f t="shared" si="965"/>
        <v>-10173097.477509385</v>
      </c>
      <c r="R273">
        <f t="shared" si="966"/>
        <v>491713513.25408643</v>
      </c>
      <c r="S273">
        <f t="shared" si="967"/>
        <v>4917.1351325408641</v>
      </c>
      <c r="T273">
        <f t="shared" si="968"/>
        <v>4.9171351325408645</v>
      </c>
    </row>
    <row r="274" spans="1:20" x14ac:dyDescent="0.25">
      <c r="A274" s="5">
        <v>44319</v>
      </c>
      <c r="B274">
        <v>36.619999999999997</v>
      </c>
      <c r="C274">
        <v>38.299999999999997</v>
      </c>
      <c r="D274">
        <v>36.570999999999998</v>
      </c>
      <c r="E274">
        <v>37.25</v>
      </c>
      <c r="F274">
        <v>8437636.1579999998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-0.21457489878542238</v>
      </c>
      <c r="Q274">
        <f t="shared" si="965"/>
        <v>-1810504.92459107</v>
      </c>
      <c r="R274">
        <f t="shared" si="966"/>
        <v>501886610.73159581</v>
      </c>
      <c r="S274">
        <f t="shared" si="967"/>
        <v>5018.8661073159583</v>
      </c>
      <c r="T274">
        <f t="shared" si="968"/>
        <v>5.0188661073159579</v>
      </c>
    </row>
    <row r="275" spans="1:20" x14ac:dyDescent="0.25">
      <c r="A275" s="5">
        <v>44318</v>
      </c>
      <c r="B275">
        <v>36.904000000000003</v>
      </c>
      <c r="C275">
        <v>37.179000000000002</v>
      </c>
      <c r="D275">
        <v>35.484999999999999</v>
      </c>
      <c r="E275">
        <v>36.625999999999998</v>
      </c>
      <c r="F275">
        <v>6899280.7359999996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0.34710743801652477</v>
      </c>
      <c r="Q275">
        <f t="shared" si="965"/>
        <v>2394791.6604297231</v>
      </c>
      <c r="R275">
        <f t="shared" si="966"/>
        <v>503697115.65618688</v>
      </c>
      <c r="S275">
        <f t="shared" si="967"/>
        <v>5036.9711565618691</v>
      </c>
      <c r="T275">
        <f t="shared" si="968"/>
        <v>5.0369711565618687</v>
      </c>
    </row>
    <row r="276" spans="1:20" x14ac:dyDescent="0.25">
      <c r="A276" s="5">
        <v>44317</v>
      </c>
      <c r="B276">
        <v>36.511000000000003</v>
      </c>
      <c r="C276">
        <v>37.46</v>
      </c>
      <c r="D276">
        <v>35.799999999999997</v>
      </c>
      <c r="E276">
        <v>36.908000000000001</v>
      </c>
      <c r="F276">
        <v>7426793.568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0.33493975903614653</v>
      </c>
      <c r="Q276">
        <f t="shared" si="965"/>
        <v>2487528.4480771231</v>
      </c>
      <c r="R276">
        <f t="shared" si="966"/>
        <v>501302323.99575716</v>
      </c>
      <c r="S276">
        <f t="shared" si="967"/>
        <v>5013.0232399575716</v>
      </c>
      <c r="T276">
        <f t="shared" si="968"/>
        <v>5.0130232399575716</v>
      </c>
    </row>
    <row r="277" spans="1:20" x14ac:dyDescent="0.25">
      <c r="A277" s="5">
        <v>44316</v>
      </c>
      <c r="B277">
        <v>35.978999999999999</v>
      </c>
      <c r="C277">
        <v>36.811</v>
      </c>
      <c r="D277">
        <v>35.087000000000003</v>
      </c>
      <c r="E277">
        <v>36.521999999999998</v>
      </c>
      <c r="F277">
        <v>11153636.937000001</v>
      </c>
      <c r="G277">
        <v>0</v>
      </c>
      <c r="L277" t="s">
        <v>8</v>
      </c>
      <c r="M277" t="s">
        <v>8</v>
      </c>
      <c r="N277" t="s">
        <v>7</v>
      </c>
      <c r="P277">
        <f t="shared" si="964"/>
        <v>0.66473317865428994</v>
      </c>
      <c r="Q277">
        <f t="shared" si="965"/>
        <v>7414192.5346879084</v>
      </c>
      <c r="R277">
        <f t="shared" si="966"/>
        <v>498814795.54768002</v>
      </c>
      <c r="S277">
        <f t="shared" si="967"/>
        <v>4988.1479554768002</v>
      </c>
      <c r="T277">
        <f t="shared" si="968"/>
        <v>4.9881479554768005</v>
      </c>
    </row>
    <row r="278" spans="1:20" x14ac:dyDescent="0.25">
      <c r="A278" s="5">
        <v>44315</v>
      </c>
      <c r="B278">
        <v>33.968000000000004</v>
      </c>
      <c r="C278">
        <v>36</v>
      </c>
      <c r="D278">
        <v>32.966000000000001</v>
      </c>
      <c r="E278">
        <v>35.978999999999999</v>
      </c>
      <c r="F278">
        <v>8746880.3880000003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0.98615688859591244</v>
      </c>
      <c r="Q278">
        <f t="shared" si="965"/>
        <v>8625796.348350687</v>
      </c>
      <c r="R278">
        <f t="shared" si="966"/>
        <v>491400603.01299208</v>
      </c>
      <c r="S278">
        <f t="shared" si="967"/>
        <v>4914.0060301299209</v>
      </c>
      <c r="T278">
        <f t="shared" si="968"/>
        <v>4.9140060301299204</v>
      </c>
    </row>
    <row r="279" spans="1:20" x14ac:dyDescent="0.25">
      <c r="A279" s="5">
        <v>44314</v>
      </c>
      <c r="B279">
        <v>34.844999999999999</v>
      </c>
      <c r="C279">
        <v>35.389000000000003</v>
      </c>
      <c r="D279">
        <v>32.566000000000003</v>
      </c>
      <c r="E279">
        <v>33.972000000000001</v>
      </c>
      <c r="F279">
        <v>9168443.6380000003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-3.8965639390728954E-3</v>
      </c>
      <c r="Q279">
        <f t="shared" si="965"/>
        <v>-35725.426857253107</v>
      </c>
      <c r="R279">
        <f t="shared" si="966"/>
        <v>482774806.66464138</v>
      </c>
      <c r="S279">
        <f t="shared" si="967"/>
        <v>4827.7480666464135</v>
      </c>
      <c r="T279">
        <f t="shared" si="968"/>
        <v>4.8277480666464134</v>
      </c>
    </row>
    <row r="280" spans="1:20" x14ac:dyDescent="0.25">
      <c r="A280" s="5">
        <v>44313</v>
      </c>
      <c r="B280">
        <v>33.396000000000001</v>
      </c>
      <c r="C280">
        <v>34.94</v>
      </c>
      <c r="D280">
        <v>33.140999999999998</v>
      </c>
      <c r="E280">
        <v>34.844999999999999</v>
      </c>
      <c r="F280">
        <v>10126562.836999999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0.89438576987215246</v>
      </c>
      <c r="Q280">
        <f t="shared" si="965"/>
        <v>9057053.6991289724</v>
      </c>
      <c r="R280">
        <f t="shared" si="966"/>
        <v>482810532.09149861</v>
      </c>
      <c r="S280">
        <f t="shared" si="967"/>
        <v>4828.1053209149859</v>
      </c>
      <c r="T280">
        <f t="shared" si="968"/>
        <v>4.828105320914986</v>
      </c>
    </row>
    <row r="281" spans="1:20" x14ac:dyDescent="0.25">
      <c r="A281" s="5">
        <v>44312</v>
      </c>
      <c r="B281">
        <v>29.83</v>
      </c>
      <c r="C281">
        <v>33.472999999999999</v>
      </c>
      <c r="D281">
        <v>29.754999999999999</v>
      </c>
      <c r="E281">
        <v>33.4</v>
      </c>
      <c r="F281">
        <v>12586853.239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0.96073157611619131</v>
      </c>
      <c r="Q281">
        <f t="shared" si="965"/>
        <v>12092587.350647658</v>
      </c>
      <c r="R281">
        <f t="shared" si="966"/>
        <v>473753478.39236963</v>
      </c>
      <c r="S281">
        <f t="shared" si="967"/>
        <v>4737.5347839236965</v>
      </c>
      <c r="T281">
        <f t="shared" si="968"/>
        <v>4.7375347839236968</v>
      </c>
    </row>
    <row r="282" spans="1:20" x14ac:dyDescent="0.25">
      <c r="A282" s="5">
        <v>44311</v>
      </c>
      <c r="B282">
        <v>28.9819</v>
      </c>
      <c r="C282">
        <v>31.3</v>
      </c>
      <c r="D282">
        <v>28.1</v>
      </c>
      <c r="E282">
        <v>29.83</v>
      </c>
      <c r="F282">
        <v>7392943.0650000004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8.1249999999998282E-2</v>
      </c>
      <c r="Q282">
        <f t="shared" si="965"/>
        <v>600676.62403123733</v>
      </c>
      <c r="R282">
        <f t="shared" si="966"/>
        <v>461660891.041722</v>
      </c>
      <c r="S282">
        <f t="shared" si="967"/>
        <v>4616.6089104172197</v>
      </c>
      <c r="T282">
        <f t="shared" si="968"/>
        <v>4.6166089104172201</v>
      </c>
    </row>
    <row r="283" spans="1:20" x14ac:dyDescent="0.25">
      <c r="A283" s="5">
        <v>44310</v>
      </c>
      <c r="B283">
        <v>32.240200000000002</v>
      </c>
      <c r="C283">
        <v>32.4026</v>
      </c>
      <c r="D283">
        <v>28.53</v>
      </c>
      <c r="E283">
        <v>28.962900000000001</v>
      </c>
      <c r="F283">
        <v>12019207.5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-0.77642927232350345</v>
      </c>
      <c r="Q283">
        <f t="shared" si="965"/>
        <v>-9332064.533130195</v>
      </c>
      <c r="R283">
        <f t="shared" si="966"/>
        <v>461060214.41769075</v>
      </c>
      <c r="S283">
        <f t="shared" si="967"/>
        <v>4610.6021441769071</v>
      </c>
      <c r="T283">
        <f t="shared" si="968"/>
        <v>4.6106021441769069</v>
      </c>
    </row>
    <row r="284" spans="1:20" x14ac:dyDescent="0.25">
      <c r="A284" s="5">
        <v>44309</v>
      </c>
      <c r="B284">
        <v>32.947000000000003</v>
      </c>
      <c r="C284">
        <v>33.4998</v>
      </c>
      <c r="D284">
        <v>26.6355</v>
      </c>
      <c r="E284">
        <v>32.232300000000002</v>
      </c>
      <c r="F284">
        <v>25328983.32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0.63069795900528869</v>
      </c>
      <c r="Q284">
        <f t="shared" si="965"/>
        <v>15974938.083603</v>
      </c>
      <c r="R284">
        <f t="shared" si="966"/>
        <v>470392278.95082092</v>
      </c>
      <c r="S284">
        <f t="shared" si="967"/>
        <v>4703.9227895082095</v>
      </c>
      <c r="T284">
        <f t="shared" si="968"/>
        <v>4.7039227895082094</v>
      </c>
    </row>
    <row r="285" spans="1:20" x14ac:dyDescent="0.25">
      <c r="A285" s="5">
        <v>44308</v>
      </c>
      <c r="B285">
        <v>33.7714</v>
      </c>
      <c r="C285">
        <v>36.763500000000001</v>
      </c>
      <c r="D285">
        <v>32.799999999999997</v>
      </c>
      <c r="E285">
        <v>32.957099999999997</v>
      </c>
      <c r="F285">
        <v>17785821.280000001</v>
      </c>
      <c r="G285">
        <v>0</v>
      </c>
      <c r="L285" t="s">
        <v>8</v>
      </c>
      <c r="M285" t="s">
        <v>7</v>
      </c>
      <c r="N285" t="s">
        <v>7</v>
      </c>
      <c r="P285">
        <f t="shared" si="964"/>
        <v>-0.92072663050334314</v>
      </c>
      <c r="Q285">
        <f t="shared" si="965"/>
        <v>-16375879.297869058</v>
      </c>
      <c r="R285">
        <f t="shared" si="966"/>
        <v>454417340.8672179</v>
      </c>
      <c r="S285">
        <f t="shared" si="967"/>
        <v>4544.173408672179</v>
      </c>
      <c r="T285">
        <f t="shared" si="968"/>
        <v>4.5441734086721786</v>
      </c>
    </row>
    <row r="286" spans="1:20" x14ac:dyDescent="0.25">
      <c r="A286" s="5">
        <v>44307</v>
      </c>
      <c r="B286">
        <v>35.411200000000001</v>
      </c>
      <c r="C286">
        <v>36.3172</v>
      </c>
      <c r="D286">
        <v>33.0261</v>
      </c>
      <c r="E286">
        <v>33.795299999999997</v>
      </c>
      <c r="F286">
        <v>11604140.779999999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-0.53255750357023623</v>
      </c>
      <c r="Q286">
        <f t="shared" si="965"/>
        <v>-6179872.2448743731</v>
      </c>
      <c r="R286">
        <f t="shared" si="966"/>
        <v>470793220.16508698</v>
      </c>
      <c r="S286">
        <f t="shared" si="967"/>
        <v>4707.9322016508695</v>
      </c>
      <c r="T286">
        <f t="shared" si="968"/>
        <v>4.7079322016508698</v>
      </c>
    </row>
    <row r="287" spans="1:20" x14ac:dyDescent="0.25">
      <c r="A287" s="5">
        <v>44306</v>
      </c>
      <c r="B287">
        <v>34.737099999999998</v>
      </c>
      <c r="C287">
        <v>35.750799999999998</v>
      </c>
      <c r="D287">
        <v>31.554200000000002</v>
      </c>
      <c r="E287">
        <v>35.4133</v>
      </c>
      <c r="F287">
        <v>14345901.279999999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0.83915550683887008</v>
      </c>
      <c r="Q287">
        <f t="shared" si="965"/>
        <v>12038442.059678795</v>
      </c>
      <c r="R287">
        <f t="shared" si="966"/>
        <v>476973092.40996134</v>
      </c>
      <c r="S287">
        <f t="shared" si="967"/>
        <v>4769.7309240996137</v>
      </c>
      <c r="T287">
        <f t="shared" si="968"/>
        <v>4.7697309240996137</v>
      </c>
    </row>
    <row r="288" spans="1:20" x14ac:dyDescent="0.25">
      <c r="A288" s="5">
        <v>44305</v>
      </c>
      <c r="B288">
        <v>37.362299999999998</v>
      </c>
      <c r="C288">
        <v>38.700699999999998</v>
      </c>
      <c r="D288">
        <v>34</v>
      </c>
      <c r="E288">
        <v>34.737299999999998</v>
      </c>
      <c r="F288">
        <v>11880828.890000001</v>
      </c>
      <c r="G288">
        <v>0</v>
      </c>
      <c r="L288" t="s">
        <v>8</v>
      </c>
      <c r="M288" t="s">
        <v>7</v>
      </c>
      <c r="N288" t="s">
        <v>7</v>
      </c>
      <c r="P288">
        <f t="shared" si="964"/>
        <v>-0.68630204012168483</v>
      </c>
      <c r="Q288">
        <f t="shared" si="965"/>
        <v>-8153837.1055436525</v>
      </c>
      <c r="R288">
        <f t="shared" si="966"/>
        <v>464934650.35028255</v>
      </c>
      <c r="S288">
        <f t="shared" si="967"/>
        <v>4649.3465035028257</v>
      </c>
      <c r="T288">
        <f t="shared" si="968"/>
        <v>4.6493465035028256</v>
      </c>
    </row>
    <row r="289" spans="1:20" x14ac:dyDescent="0.25">
      <c r="A289" s="5">
        <v>44304</v>
      </c>
      <c r="B289">
        <v>42.056800000000003</v>
      </c>
      <c r="C289">
        <v>42.705100000000002</v>
      </c>
      <c r="D289">
        <v>32</v>
      </c>
      <c r="E289">
        <v>37.363</v>
      </c>
      <c r="F289">
        <v>25846971.850000001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1.9523404732321485E-3</v>
      </c>
      <c r="Q289">
        <f t="shared" si="965"/>
        <v>50462.089253247024</v>
      </c>
      <c r="R289">
        <f t="shared" si="966"/>
        <v>473088487.45582622</v>
      </c>
      <c r="S289">
        <f t="shared" si="967"/>
        <v>4730.8848745582618</v>
      </c>
      <c r="T289">
        <f t="shared" si="968"/>
        <v>4.7308848745582619</v>
      </c>
    </row>
    <row r="290" spans="1:20" x14ac:dyDescent="0.25">
      <c r="A290" s="5">
        <v>44303</v>
      </c>
      <c r="B290">
        <v>41.393099999999997</v>
      </c>
      <c r="C290">
        <v>48.36</v>
      </c>
      <c r="D290">
        <v>41.37</v>
      </c>
      <c r="E290">
        <v>42.057699999999997</v>
      </c>
      <c r="F290">
        <v>17205151.16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-0.80323319027181705</v>
      </c>
      <c r="Q290">
        <f t="shared" si="965"/>
        <v>-13819748.455355654</v>
      </c>
      <c r="R290">
        <f t="shared" si="966"/>
        <v>473038025.36657298</v>
      </c>
      <c r="S290">
        <f t="shared" si="967"/>
        <v>4730.3802536657295</v>
      </c>
      <c r="T290">
        <f t="shared" si="968"/>
        <v>4.7303802536657296</v>
      </c>
    </row>
    <row r="291" spans="1:20" x14ac:dyDescent="0.25">
      <c r="A291" s="5">
        <v>44302</v>
      </c>
      <c r="B291">
        <v>43.416899999999998</v>
      </c>
      <c r="C291">
        <v>43.825200000000002</v>
      </c>
      <c r="D291">
        <v>40.000700000000002</v>
      </c>
      <c r="E291">
        <v>41.389800000000001</v>
      </c>
      <c r="F291">
        <v>9269576.8300000001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-0.27357824552229104</v>
      </c>
      <c r="Q291">
        <f t="shared" si="965"/>
        <v>-2535954.5658854805</v>
      </c>
      <c r="R291">
        <f t="shared" si="966"/>
        <v>486857773.82192862</v>
      </c>
      <c r="S291">
        <f t="shared" si="967"/>
        <v>4868.5777382192864</v>
      </c>
      <c r="T291">
        <f t="shared" si="968"/>
        <v>4.8685777382192867</v>
      </c>
    </row>
    <row r="292" spans="1:20" x14ac:dyDescent="0.25">
      <c r="A292" s="5">
        <v>44301</v>
      </c>
      <c r="B292">
        <v>42.521700000000003</v>
      </c>
      <c r="C292">
        <v>44.3</v>
      </c>
      <c r="D292">
        <v>41.404600000000002</v>
      </c>
      <c r="E292">
        <v>43.431800000000003</v>
      </c>
      <c r="F292">
        <v>8291327.1500000004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0.40029011535539405</v>
      </c>
      <c r="Q292">
        <f t="shared" si="965"/>
        <v>3318936.3013228108</v>
      </c>
      <c r="R292">
        <f t="shared" si="966"/>
        <v>489393728.3878141</v>
      </c>
      <c r="S292">
        <f t="shared" si="967"/>
        <v>4893.937283878141</v>
      </c>
      <c r="T292">
        <f t="shared" si="968"/>
        <v>4.8939372838781408</v>
      </c>
    </row>
    <row r="293" spans="1:20" x14ac:dyDescent="0.25">
      <c r="A293" s="5">
        <v>44300</v>
      </c>
      <c r="B293">
        <v>42.930100000000003</v>
      </c>
      <c r="C293">
        <v>44.559399999999997</v>
      </c>
      <c r="D293">
        <v>40</v>
      </c>
      <c r="E293">
        <v>42.517099999999999</v>
      </c>
      <c r="F293">
        <v>10710847.58</v>
      </c>
      <c r="G293">
        <v>0</v>
      </c>
      <c r="L293" t="s">
        <v>8</v>
      </c>
      <c r="M293" t="s">
        <v>7</v>
      </c>
      <c r="N293" t="s">
        <v>8</v>
      </c>
      <c r="P293">
        <f t="shared" si="964"/>
        <v>0.10413650918980617</v>
      </c>
      <c r="Q293">
        <f t="shared" si="965"/>
        <v>1115390.2774452833</v>
      </c>
      <c r="R293">
        <f t="shared" si="966"/>
        <v>486074792.08649129</v>
      </c>
      <c r="S293">
        <f t="shared" si="967"/>
        <v>4860.7479208649129</v>
      </c>
      <c r="T293">
        <f t="shared" si="968"/>
        <v>4.8607479208649131</v>
      </c>
    </row>
    <row r="294" spans="1:20" x14ac:dyDescent="0.25">
      <c r="A294" s="5">
        <v>44299</v>
      </c>
      <c r="B294">
        <v>40.460099999999997</v>
      </c>
      <c r="C294">
        <v>43.355400000000003</v>
      </c>
      <c r="D294">
        <v>39.808999999999997</v>
      </c>
      <c r="E294">
        <v>42.930100000000003</v>
      </c>
      <c r="F294">
        <v>9390973.4000000004</v>
      </c>
      <c r="G294">
        <v>0</v>
      </c>
      <c r="L294" t="s">
        <v>8</v>
      </c>
      <c r="M294" t="s">
        <v>7</v>
      </c>
      <c r="N294" t="s">
        <v>8</v>
      </c>
      <c r="P294">
        <f t="shared" si="964"/>
        <v>0.76015113918339761</v>
      </c>
      <c r="Q294">
        <f t="shared" si="965"/>
        <v>7138559.1280509848</v>
      </c>
      <c r="R294">
        <f t="shared" si="966"/>
        <v>484959401.80904603</v>
      </c>
      <c r="S294">
        <f t="shared" si="967"/>
        <v>4849.5940180904599</v>
      </c>
      <c r="T294">
        <f t="shared" si="968"/>
        <v>4.8495940180904595</v>
      </c>
    </row>
    <row r="295" spans="1:20" x14ac:dyDescent="0.25">
      <c r="A295" s="5">
        <v>44298</v>
      </c>
      <c r="B295">
        <v>41.313299999999998</v>
      </c>
      <c r="C295">
        <v>41.7699</v>
      </c>
      <c r="D295">
        <v>39.3643</v>
      </c>
      <c r="E295">
        <v>40.46</v>
      </c>
      <c r="F295">
        <v>6509499.5300000003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-8.9042234785499746E-2</v>
      </c>
      <c r="Q295">
        <f t="shared" si="965"/>
        <v>-579620.38548636029</v>
      </c>
      <c r="R295">
        <f t="shared" si="966"/>
        <v>477820842.68099505</v>
      </c>
      <c r="S295">
        <f t="shared" si="967"/>
        <v>4778.2084268099507</v>
      </c>
      <c r="T295">
        <f t="shared" si="968"/>
        <v>4.7782084268099503</v>
      </c>
    </row>
    <row r="296" spans="1:20" x14ac:dyDescent="0.25">
      <c r="A296" s="5">
        <v>44297</v>
      </c>
      <c r="B296">
        <v>41.6</v>
      </c>
      <c r="C296">
        <v>41.87</v>
      </c>
      <c r="D296">
        <v>39.9818</v>
      </c>
      <c r="E296">
        <v>41.319600000000001</v>
      </c>
      <c r="F296">
        <v>5023884.47</v>
      </c>
      <c r="G296">
        <v>0</v>
      </c>
      <c r="L296" t="s">
        <v>8</v>
      </c>
      <c r="M296" t="s">
        <v>7</v>
      </c>
      <c r="N296" t="s">
        <v>8</v>
      </c>
      <c r="P296">
        <f t="shared" si="964"/>
        <v>0.41701090986124678</v>
      </c>
      <c r="Q296">
        <f t="shared" si="965"/>
        <v>2095014.6338724873</v>
      </c>
      <c r="R296">
        <f t="shared" si="966"/>
        <v>478400463.06648141</v>
      </c>
      <c r="S296">
        <f t="shared" si="967"/>
        <v>4784.0046306648137</v>
      </c>
      <c r="T296">
        <f t="shared" si="968"/>
        <v>4.7840046306648141</v>
      </c>
    </row>
    <row r="297" spans="1:20" x14ac:dyDescent="0.25">
      <c r="A297" s="5">
        <v>44296</v>
      </c>
      <c r="B297">
        <v>40.808500000000002</v>
      </c>
      <c r="C297">
        <v>42.756999999999998</v>
      </c>
      <c r="D297">
        <v>39.977699999999999</v>
      </c>
      <c r="E297">
        <v>41.586799999999997</v>
      </c>
      <c r="F297">
        <v>5302312.7699999996</v>
      </c>
      <c r="G297">
        <v>0</v>
      </c>
      <c r="L297" t="s">
        <v>8</v>
      </c>
      <c r="M297" t="s">
        <v>7</v>
      </c>
      <c r="N297" t="s">
        <v>8</v>
      </c>
      <c r="P297">
        <f t="shared" si="964"/>
        <v>0.15791746123124414</v>
      </c>
      <c r="Q297">
        <f t="shared" si="965"/>
        <v>837327.77129240567</v>
      </c>
      <c r="R297">
        <f t="shared" si="966"/>
        <v>476305448.4326089</v>
      </c>
      <c r="S297">
        <f t="shared" si="967"/>
        <v>4763.0544843260886</v>
      </c>
      <c r="T297">
        <f t="shared" si="968"/>
        <v>4.7630544843260889</v>
      </c>
    </row>
    <row r="298" spans="1:20" x14ac:dyDescent="0.25">
      <c r="A298" s="5">
        <v>44295</v>
      </c>
      <c r="B298">
        <v>41.324800000000003</v>
      </c>
      <c r="C298">
        <v>42.098399999999998</v>
      </c>
      <c r="D298">
        <v>40.0501</v>
      </c>
      <c r="E298">
        <v>40.808500000000002</v>
      </c>
      <c r="F298">
        <v>4356116.29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-0.25948347410047101</v>
      </c>
      <c r="Q298">
        <f t="shared" si="965"/>
        <v>-1130340.188514855</v>
      </c>
      <c r="R298">
        <f t="shared" si="966"/>
        <v>475468120.66131651</v>
      </c>
      <c r="S298">
        <f t="shared" si="967"/>
        <v>4754.6812066131652</v>
      </c>
      <c r="T298">
        <f t="shared" si="968"/>
        <v>4.7546812066131654</v>
      </c>
    </row>
    <row r="299" spans="1:20" x14ac:dyDescent="0.25">
      <c r="A299" s="5">
        <v>44294</v>
      </c>
      <c r="B299">
        <v>39.51</v>
      </c>
      <c r="C299">
        <v>41.599899999999998</v>
      </c>
      <c r="D299">
        <v>39.2121</v>
      </c>
      <c r="E299">
        <v>41.334000000000003</v>
      </c>
      <c r="F299">
        <v>5879782.79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0.77728452969260819</v>
      </c>
      <c r="Q299">
        <f t="shared" si="965"/>
        <v>4570264.2006198419</v>
      </c>
      <c r="R299">
        <f t="shared" si="966"/>
        <v>476598460.84983134</v>
      </c>
      <c r="S299">
        <f t="shared" si="967"/>
        <v>4765.9846084983137</v>
      </c>
      <c r="T299">
        <f t="shared" si="968"/>
        <v>4.7659846084983135</v>
      </c>
    </row>
    <row r="300" spans="1:20" x14ac:dyDescent="0.25">
      <c r="A300" s="5">
        <v>44293</v>
      </c>
      <c r="B300">
        <v>43.354700000000001</v>
      </c>
      <c r="C300">
        <v>43.503799999999998</v>
      </c>
      <c r="D300">
        <v>37.69</v>
      </c>
      <c r="E300">
        <v>39.501300000000001</v>
      </c>
      <c r="F300">
        <v>11787515.43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-0.37689635006364075</v>
      </c>
      <c r="Q300">
        <f t="shared" si="965"/>
        <v>-4442671.5418858463</v>
      </c>
      <c r="R300">
        <f t="shared" si="966"/>
        <v>472028196.64921153</v>
      </c>
      <c r="S300">
        <f t="shared" si="967"/>
        <v>4720.2819664921153</v>
      </c>
      <c r="T300">
        <f t="shared" si="968"/>
        <v>4.7202819664921156</v>
      </c>
    </row>
    <row r="301" spans="1:20" x14ac:dyDescent="0.25">
      <c r="A301" s="5">
        <v>44292</v>
      </c>
      <c r="B301">
        <v>45.8</v>
      </c>
      <c r="C301">
        <v>46.261600000000001</v>
      </c>
      <c r="D301">
        <v>41.56</v>
      </c>
      <c r="E301">
        <v>43.35</v>
      </c>
      <c r="F301">
        <v>9415415.8699999992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-0.23855708694912392</v>
      </c>
      <c r="Q301">
        <f t="shared" si="965"/>
        <v>-2246114.1823617509</v>
      </c>
      <c r="R301">
        <f t="shared" si="966"/>
        <v>476470868.19109738</v>
      </c>
      <c r="S301">
        <f t="shared" si="967"/>
        <v>4764.7086819109736</v>
      </c>
      <c r="T301">
        <f t="shared" si="968"/>
        <v>4.7647086819109736</v>
      </c>
    </row>
    <row r="302" spans="1:20" x14ac:dyDescent="0.25">
      <c r="A302" s="5">
        <v>44291</v>
      </c>
      <c r="B302">
        <v>44.320399999999999</v>
      </c>
      <c r="C302">
        <v>45.869399999999999</v>
      </c>
      <c r="D302">
        <v>41.805999999999997</v>
      </c>
      <c r="E302">
        <v>45.8003</v>
      </c>
      <c r="F302">
        <v>7991387.4199999999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0.9659890731899401</v>
      </c>
      <c r="Q302">
        <f t="shared" si="965"/>
        <v>7719592.9273475464</v>
      </c>
      <c r="R302">
        <f t="shared" si="966"/>
        <v>478716982.3734591</v>
      </c>
      <c r="S302">
        <f t="shared" si="967"/>
        <v>4787.1698237345909</v>
      </c>
      <c r="T302">
        <f t="shared" si="968"/>
        <v>4.7871698237345912</v>
      </c>
    </row>
    <row r="303" spans="1:20" x14ac:dyDescent="0.25">
      <c r="A303" s="5">
        <v>44290</v>
      </c>
      <c r="B303">
        <v>41.38</v>
      </c>
      <c r="C303">
        <v>45.085799999999999</v>
      </c>
      <c r="D303">
        <v>40.666600000000003</v>
      </c>
      <c r="E303">
        <v>44.313499999999998</v>
      </c>
      <c r="F303">
        <v>8717890.3399999999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0.65047972483707373</v>
      </c>
      <c r="Q303">
        <f t="shared" si="965"/>
        <v>5670810.9095229832</v>
      </c>
      <c r="R303">
        <f t="shared" si="966"/>
        <v>470997389.44611156</v>
      </c>
      <c r="S303">
        <f t="shared" si="967"/>
        <v>4709.9738944611154</v>
      </c>
      <c r="T303">
        <f t="shared" si="968"/>
        <v>4.7099738944611156</v>
      </c>
    </row>
    <row r="304" spans="1:20" x14ac:dyDescent="0.25">
      <c r="A304" s="5">
        <v>44289</v>
      </c>
      <c r="B304">
        <v>41.034399999999998</v>
      </c>
      <c r="C304">
        <v>46.8</v>
      </c>
      <c r="D304">
        <v>40.910299999999999</v>
      </c>
      <c r="E304">
        <v>41.380200000000002</v>
      </c>
      <c r="F304">
        <v>18075397.329999998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-0.84043329880978557</v>
      </c>
      <c r="Q304">
        <f t="shared" si="965"/>
        <v>-15191165.805349488</v>
      </c>
      <c r="R304">
        <f t="shared" si="966"/>
        <v>465326578.53658855</v>
      </c>
      <c r="S304">
        <f t="shared" si="967"/>
        <v>4653.2657853658857</v>
      </c>
      <c r="T304">
        <f t="shared" si="968"/>
        <v>4.6532657853658854</v>
      </c>
    </row>
    <row r="305" spans="1:20" x14ac:dyDescent="0.25">
      <c r="A305" s="5">
        <v>44288</v>
      </c>
      <c r="B305">
        <v>37.465499999999999</v>
      </c>
      <c r="C305">
        <v>41.408099999999997</v>
      </c>
      <c r="D305">
        <v>36.572099999999999</v>
      </c>
      <c r="E305">
        <v>41.027099999999997</v>
      </c>
      <c r="F305">
        <v>10204662.65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0.8424317617866004</v>
      </c>
      <c r="Q305">
        <f t="shared" si="965"/>
        <v>8596731.9346774183</v>
      </c>
      <c r="R305">
        <f t="shared" si="966"/>
        <v>480517744.34193802</v>
      </c>
      <c r="S305">
        <f t="shared" si="967"/>
        <v>4805.1774434193803</v>
      </c>
      <c r="T305">
        <f t="shared" si="968"/>
        <v>4.8051774434193799</v>
      </c>
    </row>
    <row r="306" spans="1:20" x14ac:dyDescent="0.25">
      <c r="A306" s="5">
        <v>44287</v>
      </c>
      <c r="B306">
        <v>37.078400000000002</v>
      </c>
      <c r="C306">
        <v>38.945</v>
      </c>
      <c r="D306">
        <v>36.002099999999999</v>
      </c>
      <c r="E306">
        <v>37.460999999999999</v>
      </c>
      <c r="F306">
        <v>9608182.2400000002</v>
      </c>
      <c r="G306">
        <v>0</v>
      </c>
      <c r="L306" t="s">
        <v>7</v>
      </c>
      <c r="M306" t="s">
        <v>8</v>
      </c>
      <c r="N306" t="s">
        <v>8</v>
      </c>
      <c r="P306">
        <f t="shared" si="964"/>
        <v>-8.5290020048258124E-3</v>
      </c>
      <c r="Q306">
        <f t="shared" si="965"/>
        <v>-81948.205587691773</v>
      </c>
      <c r="R306">
        <f t="shared" si="966"/>
        <v>471921012.4072606</v>
      </c>
      <c r="S306">
        <f t="shared" si="967"/>
        <v>4719.210124072606</v>
      </c>
      <c r="T306">
        <f t="shared" si="968"/>
        <v>4.7192101240726059</v>
      </c>
    </row>
    <row r="307" spans="1:20" x14ac:dyDescent="0.25">
      <c r="A307" s="5">
        <v>44286</v>
      </c>
      <c r="B307">
        <v>33.977800000000002</v>
      </c>
      <c r="C307">
        <v>38.28</v>
      </c>
      <c r="D307">
        <v>33.22</v>
      </c>
      <c r="E307">
        <v>37.076500000000003</v>
      </c>
      <c r="F307">
        <v>14303159.289999999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0.52430830039525778</v>
      </c>
      <c r="Q307">
        <f t="shared" si="965"/>
        <v>7499265.1376225417</v>
      </c>
      <c r="R307">
        <f t="shared" si="966"/>
        <v>472002960.61284828</v>
      </c>
      <c r="S307">
        <f t="shared" si="967"/>
        <v>4720.0296061284826</v>
      </c>
      <c r="T307">
        <f t="shared" si="968"/>
        <v>4.7200296061284828</v>
      </c>
    </row>
    <row r="308" spans="1:20" x14ac:dyDescent="0.25">
      <c r="A308" s="5">
        <v>44285</v>
      </c>
      <c r="B308">
        <v>34.340400000000002</v>
      </c>
      <c r="C308">
        <v>34.799999999999997</v>
      </c>
      <c r="D308">
        <v>33.485500000000002</v>
      </c>
      <c r="E308">
        <v>33.977800000000002</v>
      </c>
      <c r="F308">
        <v>5489182.3700000001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-0.25096995055153759</v>
      </c>
      <c r="Q308">
        <f t="shared" si="965"/>
        <v>-1377619.8279672719</v>
      </c>
      <c r="R308">
        <f t="shared" si="966"/>
        <v>464503695.47522575</v>
      </c>
      <c r="S308">
        <f t="shared" si="967"/>
        <v>4645.0369547522578</v>
      </c>
      <c r="T308">
        <f t="shared" si="968"/>
        <v>4.6450369547522579</v>
      </c>
    </row>
    <row r="309" spans="1:20" x14ac:dyDescent="0.25">
      <c r="A309" s="5">
        <v>44284</v>
      </c>
      <c r="B309">
        <v>32.2331</v>
      </c>
      <c r="C309">
        <v>34.713999999999999</v>
      </c>
      <c r="D309">
        <v>31.749600000000001</v>
      </c>
      <c r="E309">
        <v>34.340299999999999</v>
      </c>
      <c r="F309">
        <v>6754322.3799999999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0.7478747807313455</v>
      </c>
      <c r="Q309">
        <f t="shared" si="965"/>
        <v>5051387.3689313196</v>
      </c>
      <c r="R309">
        <f t="shared" si="966"/>
        <v>465881315.30319303</v>
      </c>
      <c r="S309">
        <f t="shared" si="967"/>
        <v>4658.8131530319306</v>
      </c>
      <c r="T309">
        <f t="shared" si="968"/>
        <v>4.6588131530319306</v>
      </c>
    </row>
    <row r="310" spans="1:20" x14ac:dyDescent="0.25">
      <c r="A310" s="5">
        <v>44283</v>
      </c>
      <c r="B310">
        <v>32.587299999999999</v>
      </c>
      <c r="C310">
        <v>33.223100000000002</v>
      </c>
      <c r="D310">
        <v>31.227599999999999</v>
      </c>
      <c r="E310">
        <v>32.2331</v>
      </c>
      <c r="F310">
        <v>4896790.5599999996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7.7674768228511038E-3</v>
      </c>
      <c r="Q310">
        <f t="shared" si="965"/>
        <v>38035.707181156075</v>
      </c>
      <c r="R310">
        <f t="shared" si="966"/>
        <v>460829927.93426174</v>
      </c>
      <c r="S310">
        <f t="shared" si="967"/>
        <v>4608.2992793426174</v>
      </c>
      <c r="T310">
        <f t="shared" si="968"/>
        <v>4.6082992793426172</v>
      </c>
    </row>
    <row r="311" spans="1:20" x14ac:dyDescent="0.25">
      <c r="A311" s="5">
        <v>44282</v>
      </c>
      <c r="B311">
        <v>33.160699999999999</v>
      </c>
      <c r="C311">
        <v>33.5</v>
      </c>
      <c r="D311">
        <v>31.111899999999999</v>
      </c>
      <c r="E311">
        <v>32.5884</v>
      </c>
      <c r="F311">
        <v>6080754.5099999998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0.23654788325447057</v>
      </c>
      <c r="Q311">
        <f t="shared" si="965"/>
        <v>1438389.6079305753</v>
      </c>
      <c r="R311">
        <f t="shared" si="966"/>
        <v>460791892.22708058</v>
      </c>
      <c r="S311">
        <f t="shared" si="967"/>
        <v>4607.9189222708055</v>
      </c>
      <c r="T311">
        <f t="shared" si="968"/>
        <v>4.6079189222708052</v>
      </c>
    </row>
    <row r="312" spans="1:20" x14ac:dyDescent="0.25">
      <c r="A312" s="5">
        <v>44281</v>
      </c>
      <c r="B312">
        <v>29.805900000000001</v>
      </c>
      <c r="C312">
        <v>33.368899999999996</v>
      </c>
      <c r="D312">
        <v>29.789400000000001</v>
      </c>
      <c r="E312">
        <v>33.178199999999997</v>
      </c>
      <c r="F312">
        <v>7973987.3700000001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0.89344880569912011</v>
      </c>
      <c r="Q312">
        <f t="shared" si="965"/>
        <v>7124349.4923863681</v>
      </c>
      <c r="R312">
        <f t="shared" si="966"/>
        <v>459353502.61914998</v>
      </c>
      <c r="S312">
        <f t="shared" si="967"/>
        <v>4593.5350261915</v>
      </c>
      <c r="T312">
        <f t="shared" si="968"/>
        <v>4.5935350261914998</v>
      </c>
    </row>
    <row r="313" spans="1:20" x14ac:dyDescent="0.25">
      <c r="A313" s="5">
        <v>44280</v>
      </c>
      <c r="B313">
        <v>30.213899999999999</v>
      </c>
      <c r="C313">
        <v>31.267600000000002</v>
      </c>
      <c r="D313">
        <v>28.3</v>
      </c>
      <c r="E313">
        <v>29.805900000000001</v>
      </c>
      <c r="F313">
        <v>17474869.140000001</v>
      </c>
      <c r="G313">
        <v>0</v>
      </c>
      <c r="L313" t="s">
        <v>8</v>
      </c>
      <c r="M313" t="s">
        <v>7</v>
      </c>
      <c r="N313" t="s">
        <v>7</v>
      </c>
      <c r="P313">
        <f t="shared" si="964"/>
        <v>1.4894190591723953E-2</v>
      </c>
      <c r="Q313">
        <f t="shared" si="965"/>
        <v>260274.03153659526</v>
      </c>
      <c r="R313">
        <f t="shared" si="966"/>
        <v>452229153.12676364</v>
      </c>
      <c r="S313">
        <f t="shared" si="967"/>
        <v>4522.2915312676369</v>
      </c>
      <c r="T313">
        <f t="shared" si="968"/>
        <v>4.5222915312676371</v>
      </c>
    </row>
    <row r="314" spans="1:20" x14ac:dyDescent="0.25">
      <c r="A314" s="5">
        <v>44279</v>
      </c>
      <c r="B314">
        <v>34.196100000000001</v>
      </c>
      <c r="C314">
        <v>36.146799999999999</v>
      </c>
      <c r="D314">
        <v>27.458600000000001</v>
      </c>
      <c r="E314">
        <v>30.2209</v>
      </c>
      <c r="F314">
        <v>13285955.460000001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-0.36412605603001769</v>
      </c>
      <c r="Q314">
        <f t="shared" si="965"/>
        <v>-4837762.5622402793</v>
      </c>
      <c r="R314">
        <f t="shared" si="966"/>
        <v>451968879.09522706</v>
      </c>
      <c r="S314">
        <f t="shared" si="967"/>
        <v>4519.6887909522702</v>
      </c>
      <c r="T314">
        <f t="shared" si="968"/>
        <v>4.5196887909522703</v>
      </c>
    </row>
    <row r="315" spans="1:20" x14ac:dyDescent="0.25">
      <c r="A315" s="5">
        <v>44278</v>
      </c>
      <c r="B315">
        <v>35.220199999999998</v>
      </c>
      <c r="C315">
        <v>36.2896</v>
      </c>
      <c r="D315">
        <v>34.032499999999999</v>
      </c>
      <c r="E315">
        <v>34.217399999999998</v>
      </c>
      <c r="F315">
        <v>5897723.0700000003</v>
      </c>
      <c r="G315">
        <v>0</v>
      </c>
      <c r="L315" t="s">
        <v>7</v>
      </c>
      <c r="M315" t="s">
        <v>8</v>
      </c>
      <c r="N315" t="s">
        <v>8</v>
      </c>
      <c r="P315">
        <f t="shared" si="964"/>
        <v>-0.83616144610340803</v>
      </c>
      <c r="Q315">
        <f t="shared" si="965"/>
        <v>-4931448.6509286314</v>
      </c>
      <c r="R315">
        <f t="shared" si="966"/>
        <v>456806641.65746737</v>
      </c>
      <c r="S315">
        <f t="shared" si="967"/>
        <v>4568.0664165746739</v>
      </c>
      <c r="T315">
        <f t="shared" si="968"/>
        <v>4.5680664165746743</v>
      </c>
    </row>
    <row r="316" spans="1:20" x14ac:dyDescent="0.25">
      <c r="A316" s="5">
        <v>44277</v>
      </c>
      <c r="B316">
        <v>36.680199999999999</v>
      </c>
      <c r="C316">
        <v>37.780299999999997</v>
      </c>
      <c r="D316">
        <v>35.057200000000002</v>
      </c>
      <c r="E316">
        <v>35.233800000000002</v>
      </c>
      <c r="F316">
        <v>6137342.0700000003</v>
      </c>
      <c r="G316">
        <v>0</v>
      </c>
      <c r="L316" t="s">
        <v>7</v>
      </c>
      <c r="M316" t="s">
        <v>8</v>
      </c>
      <c r="N316" t="s">
        <v>8</v>
      </c>
      <c r="P316">
        <f t="shared" si="964"/>
        <v>-0.87029488450662784</v>
      </c>
      <c r="Q316">
        <f t="shared" si="965"/>
        <v>-5341297.4079883182</v>
      </c>
      <c r="R316">
        <f t="shared" si="966"/>
        <v>461738090.30839598</v>
      </c>
      <c r="S316">
        <f t="shared" si="967"/>
        <v>4617.3809030839602</v>
      </c>
      <c r="T316">
        <f t="shared" si="968"/>
        <v>4.6173809030839603</v>
      </c>
    </row>
    <row r="317" spans="1:20" x14ac:dyDescent="0.25">
      <c r="A317" s="5">
        <v>44276</v>
      </c>
      <c r="B317">
        <v>37.229300000000002</v>
      </c>
      <c r="C317">
        <v>38.099499999999999</v>
      </c>
      <c r="D317">
        <v>36.100099999999998</v>
      </c>
      <c r="E317">
        <v>36.685099999999998</v>
      </c>
      <c r="F317">
        <v>6631041.1900000004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-0.41482444733419982</v>
      </c>
      <c r="Q317">
        <f t="shared" si="965"/>
        <v>-2750717.9968920648</v>
      </c>
      <c r="R317">
        <f t="shared" si="966"/>
        <v>467079387.71638429</v>
      </c>
      <c r="S317">
        <f t="shared" si="967"/>
        <v>4670.7938771638428</v>
      </c>
      <c r="T317">
        <f t="shared" si="968"/>
        <v>4.6707938771638426</v>
      </c>
    </row>
    <row r="318" spans="1:20" x14ac:dyDescent="0.25">
      <c r="A318" s="5">
        <v>44275</v>
      </c>
      <c r="B318">
        <v>38.173499999999997</v>
      </c>
      <c r="C318">
        <v>40.1</v>
      </c>
      <c r="D318">
        <v>37.155900000000003</v>
      </c>
      <c r="E318">
        <v>37.227899999999998</v>
      </c>
      <c r="F318">
        <v>8583160.1999999993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-0.95108861791379662</v>
      </c>
      <c r="Q318">
        <f t="shared" si="965"/>
        <v>-8163345.9719507052</v>
      </c>
      <c r="R318">
        <f t="shared" si="966"/>
        <v>469830105.71327633</v>
      </c>
      <c r="S318">
        <f t="shared" si="967"/>
        <v>4698.3010571327632</v>
      </c>
      <c r="T318">
        <f t="shared" si="968"/>
        <v>4.6983010571327632</v>
      </c>
    </row>
    <row r="319" spans="1:20" x14ac:dyDescent="0.25">
      <c r="A319" s="5">
        <v>44274</v>
      </c>
      <c r="B319">
        <v>35.3399</v>
      </c>
      <c r="C319">
        <v>38.863599999999998</v>
      </c>
      <c r="D319">
        <v>34.6</v>
      </c>
      <c r="E319">
        <v>38.173499999999997</v>
      </c>
      <c r="F319">
        <v>9561406.5899999999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0.67628295337273592</v>
      </c>
      <c r="Q319">
        <f t="shared" si="965"/>
        <v>6466216.2870827401</v>
      </c>
      <c r="R319">
        <f t="shared" si="966"/>
        <v>477993451.68522704</v>
      </c>
      <c r="S319">
        <f t="shared" si="967"/>
        <v>4779.9345168522705</v>
      </c>
      <c r="T319">
        <f t="shared" si="968"/>
        <v>4.7799345168522702</v>
      </c>
    </row>
    <row r="320" spans="1:20" x14ac:dyDescent="0.25">
      <c r="A320" s="5">
        <v>44273</v>
      </c>
      <c r="B320">
        <v>36.115699999999997</v>
      </c>
      <c r="C320">
        <v>37.018700000000003</v>
      </c>
      <c r="D320">
        <v>34.964799999999997</v>
      </c>
      <c r="E320">
        <v>35.3399</v>
      </c>
      <c r="F320">
        <v>5558730.7599999998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-0.63474365840595715</v>
      </c>
      <c r="Q320">
        <f t="shared" si="965"/>
        <v>-3528369.0986961266</v>
      </c>
      <c r="R320">
        <f t="shared" si="966"/>
        <v>471527235.3981443</v>
      </c>
      <c r="S320">
        <f t="shared" si="967"/>
        <v>4715.2723539814433</v>
      </c>
      <c r="T320">
        <f t="shared" si="968"/>
        <v>4.715272353981443</v>
      </c>
    </row>
    <row r="321" spans="1:20" x14ac:dyDescent="0.25">
      <c r="A321" s="5">
        <v>44272</v>
      </c>
      <c r="B321">
        <v>35.398099999999999</v>
      </c>
      <c r="C321">
        <v>36.4495</v>
      </c>
      <c r="D321">
        <v>34.387900000000002</v>
      </c>
      <c r="E321">
        <v>36.1036</v>
      </c>
      <c r="F321">
        <v>6842523.3700000001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0.66443538998835805</v>
      </c>
      <c r="Q321">
        <f t="shared" si="965"/>
        <v>4546414.6838504039</v>
      </c>
      <c r="R321">
        <f t="shared" si="966"/>
        <v>475055604.49684042</v>
      </c>
      <c r="S321">
        <f t="shared" si="967"/>
        <v>4750.5560449684044</v>
      </c>
      <c r="T321">
        <f t="shared" si="968"/>
        <v>4.7505560449684046</v>
      </c>
    </row>
    <row r="322" spans="1:20" x14ac:dyDescent="0.25">
      <c r="A322" s="5">
        <v>44271</v>
      </c>
      <c r="B322">
        <v>34.286799999999999</v>
      </c>
      <c r="C322">
        <v>35.542200000000001</v>
      </c>
      <c r="D322">
        <v>32.07</v>
      </c>
      <c r="E322">
        <v>35.398699999999998</v>
      </c>
      <c r="F322">
        <v>9126077.8599999994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0.91734347099821267</v>
      </c>
      <c r="Q322">
        <f t="shared" si="965"/>
        <v>8371747.94069234</v>
      </c>
      <c r="R322">
        <f t="shared" si="966"/>
        <v>470509189.81299001</v>
      </c>
      <c r="S322">
        <f t="shared" si="967"/>
        <v>4705.0918981299001</v>
      </c>
      <c r="T322">
        <f t="shared" si="968"/>
        <v>4.7050918981298997</v>
      </c>
    </row>
    <row r="323" spans="1:20" x14ac:dyDescent="0.25">
      <c r="A323" s="5">
        <v>44270</v>
      </c>
      <c r="B323">
        <v>36.442700000000002</v>
      </c>
      <c r="C323">
        <v>38.563600000000001</v>
      </c>
      <c r="D323">
        <v>33.835099999999997</v>
      </c>
      <c r="E323">
        <v>34.296300000000002</v>
      </c>
      <c r="F323">
        <v>10731480.199999999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-0.80492756688167288</v>
      </c>
      <c r="Q323">
        <f t="shared" si="965"/>
        <v>-8638064.2464248482</v>
      </c>
      <c r="R323">
        <f t="shared" si="966"/>
        <v>462137441.87229764</v>
      </c>
      <c r="S323">
        <f t="shared" si="967"/>
        <v>4621.3744187229768</v>
      </c>
      <c r="T323">
        <f t="shared" si="968"/>
        <v>4.6213744187229766</v>
      </c>
    </row>
    <row r="324" spans="1:20" x14ac:dyDescent="0.25">
      <c r="A324" s="5">
        <v>44269</v>
      </c>
      <c r="B324">
        <v>37.130800000000001</v>
      </c>
      <c r="C324">
        <v>37.997900000000001</v>
      </c>
      <c r="D324">
        <v>36.247700000000002</v>
      </c>
      <c r="E324">
        <v>36.442700000000002</v>
      </c>
      <c r="F324">
        <v>4741817.09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-0.77716832362015731</v>
      </c>
      <c r="Q324">
        <f t="shared" si="965"/>
        <v>-3685190.0387487123</v>
      </c>
      <c r="R324">
        <f t="shared" si="966"/>
        <v>470775506.1187225</v>
      </c>
      <c r="S324">
        <f t="shared" si="967"/>
        <v>4707.7550611872248</v>
      </c>
      <c r="T324">
        <f t="shared" si="968"/>
        <v>4.7077550611872248</v>
      </c>
    </row>
    <row r="325" spans="1:20" x14ac:dyDescent="0.25">
      <c r="A325" s="5">
        <v>44268</v>
      </c>
      <c r="B325">
        <v>35.958199999999998</v>
      </c>
      <c r="C325">
        <v>38.2742</v>
      </c>
      <c r="D325">
        <v>34.6873</v>
      </c>
      <c r="E325">
        <v>37.141800000000003</v>
      </c>
      <c r="F325">
        <v>7399275.2599999998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0.36859126265020103</v>
      </c>
      <c r="Q325">
        <f t="shared" si="965"/>
        <v>2727308.2107797945</v>
      </c>
      <c r="R325">
        <f t="shared" si="966"/>
        <v>474460696.15747124</v>
      </c>
      <c r="S325">
        <f t="shared" si="967"/>
        <v>4744.6069615747128</v>
      </c>
      <c r="T325">
        <f t="shared" si="968"/>
        <v>4.7446069615747124</v>
      </c>
    </row>
    <row r="326" spans="1:20" x14ac:dyDescent="0.25">
      <c r="A326" s="5">
        <v>44267</v>
      </c>
      <c r="B326">
        <v>36.898800000000001</v>
      </c>
      <c r="C326">
        <v>37.499499999999998</v>
      </c>
      <c r="D326">
        <v>34.377299999999998</v>
      </c>
      <c r="E326">
        <v>35.955100000000002</v>
      </c>
      <c r="F326">
        <v>6812852.0300000003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1.0697585036194808E-2</v>
      </c>
      <c r="Q326">
        <f t="shared" ref="Q326:Q389" si="970">F326*P326</f>
        <v>72881.063929937431</v>
      </c>
      <c r="R326">
        <f t="shared" ref="R326:R389" si="971">R327+Q326</f>
        <v>471733387.94669145</v>
      </c>
      <c r="S326">
        <f t="shared" ref="S326:S389" si="972">R326/100000</f>
        <v>4717.3338794669144</v>
      </c>
      <c r="T326">
        <f t="shared" ref="T326:T389" si="973">S326/1000</f>
        <v>4.7173338794669144</v>
      </c>
    </row>
    <row r="327" spans="1:20" x14ac:dyDescent="0.25">
      <c r="A327" s="5">
        <v>44266</v>
      </c>
      <c r="B327">
        <v>37.553400000000003</v>
      </c>
      <c r="C327">
        <v>38.043399999999998</v>
      </c>
      <c r="D327">
        <v>35.8675</v>
      </c>
      <c r="E327">
        <v>36.9026</v>
      </c>
      <c r="F327">
        <v>8664283.5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-4.8577600073532269E-2</v>
      </c>
      <c r="Q327">
        <f t="shared" si="970"/>
        <v>-420890.09878670442</v>
      </c>
      <c r="R327">
        <f t="shared" si="971"/>
        <v>471660506.88276154</v>
      </c>
      <c r="S327">
        <f t="shared" si="972"/>
        <v>4716.6050688276155</v>
      </c>
      <c r="T327">
        <f t="shared" si="973"/>
        <v>4.7166050688276151</v>
      </c>
    </row>
    <row r="328" spans="1:20" x14ac:dyDescent="0.25">
      <c r="A328" s="5">
        <v>44265</v>
      </c>
      <c r="B328">
        <v>38.1845</v>
      </c>
      <c r="C328">
        <v>39.6</v>
      </c>
      <c r="D328">
        <v>36.2181</v>
      </c>
      <c r="E328">
        <v>37.549399999999999</v>
      </c>
      <c r="F328">
        <v>12012623.699999999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-0.21269109080694393</v>
      </c>
      <c r="Q328">
        <f t="shared" si="970"/>
        <v>-2554978.0382063468</v>
      </c>
      <c r="R328">
        <f t="shared" si="971"/>
        <v>472081396.98154825</v>
      </c>
      <c r="S328">
        <f t="shared" si="972"/>
        <v>4720.8139698154828</v>
      </c>
      <c r="T328">
        <f t="shared" si="973"/>
        <v>4.7208139698154827</v>
      </c>
    </row>
    <row r="329" spans="1:20" x14ac:dyDescent="0.25">
      <c r="A329" s="5">
        <v>44264</v>
      </c>
      <c r="B329">
        <v>34.986699999999999</v>
      </c>
      <c r="C329">
        <v>38.878799999999998</v>
      </c>
      <c r="D329">
        <v>34.514800000000001</v>
      </c>
      <c r="E329">
        <v>38.188200000000002</v>
      </c>
      <c r="F329">
        <v>12891833.92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0.68350137488542773</v>
      </c>
      <c r="Q329">
        <f t="shared" si="970"/>
        <v>8811586.2091145925</v>
      </c>
      <c r="R329">
        <f t="shared" si="971"/>
        <v>474636375.01975459</v>
      </c>
      <c r="S329">
        <f t="shared" si="972"/>
        <v>4746.3637501975463</v>
      </c>
      <c r="T329">
        <f t="shared" si="973"/>
        <v>4.7463637501975464</v>
      </c>
    </row>
    <row r="330" spans="1:20" x14ac:dyDescent="0.25">
      <c r="A330" s="5">
        <v>44263</v>
      </c>
      <c r="B330">
        <v>35.089799999999997</v>
      </c>
      <c r="C330">
        <v>35.556600000000003</v>
      </c>
      <c r="D330">
        <v>33.405299999999997</v>
      </c>
      <c r="E330">
        <v>34.973700000000001</v>
      </c>
      <c r="F330">
        <v>6813802.79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0.45809510528517594</v>
      </c>
      <c r="Q330">
        <f t="shared" si="970"/>
        <v>3121369.7064774758</v>
      </c>
      <c r="R330">
        <f t="shared" si="971"/>
        <v>465824788.81063998</v>
      </c>
      <c r="S330">
        <f t="shared" si="972"/>
        <v>4658.2478881063998</v>
      </c>
      <c r="T330">
        <f t="shared" si="973"/>
        <v>4.6582478881064002</v>
      </c>
    </row>
    <row r="331" spans="1:20" x14ac:dyDescent="0.25">
      <c r="A331" s="5">
        <v>44262</v>
      </c>
      <c r="B331">
        <v>33.3628</v>
      </c>
      <c r="C331">
        <v>35.299900000000001</v>
      </c>
      <c r="D331">
        <v>33.3628</v>
      </c>
      <c r="E331">
        <v>35.094999999999999</v>
      </c>
      <c r="F331">
        <v>6061093.3600000003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0.78844664704971146</v>
      </c>
      <c r="Q331">
        <f t="shared" si="970"/>
        <v>4778848.7371472698</v>
      </c>
      <c r="R331">
        <f t="shared" si="971"/>
        <v>462703419.10416251</v>
      </c>
      <c r="S331">
        <f t="shared" si="972"/>
        <v>4627.0341910416255</v>
      </c>
      <c r="T331">
        <f t="shared" si="973"/>
        <v>4.6270341910416253</v>
      </c>
    </row>
    <row r="332" spans="1:20" x14ac:dyDescent="0.25">
      <c r="A332" s="5">
        <v>44261</v>
      </c>
      <c r="B332">
        <v>33.592599999999997</v>
      </c>
      <c r="C332">
        <v>34.1997</v>
      </c>
      <c r="D332">
        <v>32.049999999999997</v>
      </c>
      <c r="E332">
        <v>33.3596</v>
      </c>
      <c r="F332">
        <v>6037223.1699999999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0.21840256780015954</v>
      </c>
      <c r="Q332">
        <f t="shared" si="970"/>
        <v>1318545.042710619</v>
      </c>
      <c r="R332">
        <f t="shared" si="971"/>
        <v>457924570.36701524</v>
      </c>
      <c r="S332">
        <f t="shared" si="972"/>
        <v>4579.2457036701526</v>
      </c>
      <c r="T332">
        <f t="shared" si="973"/>
        <v>4.5792457036701526</v>
      </c>
    </row>
    <row r="333" spans="1:20" x14ac:dyDescent="0.25">
      <c r="A333" s="5">
        <v>44260</v>
      </c>
      <c r="B333">
        <v>35.225099999999998</v>
      </c>
      <c r="C333">
        <v>35.268700000000003</v>
      </c>
      <c r="D333">
        <v>31.31</v>
      </c>
      <c r="E333">
        <v>33.619399999999999</v>
      </c>
      <c r="F333">
        <v>15293689.83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0.16674665925682566</v>
      </c>
      <c r="Q333">
        <f t="shared" si="970"/>
        <v>2550171.6868625898</v>
      </c>
      <c r="R333">
        <f t="shared" si="971"/>
        <v>456606025.32430464</v>
      </c>
      <c r="S333">
        <f t="shared" si="972"/>
        <v>4566.0602532430466</v>
      </c>
      <c r="T333">
        <f t="shared" si="973"/>
        <v>4.5660602532430463</v>
      </c>
    </row>
    <row r="334" spans="1:20" x14ac:dyDescent="0.25">
      <c r="A334" s="5">
        <v>44259</v>
      </c>
      <c r="B334">
        <v>37.066099999999999</v>
      </c>
      <c r="C334">
        <v>38.380000000000003</v>
      </c>
      <c r="D334">
        <v>34.35</v>
      </c>
      <c r="E334">
        <v>35.2166</v>
      </c>
      <c r="F334">
        <v>11601602.41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-0.56992555831265612</v>
      </c>
      <c r="Q334">
        <f t="shared" si="970"/>
        <v>-6612049.7308407072</v>
      </c>
      <c r="R334">
        <f t="shared" si="971"/>
        <v>454055853.63744205</v>
      </c>
      <c r="S334">
        <f t="shared" si="972"/>
        <v>4540.5585363744203</v>
      </c>
      <c r="T334">
        <f t="shared" si="973"/>
        <v>4.5405585363744203</v>
      </c>
    </row>
    <row r="335" spans="1:20" x14ac:dyDescent="0.25">
      <c r="A335" s="5">
        <v>44258</v>
      </c>
      <c r="B335">
        <v>36.148499999999999</v>
      </c>
      <c r="C335">
        <v>38.68</v>
      </c>
      <c r="D335">
        <v>36.103099999999998</v>
      </c>
      <c r="E335">
        <v>37.098500000000001</v>
      </c>
      <c r="F335">
        <v>11641704.640000001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-0.22744382785517261</v>
      </c>
      <c r="Q335">
        <f t="shared" si="970"/>
        <v>-2647833.8660809244</v>
      </c>
      <c r="R335">
        <f t="shared" si="971"/>
        <v>460667903.36828274</v>
      </c>
      <c r="S335">
        <f t="shared" si="972"/>
        <v>4606.6790336828271</v>
      </c>
      <c r="T335">
        <f t="shared" si="973"/>
        <v>4.6066790336828269</v>
      </c>
    </row>
    <row r="336" spans="1:20" x14ac:dyDescent="0.25">
      <c r="A336" s="5">
        <v>44257</v>
      </c>
      <c r="B336">
        <v>35.627800000000001</v>
      </c>
      <c r="C336">
        <v>37.924700000000001</v>
      </c>
      <c r="D336">
        <v>34.377699999999997</v>
      </c>
      <c r="E336">
        <v>36.139299999999999</v>
      </c>
      <c r="F336">
        <v>15276420.140000001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-6.7098956864960098E-3</v>
      </c>
      <c r="Q336">
        <f t="shared" si="970"/>
        <v>-102503.18560248677</v>
      </c>
      <c r="R336">
        <f t="shared" si="971"/>
        <v>463315737.23436368</v>
      </c>
      <c r="S336">
        <f t="shared" si="972"/>
        <v>4633.1573723436368</v>
      </c>
      <c r="T336">
        <f t="shared" si="973"/>
        <v>4.6331573723436366</v>
      </c>
    </row>
    <row r="337" spans="1:20" x14ac:dyDescent="0.25">
      <c r="A337" s="5">
        <v>44256</v>
      </c>
      <c r="B337">
        <v>33.796399999999998</v>
      </c>
      <c r="C337">
        <v>35.659999999999997</v>
      </c>
      <c r="D337">
        <v>33.014899999999997</v>
      </c>
      <c r="E337">
        <v>35.627299999999998</v>
      </c>
      <c r="F337">
        <v>13666144.310000001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0.97527503686061134</v>
      </c>
      <c r="Q337">
        <f t="shared" si="970"/>
        <v>13328249.395677684</v>
      </c>
      <c r="R337">
        <f t="shared" si="971"/>
        <v>463418240.41996616</v>
      </c>
      <c r="S337">
        <f t="shared" si="972"/>
        <v>4634.1824041996615</v>
      </c>
      <c r="T337">
        <f t="shared" si="973"/>
        <v>4.6341824041996613</v>
      </c>
    </row>
    <row r="338" spans="1:20" x14ac:dyDescent="0.25">
      <c r="A338" s="5">
        <v>44255</v>
      </c>
      <c r="B338">
        <v>33.4664</v>
      </c>
      <c r="C338">
        <v>34.56</v>
      </c>
      <c r="D338">
        <v>29.7</v>
      </c>
      <c r="E338">
        <v>33.799999999999997</v>
      </c>
      <c r="F338">
        <v>19977135.539999999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0.68724279835390756</v>
      </c>
      <c r="Q338">
        <f t="shared" si="970"/>
        <v>13729142.531604899</v>
      </c>
      <c r="R338">
        <f t="shared" si="971"/>
        <v>450089991.02428848</v>
      </c>
      <c r="S338">
        <f t="shared" si="972"/>
        <v>4500.8999102428852</v>
      </c>
      <c r="T338">
        <f t="shared" si="973"/>
        <v>4.500899910242885</v>
      </c>
    </row>
    <row r="339" spans="1:20" x14ac:dyDescent="0.25">
      <c r="A339" s="5">
        <v>44254</v>
      </c>
      <c r="B339">
        <v>31.450600000000001</v>
      </c>
      <c r="C339">
        <v>35.661799999999999</v>
      </c>
      <c r="D339">
        <v>31.347100000000001</v>
      </c>
      <c r="E339">
        <v>33.457500000000003</v>
      </c>
      <c r="F339">
        <v>20330311.629999999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-2.1762810855909878E-2</v>
      </c>
      <c r="Q339">
        <f t="shared" si="970"/>
        <v>-442444.72664539481</v>
      </c>
      <c r="R339">
        <f t="shared" si="971"/>
        <v>436360848.49268359</v>
      </c>
      <c r="S339">
        <f t="shared" si="972"/>
        <v>4363.6084849268354</v>
      </c>
      <c r="T339">
        <f t="shared" si="973"/>
        <v>4.3636084849268357</v>
      </c>
    </row>
    <row r="340" spans="1:20" x14ac:dyDescent="0.25">
      <c r="A340" s="5">
        <v>44253</v>
      </c>
      <c r="B340">
        <v>31.228200000000001</v>
      </c>
      <c r="C340">
        <v>33.551600000000001</v>
      </c>
      <c r="D340">
        <v>28.0001</v>
      </c>
      <c r="E340">
        <v>31.436199999999999</v>
      </c>
      <c r="F340">
        <v>25275240.199999999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0.23789966675673213</v>
      </c>
      <c r="Q340">
        <f t="shared" si="970"/>
        <v>6012971.2207763596</v>
      </c>
      <c r="R340">
        <f t="shared" si="971"/>
        <v>436803293.219329</v>
      </c>
      <c r="S340">
        <f t="shared" si="972"/>
        <v>4368.0329321932904</v>
      </c>
      <c r="T340">
        <f t="shared" si="973"/>
        <v>4.36803293219329</v>
      </c>
    </row>
    <row r="341" spans="1:20" x14ac:dyDescent="0.25">
      <c r="A341" s="5">
        <v>44252</v>
      </c>
      <c r="B341">
        <v>33.631500000000003</v>
      </c>
      <c r="C341">
        <v>35.26</v>
      </c>
      <c r="D341">
        <v>30.8582</v>
      </c>
      <c r="E341">
        <v>31.234100000000002</v>
      </c>
      <c r="F341">
        <v>13365957.050000001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-0.82920623381343916</v>
      </c>
      <c r="Q341">
        <f t="shared" si="970"/>
        <v>-11083134.906742686</v>
      </c>
      <c r="R341">
        <f t="shared" si="971"/>
        <v>430790321.99855262</v>
      </c>
      <c r="S341">
        <f t="shared" si="972"/>
        <v>4307.9032199855264</v>
      </c>
      <c r="T341">
        <f t="shared" si="973"/>
        <v>4.3079032199855263</v>
      </c>
    </row>
    <row r="342" spans="1:20" x14ac:dyDescent="0.25">
      <c r="A342" s="5">
        <v>44251</v>
      </c>
      <c r="B342">
        <v>34.569699999999997</v>
      </c>
      <c r="C342">
        <v>36.799999999999997</v>
      </c>
      <c r="D342">
        <v>31.1</v>
      </c>
      <c r="E342">
        <v>33.639600000000002</v>
      </c>
      <c r="F342">
        <v>20265938.210000001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-0.1089122807017537</v>
      </c>
      <c r="Q342">
        <f t="shared" si="970"/>
        <v>-2207209.5510119158</v>
      </c>
      <c r="R342">
        <f t="shared" si="971"/>
        <v>441873456.90529531</v>
      </c>
      <c r="S342">
        <f t="shared" si="972"/>
        <v>4418.7345690529528</v>
      </c>
      <c r="T342">
        <f t="shared" si="973"/>
        <v>4.4187345690529529</v>
      </c>
    </row>
    <row r="343" spans="1:20" x14ac:dyDescent="0.25">
      <c r="A343" s="5">
        <v>44250</v>
      </c>
      <c r="B343">
        <v>37.636899999999997</v>
      </c>
      <c r="C343">
        <v>37.799999999999997</v>
      </c>
      <c r="D343">
        <v>26.5</v>
      </c>
      <c r="E343">
        <v>34.532499999999999</v>
      </c>
      <c r="F343">
        <v>40437206.880000003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0.42168141592920372</v>
      </c>
      <c r="Q343">
        <f t="shared" si="970"/>
        <v>17051618.653380539</v>
      </c>
      <c r="R343">
        <f t="shared" si="971"/>
        <v>444080666.45630723</v>
      </c>
      <c r="S343">
        <f t="shared" si="972"/>
        <v>4440.8066645630724</v>
      </c>
      <c r="T343">
        <f t="shared" si="973"/>
        <v>4.4408066645630724</v>
      </c>
    </row>
    <row r="344" spans="1:20" x14ac:dyDescent="0.25">
      <c r="A344" s="5">
        <v>44249</v>
      </c>
      <c r="B344">
        <v>39.5867</v>
      </c>
      <c r="C344">
        <v>39.743400000000001</v>
      </c>
      <c r="D344">
        <v>30.810400000000001</v>
      </c>
      <c r="E344">
        <v>37.6143</v>
      </c>
      <c r="F344">
        <v>27519472.039999999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0.52331803425500922</v>
      </c>
      <c r="Q344">
        <f t="shared" si="970"/>
        <v>14401436.011708489</v>
      </c>
      <c r="R344">
        <f t="shared" si="971"/>
        <v>427029047.80292672</v>
      </c>
      <c r="S344">
        <f t="shared" si="972"/>
        <v>4270.2904780292674</v>
      </c>
      <c r="T344">
        <f t="shared" si="973"/>
        <v>4.2702904780292679</v>
      </c>
    </row>
    <row r="345" spans="1:20" x14ac:dyDescent="0.25">
      <c r="A345" s="5">
        <v>44248</v>
      </c>
      <c r="B345">
        <v>38.938099999999999</v>
      </c>
      <c r="C345">
        <v>40.699199999999998</v>
      </c>
      <c r="D345">
        <v>38</v>
      </c>
      <c r="E345">
        <v>39.586300000000001</v>
      </c>
      <c r="F345">
        <v>15160345.529999999</v>
      </c>
      <c r="G345">
        <v>0</v>
      </c>
      <c r="L345" t="s">
        <v>7</v>
      </c>
      <c r="M345" t="s">
        <v>8</v>
      </c>
      <c r="N345" t="s">
        <v>8</v>
      </c>
      <c r="P345">
        <f t="shared" si="969"/>
        <v>0.17538529934795702</v>
      </c>
      <c r="Q345">
        <f t="shared" si="970"/>
        <v>2658901.738997512</v>
      </c>
      <c r="R345">
        <f t="shared" si="971"/>
        <v>412627611.79121822</v>
      </c>
      <c r="S345">
        <f t="shared" si="972"/>
        <v>4126.2761179121826</v>
      </c>
      <c r="T345">
        <f t="shared" si="973"/>
        <v>4.126276117912183</v>
      </c>
    </row>
    <row r="346" spans="1:20" x14ac:dyDescent="0.25">
      <c r="A346" s="5">
        <v>44247</v>
      </c>
      <c r="B346">
        <v>34.8093</v>
      </c>
      <c r="C346">
        <v>42.284799999999997</v>
      </c>
      <c r="D346">
        <v>34.700000000000003</v>
      </c>
      <c r="E346">
        <v>38.942</v>
      </c>
      <c r="F346">
        <v>29189715.440000001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0.11855289526421278</v>
      </c>
      <c r="Q346">
        <f t="shared" si="970"/>
        <v>3460525.2773504951</v>
      </c>
      <c r="R346">
        <f t="shared" si="971"/>
        <v>409968710.0522207</v>
      </c>
      <c r="S346">
        <f t="shared" si="972"/>
        <v>4099.6871005222074</v>
      </c>
      <c r="T346">
        <f t="shared" si="973"/>
        <v>4.0996871005222077</v>
      </c>
    </row>
    <row r="347" spans="1:20" x14ac:dyDescent="0.25">
      <c r="A347" s="5">
        <v>44246</v>
      </c>
      <c r="B347">
        <v>31.11</v>
      </c>
      <c r="C347">
        <v>35</v>
      </c>
      <c r="D347">
        <v>29.5</v>
      </c>
      <c r="E347">
        <v>34.823999999999998</v>
      </c>
      <c r="F347">
        <v>16536466.18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0.93599999999999928</v>
      </c>
      <c r="Q347">
        <f t="shared" si="970"/>
        <v>15478132.344479987</v>
      </c>
      <c r="R347">
        <f t="shared" si="971"/>
        <v>406508184.77487022</v>
      </c>
      <c r="S347">
        <f t="shared" si="972"/>
        <v>4065.0818477487023</v>
      </c>
      <c r="T347">
        <f t="shared" si="973"/>
        <v>4.0650818477487025</v>
      </c>
    </row>
    <row r="348" spans="1:20" x14ac:dyDescent="0.25">
      <c r="A348" s="5">
        <v>44245</v>
      </c>
      <c r="B348">
        <v>31.9849</v>
      </c>
      <c r="C348">
        <v>32.592599999999997</v>
      </c>
      <c r="D348">
        <v>30.545300000000001</v>
      </c>
      <c r="E348">
        <v>31.11</v>
      </c>
      <c r="F348">
        <v>7915382.5499999998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-0.44834660284276906</v>
      </c>
      <c r="Q348">
        <f t="shared" si="970"/>
        <v>-3548834.8764934344</v>
      </c>
      <c r="R348">
        <f t="shared" si="971"/>
        <v>391030052.43039024</v>
      </c>
      <c r="S348">
        <f t="shared" si="972"/>
        <v>3910.3005243039024</v>
      </c>
      <c r="T348">
        <f t="shared" si="973"/>
        <v>3.9103005243039024</v>
      </c>
    </row>
    <row r="349" spans="1:20" x14ac:dyDescent="0.25">
      <c r="A349" s="5">
        <v>44244</v>
      </c>
      <c r="B349">
        <v>30.089700000000001</v>
      </c>
      <c r="C349">
        <v>32.4</v>
      </c>
      <c r="D349">
        <v>29.610900000000001</v>
      </c>
      <c r="E349">
        <v>31.9862</v>
      </c>
      <c r="F349">
        <v>14917487.449999999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0.70327345738768865</v>
      </c>
      <c r="Q349">
        <f t="shared" si="970"/>
        <v>10491072.974498956</v>
      </c>
      <c r="R349">
        <f t="shared" si="971"/>
        <v>394578887.30688369</v>
      </c>
      <c r="S349">
        <f t="shared" si="972"/>
        <v>3945.7888730688369</v>
      </c>
      <c r="T349">
        <f t="shared" si="973"/>
        <v>3.9457888730688371</v>
      </c>
    </row>
    <row r="350" spans="1:20" x14ac:dyDescent="0.25">
      <c r="A350" s="5">
        <v>44243</v>
      </c>
      <c r="B350">
        <v>27.8201</v>
      </c>
      <c r="C350">
        <v>31.060600000000001</v>
      </c>
      <c r="D350">
        <v>26.8002</v>
      </c>
      <c r="E350">
        <v>30.083200000000001</v>
      </c>
      <c r="F350">
        <v>20070860.93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0.54116984320721095</v>
      </c>
      <c r="Q350">
        <f t="shared" si="970"/>
        <v>10861744.662521835</v>
      </c>
      <c r="R350">
        <f t="shared" si="971"/>
        <v>384087814.33238477</v>
      </c>
      <c r="S350">
        <f t="shared" si="972"/>
        <v>3840.8781433238478</v>
      </c>
      <c r="T350">
        <f t="shared" si="973"/>
        <v>3.8408781433238479</v>
      </c>
    </row>
    <row r="351" spans="1:20" x14ac:dyDescent="0.25">
      <c r="A351" s="5">
        <v>44242</v>
      </c>
      <c r="B351">
        <v>26.88</v>
      </c>
      <c r="C351">
        <v>29.5365</v>
      </c>
      <c r="D351">
        <v>23.1555</v>
      </c>
      <c r="E351">
        <v>27.802099999999999</v>
      </c>
      <c r="F351">
        <v>20272317.43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0.45638614637204178</v>
      </c>
      <c r="Q351">
        <f t="shared" si="970"/>
        <v>9252004.8299084734</v>
      </c>
      <c r="R351">
        <f t="shared" si="971"/>
        <v>373226069.66986293</v>
      </c>
      <c r="S351">
        <f t="shared" si="972"/>
        <v>3732.2606966986291</v>
      </c>
      <c r="T351">
        <f t="shared" si="973"/>
        <v>3.7322606966986291</v>
      </c>
    </row>
    <row r="352" spans="1:20" x14ac:dyDescent="0.25">
      <c r="A352" s="5">
        <v>44241</v>
      </c>
      <c r="B352">
        <v>27.9602</v>
      </c>
      <c r="C352">
        <v>29.414200000000001</v>
      </c>
      <c r="D352">
        <v>26.4</v>
      </c>
      <c r="E352">
        <v>26.872399999999999</v>
      </c>
      <c r="F352">
        <v>10698732.390000001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-0.68655032844535868</v>
      </c>
      <c r="Q352">
        <f t="shared" si="970"/>
        <v>-7345218.236303498</v>
      </c>
      <c r="R352">
        <f t="shared" si="971"/>
        <v>363974064.83995444</v>
      </c>
      <c r="S352">
        <f t="shared" si="972"/>
        <v>3639.7406483995442</v>
      </c>
      <c r="T352">
        <f t="shared" si="973"/>
        <v>3.639740648399544</v>
      </c>
    </row>
    <row r="353" spans="1:20" x14ac:dyDescent="0.25">
      <c r="A353" s="5">
        <v>44240</v>
      </c>
      <c r="B353">
        <v>28.6523</v>
      </c>
      <c r="C353">
        <v>30.21</v>
      </c>
      <c r="D353">
        <v>27.220300000000002</v>
      </c>
      <c r="E353">
        <v>27.936399999999999</v>
      </c>
      <c r="F353">
        <v>15559714.6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-0.52095527979396095</v>
      </c>
      <c r="Q353">
        <f t="shared" si="970"/>
        <v>-8105915.472957179</v>
      </c>
      <c r="R353">
        <f t="shared" si="971"/>
        <v>371319283.07625794</v>
      </c>
      <c r="S353">
        <f t="shared" si="972"/>
        <v>3713.1928307625794</v>
      </c>
      <c r="T353">
        <f t="shared" si="973"/>
        <v>3.7131928307625794</v>
      </c>
    </row>
    <row r="354" spans="1:20" x14ac:dyDescent="0.25">
      <c r="A354" s="5">
        <v>44239</v>
      </c>
      <c r="B354">
        <v>25.003599999999999</v>
      </c>
      <c r="C354">
        <v>29.7272</v>
      </c>
      <c r="D354">
        <v>24.5</v>
      </c>
      <c r="E354">
        <v>28.6555</v>
      </c>
      <c r="F354">
        <v>15767764.9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0.58995255586164685</v>
      </c>
      <c r="Q354">
        <f t="shared" si="970"/>
        <v>9302233.2029805649</v>
      </c>
      <c r="R354">
        <f t="shared" si="971"/>
        <v>379425198.54921514</v>
      </c>
      <c r="S354">
        <f t="shared" si="972"/>
        <v>3794.2519854921516</v>
      </c>
      <c r="T354">
        <f t="shared" si="973"/>
        <v>3.7942519854921515</v>
      </c>
    </row>
    <row r="355" spans="1:20" x14ac:dyDescent="0.25">
      <c r="A355" s="5">
        <v>44238</v>
      </c>
      <c r="B355">
        <v>23.578399999999998</v>
      </c>
      <c r="C355">
        <v>25.707100000000001</v>
      </c>
      <c r="D355">
        <v>23.235700000000001</v>
      </c>
      <c r="E355">
        <v>25.022400000000001</v>
      </c>
      <c r="F355">
        <v>13943337.77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0.44590110868333765</v>
      </c>
      <c r="Q355">
        <f t="shared" si="970"/>
        <v>6217349.770389257</v>
      </c>
      <c r="R355">
        <f t="shared" si="971"/>
        <v>370122965.34623456</v>
      </c>
      <c r="S355">
        <f t="shared" si="972"/>
        <v>3701.2296534623456</v>
      </c>
      <c r="T355">
        <f t="shared" si="973"/>
        <v>3.7012296534623457</v>
      </c>
    </row>
    <row r="356" spans="1:20" x14ac:dyDescent="0.25">
      <c r="A356" s="5">
        <v>44237</v>
      </c>
      <c r="B356">
        <v>23.088999999999999</v>
      </c>
      <c r="C356">
        <v>24.849799999999998</v>
      </c>
      <c r="D356">
        <v>21.8916</v>
      </c>
      <c r="E356">
        <v>23.582100000000001</v>
      </c>
      <c r="F356">
        <v>16612771.890000001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0.14292475153809836</v>
      </c>
      <c r="Q356">
        <f t="shared" si="970"/>
        <v>2374376.2947373549</v>
      </c>
      <c r="R356">
        <f t="shared" si="971"/>
        <v>363905615.5758453</v>
      </c>
      <c r="S356">
        <f t="shared" si="972"/>
        <v>3639.0561557584529</v>
      </c>
      <c r="T356">
        <f t="shared" si="973"/>
        <v>3.6390561557584529</v>
      </c>
    </row>
    <row r="357" spans="1:20" x14ac:dyDescent="0.25">
      <c r="A357" s="5">
        <v>44236</v>
      </c>
      <c r="B357">
        <v>22.984000000000002</v>
      </c>
      <c r="C357">
        <v>24.12</v>
      </c>
      <c r="D357">
        <v>22.226900000000001</v>
      </c>
      <c r="E357">
        <v>23.084599999999998</v>
      </c>
      <c r="F357">
        <v>16067713.73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-9.3867201943904202E-2</v>
      </c>
      <c r="Q357">
        <f t="shared" si="970"/>
        <v>-1508231.3294707523</v>
      </c>
      <c r="R357">
        <f t="shared" si="971"/>
        <v>361531239.28110796</v>
      </c>
      <c r="S357">
        <f t="shared" si="972"/>
        <v>3615.3123928110795</v>
      </c>
      <c r="T357">
        <f t="shared" si="973"/>
        <v>3.6153123928110795</v>
      </c>
    </row>
    <row r="358" spans="1:20" x14ac:dyDescent="0.25">
      <c r="A358" s="5">
        <v>44235</v>
      </c>
      <c r="B358">
        <v>19.736499999999999</v>
      </c>
      <c r="C358">
        <v>23.696899999999999</v>
      </c>
      <c r="D358">
        <v>19.1828</v>
      </c>
      <c r="E358">
        <v>22.985299999999999</v>
      </c>
      <c r="F358">
        <v>25522324.879999999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0.68472120688509297</v>
      </c>
      <c r="Q358">
        <f t="shared" si="970"/>
        <v>17475677.094347034</v>
      </c>
      <c r="R358">
        <f t="shared" si="971"/>
        <v>363039470.61057872</v>
      </c>
      <c r="S358">
        <f t="shared" si="972"/>
        <v>3630.394706105787</v>
      </c>
      <c r="T358">
        <f t="shared" si="973"/>
        <v>3.6303947061057871</v>
      </c>
    </row>
    <row r="359" spans="1:20" x14ac:dyDescent="0.25">
      <c r="A359" s="5">
        <v>44234</v>
      </c>
      <c r="B359">
        <v>20.369</v>
      </c>
      <c r="C359">
        <v>20.803100000000001</v>
      </c>
      <c r="D359">
        <v>18.46</v>
      </c>
      <c r="E359">
        <v>19.734500000000001</v>
      </c>
      <c r="F359">
        <v>15159822.49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8.7875037343689885E-2</v>
      </c>
      <c r="Q359">
        <f t="shared" si="970"/>
        <v>1332169.9674324598</v>
      </c>
      <c r="R359">
        <f t="shared" si="971"/>
        <v>345563793.51623166</v>
      </c>
      <c r="S359">
        <f t="shared" si="972"/>
        <v>3455.6379351623164</v>
      </c>
      <c r="T359">
        <f t="shared" si="973"/>
        <v>3.4556379351623163</v>
      </c>
    </row>
    <row r="360" spans="1:20" x14ac:dyDescent="0.25">
      <c r="A360" s="5">
        <v>44233</v>
      </c>
      <c r="B360">
        <v>20.825900000000001</v>
      </c>
      <c r="C360">
        <v>21.399000000000001</v>
      </c>
      <c r="D360">
        <v>19.842500000000001</v>
      </c>
      <c r="E360">
        <v>20.3734</v>
      </c>
      <c r="F360">
        <v>11925117.119999999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-0.31782846129135994</v>
      </c>
      <c r="Q360">
        <f t="shared" si="970"/>
        <v>-3790141.6249688533</v>
      </c>
      <c r="R360">
        <f t="shared" si="971"/>
        <v>344231623.54879922</v>
      </c>
      <c r="S360">
        <f t="shared" si="972"/>
        <v>3442.3162354879923</v>
      </c>
      <c r="T360">
        <f t="shared" si="973"/>
        <v>3.4423162354879921</v>
      </c>
    </row>
    <row r="361" spans="1:20" x14ac:dyDescent="0.25">
      <c r="A361" s="5">
        <v>44232</v>
      </c>
      <c r="B361">
        <v>19.668199999999999</v>
      </c>
      <c r="C361">
        <v>21.4</v>
      </c>
      <c r="D361">
        <v>19.347200000000001</v>
      </c>
      <c r="E361">
        <v>20.84</v>
      </c>
      <c r="F361">
        <v>17350792.079999998</v>
      </c>
      <c r="G361">
        <v>0</v>
      </c>
      <c r="L361" t="s">
        <v>7</v>
      </c>
      <c r="M361" t="s">
        <v>8</v>
      </c>
      <c r="N361" t="s">
        <v>8</v>
      </c>
      <c r="P361">
        <f t="shared" si="969"/>
        <v>0.45440374123148936</v>
      </c>
      <c r="Q361">
        <f t="shared" si="970"/>
        <v>7884264.8344816938</v>
      </c>
      <c r="R361">
        <f t="shared" si="971"/>
        <v>348021765.17376804</v>
      </c>
      <c r="S361">
        <f t="shared" si="972"/>
        <v>3480.2176517376806</v>
      </c>
      <c r="T361">
        <f t="shared" si="973"/>
        <v>3.4802176517376808</v>
      </c>
    </row>
    <row r="362" spans="1:20" x14ac:dyDescent="0.25">
      <c r="A362" s="5">
        <v>44231</v>
      </c>
      <c r="B362">
        <v>20.858799999999999</v>
      </c>
      <c r="C362">
        <v>21.732099999999999</v>
      </c>
      <c r="D362">
        <v>18.57</v>
      </c>
      <c r="E362">
        <v>19.6677</v>
      </c>
      <c r="F362">
        <v>25501882.41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-0.30571455678188542</v>
      </c>
      <c r="Q362">
        <f t="shared" si="970"/>
        <v>-7796296.6780769099</v>
      </c>
      <c r="R362">
        <f t="shared" si="971"/>
        <v>340137500.33928633</v>
      </c>
      <c r="S362">
        <f t="shared" si="972"/>
        <v>3401.3750033928632</v>
      </c>
      <c r="T362">
        <f t="shared" si="973"/>
        <v>3.4013750033928631</v>
      </c>
    </row>
    <row r="363" spans="1:20" x14ac:dyDescent="0.25">
      <c r="A363" s="5">
        <v>44230</v>
      </c>
      <c r="B363">
        <v>17.176600000000001</v>
      </c>
      <c r="C363">
        <v>20.932200000000002</v>
      </c>
      <c r="D363">
        <v>16.8</v>
      </c>
      <c r="E363">
        <v>20.8538</v>
      </c>
      <c r="F363">
        <v>28799999.030000001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0.96205411161124732</v>
      </c>
      <c r="Q363">
        <f t="shared" si="970"/>
        <v>27707157.481211435</v>
      </c>
      <c r="R363">
        <f t="shared" si="971"/>
        <v>347933797.01736325</v>
      </c>
      <c r="S363">
        <f t="shared" si="972"/>
        <v>3479.3379701736326</v>
      </c>
      <c r="T363">
        <f t="shared" si="973"/>
        <v>3.4793379701736327</v>
      </c>
    </row>
    <row r="364" spans="1:20" x14ac:dyDescent="0.25">
      <c r="A364" s="5">
        <v>44229</v>
      </c>
      <c r="B364">
        <v>16.440100000000001</v>
      </c>
      <c r="C364">
        <v>17.670000000000002</v>
      </c>
      <c r="D364">
        <v>15.981299999999999</v>
      </c>
      <c r="E364">
        <v>17.176500000000001</v>
      </c>
      <c r="F364">
        <v>17507006.870000001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0.41552673654290256</v>
      </c>
      <c r="Q364">
        <f t="shared" si="970"/>
        <v>7274629.4313252755</v>
      </c>
      <c r="R364">
        <f t="shared" si="971"/>
        <v>320226639.53615183</v>
      </c>
      <c r="S364">
        <f t="shared" si="972"/>
        <v>3202.2663953615183</v>
      </c>
      <c r="T364">
        <f t="shared" si="973"/>
        <v>3.2022663953615185</v>
      </c>
    </row>
    <row r="365" spans="1:20" x14ac:dyDescent="0.25">
      <c r="A365" s="5">
        <v>44228</v>
      </c>
      <c r="B365">
        <v>16.115300000000001</v>
      </c>
      <c r="C365">
        <v>16.561499999999999</v>
      </c>
      <c r="D365">
        <v>15.5807</v>
      </c>
      <c r="E365">
        <v>16.438500000000001</v>
      </c>
      <c r="F365">
        <v>10427226.810000001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0.74918433931484962</v>
      </c>
      <c r="Q365">
        <f t="shared" si="970"/>
        <v>7811915.028535937</v>
      </c>
      <c r="R365">
        <f t="shared" si="971"/>
        <v>312952010.10482657</v>
      </c>
      <c r="S365">
        <f t="shared" si="972"/>
        <v>3129.5201010482656</v>
      </c>
      <c r="T365">
        <f t="shared" si="973"/>
        <v>3.1295201010482656</v>
      </c>
    </row>
    <row r="366" spans="1:20" x14ac:dyDescent="0.25">
      <c r="A366" s="5">
        <v>44227</v>
      </c>
      <c r="B366">
        <v>16.542300000000001</v>
      </c>
      <c r="C366">
        <v>17.533200000000001</v>
      </c>
      <c r="D366">
        <v>15.643800000000001</v>
      </c>
      <c r="E366">
        <v>16.1128</v>
      </c>
      <c r="F366">
        <v>13322271.390000001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-0.50354609929078076</v>
      </c>
      <c r="Q366">
        <f t="shared" si="970"/>
        <v>-6708377.7921276679</v>
      </c>
      <c r="R366">
        <f t="shared" si="971"/>
        <v>305140095.07629061</v>
      </c>
      <c r="S366">
        <f t="shared" si="972"/>
        <v>3051.4009507629062</v>
      </c>
      <c r="T366">
        <f t="shared" si="973"/>
        <v>3.0514009507629063</v>
      </c>
    </row>
    <row r="367" spans="1:20" x14ac:dyDescent="0.25">
      <c r="A367" s="5">
        <v>44226</v>
      </c>
      <c r="B367">
        <v>16.799499999999998</v>
      </c>
      <c r="C367">
        <v>17.0808</v>
      </c>
      <c r="D367">
        <v>16.1327</v>
      </c>
      <c r="E367">
        <v>16.5349</v>
      </c>
      <c r="F367">
        <v>10071916.92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-0.1515662904756872</v>
      </c>
      <c r="Q367">
        <f t="shared" si="970"/>
        <v>-1526563.0855437089</v>
      </c>
      <c r="R367">
        <f t="shared" si="971"/>
        <v>311848472.86841828</v>
      </c>
      <c r="S367">
        <f t="shared" si="972"/>
        <v>3118.4847286841828</v>
      </c>
      <c r="T367">
        <f t="shared" si="973"/>
        <v>3.1184847286841828</v>
      </c>
    </row>
    <row r="368" spans="1:20" x14ac:dyDescent="0.25">
      <c r="A368" s="5">
        <v>44225</v>
      </c>
      <c r="B368">
        <v>16.871600000000001</v>
      </c>
      <c r="C368">
        <v>17.752199999999998</v>
      </c>
      <c r="D368">
        <v>15.9389</v>
      </c>
      <c r="E368">
        <v>16.796800000000001</v>
      </c>
      <c r="F368">
        <v>24085491.739999998</v>
      </c>
      <c r="G368">
        <v>0</v>
      </c>
      <c r="L368" t="s">
        <v>8</v>
      </c>
      <c r="M368" t="s">
        <v>7</v>
      </c>
      <c r="N368" t="s">
        <v>8</v>
      </c>
      <c r="P368">
        <f t="shared" si="969"/>
        <v>-5.3769370760490098E-2</v>
      </c>
      <c r="Q368">
        <f t="shared" si="970"/>
        <v>-1295061.7353167818</v>
      </c>
      <c r="R368">
        <f t="shared" si="971"/>
        <v>313375035.95396197</v>
      </c>
      <c r="S368">
        <f t="shared" si="972"/>
        <v>3133.7503595396197</v>
      </c>
      <c r="T368">
        <f t="shared" si="973"/>
        <v>3.1337503595396199</v>
      </c>
    </row>
    <row r="369" spans="1:20" x14ac:dyDescent="0.25">
      <c r="A369" s="5">
        <v>44224</v>
      </c>
      <c r="B369">
        <v>15.435</v>
      </c>
      <c r="C369">
        <v>17.4938</v>
      </c>
      <c r="D369">
        <v>15.2583</v>
      </c>
      <c r="E369">
        <v>16.8643</v>
      </c>
      <c r="F369">
        <v>18773126.129999999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0.43681503019458717</v>
      </c>
      <c r="Q369">
        <f t="shared" si="970"/>
        <v>8200383.657322743</v>
      </c>
      <c r="R369">
        <f t="shared" si="971"/>
        <v>314670097.68927872</v>
      </c>
      <c r="S369">
        <f t="shared" si="972"/>
        <v>3146.7009768927874</v>
      </c>
      <c r="T369">
        <f t="shared" si="973"/>
        <v>3.1467009768927872</v>
      </c>
    </row>
    <row r="370" spans="1:20" x14ac:dyDescent="0.25">
      <c r="A370" s="5">
        <v>44223</v>
      </c>
      <c r="B370">
        <v>17.111499999999999</v>
      </c>
      <c r="C370">
        <v>17.126999999999999</v>
      </c>
      <c r="D370">
        <v>15.031599999999999</v>
      </c>
      <c r="E370">
        <v>15.43</v>
      </c>
      <c r="F370">
        <v>18777450.02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-0.61973847475422295</v>
      </c>
      <c r="Q370">
        <f t="shared" si="970"/>
        <v>-11637108.235168453</v>
      </c>
      <c r="R370">
        <f t="shared" si="971"/>
        <v>306469714.03195596</v>
      </c>
      <c r="S370">
        <f t="shared" si="972"/>
        <v>3064.6971403195594</v>
      </c>
      <c r="T370">
        <f t="shared" si="973"/>
        <v>3.0646971403195593</v>
      </c>
    </row>
    <row r="371" spans="1:20" x14ac:dyDescent="0.25">
      <c r="A371" s="5">
        <v>44222</v>
      </c>
      <c r="B371">
        <v>17.2075</v>
      </c>
      <c r="C371">
        <v>17.784400000000002</v>
      </c>
      <c r="D371">
        <v>16</v>
      </c>
      <c r="E371">
        <v>17.101299999999998</v>
      </c>
      <c r="F371">
        <v>14031585.41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0.23436449226630512</v>
      </c>
      <c r="Q371">
        <f t="shared" si="970"/>
        <v>3288505.3903059447</v>
      </c>
      <c r="R371">
        <f t="shared" si="971"/>
        <v>318106822.26712441</v>
      </c>
      <c r="S371">
        <f t="shared" si="972"/>
        <v>3181.0682226712443</v>
      </c>
      <c r="T371">
        <f t="shared" si="973"/>
        <v>3.1810682226712443</v>
      </c>
    </row>
    <row r="372" spans="1:20" x14ac:dyDescent="0.25">
      <c r="A372" s="5">
        <v>44221</v>
      </c>
      <c r="B372">
        <v>17.9757</v>
      </c>
      <c r="C372">
        <v>19.100000000000001</v>
      </c>
      <c r="D372">
        <v>17.068999999999999</v>
      </c>
      <c r="E372">
        <v>17.207000000000001</v>
      </c>
      <c r="F372">
        <v>19765645.59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-0.86410635155095861</v>
      </c>
      <c r="Q372">
        <f t="shared" si="970"/>
        <v>-17079619.896824196</v>
      </c>
      <c r="R372">
        <f t="shared" si="971"/>
        <v>314818316.87681848</v>
      </c>
      <c r="S372">
        <f t="shared" si="972"/>
        <v>3148.1831687681847</v>
      </c>
      <c r="T372">
        <f t="shared" si="973"/>
        <v>3.1481831687681847</v>
      </c>
    </row>
    <row r="373" spans="1:20" x14ac:dyDescent="0.25">
      <c r="A373" s="5">
        <v>44220</v>
      </c>
      <c r="B373">
        <v>18.744700000000002</v>
      </c>
      <c r="C373">
        <v>18.764600000000002</v>
      </c>
      <c r="D373">
        <v>17.22</v>
      </c>
      <c r="E373">
        <v>17.974499999999999</v>
      </c>
      <c r="F373">
        <v>15685459.560000001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-2.3048038327076418E-2</v>
      </c>
      <c r="Q373">
        <f t="shared" si="970"/>
        <v>-361519.07311668724</v>
      </c>
      <c r="R373">
        <f t="shared" si="971"/>
        <v>331897936.77364266</v>
      </c>
      <c r="S373">
        <f t="shared" si="972"/>
        <v>3318.9793677364264</v>
      </c>
      <c r="T373">
        <f t="shared" si="973"/>
        <v>3.3189793677364263</v>
      </c>
    </row>
    <row r="374" spans="1:20" x14ac:dyDescent="0.25">
      <c r="A374" s="5">
        <v>44219</v>
      </c>
      <c r="B374">
        <v>17.124300000000002</v>
      </c>
      <c r="C374">
        <v>18.8</v>
      </c>
      <c r="D374">
        <v>16.795100000000001</v>
      </c>
      <c r="E374">
        <v>18.744599999999998</v>
      </c>
      <c r="F374">
        <v>24293114.739999998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0.94473539827422581</v>
      </c>
      <c r="Q374">
        <f t="shared" si="970"/>
        <v>22950565.429215364</v>
      </c>
      <c r="R374">
        <f t="shared" si="971"/>
        <v>332259455.84675932</v>
      </c>
      <c r="S374">
        <f t="shared" si="972"/>
        <v>3322.5945584675933</v>
      </c>
      <c r="T374">
        <f t="shared" si="973"/>
        <v>3.3225945584675931</v>
      </c>
    </row>
    <row r="375" spans="1:20" x14ac:dyDescent="0.25">
      <c r="A375" s="5">
        <v>44218</v>
      </c>
      <c r="B375">
        <v>15.983700000000001</v>
      </c>
      <c r="C375">
        <v>18.017800000000001</v>
      </c>
      <c r="D375">
        <v>14.7111</v>
      </c>
      <c r="E375">
        <v>17.120699999999999</v>
      </c>
      <c r="F375">
        <v>31458042.07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0.45740466325944207</v>
      </c>
      <c r="Q375">
        <f t="shared" si="970"/>
        <v>14389055.139829712</v>
      </c>
      <c r="R375">
        <f t="shared" si="971"/>
        <v>309308890.41754395</v>
      </c>
      <c r="S375">
        <f t="shared" si="972"/>
        <v>3093.0889041754394</v>
      </c>
      <c r="T375">
        <f t="shared" si="973"/>
        <v>3.0930889041754392</v>
      </c>
    </row>
    <row r="376" spans="1:20" x14ac:dyDescent="0.25">
      <c r="A376" s="5">
        <v>44217</v>
      </c>
      <c r="B376">
        <v>17.979800000000001</v>
      </c>
      <c r="C376">
        <v>18.149999999999999</v>
      </c>
      <c r="D376">
        <v>14.981999999999999</v>
      </c>
      <c r="E376">
        <v>15.9818</v>
      </c>
      <c r="F376">
        <v>38757498.25</v>
      </c>
      <c r="G376">
        <v>0</v>
      </c>
      <c r="L376" t="s">
        <v>7</v>
      </c>
      <c r="M376" t="s">
        <v>8</v>
      </c>
      <c r="N376" t="s">
        <v>8</v>
      </c>
      <c r="P376">
        <f t="shared" si="969"/>
        <v>-0.36881313131313087</v>
      </c>
      <c r="Q376">
        <f t="shared" si="970"/>
        <v>-14294274.291445689</v>
      </c>
      <c r="R376">
        <f t="shared" si="971"/>
        <v>294919835.27771425</v>
      </c>
      <c r="S376">
        <f t="shared" si="972"/>
        <v>2949.1983527771426</v>
      </c>
      <c r="T376">
        <f t="shared" si="973"/>
        <v>2.9491983527771426</v>
      </c>
    </row>
    <row r="377" spans="1:20" x14ac:dyDescent="0.25">
      <c r="A377" s="5">
        <v>44216</v>
      </c>
      <c r="B377">
        <v>16.395099999999999</v>
      </c>
      <c r="C377">
        <v>18.207799999999999</v>
      </c>
      <c r="D377">
        <v>14.79</v>
      </c>
      <c r="E377">
        <v>17.980799999999999</v>
      </c>
      <c r="F377">
        <v>33656669.479999997</v>
      </c>
      <c r="G377">
        <v>0</v>
      </c>
      <c r="L377" t="s">
        <v>8</v>
      </c>
      <c r="M377" t="s">
        <v>7</v>
      </c>
      <c r="N377" t="s">
        <v>8</v>
      </c>
      <c r="P377">
        <f t="shared" si="969"/>
        <v>0.86716601322488129</v>
      </c>
      <c r="Q377">
        <f t="shared" si="970"/>
        <v>29185919.891399134</v>
      </c>
      <c r="R377">
        <f t="shared" si="971"/>
        <v>309214109.56915992</v>
      </c>
      <c r="S377">
        <f t="shared" si="972"/>
        <v>3092.1410956915993</v>
      </c>
      <c r="T377">
        <f t="shared" si="973"/>
        <v>3.0921410956915993</v>
      </c>
    </row>
    <row r="378" spans="1:20" x14ac:dyDescent="0.25">
      <c r="A378" s="5">
        <v>44215</v>
      </c>
      <c r="B378">
        <v>16.578600000000002</v>
      </c>
      <c r="C378">
        <v>17.489999999999998</v>
      </c>
      <c r="D378">
        <v>15.887</v>
      </c>
      <c r="E378">
        <v>16.3933</v>
      </c>
      <c r="F378">
        <v>23747474.379999999</v>
      </c>
      <c r="G378">
        <v>0</v>
      </c>
      <c r="L378" t="s">
        <v>8</v>
      </c>
      <c r="M378" t="s">
        <v>7</v>
      </c>
      <c r="N378" t="s">
        <v>8</v>
      </c>
      <c r="P378">
        <f t="shared" si="969"/>
        <v>-0.36830941983780391</v>
      </c>
      <c r="Q378">
        <f t="shared" si="970"/>
        <v>-8746418.5115109123</v>
      </c>
      <c r="R378">
        <f t="shared" si="971"/>
        <v>280028189.67776078</v>
      </c>
      <c r="S378">
        <f t="shared" si="972"/>
        <v>2800.2818967776079</v>
      </c>
      <c r="T378">
        <f t="shared" si="973"/>
        <v>2.8002818967776077</v>
      </c>
    </row>
    <row r="379" spans="1:20" x14ac:dyDescent="0.25">
      <c r="A379" s="5">
        <v>44214</v>
      </c>
      <c r="B379">
        <v>17.089700000000001</v>
      </c>
      <c r="C379">
        <v>18.221</v>
      </c>
      <c r="D379">
        <v>15.7</v>
      </c>
      <c r="E379">
        <v>16.5898</v>
      </c>
      <c r="F379">
        <v>26097571.18</v>
      </c>
      <c r="G379">
        <v>0</v>
      </c>
      <c r="L379" t="s">
        <v>7</v>
      </c>
      <c r="M379" t="s">
        <v>7</v>
      </c>
      <c r="N379" t="s">
        <v>8</v>
      </c>
      <c r="P379">
        <f t="shared" si="969"/>
        <v>-0.29408964696548928</v>
      </c>
      <c r="Q379">
        <f t="shared" si="970"/>
        <v>-7675025.4949829271</v>
      </c>
      <c r="R379">
        <f t="shared" si="971"/>
        <v>288774608.18927169</v>
      </c>
      <c r="S379">
        <f t="shared" si="972"/>
        <v>2887.746081892717</v>
      </c>
      <c r="T379">
        <f t="shared" si="973"/>
        <v>2.887746081892717</v>
      </c>
    </row>
    <row r="380" spans="1:20" x14ac:dyDescent="0.25">
      <c r="A380" s="5">
        <v>44213</v>
      </c>
      <c r="B380">
        <v>17.9849</v>
      </c>
      <c r="C380">
        <v>18.267700000000001</v>
      </c>
      <c r="D380">
        <v>16.28</v>
      </c>
      <c r="E380">
        <v>17.083200000000001</v>
      </c>
      <c r="F380">
        <v>50659218.350000001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-0.19182975298083185</v>
      </c>
      <c r="Q380">
        <f t="shared" si="970"/>
        <v>-9717945.3422825243</v>
      </c>
      <c r="R380">
        <f t="shared" si="971"/>
        <v>296449633.68425459</v>
      </c>
      <c r="S380">
        <f t="shared" si="972"/>
        <v>2964.496336842546</v>
      </c>
      <c r="T380">
        <f t="shared" si="973"/>
        <v>2.9644963368425459</v>
      </c>
    </row>
    <row r="381" spans="1:20" x14ac:dyDescent="0.25">
      <c r="A381" s="5">
        <v>44212</v>
      </c>
      <c r="B381">
        <v>13.1638</v>
      </c>
      <c r="C381">
        <v>19.399999999999999</v>
      </c>
      <c r="D381">
        <v>13.156700000000001</v>
      </c>
      <c r="E381">
        <v>17.9893</v>
      </c>
      <c r="F381">
        <v>80460090.200000003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0.54809155414604493</v>
      </c>
      <c r="Q381">
        <f t="shared" si="970"/>
        <v>44099495.88444896</v>
      </c>
      <c r="R381">
        <f t="shared" si="971"/>
        <v>306167579.02653712</v>
      </c>
      <c r="S381">
        <f t="shared" si="972"/>
        <v>3061.6757902653712</v>
      </c>
      <c r="T381">
        <f t="shared" si="973"/>
        <v>3.0616757902653711</v>
      </c>
    </row>
    <row r="382" spans="1:20" x14ac:dyDescent="0.25">
      <c r="A382" s="5">
        <v>44211</v>
      </c>
      <c r="B382">
        <v>14.4862</v>
      </c>
      <c r="C382">
        <v>14.959899999999999</v>
      </c>
      <c r="D382">
        <v>11.761900000000001</v>
      </c>
      <c r="E382">
        <v>13.167899999999999</v>
      </c>
      <c r="F382">
        <v>56797246.560000002</v>
      </c>
      <c r="G382">
        <v>0</v>
      </c>
      <c r="L382" t="s">
        <v>8</v>
      </c>
      <c r="M382" t="s">
        <v>7</v>
      </c>
      <c r="N382" t="s">
        <v>8</v>
      </c>
      <c r="P382">
        <f t="shared" si="969"/>
        <v>-0.12070043777360888</v>
      </c>
      <c r="Q382">
        <f t="shared" si="970"/>
        <v>-6855452.5241276016</v>
      </c>
      <c r="R382">
        <f t="shared" si="971"/>
        <v>262068083.14208817</v>
      </c>
      <c r="S382">
        <f t="shared" si="972"/>
        <v>2620.6808314208815</v>
      </c>
      <c r="T382">
        <f t="shared" si="973"/>
        <v>2.6206808314208816</v>
      </c>
    </row>
    <row r="383" spans="1:20" x14ac:dyDescent="0.25">
      <c r="A383" s="5">
        <v>44210</v>
      </c>
      <c r="B383">
        <v>10.941700000000001</v>
      </c>
      <c r="C383">
        <v>14.68</v>
      </c>
      <c r="D383">
        <v>10.880100000000001</v>
      </c>
      <c r="E383">
        <v>14.486700000000001</v>
      </c>
      <c r="F383">
        <v>50546604.140000001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0.89826048053896212</v>
      </c>
      <c r="Q383">
        <f t="shared" si="970"/>
        <v>45404016.924409091</v>
      </c>
      <c r="R383">
        <f t="shared" si="971"/>
        <v>268923535.66621578</v>
      </c>
      <c r="S383">
        <f t="shared" si="972"/>
        <v>2689.2353566621578</v>
      </c>
      <c r="T383">
        <f t="shared" si="973"/>
        <v>2.6892353566621576</v>
      </c>
    </row>
    <row r="384" spans="1:20" x14ac:dyDescent="0.25">
      <c r="A384" s="5">
        <v>44209</v>
      </c>
      <c r="B384">
        <v>8.3071999999999999</v>
      </c>
      <c r="C384">
        <v>11.4407</v>
      </c>
      <c r="D384">
        <v>7.9832999999999998</v>
      </c>
      <c r="E384">
        <v>10.948600000000001</v>
      </c>
      <c r="F384">
        <v>33973317.450000003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0.71533522299994279</v>
      </c>
      <c r="Q384">
        <f t="shared" si="970"/>
        <v>24302310.614143599</v>
      </c>
      <c r="R384">
        <f t="shared" si="971"/>
        <v>223519518.74180672</v>
      </c>
      <c r="S384">
        <f t="shared" si="972"/>
        <v>2235.1951874180672</v>
      </c>
      <c r="T384">
        <f t="shared" si="973"/>
        <v>2.2351951874180673</v>
      </c>
    </row>
    <row r="385" spans="1:20" x14ac:dyDescent="0.25">
      <c r="A385" s="5">
        <v>44208</v>
      </c>
      <c r="B385">
        <v>8.2736000000000001</v>
      </c>
      <c r="C385">
        <v>8.7242999999999995</v>
      </c>
      <c r="D385">
        <v>7.9200999999999997</v>
      </c>
      <c r="E385">
        <v>8.3078000000000003</v>
      </c>
      <c r="F385">
        <v>17770135.489999998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-3.5811987067891835E-2</v>
      </c>
      <c r="Q385">
        <f t="shared" si="970"/>
        <v>-636383.86236256571</v>
      </c>
      <c r="R385">
        <f t="shared" si="971"/>
        <v>199217208.12766311</v>
      </c>
      <c r="S385">
        <f t="shared" si="972"/>
        <v>1992.1720812766312</v>
      </c>
      <c r="T385">
        <f t="shared" si="973"/>
        <v>1.9921720812766313</v>
      </c>
    </row>
    <row r="386" spans="1:20" x14ac:dyDescent="0.25">
      <c r="A386" s="5">
        <v>44207</v>
      </c>
      <c r="B386">
        <v>9.2962000000000007</v>
      </c>
      <c r="C386">
        <v>9.32</v>
      </c>
      <c r="D386">
        <v>7.1642000000000001</v>
      </c>
      <c r="E386">
        <v>8.2690999999999999</v>
      </c>
      <c r="F386">
        <v>39051182.140000001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2.504870581686584E-2</v>
      </c>
      <c r="Q386">
        <f t="shared" si="970"/>
        <v>978181.57322570542</v>
      </c>
      <c r="R386">
        <f t="shared" si="971"/>
        <v>199853591.99002567</v>
      </c>
      <c r="S386">
        <f t="shared" si="972"/>
        <v>1998.5359199002567</v>
      </c>
      <c r="T386">
        <f t="shared" si="973"/>
        <v>1.9985359199002566</v>
      </c>
    </row>
    <row r="387" spans="1:20" x14ac:dyDescent="0.25">
      <c r="A387" s="5">
        <v>44206</v>
      </c>
      <c r="B387">
        <v>9.7354000000000003</v>
      </c>
      <c r="C387">
        <v>9.9888999999999992</v>
      </c>
      <c r="D387">
        <v>8.6053999999999995</v>
      </c>
      <c r="E387">
        <v>9.2911000000000001</v>
      </c>
      <c r="F387">
        <v>13493639.609999999</v>
      </c>
      <c r="G387">
        <v>0</v>
      </c>
      <c r="L387" t="s">
        <v>8</v>
      </c>
      <c r="M387" t="s">
        <v>7</v>
      </c>
      <c r="N387" t="s">
        <v>8</v>
      </c>
      <c r="P387">
        <f t="shared" si="969"/>
        <v>-8.7459342247910715E-3</v>
      </c>
      <c r="Q387">
        <f t="shared" si="970"/>
        <v>-118014.48448209545</v>
      </c>
      <c r="R387">
        <f t="shared" si="971"/>
        <v>198875410.41679996</v>
      </c>
      <c r="S387">
        <f t="shared" si="972"/>
        <v>1988.7541041679997</v>
      </c>
      <c r="T387">
        <f t="shared" si="973"/>
        <v>1.9887541041679997</v>
      </c>
    </row>
    <row r="388" spans="1:20" x14ac:dyDescent="0.25">
      <c r="A388" s="5">
        <v>44205</v>
      </c>
      <c r="B388">
        <v>9.2958999999999996</v>
      </c>
      <c r="C388">
        <v>9.8149999999999995</v>
      </c>
      <c r="D388">
        <v>9.0418000000000003</v>
      </c>
      <c r="E388">
        <v>9.7354000000000003</v>
      </c>
      <c r="F388">
        <v>11628693.460000001</v>
      </c>
      <c r="G388">
        <v>0</v>
      </c>
      <c r="L388" t="s">
        <v>8</v>
      </c>
      <c r="M388" t="s">
        <v>7</v>
      </c>
      <c r="N388" t="s">
        <v>8</v>
      </c>
      <c r="P388">
        <f t="shared" si="969"/>
        <v>0.79410243145370074</v>
      </c>
      <c r="Q388">
        <f t="shared" si="970"/>
        <v>9234373.7512157485</v>
      </c>
      <c r="R388">
        <f t="shared" si="971"/>
        <v>198993424.90128207</v>
      </c>
      <c r="S388">
        <f t="shared" si="972"/>
        <v>1989.9342490128208</v>
      </c>
      <c r="T388">
        <f t="shared" si="973"/>
        <v>1.9899342490128209</v>
      </c>
    </row>
    <row r="389" spans="1:20" x14ac:dyDescent="0.25">
      <c r="A389" s="5">
        <v>44204</v>
      </c>
      <c r="B389">
        <v>9.6432000000000002</v>
      </c>
      <c r="C389">
        <v>9.8140000000000001</v>
      </c>
      <c r="D389">
        <v>8.7788000000000004</v>
      </c>
      <c r="E389">
        <v>9.2997999999999994</v>
      </c>
      <c r="F389">
        <v>18487740.390000001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6.5687789799056852E-3</v>
      </c>
      <c r="Q389">
        <f t="shared" si="970"/>
        <v>121441.88045978535</v>
      </c>
      <c r="R389">
        <f t="shared" si="971"/>
        <v>189759051.15006632</v>
      </c>
      <c r="S389">
        <f t="shared" si="972"/>
        <v>1897.5905115006631</v>
      </c>
      <c r="T389">
        <f t="shared" si="973"/>
        <v>1.897590511500663</v>
      </c>
    </row>
    <row r="390" spans="1:20" x14ac:dyDescent="0.25">
      <c r="A390" s="5">
        <v>44203</v>
      </c>
      <c r="B390">
        <v>10.0679</v>
      </c>
      <c r="C390">
        <v>10.68</v>
      </c>
      <c r="D390">
        <v>9.3800000000000008</v>
      </c>
      <c r="E390">
        <v>9.6439000000000004</v>
      </c>
      <c r="F390">
        <v>23807905.100000001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-0.59400000000000031</v>
      </c>
      <c r="Q390">
        <f t="shared" ref="Q390:Q453" si="975">F390*P390</f>
        <v>-14141895.629400007</v>
      </c>
      <c r="R390">
        <f t="shared" ref="R390:R453" si="976">R391+Q390</f>
        <v>189637609.26960653</v>
      </c>
      <c r="S390">
        <f t="shared" ref="S390:S453" si="977">R390/100000</f>
        <v>1896.3760926960654</v>
      </c>
      <c r="T390">
        <f t="shared" ref="T390:T453" si="978">S390/1000</f>
        <v>1.8963760926960653</v>
      </c>
    </row>
    <row r="391" spans="1:20" x14ac:dyDescent="0.25">
      <c r="A391" s="5">
        <v>44202</v>
      </c>
      <c r="B391">
        <v>9.7126000000000001</v>
      </c>
      <c r="C391">
        <v>10.4452</v>
      </c>
      <c r="D391">
        <v>9.4611000000000001</v>
      </c>
      <c r="E391">
        <v>10.0679</v>
      </c>
      <c r="F391">
        <v>24556008.75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0.23320800731632951</v>
      </c>
      <c r="Q391">
        <f t="shared" si="975"/>
        <v>5726657.8682298511</v>
      </c>
      <c r="R391">
        <f t="shared" si="976"/>
        <v>203779504.89900655</v>
      </c>
      <c r="S391">
        <f t="shared" si="977"/>
        <v>2037.7950489900654</v>
      </c>
      <c r="T391">
        <f t="shared" si="978"/>
        <v>2.0377950489900654</v>
      </c>
    </row>
    <row r="392" spans="1:20" x14ac:dyDescent="0.25">
      <c r="A392" s="5">
        <v>44201</v>
      </c>
      <c r="B392">
        <v>9.5146999999999995</v>
      </c>
      <c r="C392">
        <v>10.0441</v>
      </c>
      <c r="D392">
        <v>9.01</v>
      </c>
      <c r="E392">
        <v>9.7083999999999993</v>
      </c>
      <c r="F392">
        <v>20433614.969999999</v>
      </c>
      <c r="G392">
        <v>0</v>
      </c>
      <c r="L392" t="s">
        <v>8</v>
      </c>
      <c r="M392" t="s">
        <v>7</v>
      </c>
      <c r="N392" t="s">
        <v>8</v>
      </c>
      <c r="P392">
        <f t="shared" si="974"/>
        <v>0.35073977371627341</v>
      </c>
      <c r="Q392">
        <f t="shared" si="975"/>
        <v>7166881.4907832565</v>
      </c>
      <c r="R392">
        <f t="shared" si="976"/>
        <v>198052847.03077668</v>
      </c>
      <c r="S392">
        <f t="shared" si="977"/>
        <v>1980.5284703077668</v>
      </c>
      <c r="T392">
        <f t="shared" si="978"/>
        <v>1.9805284703077668</v>
      </c>
    </row>
    <row r="393" spans="1:20" x14ac:dyDescent="0.25">
      <c r="A393" s="5">
        <v>44200</v>
      </c>
      <c r="B393">
        <v>10.145300000000001</v>
      </c>
      <c r="C393">
        <v>10.5169</v>
      </c>
      <c r="D393">
        <v>8.6999999999999993</v>
      </c>
      <c r="E393">
        <v>9.5126000000000008</v>
      </c>
      <c r="F393">
        <v>35233997.109999999</v>
      </c>
      <c r="G393">
        <v>0</v>
      </c>
      <c r="L393" t="s">
        <v>7</v>
      </c>
      <c r="M393" t="s">
        <v>7</v>
      </c>
      <c r="N393" t="s">
        <v>8</v>
      </c>
      <c r="P393">
        <f t="shared" si="974"/>
        <v>-0.10550938411580014</v>
      </c>
      <c r="Q393">
        <f t="shared" si="975"/>
        <v>-3717517.3350139824</v>
      </c>
      <c r="R393">
        <f t="shared" si="976"/>
        <v>190885965.53999344</v>
      </c>
      <c r="S393">
        <f t="shared" si="977"/>
        <v>1908.8596553999344</v>
      </c>
      <c r="T393">
        <f t="shared" si="978"/>
        <v>1.9088596553999344</v>
      </c>
    </row>
    <row r="394" spans="1:20" x14ac:dyDescent="0.25">
      <c r="A394" s="5">
        <v>44199</v>
      </c>
      <c r="B394">
        <v>9.2056000000000004</v>
      </c>
      <c r="C394">
        <v>10.5</v>
      </c>
      <c r="D394">
        <v>8.8447999999999993</v>
      </c>
      <c r="E394">
        <v>10.130699999999999</v>
      </c>
      <c r="F394">
        <v>37224723.439999998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0.55376993716771306</v>
      </c>
      <c r="Q394">
        <f t="shared" si="975"/>
        <v>20613932.760454293</v>
      </c>
      <c r="R394">
        <f t="shared" si="976"/>
        <v>194603482.87500742</v>
      </c>
      <c r="S394">
        <f t="shared" si="977"/>
        <v>1946.0348287500742</v>
      </c>
      <c r="T394">
        <f t="shared" si="978"/>
        <v>1.9460348287500742</v>
      </c>
    </row>
    <row r="395" spans="1:20" x14ac:dyDescent="0.25">
      <c r="A395" s="5">
        <v>44198</v>
      </c>
      <c r="B395">
        <v>8.2774999999999999</v>
      </c>
      <c r="C395">
        <v>9.89</v>
      </c>
      <c r="D395">
        <v>7.89</v>
      </c>
      <c r="E395">
        <v>9.2036999999999995</v>
      </c>
      <c r="F395">
        <v>41542040.609999999</v>
      </c>
      <c r="G395">
        <v>0</v>
      </c>
      <c r="L395" t="s">
        <v>7</v>
      </c>
      <c r="M395" t="s">
        <v>8</v>
      </c>
      <c r="N395" t="s">
        <v>8</v>
      </c>
      <c r="P395">
        <f t="shared" si="974"/>
        <v>0.31369999999999926</v>
      </c>
      <c r="Q395">
        <f t="shared" si="975"/>
        <v>13031738.139356969</v>
      </c>
      <c r="R395">
        <f t="shared" si="976"/>
        <v>173989550.11455312</v>
      </c>
      <c r="S395">
        <f t="shared" si="977"/>
        <v>1739.8955011455312</v>
      </c>
      <c r="T395">
        <f t="shared" si="978"/>
        <v>1.7398955011455313</v>
      </c>
    </row>
    <row r="396" spans="1:20" x14ac:dyDescent="0.25">
      <c r="A396" s="5">
        <v>44197</v>
      </c>
      <c r="B396">
        <v>9.2620000000000005</v>
      </c>
      <c r="C396">
        <v>9.4280000000000008</v>
      </c>
      <c r="D396">
        <v>8.0729000000000006</v>
      </c>
      <c r="E396">
        <v>8.2775999999999996</v>
      </c>
      <c r="F396">
        <v>40444969.810000002</v>
      </c>
      <c r="G396">
        <v>0</v>
      </c>
      <c r="L396" t="s">
        <v>7</v>
      </c>
      <c r="M396" t="s">
        <v>7</v>
      </c>
      <c r="N396" t="s">
        <v>8</v>
      </c>
      <c r="P396">
        <f t="shared" si="974"/>
        <v>-0.69788207512360867</v>
      </c>
      <c r="Q396">
        <f t="shared" si="975"/>
        <v>-28225819.459314507</v>
      </c>
      <c r="R396">
        <f t="shared" si="976"/>
        <v>160957811.97519615</v>
      </c>
      <c r="S396">
        <f t="shared" si="977"/>
        <v>1609.5781197519616</v>
      </c>
      <c r="T396">
        <f t="shared" si="978"/>
        <v>1.6095781197519616</v>
      </c>
    </row>
    <row r="397" spans="1:20" x14ac:dyDescent="0.25">
      <c r="A397" s="5">
        <v>44196</v>
      </c>
      <c r="B397">
        <v>7.2283999999999997</v>
      </c>
      <c r="C397">
        <v>9.51</v>
      </c>
      <c r="D397">
        <v>7.1205999999999996</v>
      </c>
      <c r="E397">
        <v>9.2619000000000007</v>
      </c>
      <c r="F397">
        <v>39283522.880000003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0.79233280321419686</v>
      </c>
      <c r="Q397">
        <f t="shared" si="975"/>
        <v>31125623.803639442</v>
      </c>
      <c r="R397">
        <f t="shared" si="976"/>
        <v>189183631.43451065</v>
      </c>
      <c r="S397">
        <f t="shared" si="977"/>
        <v>1891.8363143451065</v>
      </c>
      <c r="T397">
        <f t="shared" si="978"/>
        <v>1.8918363143451065</v>
      </c>
    </row>
    <row r="398" spans="1:20" x14ac:dyDescent="0.25">
      <c r="A398" s="5">
        <v>44195</v>
      </c>
      <c r="B398">
        <v>7.5472999999999999</v>
      </c>
      <c r="C398">
        <v>7.6779999999999999</v>
      </c>
      <c r="D398">
        <v>7.0549999999999997</v>
      </c>
      <c r="E398">
        <v>7.2282000000000002</v>
      </c>
      <c r="F398">
        <v>29271542.34</v>
      </c>
      <c r="G398">
        <v>0</v>
      </c>
      <c r="L398" t="s">
        <v>7</v>
      </c>
      <c r="M398" t="s">
        <v>8</v>
      </c>
      <c r="N398" t="s">
        <v>8</v>
      </c>
      <c r="P398">
        <f t="shared" si="974"/>
        <v>-0.44398073836275953</v>
      </c>
      <c r="Q398">
        <f t="shared" si="975"/>
        <v>-12996000.981129978</v>
      </c>
      <c r="R398">
        <f t="shared" si="976"/>
        <v>158058007.63087121</v>
      </c>
      <c r="S398">
        <f t="shared" si="977"/>
        <v>1580.580076308712</v>
      </c>
      <c r="T398">
        <f t="shared" si="978"/>
        <v>1.5805800763087121</v>
      </c>
    </row>
    <row r="399" spans="1:20" x14ac:dyDescent="0.25">
      <c r="A399" s="5">
        <v>44194</v>
      </c>
      <c r="B399">
        <v>6.5930999999999997</v>
      </c>
      <c r="C399">
        <v>7.7</v>
      </c>
      <c r="D399">
        <v>6.12</v>
      </c>
      <c r="E399">
        <v>7.5401999999999996</v>
      </c>
      <c r="F399">
        <v>43059737.729999997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0.79772151898734101</v>
      </c>
      <c r="Q399">
        <f t="shared" si="975"/>
        <v>34349679.389172114</v>
      </c>
      <c r="R399">
        <f t="shared" si="976"/>
        <v>171054008.61200118</v>
      </c>
      <c r="S399">
        <f t="shared" si="977"/>
        <v>1710.5400861200119</v>
      </c>
      <c r="T399">
        <f t="shared" si="978"/>
        <v>1.710540086120012</v>
      </c>
    </row>
    <row r="400" spans="1:20" x14ac:dyDescent="0.25">
      <c r="A400" s="5">
        <v>44193</v>
      </c>
      <c r="B400">
        <v>5.1462000000000003</v>
      </c>
      <c r="C400">
        <v>6.7</v>
      </c>
      <c r="D400">
        <v>5.1079999999999997</v>
      </c>
      <c r="E400">
        <v>6.5982000000000003</v>
      </c>
      <c r="F400">
        <v>28565820.350000001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0.87211055276381932</v>
      </c>
      <c r="Q400">
        <f t="shared" si="975"/>
        <v>24912553.375590459</v>
      </c>
      <c r="R400">
        <f t="shared" si="976"/>
        <v>136704329.22282907</v>
      </c>
      <c r="S400">
        <f t="shared" si="977"/>
        <v>1367.0432922282907</v>
      </c>
      <c r="T400">
        <f t="shared" si="978"/>
        <v>1.3670432922282907</v>
      </c>
    </row>
    <row r="401" spans="1:20" x14ac:dyDescent="0.25">
      <c r="A401" s="5">
        <v>44192</v>
      </c>
      <c r="B401">
        <v>5.1946000000000003</v>
      </c>
      <c r="C401">
        <v>5.4691000000000001</v>
      </c>
      <c r="D401">
        <v>4.9325000000000001</v>
      </c>
      <c r="E401">
        <v>5.1455000000000002</v>
      </c>
      <c r="F401">
        <v>12600497.85</v>
      </c>
      <c r="G401">
        <v>0</v>
      </c>
      <c r="L401" t="s">
        <v>8</v>
      </c>
      <c r="M401" t="s">
        <v>7</v>
      </c>
      <c r="N401" t="s">
        <v>8</v>
      </c>
      <c r="P401">
        <f t="shared" si="974"/>
        <v>-0.20611256056652966</v>
      </c>
      <c r="Q401">
        <f t="shared" si="975"/>
        <v>-2597120.8762765517</v>
      </c>
      <c r="R401">
        <f t="shared" si="976"/>
        <v>111791775.84723862</v>
      </c>
      <c r="S401">
        <f t="shared" si="977"/>
        <v>1117.9177584723861</v>
      </c>
      <c r="T401">
        <f t="shared" si="978"/>
        <v>1.1179177584723861</v>
      </c>
    </row>
    <row r="402" spans="1:20" x14ac:dyDescent="0.25">
      <c r="A402" s="5">
        <v>44191</v>
      </c>
      <c r="B402">
        <v>5.2123999999999997</v>
      </c>
      <c r="C402">
        <v>5.2938000000000001</v>
      </c>
      <c r="D402">
        <v>5.0810000000000004</v>
      </c>
      <c r="E402">
        <v>5.1924000000000001</v>
      </c>
      <c r="F402">
        <v>4830448.1500000004</v>
      </c>
      <c r="G402">
        <v>0</v>
      </c>
      <c r="L402" t="s">
        <v>8</v>
      </c>
      <c r="M402" t="s">
        <v>7</v>
      </c>
      <c r="N402" t="s">
        <v>8</v>
      </c>
      <c r="P402">
        <f t="shared" si="974"/>
        <v>4.6992481203006593E-2</v>
      </c>
      <c r="Q402">
        <f t="shared" si="975"/>
        <v>226994.74389097298</v>
      </c>
      <c r="R402">
        <f t="shared" si="976"/>
        <v>114388896.72351517</v>
      </c>
      <c r="S402">
        <f t="shared" si="977"/>
        <v>1143.8889672351518</v>
      </c>
      <c r="T402">
        <f t="shared" si="978"/>
        <v>1.1438889672351518</v>
      </c>
    </row>
    <row r="403" spans="1:20" x14ac:dyDescent="0.25">
      <c r="A403" s="5">
        <v>44190</v>
      </c>
      <c r="B403">
        <v>5.1101999999999999</v>
      </c>
      <c r="C403">
        <v>5.2881</v>
      </c>
      <c r="D403">
        <v>5.0407000000000002</v>
      </c>
      <c r="E403">
        <v>5.2099000000000002</v>
      </c>
      <c r="F403">
        <v>5278806.0199999996</v>
      </c>
      <c r="G403">
        <v>0</v>
      </c>
      <c r="L403" t="s">
        <v>8</v>
      </c>
      <c r="M403" t="s">
        <v>7</v>
      </c>
      <c r="N403" t="s">
        <v>8</v>
      </c>
      <c r="P403">
        <f t="shared" si="974"/>
        <v>0.36782538399353376</v>
      </c>
      <c r="Q403">
        <f t="shared" si="975"/>
        <v>1941678.8513338775</v>
      </c>
      <c r="R403">
        <f t="shared" si="976"/>
        <v>114161901.9796242</v>
      </c>
      <c r="S403">
        <f t="shared" si="977"/>
        <v>1141.6190197962419</v>
      </c>
      <c r="T403">
        <f t="shared" si="978"/>
        <v>1.1416190197962419</v>
      </c>
    </row>
    <row r="404" spans="1:20" x14ac:dyDescent="0.25">
      <c r="A404" s="5">
        <v>44189</v>
      </c>
      <c r="B404">
        <v>4.7149000000000001</v>
      </c>
      <c r="C404">
        <v>5.2012999999999998</v>
      </c>
      <c r="D404">
        <v>4.6298000000000004</v>
      </c>
      <c r="E404">
        <v>5.1116000000000001</v>
      </c>
      <c r="F404">
        <v>8292421.9900000002</v>
      </c>
      <c r="G404">
        <v>0</v>
      </c>
      <c r="L404" t="s">
        <v>8</v>
      </c>
      <c r="M404" t="s">
        <v>7</v>
      </c>
      <c r="N404" t="s">
        <v>8</v>
      </c>
      <c r="P404">
        <f t="shared" si="974"/>
        <v>0.68608923884514517</v>
      </c>
      <c r="Q404">
        <f t="shared" si="975"/>
        <v>5689341.4913018439</v>
      </c>
      <c r="R404">
        <f t="shared" si="976"/>
        <v>112220223.12829033</v>
      </c>
      <c r="S404">
        <f t="shared" si="977"/>
        <v>1122.2022312829033</v>
      </c>
      <c r="T404">
        <f t="shared" si="978"/>
        <v>1.1222022312829034</v>
      </c>
    </row>
    <row r="405" spans="1:20" x14ac:dyDescent="0.25">
      <c r="A405" s="5">
        <v>44188</v>
      </c>
      <c r="B405">
        <v>5.1524999999999999</v>
      </c>
      <c r="C405">
        <v>5.1910999999999996</v>
      </c>
      <c r="D405">
        <v>4.5858999999999996</v>
      </c>
      <c r="E405">
        <v>4.7149000000000001</v>
      </c>
      <c r="F405">
        <v>8098117.21</v>
      </c>
      <c r="G405">
        <v>0</v>
      </c>
      <c r="L405" t="s">
        <v>7</v>
      </c>
      <c r="M405" t="s">
        <v>7</v>
      </c>
      <c r="N405" t="s">
        <v>8</v>
      </c>
      <c r="P405">
        <f t="shared" si="974"/>
        <v>-0.57369464639788348</v>
      </c>
      <c r="Q405">
        <f t="shared" si="975"/>
        <v>-4645846.4892795645</v>
      </c>
      <c r="R405">
        <f t="shared" si="976"/>
        <v>106530881.63698848</v>
      </c>
      <c r="S405">
        <f t="shared" si="977"/>
        <v>1065.3088163698847</v>
      </c>
      <c r="T405">
        <f t="shared" si="978"/>
        <v>1.0653088163698847</v>
      </c>
    </row>
    <row r="406" spans="1:20" x14ac:dyDescent="0.25">
      <c r="A406" s="5">
        <v>44187</v>
      </c>
      <c r="B406">
        <v>4.8707000000000003</v>
      </c>
      <c r="C406">
        <v>5.21</v>
      </c>
      <c r="D406">
        <v>4.7973999999999997</v>
      </c>
      <c r="E406">
        <v>5.1550000000000002</v>
      </c>
      <c r="F406">
        <v>8558735.4199999999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0.73339796412990943</v>
      </c>
      <c r="Q406">
        <f t="shared" si="975"/>
        <v>6276959.1325545451</v>
      </c>
      <c r="R406">
        <f t="shared" si="976"/>
        <v>111176728.12626804</v>
      </c>
      <c r="S406">
        <f t="shared" si="977"/>
        <v>1111.7672812626804</v>
      </c>
      <c r="T406">
        <f t="shared" si="978"/>
        <v>1.1117672812626804</v>
      </c>
    </row>
    <row r="407" spans="1:20" x14ac:dyDescent="0.25">
      <c r="A407" s="5">
        <v>44186</v>
      </c>
      <c r="B407">
        <v>5.1866000000000003</v>
      </c>
      <c r="C407">
        <v>5.4482999999999997</v>
      </c>
      <c r="D407">
        <v>4.7732000000000001</v>
      </c>
      <c r="E407">
        <v>4.8701999999999996</v>
      </c>
      <c r="F407">
        <v>7796554.96</v>
      </c>
      <c r="G407">
        <v>0</v>
      </c>
      <c r="L407" t="s">
        <v>7</v>
      </c>
      <c r="M407" t="s">
        <v>8</v>
      </c>
      <c r="N407" t="s">
        <v>8</v>
      </c>
      <c r="P407">
        <f t="shared" si="974"/>
        <v>-0.71263516516071812</v>
      </c>
      <c r="Q407">
        <f t="shared" si="975"/>
        <v>-5556099.2316042157</v>
      </c>
      <c r="R407">
        <f t="shared" si="976"/>
        <v>104899768.9937135</v>
      </c>
      <c r="S407">
        <f t="shared" si="977"/>
        <v>1048.997689937135</v>
      </c>
      <c r="T407">
        <f t="shared" si="978"/>
        <v>1.0489976899371349</v>
      </c>
    </row>
    <row r="408" spans="1:20" x14ac:dyDescent="0.25">
      <c r="A408" s="5">
        <v>44185</v>
      </c>
      <c r="B408">
        <v>5.3364000000000003</v>
      </c>
      <c r="C408">
        <v>5.4374000000000002</v>
      </c>
      <c r="D408">
        <v>5.0723000000000003</v>
      </c>
      <c r="E408">
        <v>5.1867999999999999</v>
      </c>
      <c r="F408">
        <v>6165710.9500000002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-0.37277458230621963</v>
      </c>
      <c r="Q408">
        <f t="shared" si="975"/>
        <v>-2298420.3240071349</v>
      </c>
      <c r="R408">
        <f t="shared" si="976"/>
        <v>110455868.22531772</v>
      </c>
      <c r="S408">
        <f t="shared" si="977"/>
        <v>1104.5586822531773</v>
      </c>
      <c r="T408">
        <f t="shared" si="978"/>
        <v>1.1045586822531772</v>
      </c>
    </row>
    <row r="409" spans="1:20" x14ac:dyDescent="0.25">
      <c r="A409" s="5">
        <v>44184</v>
      </c>
      <c r="B409">
        <v>5.3592000000000004</v>
      </c>
      <c r="C409">
        <v>5.577</v>
      </c>
      <c r="D409">
        <v>5.2766000000000002</v>
      </c>
      <c r="E409">
        <v>5.3357999999999999</v>
      </c>
      <c r="F409">
        <v>5524007.4400000004</v>
      </c>
      <c r="G409">
        <v>0</v>
      </c>
      <c r="L409" t="s">
        <v>7</v>
      </c>
      <c r="M409" t="s">
        <v>8</v>
      </c>
      <c r="N409" t="s">
        <v>8</v>
      </c>
      <c r="P409">
        <f t="shared" si="974"/>
        <v>-0.60585885486018809</v>
      </c>
      <c r="Q409">
        <f t="shared" si="975"/>
        <v>-3346768.8218375593</v>
      </c>
      <c r="R409">
        <f t="shared" si="976"/>
        <v>112754288.54932486</v>
      </c>
      <c r="S409">
        <f t="shared" si="977"/>
        <v>1127.5428854932486</v>
      </c>
      <c r="T409">
        <f t="shared" si="978"/>
        <v>1.1275428854932485</v>
      </c>
    </row>
    <row r="410" spans="1:20" x14ac:dyDescent="0.25">
      <c r="A410" s="5">
        <v>44183</v>
      </c>
      <c r="B410">
        <v>5.3426999999999998</v>
      </c>
      <c r="C410">
        <v>5.5096999999999996</v>
      </c>
      <c r="D410">
        <v>5.2450000000000001</v>
      </c>
      <c r="E410">
        <v>5.3548999999999998</v>
      </c>
      <c r="F410">
        <v>5673140.9800000004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-0.16962599168870512</v>
      </c>
      <c r="Q410">
        <f t="shared" si="975"/>
        <v>-962312.1647223325</v>
      </c>
      <c r="R410">
        <f t="shared" si="976"/>
        <v>116101057.37116241</v>
      </c>
      <c r="S410">
        <f t="shared" si="977"/>
        <v>1161.0105737116241</v>
      </c>
      <c r="T410">
        <f t="shared" si="978"/>
        <v>1.1610105737116241</v>
      </c>
    </row>
    <row r="411" spans="1:20" x14ac:dyDescent="0.25">
      <c r="A411" s="5">
        <v>44182</v>
      </c>
      <c r="B411">
        <v>5.3634000000000004</v>
      </c>
      <c r="C411">
        <v>5.7497999999999996</v>
      </c>
      <c r="D411">
        <v>5.2670000000000003</v>
      </c>
      <c r="E411">
        <v>5.3455000000000004</v>
      </c>
      <c r="F411">
        <v>11536864.68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-0.67481358740679309</v>
      </c>
      <c r="Q411">
        <f t="shared" si="975"/>
        <v>-7785233.0421375241</v>
      </c>
      <c r="R411">
        <f t="shared" si="976"/>
        <v>117063369.53588475</v>
      </c>
      <c r="S411">
        <f t="shared" si="977"/>
        <v>1170.6336953588475</v>
      </c>
      <c r="T411">
        <f t="shared" si="978"/>
        <v>1.1706336953588474</v>
      </c>
    </row>
    <row r="412" spans="1:20" x14ac:dyDescent="0.25">
      <c r="A412" s="5">
        <v>44181</v>
      </c>
      <c r="B412">
        <v>5.24</v>
      </c>
      <c r="C412">
        <v>5.3739999999999997</v>
      </c>
      <c r="D412">
        <v>5.1150000000000002</v>
      </c>
      <c r="E412">
        <v>5.3647</v>
      </c>
      <c r="F412">
        <v>7988631.3300000001</v>
      </c>
      <c r="G412">
        <v>0</v>
      </c>
      <c r="L412" t="s">
        <v>8</v>
      </c>
      <c r="M412" t="s">
        <v>7</v>
      </c>
      <c r="N412" t="s">
        <v>8</v>
      </c>
      <c r="P412">
        <f t="shared" si="974"/>
        <v>0.92818532818533084</v>
      </c>
      <c r="Q412">
        <f t="shared" si="975"/>
        <v>7414930.3927876661</v>
      </c>
      <c r="R412">
        <f t="shared" si="976"/>
        <v>124848602.57802227</v>
      </c>
      <c r="S412">
        <f t="shared" si="977"/>
        <v>1248.4860257802227</v>
      </c>
      <c r="T412">
        <f t="shared" si="978"/>
        <v>1.2484860257802226</v>
      </c>
    </row>
    <row r="413" spans="1:20" x14ac:dyDescent="0.25">
      <c r="A413" s="5">
        <v>44180</v>
      </c>
      <c r="B413">
        <v>4.8978000000000002</v>
      </c>
      <c r="C413">
        <v>5.2911000000000001</v>
      </c>
      <c r="D413">
        <v>4.8445</v>
      </c>
      <c r="E413">
        <v>5.2390999999999996</v>
      </c>
      <c r="F413">
        <v>5957058.6799999997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0.76712942230183401</v>
      </c>
      <c r="Q413">
        <f t="shared" si="975"/>
        <v>4569834.9838065254</v>
      </c>
      <c r="R413">
        <f t="shared" si="976"/>
        <v>117433672.18523461</v>
      </c>
      <c r="S413">
        <f t="shared" si="977"/>
        <v>1174.336721852346</v>
      </c>
      <c r="T413">
        <f t="shared" si="978"/>
        <v>1.1743367218523459</v>
      </c>
    </row>
    <row r="414" spans="1:20" x14ac:dyDescent="0.25">
      <c r="A414" s="5">
        <v>44179</v>
      </c>
      <c r="B414">
        <v>4.8966000000000003</v>
      </c>
      <c r="C414">
        <v>5.0094000000000003</v>
      </c>
      <c r="D414">
        <v>4.8263999999999996</v>
      </c>
      <c r="E414">
        <v>4.8968999999999996</v>
      </c>
      <c r="F414">
        <v>2543847.2000000002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-0.22950819672131442</v>
      </c>
      <c r="Q414">
        <f t="shared" si="975"/>
        <v>-583833.78360656486</v>
      </c>
      <c r="R414">
        <f t="shared" si="976"/>
        <v>112863837.20142809</v>
      </c>
      <c r="S414">
        <f t="shared" si="977"/>
        <v>1128.6383720142808</v>
      </c>
      <c r="T414">
        <f t="shared" si="978"/>
        <v>1.1286383720142807</v>
      </c>
    </row>
    <row r="415" spans="1:20" x14ac:dyDescent="0.25">
      <c r="A415" s="5">
        <v>44178</v>
      </c>
      <c r="B415">
        <v>4.7381000000000002</v>
      </c>
      <c r="C415">
        <v>5.0999999999999996</v>
      </c>
      <c r="D415">
        <v>4.7249999999999996</v>
      </c>
      <c r="E415">
        <v>4.8956999999999997</v>
      </c>
      <c r="F415">
        <v>3939252.37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-8.9599999999999611E-2</v>
      </c>
      <c r="Q415">
        <f t="shared" si="975"/>
        <v>-352957.01235199848</v>
      </c>
      <c r="R415">
        <f t="shared" si="976"/>
        <v>113447670.98503464</v>
      </c>
      <c r="S415">
        <f t="shared" si="977"/>
        <v>1134.4767098503464</v>
      </c>
      <c r="T415">
        <f t="shared" si="978"/>
        <v>1.1344767098503463</v>
      </c>
    </row>
    <row r="416" spans="1:20" x14ac:dyDescent="0.25">
      <c r="A416" s="5">
        <v>44177</v>
      </c>
      <c r="B416">
        <v>4.6101999999999999</v>
      </c>
      <c r="C416">
        <v>4.7988999999999997</v>
      </c>
      <c r="D416">
        <v>4.6070000000000002</v>
      </c>
      <c r="E416">
        <v>4.7385000000000002</v>
      </c>
      <c r="F416">
        <v>2757351.25</v>
      </c>
      <c r="G416">
        <v>0</v>
      </c>
      <c r="L416" t="s">
        <v>7</v>
      </c>
      <c r="M416" t="s">
        <v>7</v>
      </c>
      <c r="N416" t="s">
        <v>8</v>
      </c>
      <c r="P416">
        <f t="shared" si="974"/>
        <v>0.37050547159979452</v>
      </c>
      <c r="Q416">
        <f t="shared" si="975"/>
        <v>1021613.7252475329</v>
      </c>
      <c r="R416">
        <f t="shared" si="976"/>
        <v>113800627.99738665</v>
      </c>
      <c r="S416">
        <f t="shared" si="977"/>
        <v>1138.0062799738664</v>
      </c>
      <c r="T416">
        <f t="shared" si="978"/>
        <v>1.1380062799738664</v>
      </c>
    </row>
    <row r="417" spans="1:20" x14ac:dyDescent="0.25">
      <c r="A417" s="5">
        <v>44176</v>
      </c>
      <c r="B417">
        <v>4.8026</v>
      </c>
      <c r="C417">
        <v>4.8152999999999997</v>
      </c>
      <c r="D417">
        <v>4.54</v>
      </c>
      <c r="E417">
        <v>4.6120000000000001</v>
      </c>
      <c r="F417">
        <v>3915723.68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-0.47693425354158986</v>
      </c>
      <c r="Q417">
        <f t="shared" si="975"/>
        <v>-1867542.7503959273</v>
      </c>
      <c r="R417">
        <f t="shared" si="976"/>
        <v>112779014.27213912</v>
      </c>
      <c r="S417">
        <f t="shared" si="977"/>
        <v>1127.7901427213912</v>
      </c>
      <c r="T417">
        <f t="shared" si="978"/>
        <v>1.1277901427213912</v>
      </c>
    </row>
    <row r="418" spans="1:20" x14ac:dyDescent="0.25">
      <c r="A418" s="5">
        <v>44175</v>
      </c>
      <c r="B418">
        <v>4.8731999999999998</v>
      </c>
      <c r="C418">
        <v>4.9166999999999996</v>
      </c>
      <c r="D418">
        <v>4.7</v>
      </c>
      <c r="E418">
        <v>4.8003</v>
      </c>
      <c r="F418">
        <v>2575244.64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-7.4296262113520181E-2</v>
      </c>
      <c r="Q418">
        <f t="shared" si="975"/>
        <v>-191331.05077987793</v>
      </c>
      <c r="R418">
        <f t="shared" si="976"/>
        <v>114646557.02253504</v>
      </c>
      <c r="S418">
        <f t="shared" si="977"/>
        <v>1146.4655702253503</v>
      </c>
      <c r="T418">
        <f t="shared" si="978"/>
        <v>1.1464655702253503</v>
      </c>
    </row>
    <row r="419" spans="1:20" x14ac:dyDescent="0.25">
      <c r="A419" s="5">
        <v>44174</v>
      </c>
      <c r="B419">
        <v>4.7378</v>
      </c>
      <c r="C419">
        <v>4.9391999999999996</v>
      </c>
      <c r="D419">
        <v>4.6166999999999998</v>
      </c>
      <c r="E419">
        <v>4.8727999999999998</v>
      </c>
      <c r="F419">
        <v>5290274.9400000004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0.58821705426356685</v>
      </c>
      <c r="Q419">
        <f t="shared" si="975"/>
        <v>3111829.9414511682</v>
      </c>
      <c r="R419">
        <f t="shared" si="976"/>
        <v>114837888.07331492</v>
      </c>
      <c r="S419">
        <f t="shared" si="977"/>
        <v>1148.3788807331491</v>
      </c>
      <c r="T419">
        <f t="shared" si="978"/>
        <v>1.1483788807331492</v>
      </c>
    </row>
    <row r="420" spans="1:20" x14ac:dyDescent="0.25">
      <c r="A420" s="5">
        <v>44173</v>
      </c>
      <c r="B420">
        <v>5.0568</v>
      </c>
      <c r="C420">
        <v>5.0711000000000004</v>
      </c>
      <c r="D420">
        <v>4.7</v>
      </c>
      <c r="E420">
        <v>4.7398999999999996</v>
      </c>
      <c r="F420">
        <v>5044001.16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-0.78496362166532274</v>
      </c>
      <c r="Q420">
        <f t="shared" si="975"/>
        <v>-3959357.418237689</v>
      </c>
      <c r="R420">
        <f t="shared" si="976"/>
        <v>111726058.13186376</v>
      </c>
      <c r="S420">
        <f t="shared" si="977"/>
        <v>1117.2605813186376</v>
      </c>
      <c r="T420">
        <f t="shared" si="978"/>
        <v>1.1172605813186376</v>
      </c>
    </row>
    <row r="421" spans="1:20" x14ac:dyDescent="0.25">
      <c r="A421" s="5">
        <v>44172</v>
      </c>
      <c r="B421">
        <v>5.1292999999999997</v>
      </c>
      <c r="C421">
        <v>5.1563999999999997</v>
      </c>
      <c r="D421">
        <v>5.0106999999999999</v>
      </c>
      <c r="E421">
        <v>5.0568999999999997</v>
      </c>
      <c r="F421">
        <v>2453405.21</v>
      </c>
      <c r="G421">
        <v>0</v>
      </c>
      <c r="L421" t="s">
        <v>7</v>
      </c>
      <c r="M421" t="s">
        <v>8</v>
      </c>
      <c r="N421" t="s">
        <v>8</v>
      </c>
      <c r="P421">
        <f t="shared" si="974"/>
        <v>-0.3658201784488691</v>
      </c>
      <c r="Q421">
        <f t="shared" si="975"/>
        <v>-897505.13172958512</v>
      </c>
      <c r="R421">
        <f t="shared" si="976"/>
        <v>115685415.55010144</v>
      </c>
      <c r="S421">
        <f t="shared" si="977"/>
        <v>1156.8541555010145</v>
      </c>
      <c r="T421">
        <f t="shared" si="978"/>
        <v>1.1568541555010146</v>
      </c>
    </row>
    <row r="422" spans="1:20" x14ac:dyDescent="0.25">
      <c r="A422" s="5">
        <v>44171</v>
      </c>
      <c r="B422">
        <v>5.1817000000000002</v>
      </c>
      <c r="C422">
        <v>5.2068000000000003</v>
      </c>
      <c r="D422">
        <v>5</v>
      </c>
      <c r="E422">
        <v>5.1268000000000002</v>
      </c>
      <c r="F422">
        <v>2749760.54</v>
      </c>
      <c r="G422">
        <v>0</v>
      </c>
      <c r="L422" t="s">
        <v>7</v>
      </c>
      <c r="M422" t="s">
        <v>8</v>
      </c>
      <c r="N422" t="s">
        <v>8</v>
      </c>
      <c r="P422">
        <f t="shared" si="974"/>
        <v>0.22630560928433319</v>
      </c>
      <c r="Q422">
        <f t="shared" si="975"/>
        <v>622286.234390717</v>
      </c>
      <c r="R422">
        <f t="shared" si="976"/>
        <v>116582920.68183103</v>
      </c>
      <c r="S422">
        <f t="shared" si="977"/>
        <v>1165.8292068183102</v>
      </c>
      <c r="T422">
        <f t="shared" si="978"/>
        <v>1.1658292068183103</v>
      </c>
    </row>
    <row r="423" spans="1:20" x14ac:dyDescent="0.25">
      <c r="A423" s="5">
        <v>44170</v>
      </c>
      <c r="B423">
        <v>5</v>
      </c>
      <c r="C423">
        <v>5.1924999999999999</v>
      </c>
      <c r="D423">
        <v>4.8766999999999996</v>
      </c>
      <c r="E423">
        <v>5.1806000000000001</v>
      </c>
      <c r="F423">
        <v>4496795.32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0.92463584547181898</v>
      </c>
      <c r="Q423">
        <f t="shared" si="975"/>
        <v>4157898.142621919</v>
      </c>
      <c r="R423">
        <f t="shared" si="976"/>
        <v>115960634.44744031</v>
      </c>
      <c r="S423">
        <f t="shared" si="977"/>
        <v>1159.6063444744032</v>
      </c>
      <c r="T423">
        <f t="shared" si="978"/>
        <v>1.1596063444744031</v>
      </c>
    </row>
    <row r="424" spans="1:20" x14ac:dyDescent="0.25">
      <c r="A424" s="5">
        <v>44169</v>
      </c>
      <c r="B424">
        <v>5.3982000000000001</v>
      </c>
      <c r="C424">
        <v>5.4336000000000002</v>
      </c>
      <c r="D424">
        <v>4.9553000000000003</v>
      </c>
      <c r="E424">
        <v>5</v>
      </c>
      <c r="F424">
        <v>5569105.0599999996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-0.81308802007108616</v>
      </c>
      <c r="Q424">
        <f t="shared" si="975"/>
        <v>-4528172.6068032673</v>
      </c>
      <c r="R424">
        <f t="shared" si="976"/>
        <v>111802736.30481839</v>
      </c>
      <c r="S424">
        <f t="shared" si="977"/>
        <v>1118.0273630481838</v>
      </c>
      <c r="T424">
        <f t="shared" si="978"/>
        <v>1.1180273630481838</v>
      </c>
    </row>
    <row r="425" spans="1:20" x14ac:dyDescent="0.25">
      <c r="A425" s="5">
        <v>44168</v>
      </c>
      <c r="B425">
        <v>5.4583000000000004</v>
      </c>
      <c r="C425">
        <v>5.5678999999999998</v>
      </c>
      <c r="D425">
        <v>5.3209999999999997</v>
      </c>
      <c r="E425">
        <v>5.3997000000000002</v>
      </c>
      <c r="F425">
        <v>5002283.03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-0.36249493722154397</v>
      </c>
      <c r="Q425">
        <f t="shared" si="975"/>
        <v>-1813302.2729242449</v>
      </c>
      <c r="R425">
        <f t="shared" si="976"/>
        <v>116330908.91162166</v>
      </c>
      <c r="S425">
        <f t="shared" si="977"/>
        <v>1163.3090891162167</v>
      </c>
      <c r="T425">
        <f t="shared" si="978"/>
        <v>1.1633090891162168</v>
      </c>
    </row>
    <row r="426" spans="1:20" x14ac:dyDescent="0.25">
      <c r="A426" s="5">
        <v>44167</v>
      </c>
      <c r="B426">
        <v>5.0823999999999998</v>
      </c>
      <c r="C426">
        <v>5.5458999999999996</v>
      </c>
      <c r="D426">
        <v>4.9993999999999996</v>
      </c>
      <c r="E426">
        <v>5.4645000000000001</v>
      </c>
      <c r="F426">
        <v>7081941.5099999998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0.70210430009149327</v>
      </c>
      <c r="Q426">
        <f t="shared" si="975"/>
        <v>4972261.5871674428</v>
      </c>
      <c r="R426">
        <f t="shared" si="976"/>
        <v>118144211.1845459</v>
      </c>
      <c r="S426">
        <f t="shared" si="977"/>
        <v>1181.4421118454591</v>
      </c>
      <c r="T426">
        <f t="shared" si="978"/>
        <v>1.181442111845459</v>
      </c>
    </row>
    <row r="427" spans="1:20" x14ac:dyDescent="0.25">
      <c r="A427" s="5">
        <v>44166</v>
      </c>
      <c r="B427">
        <v>5.3780000000000001</v>
      </c>
      <c r="C427">
        <v>5.5429000000000004</v>
      </c>
      <c r="D427">
        <v>4.92</v>
      </c>
      <c r="E427">
        <v>5.0805999999999996</v>
      </c>
      <c r="F427">
        <v>10943827.449999999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-0.48434740728849091</v>
      </c>
      <c r="Q427">
        <f t="shared" si="975"/>
        <v>-5300614.4512201166</v>
      </c>
      <c r="R427">
        <f t="shared" si="976"/>
        <v>113171949.59737846</v>
      </c>
      <c r="S427">
        <f t="shared" si="977"/>
        <v>1131.7194959737847</v>
      </c>
      <c r="T427">
        <f t="shared" si="978"/>
        <v>1.1317194959737846</v>
      </c>
    </row>
    <row r="428" spans="1:20" x14ac:dyDescent="0.25">
      <c r="A428" s="5">
        <v>44165</v>
      </c>
      <c r="B428">
        <v>5.1920000000000002</v>
      </c>
      <c r="C428">
        <v>5.4476000000000004</v>
      </c>
      <c r="D428">
        <v>5.1333000000000002</v>
      </c>
      <c r="E428">
        <v>5.3766999999999996</v>
      </c>
      <c r="F428">
        <v>9070457.8900000006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0.54883868915048806</v>
      </c>
      <c r="Q428">
        <f t="shared" si="975"/>
        <v>4978218.2183423024</v>
      </c>
      <c r="R428">
        <f t="shared" si="976"/>
        <v>118472564.04859857</v>
      </c>
      <c r="S428">
        <f t="shared" si="977"/>
        <v>1184.7256404859857</v>
      </c>
      <c r="T428">
        <f t="shared" si="978"/>
        <v>1.1847256404859856</v>
      </c>
    </row>
    <row r="429" spans="1:20" x14ac:dyDescent="0.25">
      <c r="A429" s="5">
        <v>44164</v>
      </c>
      <c r="B429">
        <v>4.8925000000000001</v>
      </c>
      <c r="C429">
        <v>5.2058999999999997</v>
      </c>
      <c r="D429">
        <v>4.8</v>
      </c>
      <c r="E429">
        <v>5.1920000000000002</v>
      </c>
      <c r="F429">
        <v>5392525.9500000002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0.9315102241931531</v>
      </c>
      <c r="Q429">
        <f t="shared" si="975"/>
        <v>5023193.0566518959</v>
      </c>
      <c r="R429">
        <f t="shared" si="976"/>
        <v>113494345.83025627</v>
      </c>
      <c r="S429">
        <f t="shared" si="977"/>
        <v>1134.9434583025627</v>
      </c>
      <c r="T429">
        <f t="shared" si="978"/>
        <v>1.1349434583025626</v>
      </c>
    </row>
    <row r="430" spans="1:20" x14ac:dyDescent="0.25">
      <c r="A430" s="5">
        <v>44163</v>
      </c>
      <c r="B430">
        <v>4.8148</v>
      </c>
      <c r="C430">
        <v>4.9545000000000003</v>
      </c>
      <c r="D430">
        <v>4.67</v>
      </c>
      <c r="E430">
        <v>4.8939000000000004</v>
      </c>
      <c r="F430">
        <v>5004579.7699999996</v>
      </c>
      <c r="G430">
        <v>0</v>
      </c>
      <c r="L430" t="s">
        <v>7</v>
      </c>
      <c r="M430" t="s">
        <v>7</v>
      </c>
      <c r="N430" t="s">
        <v>8</v>
      </c>
      <c r="P430">
        <f t="shared" si="974"/>
        <v>0.57398945518453504</v>
      </c>
      <c r="Q430">
        <f t="shared" si="975"/>
        <v>2872576.0156098455</v>
      </c>
      <c r="R430">
        <f t="shared" si="976"/>
        <v>108471152.77360438</v>
      </c>
      <c r="S430">
        <f t="shared" si="977"/>
        <v>1084.7115277360438</v>
      </c>
      <c r="T430">
        <f t="shared" si="978"/>
        <v>1.0847115277360437</v>
      </c>
    </row>
    <row r="431" spans="1:20" x14ac:dyDescent="0.25">
      <c r="A431" s="5">
        <v>44162</v>
      </c>
      <c r="B431">
        <v>4.8090999999999999</v>
      </c>
      <c r="C431">
        <v>5.0751999999999997</v>
      </c>
      <c r="D431">
        <v>4.4969000000000001</v>
      </c>
      <c r="E431">
        <v>4.8151000000000002</v>
      </c>
      <c r="F431">
        <v>8464913.5099999998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0.10046688569946485</v>
      </c>
      <c r="Q431">
        <f t="shared" si="975"/>
        <v>850443.49806502578</v>
      </c>
      <c r="R431">
        <f t="shared" si="976"/>
        <v>105598576.75799453</v>
      </c>
      <c r="S431">
        <f t="shared" si="977"/>
        <v>1055.9857675799453</v>
      </c>
      <c r="T431">
        <f t="shared" si="978"/>
        <v>1.0559857675799453</v>
      </c>
    </row>
    <row r="432" spans="1:20" x14ac:dyDescent="0.25">
      <c r="A432" s="5">
        <v>44161</v>
      </c>
      <c r="B432">
        <v>5.3</v>
      </c>
      <c r="C432">
        <v>5.3771000000000004</v>
      </c>
      <c r="D432">
        <v>4.4341999999999997</v>
      </c>
      <c r="E432">
        <v>4.8090000000000002</v>
      </c>
      <c r="F432">
        <v>20179716.489999998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-0.2050058330681935</v>
      </c>
      <c r="Q432">
        <f t="shared" si="975"/>
        <v>-4136959.5901124114</v>
      </c>
      <c r="R432">
        <f t="shared" si="976"/>
        <v>104748133.25992951</v>
      </c>
      <c r="S432">
        <f t="shared" si="977"/>
        <v>1047.481332599295</v>
      </c>
      <c r="T432">
        <f t="shared" si="978"/>
        <v>1.0474813325992951</v>
      </c>
    </row>
    <row r="433" spans="1:20" x14ac:dyDescent="0.25">
      <c r="A433" s="5">
        <v>44160</v>
      </c>
      <c r="B433">
        <v>5.7305000000000001</v>
      </c>
      <c r="C433">
        <v>5.8327999999999998</v>
      </c>
      <c r="D433">
        <v>5.13</v>
      </c>
      <c r="E433">
        <v>5.3018000000000001</v>
      </c>
      <c r="F433">
        <v>10948123.699999999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-0.51109846328969777</v>
      </c>
      <c r="Q433">
        <f t="shared" si="975"/>
        <v>-5595569.1989755193</v>
      </c>
      <c r="R433">
        <f t="shared" si="976"/>
        <v>108885092.85004193</v>
      </c>
      <c r="S433">
        <f t="shared" si="977"/>
        <v>1088.8509285004193</v>
      </c>
      <c r="T433">
        <f t="shared" si="978"/>
        <v>1.0888509285004193</v>
      </c>
    </row>
    <row r="434" spans="1:20" x14ac:dyDescent="0.25">
      <c r="A434" s="5">
        <v>44159</v>
      </c>
      <c r="B434">
        <v>5.9062999999999999</v>
      </c>
      <c r="C434">
        <v>6.0857000000000001</v>
      </c>
      <c r="D434">
        <v>5.6050000000000004</v>
      </c>
      <c r="E434">
        <v>5.7333999999999996</v>
      </c>
      <c r="F434">
        <v>15057227.460000001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-0.46577907218639791</v>
      </c>
      <c r="Q434">
        <f t="shared" si="975"/>
        <v>-7013341.4360183533</v>
      </c>
      <c r="R434">
        <f t="shared" si="976"/>
        <v>114480662.04901744</v>
      </c>
      <c r="S434">
        <f t="shared" si="977"/>
        <v>1144.8066204901745</v>
      </c>
      <c r="T434">
        <f t="shared" si="978"/>
        <v>1.1448066204901746</v>
      </c>
    </row>
    <row r="435" spans="1:20" x14ac:dyDescent="0.25">
      <c r="A435" s="5">
        <v>44158</v>
      </c>
      <c r="B435">
        <v>5.516</v>
      </c>
      <c r="C435">
        <v>5.96</v>
      </c>
      <c r="D435">
        <v>5.415</v>
      </c>
      <c r="E435">
        <v>5.9093</v>
      </c>
      <c r="F435">
        <v>14908169.220000001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0.81394495412844048</v>
      </c>
      <c r="Q435">
        <f t="shared" si="975"/>
        <v>12134429.111911928</v>
      </c>
      <c r="R435">
        <f t="shared" si="976"/>
        <v>121494003.48503579</v>
      </c>
      <c r="S435">
        <f t="shared" si="977"/>
        <v>1214.940034850358</v>
      </c>
      <c r="T435">
        <f t="shared" si="978"/>
        <v>1.2149400348503581</v>
      </c>
    </row>
    <row r="436" spans="1:20" x14ac:dyDescent="0.25">
      <c r="A436" s="5">
        <v>44157</v>
      </c>
      <c r="B436">
        <v>5.7821999999999996</v>
      </c>
      <c r="C436">
        <v>5.8452999999999999</v>
      </c>
      <c r="D436">
        <v>5.1702000000000004</v>
      </c>
      <c r="E436">
        <v>5.524</v>
      </c>
      <c r="F436">
        <v>12275138.210000001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4.8141016145755847E-2</v>
      </c>
      <c r="Q436">
        <f t="shared" si="975"/>
        <v>590937.62675899453</v>
      </c>
      <c r="R436">
        <f t="shared" si="976"/>
        <v>109359574.37312387</v>
      </c>
      <c r="S436">
        <f t="shared" si="977"/>
        <v>1093.5957437312386</v>
      </c>
      <c r="T436">
        <f t="shared" si="978"/>
        <v>1.0935957437312387</v>
      </c>
    </row>
    <row r="437" spans="1:20" x14ac:dyDescent="0.25">
      <c r="A437" s="5">
        <v>44156</v>
      </c>
      <c r="B437">
        <v>5.2301000000000002</v>
      </c>
      <c r="C437">
        <v>5.8136999999999999</v>
      </c>
      <c r="D437">
        <v>5.1284999999999998</v>
      </c>
      <c r="E437">
        <v>5.7824</v>
      </c>
      <c r="F437">
        <v>14938158.710000001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0.90863981319322862</v>
      </c>
      <c r="Q437">
        <f t="shared" si="975"/>
        <v>13573405.739705201</v>
      </c>
      <c r="R437">
        <f t="shared" si="976"/>
        <v>108768636.74636488</v>
      </c>
      <c r="S437">
        <f t="shared" si="977"/>
        <v>1087.6863674636488</v>
      </c>
      <c r="T437">
        <f t="shared" si="978"/>
        <v>1.0876863674636488</v>
      </c>
    </row>
    <row r="438" spans="1:20" x14ac:dyDescent="0.25">
      <c r="A438" s="5">
        <v>44155</v>
      </c>
      <c r="B438">
        <v>4.7557</v>
      </c>
      <c r="C438">
        <v>5.4714</v>
      </c>
      <c r="D438">
        <v>4.7404000000000002</v>
      </c>
      <c r="E438">
        <v>5.23</v>
      </c>
      <c r="F438">
        <v>17934442.25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0.33953488372093116</v>
      </c>
      <c r="Q438">
        <f t="shared" si="975"/>
        <v>6089368.7639535051</v>
      </c>
      <c r="R438">
        <f t="shared" si="976"/>
        <v>95195231.006659672</v>
      </c>
      <c r="S438">
        <f t="shared" si="977"/>
        <v>951.95231006659674</v>
      </c>
      <c r="T438">
        <f t="shared" si="978"/>
        <v>0.95195231006659675</v>
      </c>
    </row>
    <row r="439" spans="1:20" x14ac:dyDescent="0.25">
      <c r="A439" s="5">
        <v>44154</v>
      </c>
      <c r="B439">
        <v>4.6791</v>
      </c>
      <c r="C439">
        <v>4.8499999999999996</v>
      </c>
      <c r="D439">
        <v>4.5399000000000003</v>
      </c>
      <c r="E439">
        <v>4.7567000000000004</v>
      </c>
      <c r="F439">
        <v>7976959.2300000004</v>
      </c>
      <c r="G439">
        <v>0</v>
      </c>
      <c r="L439" t="s">
        <v>8</v>
      </c>
      <c r="M439" t="s">
        <v>8</v>
      </c>
      <c r="N439" t="s">
        <v>7</v>
      </c>
      <c r="P439">
        <f t="shared" si="974"/>
        <v>0.3982586262496004</v>
      </c>
      <c r="Q439">
        <f t="shared" si="975"/>
        <v>3176892.8245888702</v>
      </c>
      <c r="R439">
        <f t="shared" si="976"/>
        <v>89105862.242706165</v>
      </c>
      <c r="S439">
        <f t="shared" si="977"/>
        <v>891.05862242706166</v>
      </c>
      <c r="T439">
        <f t="shared" si="978"/>
        <v>0.89105862242706169</v>
      </c>
    </row>
    <row r="440" spans="1:20" x14ac:dyDescent="0.25">
      <c r="A440" s="5">
        <v>44153</v>
      </c>
      <c r="B440">
        <v>4.8574000000000002</v>
      </c>
      <c r="C440">
        <v>4.9450000000000003</v>
      </c>
      <c r="D440">
        <v>4.4950000000000001</v>
      </c>
      <c r="E440">
        <v>4.6797000000000004</v>
      </c>
      <c r="F440">
        <v>11415111.58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-0.17911111111111006</v>
      </c>
      <c r="Q440">
        <f t="shared" si="975"/>
        <v>-2044573.3185510992</v>
      </c>
      <c r="R440">
        <f t="shared" si="976"/>
        <v>85928969.4181173</v>
      </c>
      <c r="S440">
        <f t="shared" si="977"/>
        <v>859.28969418117299</v>
      </c>
      <c r="T440">
        <f t="shared" si="978"/>
        <v>0.85928969418117296</v>
      </c>
    </row>
    <row r="441" spans="1:20" x14ac:dyDescent="0.25">
      <c r="A441" s="5">
        <v>44152</v>
      </c>
      <c r="B441">
        <v>4.4985999999999997</v>
      </c>
      <c r="C441">
        <v>4.9348000000000001</v>
      </c>
      <c r="D441">
        <v>4.4882</v>
      </c>
      <c r="E441">
        <v>4.8569000000000004</v>
      </c>
      <c r="F441">
        <v>13923587.210000001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0.65114196148679082</v>
      </c>
      <c r="Q441">
        <f t="shared" si="975"/>
        <v>9066231.8868517932</v>
      </c>
      <c r="R441">
        <f t="shared" si="976"/>
        <v>87973542.736668393</v>
      </c>
      <c r="S441">
        <f t="shared" si="977"/>
        <v>879.73542736668389</v>
      </c>
      <c r="T441">
        <f t="shared" si="978"/>
        <v>0.87973542736668386</v>
      </c>
    </row>
    <row r="442" spans="1:20" x14ac:dyDescent="0.25">
      <c r="A442" s="5">
        <v>44151</v>
      </c>
      <c r="B442">
        <v>4.3658999999999999</v>
      </c>
      <c r="C442">
        <v>4.5999999999999996</v>
      </c>
      <c r="D442">
        <v>4.3353000000000002</v>
      </c>
      <c r="E442">
        <v>4.4983000000000004</v>
      </c>
      <c r="F442">
        <v>6702906.3300000001</v>
      </c>
      <c r="G442">
        <v>0</v>
      </c>
      <c r="L442" t="s">
        <v>8</v>
      </c>
      <c r="M442" t="s">
        <v>8</v>
      </c>
      <c r="N442" t="s">
        <v>7</v>
      </c>
      <c r="P442">
        <f t="shared" si="974"/>
        <v>0.23158292406498351</v>
      </c>
      <c r="Q442">
        <f t="shared" si="975"/>
        <v>1552278.6476350874</v>
      </c>
      <c r="R442">
        <f t="shared" si="976"/>
        <v>78907310.849816605</v>
      </c>
      <c r="S442">
        <f t="shared" si="977"/>
        <v>789.07310849816611</v>
      </c>
      <c r="T442">
        <f t="shared" si="978"/>
        <v>0.78907310849816614</v>
      </c>
    </row>
    <row r="443" spans="1:20" x14ac:dyDescent="0.25">
      <c r="A443" s="5">
        <v>44150</v>
      </c>
      <c r="B443">
        <v>4.4656000000000002</v>
      </c>
      <c r="C443">
        <v>4.5026999999999999</v>
      </c>
      <c r="D443">
        <v>4.3063000000000002</v>
      </c>
      <c r="E443">
        <v>4.3663999999999996</v>
      </c>
      <c r="F443">
        <v>4897453.63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-0.38798370672098298</v>
      </c>
      <c r="Q443">
        <f t="shared" si="975"/>
        <v>-1900132.2128615335</v>
      </c>
      <c r="R443">
        <f t="shared" si="976"/>
        <v>77355032.202181518</v>
      </c>
      <c r="S443">
        <f t="shared" si="977"/>
        <v>773.55032202181519</v>
      </c>
      <c r="T443">
        <f t="shared" si="978"/>
        <v>0.77355032202181517</v>
      </c>
    </row>
    <row r="444" spans="1:20" x14ac:dyDescent="0.25">
      <c r="A444" s="5">
        <v>44149</v>
      </c>
      <c r="B444">
        <v>4.5400999999999998</v>
      </c>
      <c r="C444">
        <v>4.5548999999999999</v>
      </c>
      <c r="D444">
        <v>4.3517000000000001</v>
      </c>
      <c r="E444">
        <v>4.4637000000000002</v>
      </c>
      <c r="F444">
        <v>5232906.42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0.10236220472441138</v>
      </c>
      <c r="Q444">
        <f t="shared" si="975"/>
        <v>535651.83826772659</v>
      </c>
      <c r="R444">
        <f t="shared" si="976"/>
        <v>79255164.415043056</v>
      </c>
      <c r="S444">
        <f t="shared" si="977"/>
        <v>792.55164415043055</v>
      </c>
      <c r="T444">
        <f t="shared" si="978"/>
        <v>0.79255164415043056</v>
      </c>
    </row>
    <row r="445" spans="1:20" x14ac:dyDescent="0.25">
      <c r="A445" s="5">
        <v>44148</v>
      </c>
      <c r="B445">
        <v>4.4042000000000003</v>
      </c>
      <c r="C445">
        <v>4.5918000000000001</v>
      </c>
      <c r="D445">
        <v>4.3693999999999997</v>
      </c>
      <c r="E445">
        <v>4.5425000000000004</v>
      </c>
      <c r="F445">
        <v>5539505.4100000001</v>
      </c>
      <c r="G445">
        <v>0</v>
      </c>
      <c r="L445" t="s">
        <v>7</v>
      </c>
      <c r="M445" t="s">
        <v>8</v>
      </c>
      <c r="N445" t="s">
        <v>7</v>
      </c>
      <c r="P445">
        <f t="shared" si="974"/>
        <v>0.55665467625899645</v>
      </c>
      <c r="Q445">
        <f t="shared" si="975"/>
        <v>3083591.5906385095</v>
      </c>
      <c r="R445">
        <f t="shared" si="976"/>
        <v>78719512.576775327</v>
      </c>
      <c r="S445">
        <f t="shared" si="977"/>
        <v>787.19512576775332</v>
      </c>
      <c r="T445">
        <f t="shared" si="978"/>
        <v>0.7871951257677533</v>
      </c>
    </row>
    <row r="446" spans="1:20" x14ac:dyDescent="0.25">
      <c r="A446" s="5">
        <v>44147</v>
      </c>
      <c r="B446">
        <v>4.4459999999999997</v>
      </c>
      <c r="C446">
        <v>4.4757999999999996</v>
      </c>
      <c r="D446">
        <v>4.3102999999999998</v>
      </c>
      <c r="E446">
        <v>4.4042000000000003</v>
      </c>
      <c r="F446">
        <v>4584711.8899999997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0.13474320241692658</v>
      </c>
      <c r="Q446">
        <f t="shared" si="975"/>
        <v>617758.76221755997</v>
      </c>
      <c r="R446">
        <f t="shared" si="976"/>
        <v>75635920.986136824</v>
      </c>
      <c r="S446">
        <f t="shared" si="977"/>
        <v>756.35920986136819</v>
      </c>
      <c r="T446">
        <f t="shared" si="978"/>
        <v>0.75635920986136818</v>
      </c>
    </row>
    <row r="447" spans="1:20" x14ac:dyDescent="0.25">
      <c r="A447" s="5">
        <v>44146</v>
      </c>
      <c r="B447">
        <v>4.423</v>
      </c>
      <c r="C447">
        <v>4.63</v>
      </c>
      <c r="D447">
        <v>4.4168000000000003</v>
      </c>
      <c r="E447">
        <v>4.4461000000000004</v>
      </c>
      <c r="F447">
        <v>6264704.6299999999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-0.72514071294558957</v>
      </c>
      <c r="Q447">
        <f t="shared" si="975"/>
        <v>-4542792.381791736</v>
      </c>
      <c r="R447">
        <f t="shared" si="976"/>
        <v>75018162.223919258</v>
      </c>
      <c r="S447">
        <f t="shared" si="977"/>
        <v>750.18162223919262</v>
      </c>
      <c r="T447">
        <f t="shared" si="978"/>
        <v>0.7501816222391926</v>
      </c>
    </row>
    <row r="448" spans="1:20" x14ac:dyDescent="0.25">
      <c r="A448" s="5">
        <v>44145</v>
      </c>
      <c r="B448">
        <v>4.3475999999999999</v>
      </c>
      <c r="C448">
        <v>4.5061</v>
      </c>
      <c r="D448">
        <v>4.2998000000000003</v>
      </c>
      <c r="E448">
        <v>4.4230999999999998</v>
      </c>
      <c r="F448">
        <v>5197286.34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0.19534658264662819</v>
      </c>
      <c r="Q448">
        <f t="shared" si="975"/>
        <v>1015272.1255550017</v>
      </c>
      <c r="R448">
        <f t="shared" si="976"/>
        <v>79560954.605710998</v>
      </c>
      <c r="S448">
        <f t="shared" si="977"/>
        <v>795.60954605711004</v>
      </c>
      <c r="T448">
        <f t="shared" si="978"/>
        <v>0.79560954605710998</v>
      </c>
    </row>
    <row r="449" spans="1:20" x14ac:dyDescent="0.25">
      <c r="A449" s="5">
        <v>44144</v>
      </c>
      <c r="B449">
        <v>4.3733000000000004</v>
      </c>
      <c r="C449">
        <v>4.4638999999999998</v>
      </c>
      <c r="D449">
        <v>4.2394999999999996</v>
      </c>
      <c r="E449">
        <v>4.3463000000000003</v>
      </c>
      <c r="F449">
        <v>5918543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-4.8128342245983974E-2</v>
      </c>
      <c r="Q449">
        <f t="shared" si="975"/>
        <v>-284849.66310157272</v>
      </c>
      <c r="R449">
        <f t="shared" si="976"/>
        <v>78545682.48015599</v>
      </c>
      <c r="S449">
        <f t="shared" si="977"/>
        <v>785.45682480155995</v>
      </c>
      <c r="T449">
        <f t="shared" si="978"/>
        <v>0.78545682480155998</v>
      </c>
    </row>
    <row r="450" spans="1:20" x14ac:dyDescent="0.25">
      <c r="A450" s="5">
        <v>44143</v>
      </c>
      <c r="B450">
        <v>4.2310999999999996</v>
      </c>
      <c r="C450">
        <v>4.4275000000000002</v>
      </c>
      <c r="D450">
        <v>4.13</v>
      </c>
      <c r="E450">
        <v>4.3735999999999997</v>
      </c>
      <c r="F450">
        <v>5332066.66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0.63764705882352646</v>
      </c>
      <c r="Q450">
        <f t="shared" si="975"/>
        <v>3399976.6231999844</v>
      </c>
      <c r="R450">
        <f t="shared" si="976"/>
        <v>78830532.143257558</v>
      </c>
      <c r="S450">
        <f t="shared" si="977"/>
        <v>788.30532143257562</v>
      </c>
      <c r="T450">
        <f t="shared" si="978"/>
        <v>0.78830532143257559</v>
      </c>
    </row>
    <row r="451" spans="1:20" x14ac:dyDescent="0.25">
      <c r="A451" s="5">
        <v>44142</v>
      </c>
      <c r="B451">
        <v>4.5837000000000003</v>
      </c>
      <c r="C451">
        <v>4.8586</v>
      </c>
      <c r="D451">
        <v>4.08</v>
      </c>
      <c r="E451">
        <v>4.2340999999999998</v>
      </c>
      <c r="F451">
        <v>15757508.9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-0.60416131518109506</v>
      </c>
      <c r="Q451">
        <f t="shared" si="975"/>
        <v>-9520077.3010018114</v>
      </c>
      <c r="R451">
        <f t="shared" si="976"/>
        <v>75430555.520057574</v>
      </c>
      <c r="S451">
        <f t="shared" si="977"/>
        <v>754.30555520057578</v>
      </c>
      <c r="T451">
        <f t="shared" si="978"/>
        <v>0.75430555520057574</v>
      </c>
    </row>
    <row r="452" spans="1:20" x14ac:dyDescent="0.25">
      <c r="A452" s="5">
        <v>44141</v>
      </c>
      <c r="B452">
        <v>4.2248000000000001</v>
      </c>
      <c r="C452">
        <v>4.6399999999999997</v>
      </c>
      <c r="D452">
        <v>4.202</v>
      </c>
      <c r="E452">
        <v>4.5826000000000002</v>
      </c>
      <c r="F452">
        <v>8938274.3200000003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0.73789954337899777</v>
      </c>
      <c r="Q452">
        <f t="shared" si="975"/>
        <v>6595548.5393242221</v>
      </c>
      <c r="R452">
        <f t="shared" si="976"/>
        <v>84950632.821059391</v>
      </c>
      <c r="S452">
        <f t="shared" si="977"/>
        <v>849.50632821059389</v>
      </c>
      <c r="T452">
        <f t="shared" si="978"/>
        <v>0.84950632821059391</v>
      </c>
    </row>
    <row r="453" spans="1:20" x14ac:dyDescent="0.25">
      <c r="A453" s="5">
        <v>44140</v>
      </c>
      <c r="B453">
        <v>4.0987999999999998</v>
      </c>
      <c r="C453">
        <v>4.3</v>
      </c>
      <c r="D453">
        <v>4.0105000000000004</v>
      </c>
      <c r="E453">
        <v>4.2229000000000001</v>
      </c>
      <c r="F453">
        <v>6288599.5599999996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0.46735751295336875</v>
      </c>
      <c r="Q453">
        <f t="shared" si="975"/>
        <v>2939024.250321249</v>
      </c>
      <c r="R453">
        <f t="shared" si="976"/>
        <v>78355084.281735167</v>
      </c>
      <c r="S453">
        <f t="shared" si="977"/>
        <v>783.55084281735162</v>
      </c>
      <c r="T453">
        <f t="shared" si="978"/>
        <v>0.78355084281735166</v>
      </c>
    </row>
    <row r="454" spans="1:20" x14ac:dyDescent="0.25">
      <c r="A454" s="5">
        <v>44139</v>
      </c>
      <c r="B454">
        <v>4.0377000000000001</v>
      </c>
      <c r="C454">
        <v>4.1555999999999997</v>
      </c>
      <c r="D454">
        <v>3.8915000000000002</v>
      </c>
      <c r="E454">
        <v>4.0968999999999998</v>
      </c>
      <c r="F454">
        <v>7425623.6200000001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0.55547141234380859</v>
      </c>
      <c r="Q454">
        <f t="shared" ref="Q454:Q517" si="980">F454*P454</f>
        <v>4124721.6397349448</v>
      </c>
      <c r="R454">
        <f t="shared" ref="R454:R517" si="981">R455+Q454</f>
        <v>75416060.031413913</v>
      </c>
      <c r="S454">
        <f t="shared" ref="S454:S517" si="982">R454/100000</f>
        <v>754.16060031413917</v>
      </c>
      <c r="T454">
        <f t="shared" ref="T454:T517" si="983">S454/1000</f>
        <v>0.75416060031413923</v>
      </c>
    </row>
    <row r="455" spans="1:20" x14ac:dyDescent="0.25">
      <c r="A455" s="5">
        <v>44138</v>
      </c>
      <c r="B455">
        <v>4.0271999999999997</v>
      </c>
      <c r="C455">
        <v>4.0693999999999999</v>
      </c>
      <c r="D455">
        <v>3.8841999999999999</v>
      </c>
      <c r="E455">
        <v>4.0362</v>
      </c>
      <c r="F455">
        <v>5133339.46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0.64146868250540079</v>
      </c>
      <c r="Q455">
        <f t="shared" si="980"/>
        <v>3292876.5002591857</v>
      </c>
      <c r="R455">
        <f t="shared" si="981"/>
        <v>71291338.391678974</v>
      </c>
      <c r="S455">
        <f t="shared" si="982"/>
        <v>712.91338391678971</v>
      </c>
      <c r="T455">
        <f t="shared" si="983"/>
        <v>0.71291338391678971</v>
      </c>
    </row>
    <row r="456" spans="1:20" x14ac:dyDescent="0.25">
      <c r="A456" s="5">
        <v>44137</v>
      </c>
      <c r="B456">
        <v>4.2210999999999999</v>
      </c>
      <c r="C456">
        <v>4.2626999999999997</v>
      </c>
      <c r="D456">
        <v>3.96</v>
      </c>
      <c r="E456">
        <v>4.0316000000000001</v>
      </c>
      <c r="F456">
        <v>5197343.74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-0.52692434753881623</v>
      </c>
      <c r="Q456">
        <f t="shared" si="980"/>
        <v>-2738606.9591344511</v>
      </c>
      <c r="R456">
        <f t="shared" si="981"/>
        <v>67998461.891419783</v>
      </c>
      <c r="S456">
        <f t="shared" si="982"/>
        <v>679.98461891419788</v>
      </c>
      <c r="T456">
        <f t="shared" si="983"/>
        <v>0.67998461891419792</v>
      </c>
    </row>
    <row r="457" spans="1:20" x14ac:dyDescent="0.25">
      <c r="A457" s="5">
        <v>44136</v>
      </c>
      <c r="B457">
        <v>4.1833</v>
      </c>
      <c r="C457">
        <v>4.2249999999999996</v>
      </c>
      <c r="D457">
        <v>4.1078999999999999</v>
      </c>
      <c r="E457">
        <v>4.2210999999999999</v>
      </c>
      <c r="F457">
        <v>2456433.2000000002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0.93339026473100251</v>
      </c>
      <c r="Q457">
        <f t="shared" si="980"/>
        <v>2292810.8348420239</v>
      </c>
      <c r="R457">
        <f t="shared" si="981"/>
        <v>70737068.850554228</v>
      </c>
      <c r="S457">
        <f t="shared" si="982"/>
        <v>707.37068850554226</v>
      </c>
      <c r="T457">
        <f t="shared" si="983"/>
        <v>0.7073706885055423</v>
      </c>
    </row>
    <row r="458" spans="1:20" x14ac:dyDescent="0.25">
      <c r="A458" s="5">
        <v>44135</v>
      </c>
      <c r="B458">
        <v>4.0842999999999998</v>
      </c>
      <c r="C458">
        <v>4.282</v>
      </c>
      <c r="D458">
        <v>4.0574000000000003</v>
      </c>
      <c r="E458">
        <v>4.1853999999999996</v>
      </c>
      <c r="F458">
        <v>3270318.58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0.13980409617096529</v>
      </c>
      <c r="Q458">
        <f t="shared" si="980"/>
        <v>457203.93326801463</v>
      </c>
      <c r="R458">
        <f t="shared" si="981"/>
        <v>68444258.015712202</v>
      </c>
      <c r="S458">
        <f t="shared" si="982"/>
        <v>684.44258015712205</v>
      </c>
      <c r="T458">
        <f t="shared" si="983"/>
        <v>0.684442580157122</v>
      </c>
    </row>
    <row r="459" spans="1:20" x14ac:dyDescent="0.25">
      <c r="A459" s="5">
        <v>44134</v>
      </c>
      <c r="B459">
        <v>4.0605000000000002</v>
      </c>
      <c r="C459">
        <v>4.1619999999999999</v>
      </c>
      <c r="D459">
        <v>3.9152999999999998</v>
      </c>
      <c r="E459">
        <v>4.0845000000000002</v>
      </c>
      <c r="F459">
        <v>7322005.1699999999</v>
      </c>
      <c r="G459">
        <v>0</v>
      </c>
      <c r="L459" t="s">
        <v>8</v>
      </c>
      <c r="M459" t="s">
        <v>7</v>
      </c>
      <c r="N459" t="s">
        <v>7</v>
      </c>
      <c r="P459">
        <f t="shared" si="979"/>
        <v>0.37170652614511845</v>
      </c>
      <c r="Q459">
        <f t="shared" si="980"/>
        <v>2721637.1061572973</v>
      </c>
      <c r="R459">
        <f t="shared" si="981"/>
        <v>67987054.082444191</v>
      </c>
      <c r="S459">
        <f t="shared" si="982"/>
        <v>679.87054082444195</v>
      </c>
      <c r="T459">
        <f t="shared" si="983"/>
        <v>0.67987054082444198</v>
      </c>
    </row>
    <row r="460" spans="1:20" x14ac:dyDescent="0.25">
      <c r="A460" s="5">
        <v>44133</v>
      </c>
      <c r="B460">
        <v>4.3569000000000004</v>
      </c>
      <c r="C460">
        <v>4.4115000000000002</v>
      </c>
      <c r="D460">
        <v>3.8469000000000002</v>
      </c>
      <c r="E460">
        <v>4.0605000000000002</v>
      </c>
      <c r="F460">
        <v>10671185.960000001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-0.2433581296493092</v>
      </c>
      <c r="Q460">
        <f t="shared" si="980"/>
        <v>-2596919.856365568</v>
      </c>
      <c r="R460">
        <f t="shared" si="981"/>
        <v>65265416.976286896</v>
      </c>
      <c r="S460">
        <f t="shared" si="982"/>
        <v>652.65416976286895</v>
      </c>
      <c r="T460">
        <f t="shared" si="983"/>
        <v>0.65265416976286894</v>
      </c>
    </row>
    <row r="461" spans="1:20" x14ac:dyDescent="0.25">
      <c r="A461" s="5">
        <v>44132</v>
      </c>
      <c r="B461">
        <v>4.6722999999999999</v>
      </c>
      <c r="C461">
        <v>4.78</v>
      </c>
      <c r="D461">
        <v>4.2519999999999998</v>
      </c>
      <c r="E461">
        <v>4.3570000000000002</v>
      </c>
      <c r="F461">
        <v>9278337.1400000006</v>
      </c>
      <c r="G461">
        <v>0</v>
      </c>
      <c r="L461" t="s">
        <v>7</v>
      </c>
      <c r="M461" t="s">
        <v>8</v>
      </c>
      <c r="N461" t="s">
        <v>7</v>
      </c>
      <c r="P461">
        <f t="shared" si="979"/>
        <v>-0.60227272727272596</v>
      </c>
      <c r="Q461">
        <f t="shared" si="980"/>
        <v>-5588089.4138636244</v>
      </c>
      <c r="R461">
        <f t="shared" si="981"/>
        <v>67862336.832652465</v>
      </c>
      <c r="S461">
        <f t="shared" si="982"/>
        <v>678.62336832652466</v>
      </c>
      <c r="T461">
        <f t="shared" si="983"/>
        <v>0.6786233683265247</v>
      </c>
    </row>
    <row r="462" spans="1:20" x14ac:dyDescent="0.25">
      <c r="A462" s="5">
        <v>44131</v>
      </c>
      <c r="B462">
        <v>4.7064000000000004</v>
      </c>
      <c r="C462">
        <v>4.95</v>
      </c>
      <c r="D462">
        <v>4.6429</v>
      </c>
      <c r="E462">
        <v>4.6721000000000004</v>
      </c>
      <c r="F462">
        <v>10646881.65</v>
      </c>
      <c r="G462">
        <v>0</v>
      </c>
      <c r="L462" t="s">
        <v>8</v>
      </c>
      <c r="M462" t="s">
        <v>8</v>
      </c>
      <c r="N462" t="s">
        <v>7</v>
      </c>
      <c r="P462">
        <f t="shared" si="979"/>
        <v>-0.80983393031585593</v>
      </c>
      <c r="Q462">
        <f t="shared" si="980"/>
        <v>-8622206.0122272652</v>
      </c>
      <c r="R462">
        <f t="shared" si="981"/>
        <v>73450426.246516094</v>
      </c>
      <c r="S462">
        <f t="shared" si="982"/>
        <v>734.50426246516099</v>
      </c>
      <c r="T462">
        <f t="shared" si="983"/>
        <v>0.73450426246516098</v>
      </c>
    </row>
    <row r="463" spans="1:20" x14ac:dyDescent="0.25">
      <c r="A463" s="5">
        <v>44130</v>
      </c>
      <c r="B463">
        <v>4.3315000000000001</v>
      </c>
      <c r="C463">
        <v>4.7474999999999996</v>
      </c>
      <c r="D463">
        <v>4.2906000000000004</v>
      </c>
      <c r="E463">
        <v>4.7031000000000001</v>
      </c>
      <c r="F463">
        <v>11305772.220000001</v>
      </c>
      <c r="G463">
        <v>0</v>
      </c>
      <c r="L463" t="s">
        <v>8</v>
      </c>
      <c r="M463" t="s">
        <v>8</v>
      </c>
      <c r="N463" t="s">
        <v>7</v>
      </c>
      <c r="P463">
        <f t="shared" si="979"/>
        <v>0.80564674983585194</v>
      </c>
      <c r="Q463">
        <f t="shared" si="980"/>
        <v>9108458.6434274651</v>
      </c>
      <c r="R463">
        <f t="shared" si="981"/>
        <v>82072632.258743361</v>
      </c>
      <c r="S463">
        <f t="shared" si="982"/>
        <v>820.72632258743363</v>
      </c>
      <c r="T463">
        <f t="shared" si="983"/>
        <v>0.82072632258743361</v>
      </c>
    </row>
    <row r="464" spans="1:20" x14ac:dyDescent="0.25">
      <c r="A464" s="5">
        <v>44129</v>
      </c>
      <c r="B464">
        <v>4.3499999999999996</v>
      </c>
      <c r="C464">
        <v>4.4494999999999996</v>
      </c>
      <c r="D464">
        <v>4.2587999999999999</v>
      </c>
      <c r="E464">
        <v>4.3310000000000004</v>
      </c>
      <c r="F464">
        <v>4100261.59</v>
      </c>
      <c r="G464">
        <v>0</v>
      </c>
      <c r="L464" t="s">
        <v>8</v>
      </c>
      <c r="M464" t="s">
        <v>8</v>
      </c>
      <c r="N464" t="s">
        <v>7</v>
      </c>
      <c r="P464">
        <f t="shared" si="979"/>
        <v>-0.24278972207655355</v>
      </c>
      <c r="Q464">
        <f t="shared" si="980"/>
        <v>-995501.37187726749</v>
      </c>
      <c r="R464">
        <f t="shared" si="981"/>
        <v>72964173.615315899</v>
      </c>
      <c r="S464">
        <f t="shared" si="982"/>
        <v>729.64173615315894</v>
      </c>
      <c r="T464">
        <f t="shared" si="983"/>
        <v>0.72964173615315897</v>
      </c>
    </row>
    <row r="465" spans="1:20" x14ac:dyDescent="0.25">
      <c r="A465" s="5">
        <v>44128</v>
      </c>
      <c r="B465">
        <v>4.2640000000000002</v>
      </c>
      <c r="C465">
        <v>4.43</v>
      </c>
      <c r="D465">
        <v>4.2381000000000002</v>
      </c>
      <c r="E465">
        <v>4.3536000000000001</v>
      </c>
      <c r="F465">
        <v>4486543.97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0.20375195414278507</v>
      </c>
      <c r="Q465">
        <f t="shared" si="980"/>
        <v>914142.10123502882</v>
      </c>
      <c r="R465">
        <f t="shared" si="981"/>
        <v>73959674.987193167</v>
      </c>
      <c r="S465">
        <f t="shared" si="982"/>
        <v>739.59674987193171</v>
      </c>
      <c r="T465">
        <f t="shared" si="983"/>
        <v>0.73959674987193169</v>
      </c>
    </row>
    <row r="466" spans="1:20" x14ac:dyDescent="0.25">
      <c r="A466" s="5">
        <v>44127</v>
      </c>
      <c r="B466">
        <v>4.2695999999999996</v>
      </c>
      <c r="C466">
        <v>4.4800000000000004</v>
      </c>
      <c r="D466">
        <v>4.1849999999999996</v>
      </c>
      <c r="E466">
        <v>4.2633000000000001</v>
      </c>
      <c r="F466">
        <v>8353056.5199999996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-0.46915254237287957</v>
      </c>
      <c r="Q466">
        <f t="shared" si="980"/>
        <v>-3918857.7029423579</v>
      </c>
      <c r="R466">
        <f t="shared" si="981"/>
        <v>73045532.885958135</v>
      </c>
      <c r="S466">
        <f t="shared" si="982"/>
        <v>730.4553288595813</v>
      </c>
      <c r="T466">
        <f t="shared" si="983"/>
        <v>0.73045532885958131</v>
      </c>
    </row>
    <row r="467" spans="1:20" x14ac:dyDescent="0.25">
      <c r="A467" s="5">
        <v>44126</v>
      </c>
      <c r="B467">
        <v>4.1329000000000002</v>
      </c>
      <c r="C467">
        <v>4.3380000000000001</v>
      </c>
      <c r="D467">
        <v>4.1234000000000002</v>
      </c>
      <c r="E467">
        <v>4.2683</v>
      </c>
      <c r="F467">
        <v>5757990.79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0.35041938490214236</v>
      </c>
      <c r="Q467">
        <f t="shared" si="980"/>
        <v>2017711.5909040007</v>
      </c>
      <c r="R467">
        <f t="shared" si="981"/>
        <v>76964390.588900492</v>
      </c>
      <c r="S467">
        <f t="shared" si="982"/>
        <v>769.64390588900494</v>
      </c>
      <c r="T467">
        <f t="shared" si="983"/>
        <v>0.76964390588900489</v>
      </c>
    </row>
    <row r="468" spans="1:20" x14ac:dyDescent="0.25">
      <c r="A468" s="5">
        <v>44125</v>
      </c>
      <c r="B468">
        <v>3.9034</v>
      </c>
      <c r="C468">
        <v>4.26</v>
      </c>
      <c r="D468">
        <v>3.8906999999999998</v>
      </c>
      <c r="E468">
        <v>4.1352000000000002</v>
      </c>
      <c r="F468">
        <v>7288864.7999999998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0.32412672623883243</v>
      </c>
      <c r="Q468">
        <f t="shared" si="980"/>
        <v>2362515.885621462</v>
      </c>
      <c r="R468">
        <f t="shared" si="981"/>
        <v>74946678.997996494</v>
      </c>
      <c r="S468">
        <f t="shared" si="982"/>
        <v>749.46678997996491</v>
      </c>
      <c r="T468">
        <f t="shared" si="983"/>
        <v>0.74946678997996496</v>
      </c>
    </row>
    <row r="469" spans="1:20" x14ac:dyDescent="0.25">
      <c r="A469" s="5">
        <v>44124</v>
      </c>
      <c r="B469">
        <v>3.9843000000000002</v>
      </c>
      <c r="C469">
        <v>4.149</v>
      </c>
      <c r="D469">
        <v>3.8641000000000001</v>
      </c>
      <c r="E469">
        <v>3.9034</v>
      </c>
      <c r="F469">
        <v>5741108.4900000002</v>
      </c>
      <c r="G469">
        <v>0</v>
      </c>
      <c r="L469" t="s">
        <v>8</v>
      </c>
      <c r="M469" t="s">
        <v>8</v>
      </c>
      <c r="N469" t="s">
        <v>7</v>
      </c>
      <c r="P469">
        <f t="shared" si="979"/>
        <v>-0.72411372411372477</v>
      </c>
      <c r="Q469">
        <f t="shared" si="980"/>
        <v>-4157215.4492348232</v>
      </c>
      <c r="R469">
        <f t="shared" si="981"/>
        <v>72584163.112375036</v>
      </c>
      <c r="S469">
        <f t="shared" si="982"/>
        <v>725.8416311237504</v>
      </c>
      <c r="T469">
        <f t="shared" si="983"/>
        <v>0.72584163112375044</v>
      </c>
    </row>
    <row r="470" spans="1:20" x14ac:dyDescent="0.25">
      <c r="A470" s="5">
        <v>44123</v>
      </c>
      <c r="B470">
        <v>4.1070000000000002</v>
      </c>
      <c r="C470">
        <v>4.1228999999999996</v>
      </c>
      <c r="D470">
        <v>3.9500999999999999</v>
      </c>
      <c r="E470">
        <v>3.9860000000000002</v>
      </c>
      <c r="F470">
        <v>2740611.47</v>
      </c>
      <c r="G470">
        <v>0</v>
      </c>
      <c r="L470" t="s">
        <v>8</v>
      </c>
      <c r="M470" t="s">
        <v>8</v>
      </c>
      <c r="N470" t="s">
        <v>7</v>
      </c>
      <c r="P470">
        <f t="shared" si="979"/>
        <v>-0.58449074074073681</v>
      </c>
      <c r="Q470">
        <f t="shared" si="980"/>
        <v>-1601862.0281828598</v>
      </c>
      <c r="R470">
        <f t="shared" si="981"/>
        <v>76741378.561609864</v>
      </c>
      <c r="S470">
        <f t="shared" si="982"/>
        <v>767.41378561609861</v>
      </c>
      <c r="T470">
        <f t="shared" si="983"/>
        <v>0.76741378561609863</v>
      </c>
    </row>
    <row r="471" spans="1:20" x14ac:dyDescent="0.25">
      <c r="A471" s="5">
        <v>44122</v>
      </c>
      <c r="B471">
        <v>3.9651999999999998</v>
      </c>
      <c r="C471">
        <v>4.125</v>
      </c>
      <c r="D471">
        <v>3.9540000000000002</v>
      </c>
      <c r="E471">
        <v>4.1067999999999998</v>
      </c>
      <c r="F471">
        <v>2456005.5</v>
      </c>
      <c r="G471">
        <v>0</v>
      </c>
      <c r="L471" t="s">
        <v>8</v>
      </c>
      <c r="M471" t="s">
        <v>8</v>
      </c>
      <c r="N471" t="s">
        <v>7</v>
      </c>
      <c r="P471">
        <f t="shared" si="979"/>
        <v>0.78713450292397391</v>
      </c>
      <c r="Q471">
        <f t="shared" si="980"/>
        <v>1933206.6684210461</v>
      </c>
      <c r="R471">
        <f t="shared" si="981"/>
        <v>78343240.589792728</v>
      </c>
      <c r="S471">
        <f t="shared" si="982"/>
        <v>783.43240589792731</v>
      </c>
      <c r="T471">
        <f t="shared" si="983"/>
        <v>0.78343240589792729</v>
      </c>
    </row>
    <row r="472" spans="1:20" x14ac:dyDescent="0.25">
      <c r="A472" s="5">
        <v>44121</v>
      </c>
      <c r="B472">
        <v>3.9131999999999998</v>
      </c>
      <c r="C472">
        <v>3.9799000000000002</v>
      </c>
      <c r="D472">
        <v>3.8607</v>
      </c>
      <c r="E472">
        <v>3.9662999999999999</v>
      </c>
      <c r="F472">
        <v>1738606.63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0.77181208053690842</v>
      </c>
      <c r="Q472">
        <f t="shared" si="980"/>
        <v>1341877.6003355628</v>
      </c>
      <c r="R472">
        <f t="shared" si="981"/>
        <v>76410033.921371683</v>
      </c>
      <c r="S472">
        <f t="shared" si="982"/>
        <v>764.10033921371678</v>
      </c>
      <c r="T472">
        <f t="shared" si="983"/>
        <v>0.76410033921371678</v>
      </c>
    </row>
    <row r="473" spans="1:20" x14ac:dyDescent="0.25">
      <c r="A473" s="5">
        <v>44120</v>
      </c>
      <c r="B473">
        <v>4.0990000000000002</v>
      </c>
      <c r="C473">
        <v>4.1562000000000001</v>
      </c>
      <c r="D473">
        <v>3.8</v>
      </c>
      <c r="E473">
        <v>3.9106000000000001</v>
      </c>
      <c r="F473">
        <v>5544038.1799999997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-0.37900056148231237</v>
      </c>
      <c r="Q473">
        <f t="shared" si="980"/>
        <v>-2101193.5830993769</v>
      </c>
      <c r="R473">
        <f t="shared" si="981"/>
        <v>75068156.321036115</v>
      </c>
      <c r="S473">
        <f t="shared" si="982"/>
        <v>750.68156321036111</v>
      </c>
      <c r="T473">
        <f t="shared" si="983"/>
        <v>0.75068156321036106</v>
      </c>
    </row>
    <row r="474" spans="1:20" x14ac:dyDescent="0.25">
      <c r="A474" s="5">
        <v>44119</v>
      </c>
      <c r="B474">
        <v>4.1816000000000004</v>
      </c>
      <c r="C474">
        <v>4.1872999999999996</v>
      </c>
      <c r="D474">
        <v>4.0199999999999996</v>
      </c>
      <c r="E474">
        <v>4.0990000000000002</v>
      </c>
      <c r="F474">
        <v>3826663.78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-5.5588762701725962E-2</v>
      </c>
      <c r="Q474">
        <f t="shared" si="980"/>
        <v>-212719.50480570967</v>
      </c>
      <c r="R474">
        <f t="shared" si="981"/>
        <v>77169349.904135495</v>
      </c>
      <c r="S474">
        <f t="shared" si="982"/>
        <v>771.69349904135493</v>
      </c>
      <c r="T474">
        <f t="shared" si="983"/>
        <v>0.77169349904135498</v>
      </c>
    </row>
    <row r="475" spans="1:20" x14ac:dyDescent="0.25">
      <c r="A475" s="5">
        <v>44118</v>
      </c>
      <c r="B475">
        <v>4.2515000000000001</v>
      </c>
      <c r="C475">
        <v>4.3795000000000002</v>
      </c>
      <c r="D475">
        <v>4.0835999999999997</v>
      </c>
      <c r="E475">
        <v>4.1829000000000001</v>
      </c>
      <c r="F475">
        <v>5239195.66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-0.32882730652247233</v>
      </c>
      <c r="Q475">
        <f t="shared" si="980"/>
        <v>-1722790.5972220267</v>
      </c>
      <c r="R475">
        <f t="shared" si="981"/>
        <v>77382069.408941209</v>
      </c>
      <c r="S475">
        <f t="shared" si="982"/>
        <v>773.82069408941209</v>
      </c>
      <c r="T475">
        <f t="shared" si="983"/>
        <v>0.77382069408941212</v>
      </c>
    </row>
    <row r="476" spans="1:20" x14ac:dyDescent="0.25">
      <c r="A476" s="5">
        <v>44117</v>
      </c>
      <c r="B476">
        <v>4.3098999999999998</v>
      </c>
      <c r="C476">
        <v>4.3464</v>
      </c>
      <c r="D476">
        <v>4.1302000000000003</v>
      </c>
      <c r="E476">
        <v>4.2473000000000001</v>
      </c>
      <c r="F476">
        <v>4643179.26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8.3256244218315525E-2</v>
      </c>
      <c r="Q476">
        <f t="shared" si="980"/>
        <v>386573.66641997756</v>
      </c>
      <c r="R476">
        <f t="shared" si="981"/>
        <v>79104860.006163239</v>
      </c>
      <c r="S476">
        <f t="shared" si="982"/>
        <v>791.04860006163244</v>
      </c>
      <c r="T476">
        <f t="shared" si="983"/>
        <v>0.79104860006163247</v>
      </c>
    </row>
    <row r="477" spans="1:20" x14ac:dyDescent="0.25">
      <c r="A477" s="5">
        <v>44116</v>
      </c>
      <c r="B477">
        <v>4.2464000000000004</v>
      </c>
      <c r="C477">
        <v>4.4500999999999999</v>
      </c>
      <c r="D477">
        <v>4.1898999999999997</v>
      </c>
      <c r="E477">
        <v>4.3075000000000001</v>
      </c>
      <c r="F477">
        <v>6228123.1200000001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-9.6079938508837226E-2</v>
      </c>
      <c r="Q477">
        <f t="shared" si="980"/>
        <v>-598397.68639506749</v>
      </c>
      <c r="R477">
        <f t="shared" si="981"/>
        <v>78718286.339743257</v>
      </c>
      <c r="S477">
        <f t="shared" si="982"/>
        <v>787.18286339743258</v>
      </c>
      <c r="T477">
        <f t="shared" si="983"/>
        <v>0.7871828633974326</v>
      </c>
    </row>
    <row r="478" spans="1:20" x14ac:dyDescent="0.25">
      <c r="A478" s="5">
        <v>44115</v>
      </c>
      <c r="B478">
        <v>4.2579000000000002</v>
      </c>
      <c r="C478">
        <v>4.3354999999999997</v>
      </c>
      <c r="D478">
        <v>4.1683000000000003</v>
      </c>
      <c r="E478">
        <v>4.2450000000000001</v>
      </c>
      <c r="F478">
        <v>3675666.58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-8.253588516746331E-2</v>
      </c>
      <c r="Q478">
        <f t="shared" si="980"/>
        <v>-303374.39476076257</v>
      </c>
      <c r="R478">
        <f t="shared" si="981"/>
        <v>79316684.026138321</v>
      </c>
      <c r="S478">
        <f t="shared" si="982"/>
        <v>793.16684026138319</v>
      </c>
      <c r="T478">
        <f t="shared" si="983"/>
        <v>0.79316684026138318</v>
      </c>
    </row>
    <row r="479" spans="1:20" x14ac:dyDescent="0.25">
      <c r="A479" s="5">
        <v>44114</v>
      </c>
      <c r="B479">
        <v>4.2545999999999999</v>
      </c>
      <c r="C479">
        <v>4.4889999999999999</v>
      </c>
      <c r="D479">
        <v>4.2300000000000004</v>
      </c>
      <c r="E479">
        <v>4.2606000000000002</v>
      </c>
      <c r="F479">
        <v>5182487.5599999996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-0.7637065637065652</v>
      </c>
      <c r="Q479">
        <f t="shared" si="980"/>
        <v>-3957899.7658996214</v>
      </c>
      <c r="R479">
        <f t="shared" si="981"/>
        <v>79620058.420899078</v>
      </c>
      <c r="S479">
        <f t="shared" si="982"/>
        <v>796.20058420899079</v>
      </c>
      <c r="T479">
        <f t="shared" si="983"/>
        <v>0.79620058420899076</v>
      </c>
    </row>
    <row r="480" spans="1:20" x14ac:dyDescent="0.25">
      <c r="A480" s="5">
        <v>44113</v>
      </c>
      <c r="B480">
        <v>4.1144999999999996</v>
      </c>
      <c r="C480">
        <v>4.3499999999999996</v>
      </c>
      <c r="D480">
        <v>4.0087000000000002</v>
      </c>
      <c r="E480">
        <v>4.2541000000000002</v>
      </c>
      <c r="F480">
        <v>6400372.8499999996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0.43803105772048301</v>
      </c>
      <c r="Q480">
        <f t="shared" si="980"/>
        <v>2803562.0892909621</v>
      </c>
      <c r="R480">
        <f t="shared" si="981"/>
        <v>83577958.186798707</v>
      </c>
      <c r="S480">
        <f t="shared" si="982"/>
        <v>835.77958186798708</v>
      </c>
      <c r="T480">
        <f t="shared" si="983"/>
        <v>0.83577958186798706</v>
      </c>
    </row>
    <row r="481" spans="1:20" x14ac:dyDescent="0.25">
      <c r="A481" s="5">
        <v>44112</v>
      </c>
      <c r="B481">
        <v>3.8538000000000001</v>
      </c>
      <c r="C481">
        <v>4.1624999999999996</v>
      </c>
      <c r="D481">
        <v>3.6333000000000002</v>
      </c>
      <c r="E481">
        <v>4.1162999999999998</v>
      </c>
      <c r="F481">
        <v>8531658.5999999996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0.82539682539682602</v>
      </c>
      <c r="Q481">
        <f t="shared" si="980"/>
        <v>7042003.9238095284</v>
      </c>
      <c r="R481">
        <f t="shared" si="981"/>
        <v>80774396.097507745</v>
      </c>
      <c r="S481">
        <f t="shared" si="982"/>
        <v>807.74396097507747</v>
      </c>
      <c r="T481">
        <f t="shared" si="983"/>
        <v>0.8077439609750775</v>
      </c>
    </row>
    <row r="482" spans="1:20" x14ac:dyDescent="0.25">
      <c r="A482" s="5">
        <v>44111</v>
      </c>
      <c r="B482">
        <v>3.7461000000000002</v>
      </c>
      <c r="C482">
        <v>3.8963999999999999</v>
      </c>
      <c r="D482">
        <v>3.6</v>
      </c>
      <c r="E482">
        <v>3.8517000000000001</v>
      </c>
      <c r="F482">
        <v>8599075.8499999996</v>
      </c>
      <c r="G482">
        <v>0</v>
      </c>
      <c r="L482" t="s">
        <v>8</v>
      </c>
      <c r="M482" t="s">
        <v>7</v>
      </c>
      <c r="N482" t="s">
        <v>7</v>
      </c>
      <c r="P482">
        <f t="shared" si="979"/>
        <v>0.69838056680162097</v>
      </c>
      <c r="Q482">
        <f t="shared" si="980"/>
        <v>6005427.4660931304</v>
      </c>
      <c r="R482">
        <f t="shared" si="981"/>
        <v>73732392.173698217</v>
      </c>
      <c r="S482">
        <f t="shared" si="982"/>
        <v>737.32392173698213</v>
      </c>
      <c r="T482">
        <f t="shared" si="983"/>
        <v>0.73732392173698214</v>
      </c>
    </row>
    <row r="483" spans="1:20" x14ac:dyDescent="0.25">
      <c r="A483" s="5">
        <v>44110</v>
      </c>
      <c r="B483">
        <v>4.1589</v>
      </c>
      <c r="C483">
        <v>4.18</v>
      </c>
      <c r="D483">
        <v>3.6059999999999999</v>
      </c>
      <c r="E483">
        <v>3.7465000000000002</v>
      </c>
      <c r="F483">
        <v>9256379.9800000004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-0.51045296167247267</v>
      </c>
      <c r="Q483">
        <f t="shared" si="980"/>
        <v>-4724946.5751567837</v>
      </c>
      <c r="R483">
        <f t="shared" si="981"/>
        <v>67726964.707605079</v>
      </c>
      <c r="S483">
        <f t="shared" si="982"/>
        <v>677.26964707605077</v>
      </c>
      <c r="T483">
        <f t="shared" si="983"/>
        <v>0.67726964707605075</v>
      </c>
    </row>
    <row r="484" spans="1:20" x14ac:dyDescent="0.25">
      <c r="A484" s="5">
        <v>44109</v>
      </c>
      <c r="B484">
        <v>4.1744000000000003</v>
      </c>
      <c r="C484">
        <v>4.25</v>
      </c>
      <c r="D484">
        <v>4.1059999999999999</v>
      </c>
      <c r="E484">
        <v>4.1620999999999997</v>
      </c>
      <c r="F484">
        <v>4362181.16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-0.22083333333333657</v>
      </c>
      <c r="Q484">
        <f t="shared" si="980"/>
        <v>-963315.00616668083</v>
      </c>
      <c r="R484">
        <f t="shared" si="981"/>
        <v>72451911.282761857</v>
      </c>
      <c r="S484">
        <f t="shared" si="982"/>
        <v>724.51911282761853</v>
      </c>
      <c r="T484">
        <f t="shared" si="983"/>
        <v>0.72451911282761849</v>
      </c>
    </row>
    <row r="485" spans="1:20" x14ac:dyDescent="0.25">
      <c r="A485" s="5">
        <v>44108</v>
      </c>
      <c r="B485">
        <v>4.0606</v>
      </c>
      <c r="C485">
        <v>4.1989999999999998</v>
      </c>
      <c r="D485">
        <v>4.0110999999999999</v>
      </c>
      <c r="E485">
        <v>4.1769999999999996</v>
      </c>
      <c r="F485">
        <v>2792994.5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0.76583288983501596</v>
      </c>
      <c r="Q485">
        <f t="shared" si="980"/>
        <v>2138967.0492283055</v>
      </c>
      <c r="R485">
        <f t="shared" si="981"/>
        <v>73415226.288928539</v>
      </c>
      <c r="S485">
        <f t="shared" si="982"/>
        <v>734.15226288928534</v>
      </c>
      <c r="T485">
        <f t="shared" si="983"/>
        <v>0.73415226288928537</v>
      </c>
    </row>
    <row r="486" spans="1:20" x14ac:dyDescent="0.25">
      <c r="A486" s="5">
        <v>44107</v>
      </c>
      <c r="B486">
        <v>4.1280000000000001</v>
      </c>
      <c r="C486">
        <v>4.1349</v>
      </c>
      <c r="D486">
        <v>4.0263</v>
      </c>
      <c r="E486">
        <v>4.0606999999999998</v>
      </c>
      <c r="F486">
        <v>3078936.51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-0.36648250460405607</v>
      </c>
      <c r="Q486">
        <f t="shared" si="980"/>
        <v>-1128376.3637016711</v>
      </c>
      <c r="R486">
        <f t="shared" si="981"/>
        <v>71276259.239700228</v>
      </c>
      <c r="S486">
        <f t="shared" si="982"/>
        <v>712.76259239700232</v>
      </c>
      <c r="T486">
        <f t="shared" si="983"/>
        <v>0.71276259239700235</v>
      </c>
    </row>
    <row r="487" spans="1:20" x14ac:dyDescent="0.25">
      <c r="A487" s="5">
        <v>44106</v>
      </c>
      <c r="B487">
        <v>4.3426999999999998</v>
      </c>
      <c r="C487">
        <v>4.3620999999999999</v>
      </c>
      <c r="D487">
        <v>3.8881999999999999</v>
      </c>
      <c r="E487">
        <v>4.1281999999999996</v>
      </c>
      <c r="F487">
        <v>7748588.8300000001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1.287191390588637E-2</v>
      </c>
      <c r="Q487">
        <f t="shared" si="980"/>
        <v>99739.168311872796</v>
      </c>
      <c r="R487">
        <f t="shared" si="981"/>
        <v>72404635.603401899</v>
      </c>
      <c r="S487">
        <f t="shared" si="982"/>
        <v>724.04635603401903</v>
      </c>
      <c r="T487">
        <f t="shared" si="983"/>
        <v>0.72404635603401901</v>
      </c>
    </row>
    <row r="488" spans="1:20" x14ac:dyDescent="0.25">
      <c r="A488" s="5">
        <v>44105</v>
      </c>
      <c r="B488">
        <v>4.3459000000000003</v>
      </c>
      <c r="C488">
        <v>4.5857999999999999</v>
      </c>
      <c r="D488">
        <v>4.2317</v>
      </c>
      <c r="E488">
        <v>4.3468</v>
      </c>
      <c r="F488">
        <v>7358246.5599999996</v>
      </c>
      <c r="G488">
        <v>0</v>
      </c>
      <c r="L488" t="s">
        <v>8</v>
      </c>
      <c r="M488" t="s">
        <v>8</v>
      </c>
      <c r="N488" t="s">
        <v>7</v>
      </c>
      <c r="P488">
        <f t="shared" si="979"/>
        <v>-0.34990115786500975</v>
      </c>
      <c r="Q488">
        <f t="shared" si="980"/>
        <v>-2574658.991200225</v>
      </c>
      <c r="R488">
        <f t="shared" si="981"/>
        <v>72304896.43509002</v>
      </c>
      <c r="S488">
        <f t="shared" si="982"/>
        <v>723.04896435090018</v>
      </c>
      <c r="T488">
        <f t="shared" si="983"/>
        <v>0.72304896435090016</v>
      </c>
    </row>
    <row r="489" spans="1:20" x14ac:dyDescent="0.25">
      <c r="A489" s="5">
        <v>44104</v>
      </c>
      <c r="B489">
        <v>4.4969999999999999</v>
      </c>
      <c r="C489">
        <v>4.5</v>
      </c>
      <c r="D489">
        <v>4.2287999999999997</v>
      </c>
      <c r="E489">
        <v>4.3457999999999997</v>
      </c>
      <c r="F489">
        <v>4418266.7699999996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-0.13716814159292146</v>
      </c>
      <c r="Q489">
        <f t="shared" si="980"/>
        <v>-606045.44190265972</v>
      </c>
      <c r="R489">
        <f t="shared" si="981"/>
        <v>74879555.426290244</v>
      </c>
      <c r="S489">
        <f t="shared" si="982"/>
        <v>748.79555426290244</v>
      </c>
      <c r="T489">
        <f t="shared" si="983"/>
        <v>0.74879555426290245</v>
      </c>
    </row>
    <row r="490" spans="1:20" x14ac:dyDescent="0.25">
      <c r="A490" s="5">
        <v>44103</v>
      </c>
      <c r="B490">
        <v>4.45</v>
      </c>
      <c r="C490">
        <v>4.6112000000000002</v>
      </c>
      <c r="D490">
        <v>4.3310000000000004</v>
      </c>
      <c r="E490">
        <v>4.4969000000000001</v>
      </c>
      <c r="F490">
        <v>7753017.8499999996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0.18415417558886399</v>
      </c>
      <c r="Q490">
        <f t="shared" si="980"/>
        <v>1427750.6104924968</v>
      </c>
      <c r="R490">
        <f t="shared" si="981"/>
        <v>75485600.868192896</v>
      </c>
      <c r="S490">
        <f t="shared" si="982"/>
        <v>754.85600868192898</v>
      </c>
      <c r="T490">
        <f t="shared" si="983"/>
        <v>0.75485600868192904</v>
      </c>
    </row>
    <row r="491" spans="1:20" x14ac:dyDescent="0.25">
      <c r="A491" s="5">
        <v>44102</v>
      </c>
      <c r="B491">
        <v>4.2999000000000001</v>
      </c>
      <c r="C491">
        <v>4.5938999999999997</v>
      </c>
      <c r="D491">
        <v>4.2473999999999998</v>
      </c>
      <c r="E491">
        <v>4.4500999999999999</v>
      </c>
      <c r="F491">
        <v>9835916.8100000005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0.16998556998557121</v>
      </c>
      <c r="Q491">
        <f t="shared" si="980"/>
        <v>1671963.9252785114</v>
      </c>
      <c r="R491">
        <f t="shared" si="981"/>
        <v>74057850.257700399</v>
      </c>
      <c r="S491">
        <f t="shared" si="982"/>
        <v>740.57850257700397</v>
      </c>
      <c r="T491">
        <f t="shared" si="983"/>
        <v>0.74057850257700397</v>
      </c>
    </row>
    <row r="492" spans="1:20" x14ac:dyDescent="0.25">
      <c r="A492" s="5">
        <v>44101</v>
      </c>
      <c r="B492">
        <v>4.3329000000000004</v>
      </c>
      <c r="C492">
        <v>4.3640999999999996</v>
      </c>
      <c r="D492">
        <v>4.1151999999999997</v>
      </c>
      <c r="E492">
        <v>4.2961999999999998</v>
      </c>
      <c r="F492">
        <v>3814327.15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0.45439935717155583</v>
      </c>
      <c r="Q492">
        <f t="shared" si="980"/>
        <v>1733227.8050020125</v>
      </c>
      <c r="R492">
        <f t="shared" si="981"/>
        <v>72385886.332421884</v>
      </c>
      <c r="S492">
        <f t="shared" si="982"/>
        <v>723.85886332421887</v>
      </c>
      <c r="T492">
        <f t="shared" si="983"/>
        <v>0.72385886332421889</v>
      </c>
    </row>
    <row r="493" spans="1:20" x14ac:dyDescent="0.25">
      <c r="A493" s="5">
        <v>44100</v>
      </c>
      <c r="B493">
        <v>4.4138999999999999</v>
      </c>
      <c r="C493">
        <v>4.4819000000000004</v>
      </c>
      <c r="D493">
        <v>4.2240000000000002</v>
      </c>
      <c r="E493">
        <v>4.3308</v>
      </c>
      <c r="F493">
        <v>3890876.06</v>
      </c>
      <c r="G493">
        <v>0</v>
      </c>
      <c r="L493" t="s">
        <v>7</v>
      </c>
      <c r="M493" t="s">
        <v>7</v>
      </c>
      <c r="N493" t="s">
        <v>7</v>
      </c>
      <c r="P493">
        <f t="shared" si="979"/>
        <v>-0.17177200465296871</v>
      </c>
      <c r="Q493">
        <f t="shared" si="980"/>
        <v>-668343.58068244462</v>
      </c>
      <c r="R493">
        <f t="shared" si="981"/>
        <v>70652658.527419865</v>
      </c>
      <c r="S493">
        <f t="shared" si="982"/>
        <v>706.52658527419862</v>
      </c>
      <c r="T493">
        <f t="shared" si="983"/>
        <v>0.70652658527419865</v>
      </c>
    </row>
    <row r="494" spans="1:20" x14ac:dyDescent="0.25">
      <c r="A494" s="5">
        <v>44099</v>
      </c>
      <c r="B494">
        <v>4.3784000000000001</v>
      </c>
      <c r="C494">
        <v>4.5298999999999996</v>
      </c>
      <c r="D494">
        <v>4.2409999999999997</v>
      </c>
      <c r="E494">
        <v>4.4138999999999999</v>
      </c>
      <c r="F494">
        <v>6666492.0800000001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0.19695396330910567</v>
      </c>
      <c r="Q494">
        <f t="shared" si="980"/>
        <v>1312992.0365247636</v>
      </c>
      <c r="R494">
        <f t="shared" si="981"/>
        <v>71321002.108102307</v>
      </c>
      <c r="S494">
        <f t="shared" si="982"/>
        <v>713.21002108102311</v>
      </c>
      <c r="T494">
        <f t="shared" si="983"/>
        <v>0.71321002108102316</v>
      </c>
    </row>
    <row r="495" spans="1:20" x14ac:dyDescent="0.25">
      <c r="A495" s="5">
        <v>44098</v>
      </c>
      <c r="B495">
        <v>4.0128000000000004</v>
      </c>
      <c r="C495">
        <v>4.49</v>
      </c>
      <c r="D495">
        <v>3.9615999999999998</v>
      </c>
      <c r="E495">
        <v>4.3781999999999996</v>
      </c>
      <c r="F495">
        <v>8363967.0199999996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0.57683573050718973</v>
      </c>
      <c r="Q495">
        <f t="shared" si="980"/>
        <v>4824635.0259197429</v>
      </c>
      <c r="R495">
        <f t="shared" si="981"/>
        <v>70008010.071577549</v>
      </c>
      <c r="S495">
        <f t="shared" si="982"/>
        <v>700.08010071577553</v>
      </c>
      <c r="T495">
        <f t="shared" si="983"/>
        <v>0.70008010071577553</v>
      </c>
    </row>
    <row r="496" spans="1:20" x14ac:dyDescent="0.25">
      <c r="A496" s="5">
        <v>44097</v>
      </c>
      <c r="B496">
        <v>4.1623000000000001</v>
      </c>
      <c r="C496">
        <v>4.3240999999999996</v>
      </c>
      <c r="D496">
        <v>3.94</v>
      </c>
      <c r="E496">
        <v>4.0076999999999998</v>
      </c>
      <c r="F496">
        <v>9432617.0099999998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-0.6474876334287949</v>
      </c>
      <c r="Q496">
        <f t="shared" si="980"/>
        <v>-6107502.8648450952</v>
      </c>
      <c r="R496">
        <f t="shared" si="981"/>
        <v>65183375.045657814</v>
      </c>
      <c r="S496">
        <f t="shared" si="982"/>
        <v>651.83375045657817</v>
      </c>
      <c r="T496">
        <f t="shared" si="983"/>
        <v>0.65183375045657821</v>
      </c>
    </row>
    <row r="497" spans="1:20" x14ac:dyDescent="0.25">
      <c r="A497" s="5">
        <v>44096</v>
      </c>
      <c r="B497">
        <v>4.07</v>
      </c>
      <c r="C497">
        <v>4.2103000000000002</v>
      </c>
      <c r="D497">
        <v>3.9</v>
      </c>
      <c r="E497">
        <v>4.1624999999999996</v>
      </c>
      <c r="F497">
        <v>8023448.2800000003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0.69191105381888196</v>
      </c>
      <c r="Q497">
        <f t="shared" si="980"/>
        <v>5551512.554676096</v>
      </c>
      <c r="R497">
        <f t="shared" si="981"/>
        <v>71290877.910502911</v>
      </c>
      <c r="S497">
        <f t="shared" si="982"/>
        <v>712.90877910502911</v>
      </c>
      <c r="T497">
        <f t="shared" si="983"/>
        <v>0.71290877910502914</v>
      </c>
    </row>
    <row r="498" spans="1:20" x14ac:dyDescent="0.25">
      <c r="A498" s="5">
        <v>44095</v>
      </c>
      <c r="B498">
        <v>4.6559999999999997</v>
      </c>
      <c r="C498">
        <v>4.6969000000000003</v>
      </c>
      <c r="D498">
        <v>3.91</v>
      </c>
      <c r="E498">
        <v>4.0690999999999997</v>
      </c>
      <c r="F498">
        <v>18249034.010000002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-0.59562841530054755</v>
      </c>
      <c r="Q498">
        <f t="shared" si="980"/>
        <v>-10869643.208142098</v>
      </c>
      <c r="R498">
        <f t="shared" si="981"/>
        <v>65739365.35582681</v>
      </c>
      <c r="S498">
        <f t="shared" si="982"/>
        <v>657.39365355826806</v>
      </c>
      <c r="T498">
        <f t="shared" si="983"/>
        <v>0.65739365355826807</v>
      </c>
    </row>
    <row r="499" spans="1:20" x14ac:dyDescent="0.25">
      <c r="A499" s="5">
        <v>44094</v>
      </c>
      <c r="B499">
        <v>4.9204999999999997</v>
      </c>
      <c r="C499">
        <v>4.9706999999999999</v>
      </c>
      <c r="D499">
        <v>4.3715000000000002</v>
      </c>
      <c r="E499">
        <v>4.6517999999999997</v>
      </c>
      <c r="F499">
        <v>11400427.77</v>
      </c>
      <c r="G499">
        <v>0</v>
      </c>
      <c r="L499" t="s">
        <v>7</v>
      </c>
      <c r="M499" t="s">
        <v>7</v>
      </c>
      <c r="N499" t="s">
        <v>8</v>
      </c>
      <c r="P499">
        <f t="shared" si="979"/>
        <v>-6.4419225634179997E-2</v>
      </c>
      <c r="Q499">
        <f t="shared" si="980"/>
        <v>-734406.72884180152</v>
      </c>
      <c r="R499">
        <f t="shared" si="981"/>
        <v>76609008.563968912</v>
      </c>
      <c r="S499">
        <f t="shared" si="982"/>
        <v>766.09008563968916</v>
      </c>
      <c r="T499">
        <f t="shared" si="983"/>
        <v>0.76609008563968917</v>
      </c>
    </row>
    <row r="500" spans="1:20" x14ac:dyDescent="0.25">
      <c r="A500" s="5">
        <v>44093</v>
      </c>
      <c r="B500">
        <v>5.2595000000000001</v>
      </c>
      <c r="C500">
        <v>5.2640000000000002</v>
      </c>
      <c r="D500">
        <v>4.7862</v>
      </c>
      <c r="E500">
        <v>4.9240000000000004</v>
      </c>
      <c r="F500">
        <v>6124417.4400000004</v>
      </c>
      <c r="G500">
        <v>0</v>
      </c>
      <c r="L500" t="s">
        <v>7</v>
      </c>
      <c r="M500" t="s">
        <v>8</v>
      </c>
      <c r="N500" t="s">
        <v>8</v>
      </c>
      <c r="P500">
        <f t="shared" si="979"/>
        <v>-0.42318961908748304</v>
      </c>
      <c r="Q500">
        <f t="shared" si="980"/>
        <v>-2591789.8835663381</v>
      </c>
      <c r="R500">
        <f t="shared" si="981"/>
        <v>77343415.292810708</v>
      </c>
      <c r="S500">
        <f t="shared" si="982"/>
        <v>773.4341529281071</v>
      </c>
      <c r="T500">
        <f t="shared" si="983"/>
        <v>0.77343415292810713</v>
      </c>
    </row>
    <row r="501" spans="1:20" x14ac:dyDescent="0.25">
      <c r="A501" s="5">
        <v>44092</v>
      </c>
      <c r="B501">
        <v>5.3312999999999997</v>
      </c>
      <c r="C501">
        <v>5.4550000000000001</v>
      </c>
      <c r="D501">
        <v>5.0938999999999997</v>
      </c>
      <c r="E501">
        <v>5.2615999999999996</v>
      </c>
      <c r="F501">
        <v>7241901.5599999996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-7.1171420659098511E-2</v>
      </c>
      <c r="Q501">
        <f t="shared" si="980"/>
        <v>-515416.4222985417</v>
      </c>
      <c r="R501">
        <f t="shared" si="981"/>
        <v>79935205.176377043</v>
      </c>
      <c r="S501">
        <f t="shared" si="982"/>
        <v>799.35205176377042</v>
      </c>
      <c r="T501">
        <f t="shared" si="983"/>
        <v>0.79935205176377044</v>
      </c>
    </row>
    <row r="502" spans="1:20" x14ac:dyDescent="0.25">
      <c r="A502" s="5">
        <v>44091</v>
      </c>
      <c r="B502">
        <v>5.0739000000000001</v>
      </c>
      <c r="C502">
        <v>5.4260999999999999</v>
      </c>
      <c r="D502">
        <v>5.0430000000000001</v>
      </c>
      <c r="E502">
        <v>5.3353999999999999</v>
      </c>
      <c r="F502">
        <v>10973999.33</v>
      </c>
      <c r="G502">
        <v>0</v>
      </c>
      <c r="L502" t="s">
        <v>8</v>
      </c>
      <c r="M502" t="s">
        <v>8</v>
      </c>
      <c r="N502" t="s">
        <v>8</v>
      </c>
      <c r="P502">
        <f t="shared" si="979"/>
        <v>0.52649438788827951</v>
      </c>
      <c r="Q502">
        <f t="shared" si="980"/>
        <v>5777749.05993474</v>
      </c>
      <c r="R502">
        <f t="shared" si="981"/>
        <v>80450621.598675579</v>
      </c>
      <c r="S502">
        <f t="shared" si="982"/>
        <v>804.50621598675582</v>
      </c>
      <c r="T502">
        <f t="shared" si="983"/>
        <v>0.80450621598675587</v>
      </c>
    </row>
    <row r="503" spans="1:20" x14ac:dyDescent="0.25">
      <c r="A503" s="5">
        <v>44090</v>
      </c>
      <c r="B503">
        <v>5.0534999999999997</v>
      </c>
      <c r="C503">
        <v>5.28</v>
      </c>
      <c r="D503">
        <v>4.9577999999999998</v>
      </c>
      <c r="E503">
        <v>5.0712000000000002</v>
      </c>
      <c r="F503">
        <v>8102718.1500000004</v>
      </c>
      <c r="G503">
        <v>0</v>
      </c>
      <c r="L503" t="s">
        <v>7</v>
      </c>
      <c r="M503" t="s">
        <v>8</v>
      </c>
      <c r="N503" t="s">
        <v>8</v>
      </c>
      <c r="P503">
        <f t="shared" si="979"/>
        <v>-0.29608938547485897</v>
      </c>
      <c r="Q503">
        <f t="shared" si="980"/>
        <v>-2399128.837709486</v>
      </c>
      <c r="R503">
        <f t="shared" si="981"/>
        <v>74672872.538740844</v>
      </c>
      <c r="S503">
        <f t="shared" si="982"/>
        <v>746.72872538740842</v>
      </c>
      <c r="T503">
        <f t="shared" si="983"/>
        <v>0.74672872538740842</v>
      </c>
    </row>
    <row r="504" spans="1:20" x14ac:dyDescent="0.25">
      <c r="A504" s="5">
        <v>44089</v>
      </c>
      <c r="B504">
        <v>5.3597000000000001</v>
      </c>
      <c r="C504">
        <v>5.45</v>
      </c>
      <c r="D504">
        <v>5.0119999999999996</v>
      </c>
      <c r="E504">
        <v>5.0534999999999997</v>
      </c>
      <c r="F504">
        <v>10306445.210000001</v>
      </c>
      <c r="G504">
        <v>0</v>
      </c>
      <c r="L504" t="s">
        <v>7</v>
      </c>
      <c r="M504" t="s">
        <v>8</v>
      </c>
      <c r="N504" t="s">
        <v>8</v>
      </c>
      <c r="P504">
        <f t="shared" si="979"/>
        <v>-0.8105022831050227</v>
      </c>
      <c r="Q504">
        <f t="shared" si="980"/>
        <v>-8353397.3734018262</v>
      </c>
      <c r="R504">
        <f t="shared" si="981"/>
        <v>77072001.37645033</v>
      </c>
      <c r="S504">
        <f t="shared" si="982"/>
        <v>770.72001376450328</v>
      </c>
      <c r="T504">
        <f t="shared" si="983"/>
        <v>0.77072001376450328</v>
      </c>
    </row>
    <row r="505" spans="1:20" x14ac:dyDescent="0.25">
      <c r="A505" s="5">
        <v>44088</v>
      </c>
      <c r="B505">
        <v>5.3197999999999999</v>
      </c>
      <c r="C505">
        <v>5.5761000000000003</v>
      </c>
      <c r="D505">
        <v>5.0911</v>
      </c>
      <c r="E505">
        <v>5.3555000000000001</v>
      </c>
      <c r="F505">
        <v>14288009.6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9.0309278350515526E-2</v>
      </c>
      <c r="Q505">
        <f t="shared" si="980"/>
        <v>1290339.8360412379</v>
      </c>
      <c r="R505">
        <f t="shared" si="981"/>
        <v>85425398.749852151</v>
      </c>
      <c r="S505">
        <f t="shared" si="982"/>
        <v>854.2539874985215</v>
      </c>
      <c r="T505">
        <f t="shared" si="983"/>
        <v>0.85425398749852155</v>
      </c>
    </row>
    <row r="506" spans="1:20" x14ac:dyDescent="0.25">
      <c r="A506" s="5">
        <v>44087</v>
      </c>
      <c r="B506">
        <v>5.1379000000000001</v>
      </c>
      <c r="C506">
        <v>5.4771000000000001</v>
      </c>
      <c r="D506">
        <v>4.7667999999999999</v>
      </c>
      <c r="E506">
        <v>5.3212999999999999</v>
      </c>
      <c r="F506">
        <v>16262645.74</v>
      </c>
      <c r="G506">
        <v>0</v>
      </c>
      <c r="L506" t="s">
        <v>8</v>
      </c>
      <c r="M506" t="s">
        <v>8</v>
      </c>
      <c r="N506" t="s">
        <v>8</v>
      </c>
      <c r="P506">
        <f t="shared" si="979"/>
        <v>0.56131212163874389</v>
      </c>
      <c r="Q506">
        <f t="shared" si="980"/>
        <v>9128420.1837786809</v>
      </c>
      <c r="R506">
        <f t="shared" si="981"/>
        <v>84135058.913810909</v>
      </c>
      <c r="S506">
        <f t="shared" si="982"/>
        <v>841.35058913810906</v>
      </c>
      <c r="T506">
        <f t="shared" si="983"/>
        <v>0.84135058913810901</v>
      </c>
    </row>
    <row r="507" spans="1:20" x14ac:dyDescent="0.25">
      <c r="A507" s="5">
        <v>44086</v>
      </c>
      <c r="B507">
        <v>4.6433</v>
      </c>
      <c r="C507">
        <v>5.2960000000000003</v>
      </c>
      <c r="D507">
        <v>4.4997999999999996</v>
      </c>
      <c r="E507">
        <v>5.1384999999999996</v>
      </c>
      <c r="F507">
        <v>12566058.18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0.60437076111529642</v>
      </c>
      <c r="Q507">
        <f t="shared" si="980"/>
        <v>7594558.1464656964</v>
      </c>
      <c r="R507">
        <f t="shared" si="981"/>
        <v>75006638.730032235</v>
      </c>
      <c r="S507">
        <f t="shared" si="982"/>
        <v>750.06638730032239</v>
      </c>
      <c r="T507">
        <f t="shared" si="983"/>
        <v>0.75006638730032238</v>
      </c>
    </row>
    <row r="508" spans="1:20" x14ac:dyDescent="0.25">
      <c r="A508" s="5">
        <v>44085</v>
      </c>
      <c r="B508">
        <v>4.5781000000000001</v>
      </c>
      <c r="C508">
        <v>4.75</v>
      </c>
      <c r="D508">
        <v>4.3099999999999996</v>
      </c>
      <c r="E508">
        <v>4.6497999999999999</v>
      </c>
      <c r="F508">
        <v>9013005.1799999997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0.54454545454545467</v>
      </c>
      <c r="Q508">
        <f t="shared" si="980"/>
        <v>4907991.0025636377</v>
      </c>
      <c r="R508">
        <f t="shared" si="981"/>
        <v>67412080.583566546</v>
      </c>
      <c r="S508">
        <f t="shared" si="982"/>
        <v>674.12080583566546</v>
      </c>
      <c r="T508">
        <f t="shared" si="983"/>
        <v>0.67412080583566547</v>
      </c>
    </row>
    <row r="509" spans="1:20" x14ac:dyDescent="0.25">
      <c r="A509" s="5">
        <v>44084</v>
      </c>
      <c r="B509">
        <v>4.7003000000000004</v>
      </c>
      <c r="C509">
        <v>4.8894000000000002</v>
      </c>
      <c r="D509">
        <v>4.4307999999999996</v>
      </c>
      <c r="E509">
        <v>4.5796000000000001</v>
      </c>
      <c r="F509">
        <v>9912392.0700000003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-0.35106846925425073</v>
      </c>
      <c r="Q509">
        <f t="shared" si="980"/>
        <v>-3479928.310662874</v>
      </c>
      <c r="R509">
        <f t="shared" si="981"/>
        <v>62504089.581002913</v>
      </c>
      <c r="S509">
        <f t="shared" si="982"/>
        <v>625.04089581002916</v>
      </c>
      <c r="T509">
        <f t="shared" si="983"/>
        <v>0.6250408958100292</v>
      </c>
    </row>
    <row r="510" spans="1:20" x14ac:dyDescent="0.25">
      <c r="A510" s="5">
        <v>44083</v>
      </c>
      <c r="B510">
        <v>4.2656999999999998</v>
      </c>
      <c r="C510">
        <v>4.7934999999999999</v>
      </c>
      <c r="D510">
        <v>4.077</v>
      </c>
      <c r="E510">
        <v>4.7003000000000004</v>
      </c>
      <c r="F510">
        <v>11225976.140000001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0.73984647592463504</v>
      </c>
      <c r="Q510">
        <f t="shared" si="980"/>
        <v>8305498.8859930374</v>
      </c>
      <c r="R510">
        <f t="shared" si="981"/>
        <v>65984017.891665787</v>
      </c>
      <c r="S510">
        <f t="shared" si="982"/>
        <v>659.84017891665792</v>
      </c>
      <c r="T510">
        <f t="shared" si="983"/>
        <v>0.65984017891665792</v>
      </c>
    </row>
    <row r="511" spans="1:20" x14ac:dyDescent="0.25">
      <c r="A511" s="5">
        <v>44082</v>
      </c>
      <c r="B511">
        <v>4.5967000000000002</v>
      </c>
      <c r="C511">
        <v>4.6338999999999997</v>
      </c>
      <c r="D511">
        <v>4.1067</v>
      </c>
      <c r="E511">
        <v>4.2786999999999997</v>
      </c>
      <c r="F511">
        <v>10449746.699999999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-0.34749620637329354</v>
      </c>
      <c r="Q511">
        <f t="shared" si="980"/>
        <v>-3631247.3358118427</v>
      </c>
      <c r="R511">
        <f t="shared" si="981"/>
        <v>57678519.005672745</v>
      </c>
      <c r="S511">
        <f t="shared" si="982"/>
        <v>576.7851900567274</v>
      </c>
      <c r="T511">
        <f t="shared" si="983"/>
        <v>0.57678519005672735</v>
      </c>
    </row>
    <row r="512" spans="1:20" x14ac:dyDescent="0.25">
      <c r="A512" s="5">
        <v>44081</v>
      </c>
      <c r="B512">
        <v>4.7849000000000004</v>
      </c>
      <c r="C512">
        <v>4.8367000000000004</v>
      </c>
      <c r="D512">
        <v>4.0010000000000003</v>
      </c>
      <c r="E512">
        <v>4.5944000000000003</v>
      </c>
      <c r="F512">
        <v>16089613.82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0.42012683977503851</v>
      </c>
      <c r="Q512">
        <f t="shared" si="980"/>
        <v>6759678.6073973849</v>
      </c>
      <c r="R512">
        <f t="shared" si="981"/>
        <v>61309766.341484591</v>
      </c>
      <c r="S512">
        <f t="shared" si="982"/>
        <v>613.0976634148459</v>
      </c>
      <c r="T512">
        <f t="shared" si="983"/>
        <v>0.61309766341484595</v>
      </c>
    </row>
    <row r="513" spans="1:20" x14ac:dyDescent="0.25">
      <c r="A513" s="5">
        <v>44080</v>
      </c>
      <c r="B513">
        <v>4.1456</v>
      </c>
      <c r="C513">
        <v>4.9210000000000003</v>
      </c>
      <c r="D513">
        <v>3.7298</v>
      </c>
      <c r="E513">
        <v>4.7839999999999998</v>
      </c>
      <c r="F513">
        <v>23608694.539999999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0.76997985224983134</v>
      </c>
      <c r="Q513">
        <f t="shared" si="980"/>
        <v>18178219.133720599</v>
      </c>
      <c r="R513">
        <f t="shared" si="981"/>
        <v>54550087.734087206</v>
      </c>
      <c r="S513">
        <f t="shared" si="982"/>
        <v>545.50087734087208</v>
      </c>
      <c r="T513">
        <f t="shared" si="983"/>
        <v>0.54550087734087205</v>
      </c>
    </row>
    <row r="514" spans="1:20" x14ac:dyDescent="0.25">
      <c r="A514" s="5">
        <v>44079</v>
      </c>
      <c r="B514">
        <v>5.0987</v>
      </c>
      <c r="C514">
        <v>5.3147000000000002</v>
      </c>
      <c r="D514">
        <v>3.5320999999999998</v>
      </c>
      <c r="E514">
        <v>4.1456</v>
      </c>
      <c r="F514">
        <v>32791302.309999999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-0.3116795691686301</v>
      </c>
      <c r="Q514">
        <f t="shared" si="980"/>
        <v>-10220378.976459105</v>
      </c>
      <c r="R514">
        <f t="shared" si="981"/>
        <v>36371868.600366607</v>
      </c>
      <c r="S514">
        <f t="shared" si="982"/>
        <v>363.71868600366605</v>
      </c>
      <c r="T514">
        <f t="shared" si="983"/>
        <v>0.36371868600366603</v>
      </c>
    </row>
    <row r="515" spans="1:20" x14ac:dyDescent="0.25">
      <c r="A515" s="5">
        <v>44078</v>
      </c>
      <c r="B515">
        <v>5.6742999999999997</v>
      </c>
      <c r="C515">
        <v>5.99</v>
      </c>
      <c r="D515">
        <v>4.5</v>
      </c>
      <c r="E515">
        <v>5.1018999999999997</v>
      </c>
      <c r="F515">
        <v>28314850.390000001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-0.19208053691275226</v>
      </c>
      <c r="Q515">
        <f t="shared" si="980"/>
        <v>-5438731.6655154526</v>
      </c>
      <c r="R515">
        <f t="shared" si="981"/>
        <v>46592247.576825708</v>
      </c>
      <c r="S515">
        <f t="shared" si="982"/>
        <v>465.92247576825707</v>
      </c>
      <c r="T515">
        <f t="shared" si="983"/>
        <v>0.46592247576825707</v>
      </c>
    </row>
    <row r="516" spans="1:20" x14ac:dyDescent="0.25">
      <c r="A516" s="5">
        <v>44077</v>
      </c>
      <c r="B516">
        <v>6.1375000000000002</v>
      </c>
      <c r="C516">
        <v>6.3324999999999996</v>
      </c>
      <c r="D516">
        <v>5.5471000000000004</v>
      </c>
      <c r="E516">
        <v>5.6742999999999997</v>
      </c>
      <c r="F516">
        <v>21239867.510000002</v>
      </c>
      <c r="G516">
        <v>0</v>
      </c>
      <c r="L516" t="s">
        <v>8</v>
      </c>
      <c r="M516" t="s">
        <v>7</v>
      </c>
      <c r="N516" t="s">
        <v>8</v>
      </c>
      <c r="P516">
        <f t="shared" si="979"/>
        <v>-0.67608861726508929</v>
      </c>
      <c r="Q516">
        <f t="shared" si="980"/>
        <v>-14360032.655729596</v>
      </c>
      <c r="R516">
        <f t="shared" si="981"/>
        <v>52030979.242341161</v>
      </c>
      <c r="S516">
        <f t="shared" si="982"/>
        <v>520.30979242341164</v>
      </c>
      <c r="T516">
        <f t="shared" si="983"/>
        <v>0.52030979242341169</v>
      </c>
    </row>
    <row r="517" spans="1:20" x14ac:dyDescent="0.25">
      <c r="A517" s="5">
        <v>44076</v>
      </c>
      <c r="B517">
        <v>6.24</v>
      </c>
      <c r="C517">
        <v>6.4471999999999996</v>
      </c>
      <c r="D517">
        <v>5.58</v>
      </c>
      <c r="E517">
        <v>6.1374000000000004</v>
      </c>
      <c r="F517">
        <v>15500500.039999999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0.28551660516605315</v>
      </c>
      <c r="Q517">
        <f t="shared" si="980"/>
        <v>4425650.1497970708</v>
      </c>
      <c r="R517">
        <f t="shared" si="981"/>
        <v>66391011.898070753</v>
      </c>
      <c r="S517">
        <f t="shared" si="982"/>
        <v>663.91011898070758</v>
      </c>
      <c r="T517">
        <f t="shared" si="983"/>
        <v>0.66391011898070762</v>
      </c>
    </row>
    <row r="518" spans="1:20" x14ac:dyDescent="0.25">
      <c r="A518" s="5">
        <v>44075</v>
      </c>
      <c r="B518">
        <v>6.2712000000000003</v>
      </c>
      <c r="C518">
        <v>6.8619000000000003</v>
      </c>
      <c r="D518">
        <v>6.12</v>
      </c>
      <c r="E518">
        <v>6.2389999999999999</v>
      </c>
      <c r="F518">
        <v>16330264.82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-0.67920204879363866</v>
      </c>
      <c r="Q518">
        <f t="shared" ref="Q518:Q581" si="985">F518*P518</f>
        <v>-11091549.323086681</v>
      </c>
      <c r="R518">
        <f t="shared" ref="R518:R581" si="986">R519+Q518</f>
        <v>61965361.748273686</v>
      </c>
      <c r="S518">
        <f t="shared" ref="S518:S581" si="987">R518/100000</f>
        <v>619.65361748273688</v>
      </c>
      <c r="T518">
        <f t="shared" ref="T518:T581" si="988">S518/1000</f>
        <v>0.61965361748273684</v>
      </c>
    </row>
    <row r="519" spans="1:20" x14ac:dyDescent="0.25">
      <c r="A519" s="5">
        <v>44074</v>
      </c>
      <c r="B519">
        <v>5.8875000000000002</v>
      </c>
      <c r="C519">
        <v>6.4661999999999997</v>
      </c>
      <c r="D519">
        <v>5.7541000000000002</v>
      </c>
      <c r="E519">
        <v>6.2717999999999998</v>
      </c>
      <c r="F519">
        <v>13564047.710000001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0.4540092683611851</v>
      </c>
      <c r="Q519">
        <f t="shared" si="985"/>
        <v>6158203.3768333085</v>
      </c>
      <c r="R519">
        <f t="shared" si="986"/>
        <v>73056911.071360365</v>
      </c>
      <c r="S519">
        <f t="shared" si="987"/>
        <v>730.56911071360366</v>
      </c>
      <c r="T519">
        <f t="shared" si="988"/>
        <v>0.73056911071360364</v>
      </c>
    </row>
    <row r="520" spans="1:20" x14ac:dyDescent="0.25">
      <c r="A520" s="5">
        <v>44073</v>
      </c>
      <c r="B520">
        <v>6.1338999999999997</v>
      </c>
      <c r="C520">
        <v>6.2510000000000003</v>
      </c>
      <c r="D520">
        <v>5.6999000000000004</v>
      </c>
      <c r="E520">
        <v>5.8912000000000004</v>
      </c>
      <c r="F520">
        <v>13266535.91</v>
      </c>
      <c r="G520">
        <v>0</v>
      </c>
      <c r="L520" t="s">
        <v>7</v>
      </c>
      <c r="M520" t="s">
        <v>8</v>
      </c>
      <c r="N520" t="s">
        <v>8</v>
      </c>
      <c r="P520">
        <f t="shared" si="984"/>
        <v>-0.3057521320994373</v>
      </c>
      <c r="Q520">
        <f t="shared" si="985"/>
        <v>-4056271.6400562488</v>
      </c>
      <c r="R520">
        <f t="shared" si="986"/>
        <v>66898707.69452706</v>
      </c>
      <c r="S520">
        <f t="shared" si="987"/>
        <v>668.98707694527059</v>
      </c>
      <c r="T520">
        <f t="shared" si="988"/>
        <v>0.6689870769452706</v>
      </c>
    </row>
    <row r="521" spans="1:20" x14ac:dyDescent="0.25">
      <c r="A521" s="5">
        <v>44072</v>
      </c>
      <c r="B521">
        <v>6.1768999999999998</v>
      </c>
      <c r="C521">
        <v>6.556</v>
      </c>
      <c r="D521">
        <v>6.0031999999999996</v>
      </c>
      <c r="E521">
        <v>6.1333000000000002</v>
      </c>
      <c r="F521">
        <v>15360444.960000001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-0.52930535455860905</v>
      </c>
      <c r="Q521">
        <f t="shared" si="985"/>
        <v>-8130365.7657308001</v>
      </c>
      <c r="R521">
        <f t="shared" si="986"/>
        <v>70954979.334583312</v>
      </c>
      <c r="S521">
        <f t="shared" si="987"/>
        <v>709.54979334583311</v>
      </c>
      <c r="T521">
        <f t="shared" si="988"/>
        <v>0.70954979334583312</v>
      </c>
    </row>
    <row r="522" spans="1:20" x14ac:dyDescent="0.25">
      <c r="A522" s="5">
        <v>44071</v>
      </c>
      <c r="B522">
        <v>5.6569000000000003</v>
      </c>
      <c r="C522">
        <v>6.35</v>
      </c>
      <c r="D522">
        <v>5.4619999999999997</v>
      </c>
      <c r="E522">
        <v>6.1811999999999996</v>
      </c>
      <c r="F522">
        <v>24019172.629999999</v>
      </c>
      <c r="G522">
        <v>0</v>
      </c>
      <c r="L522" t="s">
        <v>7</v>
      </c>
      <c r="M522" t="s">
        <v>7</v>
      </c>
      <c r="N522" t="s">
        <v>8</v>
      </c>
      <c r="P522">
        <f t="shared" si="984"/>
        <v>0.6198198198198196</v>
      </c>
      <c r="Q522">
        <f t="shared" si="985"/>
        <v>14887559.251747742</v>
      </c>
      <c r="R522">
        <f t="shared" si="986"/>
        <v>79085345.100314111</v>
      </c>
      <c r="S522">
        <f t="shared" si="987"/>
        <v>790.85345100314112</v>
      </c>
      <c r="T522">
        <f t="shared" si="988"/>
        <v>0.79085345100314108</v>
      </c>
    </row>
    <row r="523" spans="1:20" x14ac:dyDescent="0.25">
      <c r="A523" s="5">
        <v>44070</v>
      </c>
      <c r="B523">
        <v>6.0708000000000002</v>
      </c>
      <c r="C523">
        <v>6.8</v>
      </c>
      <c r="D523">
        <v>5.2000999999999999</v>
      </c>
      <c r="E523">
        <v>5.6547000000000001</v>
      </c>
      <c r="F523">
        <v>42626336.420000002</v>
      </c>
      <c r="G523">
        <v>0</v>
      </c>
      <c r="L523" t="s">
        <v>8</v>
      </c>
      <c r="M523" t="s">
        <v>8</v>
      </c>
      <c r="N523" t="s">
        <v>8</v>
      </c>
      <c r="P523">
        <f t="shared" si="984"/>
        <v>-0.43171448215513453</v>
      </c>
      <c r="Q523">
        <f t="shared" si="985"/>
        <v>-18402406.753730852</v>
      </c>
      <c r="R523">
        <f t="shared" si="986"/>
        <v>64197785.848566368</v>
      </c>
      <c r="S523">
        <f t="shared" si="987"/>
        <v>641.97785848566366</v>
      </c>
      <c r="T523">
        <f t="shared" si="988"/>
        <v>0.64197785848566369</v>
      </c>
    </row>
    <row r="524" spans="1:20" x14ac:dyDescent="0.25">
      <c r="A524" s="5">
        <v>44069</v>
      </c>
      <c r="B524">
        <v>5.5411999999999999</v>
      </c>
      <c r="C524">
        <v>6.57</v>
      </c>
      <c r="D524">
        <v>5.1014999999999997</v>
      </c>
      <c r="E524">
        <v>6.0708000000000002</v>
      </c>
      <c r="F524">
        <v>37811519.740000002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0.32012257405515848</v>
      </c>
      <c r="Q524">
        <f t="shared" si="985"/>
        <v>12104321.028106237</v>
      </c>
      <c r="R524">
        <f t="shared" si="986"/>
        <v>82600192.602297217</v>
      </c>
      <c r="S524">
        <f t="shared" si="987"/>
        <v>826.00192602297216</v>
      </c>
      <c r="T524">
        <f t="shared" si="988"/>
        <v>0.82600192602297218</v>
      </c>
    </row>
    <row r="525" spans="1:20" x14ac:dyDescent="0.25">
      <c r="A525" s="5">
        <v>44068</v>
      </c>
      <c r="B525">
        <v>4.5758999999999999</v>
      </c>
      <c r="C525">
        <v>5.77</v>
      </c>
      <c r="D525">
        <v>4.4800000000000004</v>
      </c>
      <c r="E525">
        <v>5.5411999999999999</v>
      </c>
      <c r="F525">
        <v>39457369.990000002</v>
      </c>
      <c r="G525">
        <v>0</v>
      </c>
      <c r="L525" t="s">
        <v>8</v>
      </c>
      <c r="M525" t="s">
        <v>8</v>
      </c>
      <c r="N525" t="s">
        <v>8</v>
      </c>
      <c r="P525">
        <f t="shared" si="984"/>
        <v>0.64527131782945768</v>
      </c>
      <c r="Q525">
        <f t="shared" si="985"/>
        <v>25460709.131531797</v>
      </c>
      <c r="R525">
        <f t="shared" si="986"/>
        <v>70495871.574190974</v>
      </c>
      <c r="S525">
        <f t="shared" si="987"/>
        <v>704.95871574190971</v>
      </c>
      <c r="T525">
        <f t="shared" si="988"/>
        <v>0.70495871574190971</v>
      </c>
    </row>
    <row r="526" spans="1:20" x14ac:dyDescent="0.25">
      <c r="A526" s="5">
        <v>44067</v>
      </c>
      <c r="B526">
        <v>3.9805000000000001</v>
      </c>
      <c r="C526">
        <v>4.7983000000000002</v>
      </c>
      <c r="D526">
        <v>3.78</v>
      </c>
      <c r="E526">
        <v>4.5758999999999999</v>
      </c>
      <c r="F526">
        <v>25843953.120000001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0.56319355789060144</v>
      </c>
      <c r="Q526">
        <f t="shared" si="985"/>
        <v>14555147.907610711</v>
      </c>
      <c r="R526">
        <f t="shared" si="986"/>
        <v>45035162.442659177</v>
      </c>
      <c r="S526">
        <f t="shared" si="987"/>
        <v>450.35162442659174</v>
      </c>
      <c r="T526">
        <f t="shared" si="988"/>
        <v>0.45035162442659177</v>
      </c>
    </row>
    <row r="527" spans="1:20" x14ac:dyDescent="0.25">
      <c r="A527" s="5">
        <v>44066</v>
      </c>
      <c r="B527">
        <v>4.4756</v>
      </c>
      <c r="C527">
        <v>4.4863999999999997</v>
      </c>
      <c r="D527">
        <v>3.7031999999999998</v>
      </c>
      <c r="E527">
        <v>3.9779</v>
      </c>
      <c r="F527">
        <v>23845309.649999999</v>
      </c>
      <c r="G527">
        <v>0</v>
      </c>
      <c r="L527" t="s">
        <v>7</v>
      </c>
      <c r="M527" t="s">
        <v>7</v>
      </c>
      <c r="N527" t="s">
        <v>8</v>
      </c>
      <c r="P527">
        <f t="shared" si="984"/>
        <v>-0.29851889683350308</v>
      </c>
      <c r="Q527">
        <f t="shared" si="985"/>
        <v>-7118275.5313712852</v>
      </c>
      <c r="R527">
        <f t="shared" si="986"/>
        <v>30480014.535048466</v>
      </c>
      <c r="S527">
        <f t="shared" si="987"/>
        <v>304.80014535048468</v>
      </c>
      <c r="T527">
        <f t="shared" si="988"/>
        <v>0.30480014535048466</v>
      </c>
    </row>
    <row r="528" spans="1:20" x14ac:dyDescent="0.25">
      <c r="A528" s="5">
        <v>44065</v>
      </c>
      <c r="B528">
        <v>2.8386999999999998</v>
      </c>
      <c r="C528">
        <v>4.55</v>
      </c>
      <c r="D528">
        <v>2.782</v>
      </c>
      <c r="E528">
        <v>4.4546000000000001</v>
      </c>
      <c r="F528">
        <v>41611476.509999998</v>
      </c>
      <c r="G528">
        <v>0</v>
      </c>
      <c r="L528" t="s">
        <v>8</v>
      </c>
      <c r="M528" t="s">
        <v>8</v>
      </c>
      <c r="N528" t="s">
        <v>8</v>
      </c>
      <c r="P528">
        <f t="shared" si="984"/>
        <v>0.89208144796380118</v>
      </c>
      <c r="Q528">
        <f t="shared" si="985"/>
        <v>37120826.216952495</v>
      </c>
      <c r="R528">
        <f t="shared" si="986"/>
        <v>37598290.06641975</v>
      </c>
      <c r="S528">
        <f t="shared" si="987"/>
        <v>375.98290066419753</v>
      </c>
      <c r="T528">
        <f t="shared" si="988"/>
        <v>0.37598290066419754</v>
      </c>
    </row>
    <row r="529" spans="1:20" x14ac:dyDescent="0.25">
      <c r="A529" s="5">
        <v>44064</v>
      </c>
      <c r="B529">
        <v>2.8978000000000002</v>
      </c>
      <c r="C529">
        <v>3.09</v>
      </c>
      <c r="D529">
        <v>2.6825999999999999</v>
      </c>
      <c r="E529">
        <v>2.8330000000000002</v>
      </c>
      <c r="F529">
        <v>9765153.7400000002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-0.26165930289641476</v>
      </c>
      <c r="Q529">
        <f t="shared" si="985"/>
        <v>-2555143.3202847173</v>
      </c>
      <c r="R529">
        <f t="shared" si="986"/>
        <v>477463.84946725564</v>
      </c>
      <c r="S529">
        <f t="shared" si="987"/>
        <v>4.7746384946725566</v>
      </c>
      <c r="T529">
        <f t="shared" si="988"/>
        <v>4.7746384946725567E-3</v>
      </c>
    </row>
    <row r="530" spans="1:20" x14ac:dyDescent="0.25">
      <c r="A530" s="5">
        <v>44063</v>
      </c>
      <c r="B530">
        <v>2.9449000000000001</v>
      </c>
      <c r="C530">
        <v>3.1111</v>
      </c>
      <c r="D530">
        <v>2.6</v>
      </c>
      <c r="E530">
        <v>2.9</v>
      </c>
      <c r="F530">
        <v>11040863.6</v>
      </c>
      <c r="G530">
        <v>0</v>
      </c>
      <c r="L530" t="s">
        <v>7</v>
      </c>
      <c r="M530" t="s">
        <v>7</v>
      </c>
      <c r="N530" t="s">
        <v>8</v>
      </c>
      <c r="P530">
        <f t="shared" si="984"/>
        <v>0.17393856388182308</v>
      </c>
      <c r="Q530">
        <f t="shared" si="985"/>
        <v>1920431.958599095</v>
      </c>
      <c r="R530">
        <f t="shared" si="986"/>
        <v>3032607.1697519729</v>
      </c>
      <c r="S530">
        <f t="shared" si="987"/>
        <v>30.32607169751973</v>
      </c>
      <c r="T530">
        <f t="shared" si="988"/>
        <v>3.0326071697519729E-2</v>
      </c>
    </row>
    <row r="531" spans="1:20" x14ac:dyDescent="0.25">
      <c r="A531" s="5">
        <v>44062</v>
      </c>
      <c r="B531">
        <v>3.1</v>
      </c>
      <c r="C531">
        <v>3.1999</v>
      </c>
      <c r="D531">
        <v>2.64</v>
      </c>
      <c r="E531">
        <v>2.95</v>
      </c>
      <c r="F531">
        <v>15895774.92</v>
      </c>
      <c r="G531">
        <v>0</v>
      </c>
      <c r="L531" t="s">
        <v>8</v>
      </c>
      <c r="M531" t="s">
        <v>8</v>
      </c>
      <c r="N531" t="s">
        <v>8</v>
      </c>
      <c r="P531">
        <f t="shared" si="984"/>
        <v>0.10734059653509606</v>
      </c>
      <c r="Q531">
        <f t="shared" si="985"/>
        <v>1706261.9623004189</v>
      </c>
      <c r="R531">
        <f t="shared" si="986"/>
        <v>1112175.2111528777</v>
      </c>
      <c r="S531">
        <f t="shared" si="987"/>
        <v>11.121752111528776</v>
      </c>
      <c r="T531">
        <f t="shared" si="988"/>
        <v>1.1121752111528776E-2</v>
      </c>
    </row>
    <row r="532" spans="1:20" x14ac:dyDescent="0.25">
      <c r="A532" s="5">
        <v>44061</v>
      </c>
      <c r="B532">
        <v>2.09</v>
      </c>
      <c r="C532">
        <v>4.4400000000000004</v>
      </c>
      <c r="D532">
        <v>2</v>
      </c>
      <c r="E532">
        <v>3.1</v>
      </c>
      <c r="F532">
        <v>6039881.9699999997</v>
      </c>
      <c r="G532">
        <v>0</v>
      </c>
      <c r="P532">
        <f t="shared" si="984"/>
        <v>-9.8360655737704986E-2</v>
      </c>
      <c r="Q532">
        <f t="shared" si="985"/>
        <v>-594086.75114754133</v>
      </c>
      <c r="R532">
        <f t="shared" si="986"/>
        <v>-594086.75114754133</v>
      </c>
      <c r="S532">
        <f t="shared" si="987"/>
        <v>-5.940867511475413</v>
      </c>
      <c r="T532">
        <f t="shared" si="988"/>
        <v>-5.9408675114754131E-3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431" zoomScale="90" zoomScaleNormal="90" workbookViewId="0">
      <pane xSplit="4" topLeftCell="CL1" activePane="topRight" state="frozen"/>
      <selection activeCell="A109" sqref="A109"/>
      <selection pane="topRight" activeCell="IV442" sqref="IV44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$A$441</v>
      </c>
      <c r="D111" s="1" t="str">
        <f>ADDRESS(C121-1,D121,1,1)</f>
        <v>$IV$441</v>
      </c>
      <c r="E111"/>
    </row>
    <row r="112" spans="1:5" x14ac:dyDescent="0.25">
      <c r="A112" s="7">
        <v>12164.144957890772</v>
      </c>
      <c r="C112" s="1" t="str">
        <f>ADDRESS(C121,1,1,1)</f>
        <v>$A$442</v>
      </c>
      <c r="D112" s="1" t="str">
        <f>ADDRESS(C121,D121-1,1,1)</f>
        <v>$IU$442</v>
      </c>
      <c r="E112"/>
    </row>
    <row r="113" spans="1:5" x14ac:dyDescent="0.25">
      <c r="A113" s="7">
        <v>11925.63231165762</v>
      </c>
      <c r="C113" s="1" t="str">
        <f>ADDRESS(C121+1,1,1,1)</f>
        <v>$A$443</v>
      </c>
      <c r="D113" s="1" t="str">
        <f>ADDRESS(C121-1,D121+1,1,1)</f>
        <v>$IW$441</v>
      </c>
    </row>
    <row r="114" spans="1:5" x14ac:dyDescent="0.25">
      <c r="A114" s="7">
        <v>11691.796383978059</v>
      </c>
      <c r="C114" s="1" t="str">
        <f>ADDRESS(C121,D121,1,1)</f>
        <v>$IV$442</v>
      </c>
      <c r="D114" s="1" t="str">
        <f>ADDRESS(C121+1,D121+1,1,1)</f>
        <v>$IW$443</v>
      </c>
    </row>
    <row r="115" spans="1:5" x14ac:dyDescent="0.25">
      <c r="A115" s="7">
        <v>11462.545474488292</v>
      </c>
      <c r="C115" s="1" t="str">
        <f>ADDRESS(C121+1,D121,1,1)</f>
        <v>$IV$443</v>
      </c>
    </row>
    <row r="116" spans="1:5" x14ac:dyDescent="0.25">
      <c r="A116" s="7">
        <v>11237.789680870874</v>
      </c>
      <c r="C116" s="1">
        <f>C117-1</f>
        <v>441</v>
      </c>
    </row>
    <row r="117" spans="1:5" x14ac:dyDescent="0.25">
      <c r="A117" s="7">
        <v>11017.440863598895</v>
      </c>
      <c r="C117" s="1">
        <f>C121</f>
        <v>442</v>
      </c>
      <c r="D117" s="1">
        <f>D121</f>
        <v>256</v>
      </c>
    </row>
    <row r="118" spans="1:5" x14ac:dyDescent="0.25">
      <c r="A118" s="7">
        <v>10801.412611371465</v>
      </c>
      <c r="C118" s="1">
        <f>C117+1</f>
        <v>443</v>
      </c>
      <c r="D118" s="1">
        <f>D117+1</f>
        <v>257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442</v>
      </c>
      <c r="D121" s="19">
        <v>256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R442</v>
      </c>
      <c r="D123" s="1" t="str">
        <f>"C"&amp;D121</f>
        <v>C256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17.661391005301542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224" x14ac:dyDescent="0.25">
      <c r="A385" s="7">
        <v>54.605287232808607</v>
      </c>
      <c r="B385"/>
      <c r="C385"/>
      <c r="D385"/>
      <c r="E385"/>
      <c r="HC385" s="27" t="s">
        <v>8</v>
      </c>
    </row>
    <row r="386" spans="1:224" x14ac:dyDescent="0.25">
      <c r="A386" s="7">
        <v>53.534595326282947</v>
      </c>
      <c r="B386"/>
      <c r="C386"/>
      <c r="D386"/>
      <c r="E386"/>
      <c r="HC386" s="27" t="s">
        <v>8</v>
      </c>
      <c r="HD386" s="27" t="s">
        <v>7</v>
      </c>
      <c r="HE386" s="27" t="s">
        <v>8</v>
      </c>
    </row>
    <row r="387" spans="1:224" x14ac:dyDescent="0.25">
      <c r="A387" s="7">
        <v>52.484897378708773</v>
      </c>
      <c r="B387"/>
      <c r="C387"/>
      <c r="D387"/>
      <c r="E387"/>
      <c r="HC387" s="27" t="s">
        <v>8</v>
      </c>
      <c r="HD387" s="27" t="s">
        <v>7</v>
      </c>
      <c r="HE387" s="27" t="s">
        <v>8</v>
      </c>
      <c r="HF387" s="27" t="s">
        <v>7</v>
      </c>
    </row>
    <row r="388" spans="1:224" x14ac:dyDescent="0.25">
      <c r="A388" s="7">
        <v>51.455781743832127</v>
      </c>
      <c r="B388"/>
      <c r="C388"/>
      <c r="D388"/>
      <c r="E388"/>
      <c r="HC388" s="27" t="s">
        <v>8</v>
      </c>
      <c r="HD388" s="27" t="s">
        <v>7</v>
      </c>
      <c r="HE388" s="27" t="s">
        <v>8</v>
      </c>
      <c r="HF388" s="27" t="s">
        <v>7</v>
      </c>
    </row>
    <row r="389" spans="1:224" x14ac:dyDescent="0.25">
      <c r="A389" s="7">
        <v>50.446844846894244</v>
      </c>
      <c r="B389"/>
      <c r="C389"/>
      <c r="D389"/>
      <c r="E389"/>
      <c r="HC389" s="27" t="s">
        <v>8</v>
      </c>
      <c r="HD389" s="27" t="s">
        <v>7</v>
      </c>
      <c r="HE389" s="27" t="s">
        <v>8</v>
      </c>
      <c r="HF389" s="27" t="s">
        <v>7</v>
      </c>
    </row>
    <row r="390" spans="1:224" x14ac:dyDescent="0.25">
      <c r="A390" s="7">
        <v>49.457691026366902</v>
      </c>
      <c r="B390"/>
      <c r="C390"/>
      <c r="D390"/>
      <c r="E390"/>
      <c r="DU390" s="27" t="s">
        <v>8</v>
      </c>
      <c r="HC390" s="27" t="s">
        <v>8</v>
      </c>
      <c r="HD390" s="27" t="s">
        <v>7</v>
      </c>
      <c r="HF390" s="27" t="s">
        <v>7</v>
      </c>
    </row>
    <row r="391" spans="1:224" x14ac:dyDescent="0.25">
      <c r="A391" s="7">
        <v>48.487932378791079</v>
      </c>
      <c r="B391"/>
      <c r="C391"/>
      <c r="D391"/>
      <c r="E391"/>
      <c r="DU391" s="27" t="s">
        <v>8</v>
      </c>
      <c r="DV391" s="27" t="s">
        <v>7</v>
      </c>
      <c r="HC391" s="27" t="s">
        <v>8</v>
      </c>
      <c r="HF391" s="27" t="s">
        <v>7</v>
      </c>
      <c r="HG391" s="27" t="s">
        <v>8</v>
      </c>
    </row>
    <row r="392" spans="1:224" x14ac:dyDescent="0.25">
      <c r="A392" s="7">
        <v>47.537188606657921</v>
      </c>
      <c r="B392"/>
      <c r="C392"/>
      <c r="D392"/>
      <c r="E392"/>
      <c r="DE392" s="27" t="s">
        <v>8</v>
      </c>
      <c r="DU392" s="27" t="s">
        <v>8</v>
      </c>
      <c r="DV392" s="27" t="s">
        <v>7</v>
      </c>
      <c r="HC392" s="27" t="s">
        <v>8</v>
      </c>
      <c r="HF392" s="27" t="s">
        <v>7</v>
      </c>
      <c r="HG392" s="27" t="s">
        <v>8</v>
      </c>
      <c r="HH392" s="27" t="s">
        <v>7</v>
      </c>
      <c r="HI392" s="27" t="s">
        <v>8</v>
      </c>
    </row>
    <row r="393" spans="1:224" x14ac:dyDescent="0.25">
      <c r="A393" s="7">
        <v>46.605086869272469</v>
      </c>
      <c r="B393"/>
      <c r="C393"/>
      <c r="D393"/>
      <c r="E393"/>
      <c r="CW393" s="27" t="s">
        <v>8</v>
      </c>
      <c r="DE393" s="27" t="s">
        <v>8</v>
      </c>
      <c r="DF393" s="27" t="s">
        <v>7</v>
      </c>
      <c r="DU393" s="27" t="s">
        <v>8</v>
      </c>
      <c r="DV393" s="27" t="s">
        <v>7</v>
      </c>
      <c r="HC393" s="27" t="s">
        <v>8</v>
      </c>
      <c r="HF393" s="27" t="s">
        <v>7</v>
      </c>
      <c r="HG393" s="27" t="s">
        <v>8</v>
      </c>
      <c r="HH393" s="27" t="s">
        <v>7</v>
      </c>
      <c r="HI393" s="27" t="s">
        <v>8</v>
      </c>
      <c r="HJ393" s="27" t="s">
        <v>7</v>
      </c>
    </row>
    <row r="394" spans="1:224" x14ac:dyDescent="0.25">
      <c r="A394" s="7">
        <v>45.691261636541633</v>
      </c>
      <c r="B394"/>
      <c r="C394"/>
      <c r="D394"/>
      <c r="E394"/>
      <c r="CW394" s="27" t="s">
        <v>8</v>
      </c>
      <c r="CX394" s="27" t="s">
        <v>7</v>
      </c>
      <c r="CY394" s="27" t="s">
        <v>8</v>
      </c>
      <c r="DE394" s="27" t="s">
        <v>8</v>
      </c>
      <c r="DF394" s="27" t="s">
        <v>7</v>
      </c>
      <c r="DU394" s="27" t="s">
        <v>8</v>
      </c>
      <c r="DV394" s="27" t="s">
        <v>7</v>
      </c>
      <c r="GW394" s="27" t="s">
        <v>8</v>
      </c>
      <c r="GY394" s="27" t="s">
        <v>8</v>
      </c>
      <c r="HC394" s="27" t="s">
        <v>8</v>
      </c>
      <c r="HF394" s="27" t="s">
        <v>7</v>
      </c>
      <c r="HG394" s="27" t="s">
        <v>8</v>
      </c>
      <c r="HH394" s="27" t="s">
        <v>7</v>
      </c>
      <c r="HI394" s="27" t="s">
        <v>8</v>
      </c>
      <c r="HJ394" s="27" t="s">
        <v>7</v>
      </c>
    </row>
    <row r="395" spans="1:224" x14ac:dyDescent="0.25">
      <c r="A395" s="7">
        <v>44.795354545629053</v>
      </c>
      <c r="B395"/>
      <c r="C395"/>
      <c r="D395"/>
      <c r="E395"/>
      <c r="CW395" s="27" t="s">
        <v>8</v>
      </c>
      <c r="CX395" s="27" t="s">
        <v>7</v>
      </c>
      <c r="CY395" s="27" t="s">
        <v>8</v>
      </c>
      <c r="CZ395" s="27" t="s">
        <v>7</v>
      </c>
      <c r="DE395" s="27" t="s">
        <v>8</v>
      </c>
      <c r="DF395" s="27" t="s">
        <v>7</v>
      </c>
      <c r="DU395" s="27" t="s">
        <v>8</v>
      </c>
      <c r="DV395" s="27" t="s">
        <v>7</v>
      </c>
      <c r="GU395" s="27" t="s">
        <v>8</v>
      </c>
      <c r="GW395" s="27" t="s">
        <v>8</v>
      </c>
      <c r="GX395" s="27" t="s">
        <v>7</v>
      </c>
      <c r="GY395" s="27" t="s">
        <v>8</v>
      </c>
      <c r="GZ395" s="27" t="s">
        <v>7</v>
      </c>
      <c r="HC395" s="27" t="s">
        <v>8</v>
      </c>
      <c r="HF395" s="27" t="s">
        <v>7</v>
      </c>
      <c r="HG395" s="27" t="s">
        <v>8</v>
      </c>
      <c r="HH395" s="27" t="s">
        <v>7</v>
      </c>
      <c r="HJ395" s="27" t="s">
        <v>7</v>
      </c>
    </row>
    <row r="396" spans="1:224" x14ac:dyDescent="0.25">
      <c r="A396" s="7">
        <v>43.917014260420636</v>
      </c>
      <c r="B396"/>
      <c r="C396"/>
      <c r="D396"/>
      <c r="E396"/>
      <c r="CW396" s="27" t="s">
        <v>8</v>
      </c>
      <c r="CX396" s="27" t="s">
        <v>7</v>
      </c>
      <c r="CY396" s="27" t="s">
        <v>8</v>
      </c>
      <c r="CZ396" s="27" t="s">
        <v>7</v>
      </c>
      <c r="DC396" s="27" t="s">
        <v>8</v>
      </c>
      <c r="DE396" s="27" t="s">
        <v>8</v>
      </c>
      <c r="DF396" s="27" t="s">
        <v>7</v>
      </c>
      <c r="DU396" s="27" t="s">
        <v>8</v>
      </c>
      <c r="DV396" s="27" t="s">
        <v>7</v>
      </c>
      <c r="GQ396" s="27" t="s">
        <v>8</v>
      </c>
      <c r="GU396" s="27" t="s">
        <v>8</v>
      </c>
      <c r="GV396" s="27" t="s">
        <v>7</v>
      </c>
      <c r="GW396" s="27" t="s">
        <v>8</v>
      </c>
      <c r="GX396" s="27" t="s">
        <v>7</v>
      </c>
      <c r="GY396" s="27" t="s">
        <v>8</v>
      </c>
      <c r="GZ396" s="27" t="s">
        <v>7</v>
      </c>
      <c r="HA396" s="27" t="s">
        <v>8</v>
      </c>
      <c r="HC396" s="27" t="s">
        <v>8</v>
      </c>
      <c r="HF396" s="27" t="s">
        <v>7</v>
      </c>
      <c r="HG396" s="27" t="s">
        <v>8</v>
      </c>
      <c r="HJ396" s="27" t="s">
        <v>7</v>
      </c>
    </row>
    <row r="397" spans="1:224" x14ac:dyDescent="0.25">
      <c r="A397" s="7">
        <v>43.055896333745721</v>
      </c>
      <c r="B397"/>
      <c r="C397"/>
      <c r="D397"/>
      <c r="E397"/>
      <c r="CW397" s="27" t="s">
        <v>8</v>
      </c>
      <c r="CX397" s="27" t="s">
        <v>7</v>
      </c>
      <c r="CY397" s="27" t="s">
        <v>8</v>
      </c>
      <c r="CZ397" s="27" t="s">
        <v>7</v>
      </c>
      <c r="DC397" s="27" t="s">
        <v>8</v>
      </c>
      <c r="DD397" s="27" t="s">
        <v>7</v>
      </c>
      <c r="DE397" s="27" t="s">
        <v>8</v>
      </c>
      <c r="DF397" s="27" t="s">
        <v>7</v>
      </c>
      <c r="DQ397" s="27" t="s">
        <v>8</v>
      </c>
      <c r="DU397" s="27" t="s">
        <v>8</v>
      </c>
      <c r="DV397" s="27" t="s">
        <v>7</v>
      </c>
      <c r="GO397" s="27" t="s">
        <v>8</v>
      </c>
      <c r="GQ397" s="27" t="s">
        <v>8</v>
      </c>
      <c r="GR397" s="27" t="s">
        <v>7</v>
      </c>
      <c r="GS397" s="27" t="s">
        <v>8</v>
      </c>
      <c r="GU397" s="27" t="s">
        <v>8</v>
      </c>
      <c r="GV397" s="27" t="s">
        <v>7</v>
      </c>
      <c r="GW397" s="27" t="s">
        <v>8</v>
      </c>
      <c r="GX397" s="27" t="s">
        <v>7</v>
      </c>
      <c r="GY397" s="27" t="s">
        <v>8</v>
      </c>
      <c r="GZ397" s="27" t="s">
        <v>7</v>
      </c>
      <c r="HA397" s="27" t="s">
        <v>8</v>
      </c>
      <c r="HB397" s="27" t="s">
        <v>7</v>
      </c>
      <c r="HC397" s="27" t="s">
        <v>8</v>
      </c>
      <c r="HF397" s="27" t="s">
        <v>7</v>
      </c>
      <c r="HJ397" s="27" t="s">
        <v>7</v>
      </c>
      <c r="HK397" s="27" t="s">
        <v>8</v>
      </c>
      <c r="HM397" s="27" t="s">
        <v>8</v>
      </c>
    </row>
    <row r="398" spans="1:224" x14ac:dyDescent="0.25">
      <c r="A398" s="7">
        <v>42.211663072299729</v>
      </c>
      <c r="B398"/>
      <c r="C398"/>
      <c r="D398"/>
      <c r="E398"/>
      <c r="CE398" s="27" t="s">
        <v>8</v>
      </c>
      <c r="CW398" s="27" t="s">
        <v>8</v>
      </c>
      <c r="CX398" s="27" t="s">
        <v>7</v>
      </c>
      <c r="CY398" s="27" t="s">
        <v>8</v>
      </c>
      <c r="CZ398" s="27" t="s">
        <v>7</v>
      </c>
      <c r="DA398" s="27" t="s">
        <v>8</v>
      </c>
      <c r="DC398" s="27" t="s">
        <v>8</v>
      </c>
      <c r="DD398" s="27" t="s">
        <v>7</v>
      </c>
      <c r="DE398" s="27" t="s">
        <v>8</v>
      </c>
      <c r="DF398" s="27" t="s">
        <v>7</v>
      </c>
      <c r="DQ398" s="27" t="s">
        <v>8</v>
      </c>
      <c r="DR398" s="27" t="s">
        <v>7</v>
      </c>
      <c r="DS398" s="27" t="s">
        <v>8</v>
      </c>
      <c r="DU398" s="27" t="s">
        <v>8</v>
      </c>
      <c r="DV398" s="27" t="s">
        <v>7</v>
      </c>
      <c r="DW398" s="27" t="s">
        <v>8</v>
      </c>
      <c r="GO398" s="27" t="s">
        <v>8</v>
      </c>
      <c r="GP398" s="27" t="s">
        <v>7</v>
      </c>
      <c r="GQ398" s="27" t="s">
        <v>8</v>
      </c>
      <c r="GR398" s="27" t="s">
        <v>7</v>
      </c>
      <c r="GS398" s="27" t="s">
        <v>8</v>
      </c>
      <c r="GT398" s="27" t="s">
        <v>7</v>
      </c>
      <c r="GU398" s="27" t="s">
        <v>8</v>
      </c>
      <c r="GV398" s="27" t="s">
        <v>7</v>
      </c>
      <c r="GX398" s="27" t="s">
        <v>7</v>
      </c>
      <c r="GY398" s="27" t="s">
        <v>8</v>
      </c>
      <c r="GZ398" s="27" t="s">
        <v>7</v>
      </c>
      <c r="HA398" s="27" t="s">
        <v>8</v>
      </c>
      <c r="HB398" s="27" t="s">
        <v>7</v>
      </c>
      <c r="HC398" s="27" t="s">
        <v>8</v>
      </c>
      <c r="HJ398" s="27" t="s">
        <v>7</v>
      </c>
      <c r="HK398" s="27" t="s">
        <v>8</v>
      </c>
      <c r="HL398" s="27" t="s">
        <v>7</v>
      </c>
      <c r="HM398" s="27" t="s">
        <v>8</v>
      </c>
      <c r="HN398" s="27" t="s">
        <v>7</v>
      </c>
    </row>
    <row r="399" spans="1:224" x14ac:dyDescent="0.25">
      <c r="A399" s="7">
        <v>41.383983404215421</v>
      </c>
      <c r="B399"/>
      <c r="C399"/>
      <c r="D399"/>
      <c r="E399"/>
      <c r="CE399" s="27" t="s">
        <v>8</v>
      </c>
      <c r="CF399" s="27" t="s">
        <v>7</v>
      </c>
      <c r="CW399" s="27" t="s">
        <v>8</v>
      </c>
      <c r="CX399" s="27" t="s">
        <v>7</v>
      </c>
      <c r="CZ399" s="27" t="s">
        <v>7</v>
      </c>
      <c r="DA399" s="27" t="s">
        <v>8</v>
      </c>
      <c r="DB399" s="27" t="s">
        <v>7</v>
      </c>
      <c r="DC399" s="27" t="s">
        <v>8</v>
      </c>
      <c r="DD399" s="27" t="s">
        <v>7</v>
      </c>
      <c r="DE399" s="27" t="s">
        <v>8</v>
      </c>
      <c r="DF399" s="27" t="s">
        <v>7</v>
      </c>
      <c r="DQ399" s="27" t="s">
        <v>8</v>
      </c>
      <c r="DR399" s="27" t="s">
        <v>7</v>
      </c>
      <c r="DS399" s="27" t="s">
        <v>8</v>
      </c>
      <c r="DT399" s="27" t="s">
        <v>7</v>
      </c>
      <c r="DU399" s="27" t="s">
        <v>8</v>
      </c>
      <c r="DV399" s="27" t="s">
        <v>7</v>
      </c>
      <c r="DW399" s="27" t="s">
        <v>8</v>
      </c>
      <c r="DX399" s="27" t="s">
        <v>7</v>
      </c>
      <c r="GO399" s="27" t="s">
        <v>8</v>
      </c>
      <c r="GP399" s="27" t="s">
        <v>7</v>
      </c>
      <c r="GQ399" s="27" t="s">
        <v>8</v>
      </c>
      <c r="GR399" s="27" t="s">
        <v>7</v>
      </c>
      <c r="GS399" s="27" t="s">
        <v>8</v>
      </c>
      <c r="GT399" s="27" t="s">
        <v>7</v>
      </c>
      <c r="GU399" s="27" t="s">
        <v>8</v>
      </c>
      <c r="GX399" s="27" t="s">
        <v>7</v>
      </c>
      <c r="GZ399" s="27" t="s">
        <v>7</v>
      </c>
      <c r="HA399" s="27" t="s">
        <v>8</v>
      </c>
      <c r="HB399" s="27" t="s">
        <v>7</v>
      </c>
      <c r="HJ399" s="27" t="s">
        <v>7</v>
      </c>
      <c r="HK399" s="27" t="s">
        <v>8</v>
      </c>
      <c r="HL399" s="27" t="s">
        <v>7</v>
      </c>
      <c r="HM399" s="27" t="s">
        <v>8</v>
      </c>
      <c r="HN399" s="27" t="s">
        <v>7</v>
      </c>
      <c r="HO399" s="27" t="s">
        <v>8</v>
      </c>
    </row>
    <row r="400" spans="1:224" x14ac:dyDescent="0.25">
      <c r="A400" s="7">
        <v>40.572532749230803</v>
      </c>
      <c r="B400"/>
      <c r="C400"/>
      <c r="D400"/>
      <c r="E400"/>
      <c r="CE400" s="27" t="s">
        <v>8</v>
      </c>
      <c r="CF400" s="27" t="s">
        <v>7</v>
      </c>
      <c r="CW400" s="27" t="s">
        <v>8</v>
      </c>
      <c r="CZ400" s="27" t="s">
        <v>7</v>
      </c>
      <c r="DA400" s="27" t="s">
        <v>8</v>
      </c>
      <c r="DB400" s="27" t="s">
        <v>7</v>
      </c>
      <c r="DC400" s="27" t="s">
        <v>8</v>
      </c>
      <c r="DD400" s="27" t="s">
        <v>7</v>
      </c>
      <c r="DF400" s="27" t="s">
        <v>7</v>
      </c>
      <c r="DQ400" s="27" t="s">
        <v>8</v>
      </c>
      <c r="DR400" s="27" t="s">
        <v>7</v>
      </c>
      <c r="DS400" s="27" t="s">
        <v>8</v>
      </c>
      <c r="DT400" s="27" t="s">
        <v>7</v>
      </c>
      <c r="DU400" s="27" t="s">
        <v>8</v>
      </c>
      <c r="DV400" s="27" t="s">
        <v>7</v>
      </c>
      <c r="DW400" s="27" t="s">
        <v>8</v>
      </c>
      <c r="DX400" s="27" t="s">
        <v>7</v>
      </c>
      <c r="GO400" s="27" t="s">
        <v>8</v>
      </c>
      <c r="GP400" s="27" t="s">
        <v>7</v>
      </c>
      <c r="GQ400" s="27" t="s">
        <v>8</v>
      </c>
      <c r="GR400" s="27" t="s">
        <v>7</v>
      </c>
      <c r="GS400" s="27" t="s">
        <v>8</v>
      </c>
      <c r="GT400" s="27" t="s">
        <v>7</v>
      </c>
      <c r="GZ400" s="27" t="s">
        <v>7</v>
      </c>
      <c r="HA400" s="27" t="s">
        <v>8</v>
      </c>
      <c r="HJ400" s="27" t="s">
        <v>7</v>
      </c>
      <c r="HK400" s="27" t="s">
        <v>8</v>
      </c>
      <c r="HL400" s="27" t="s">
        <v>7</v>
      </c>
      <c r="HM400" s="27" t="s">
        <v>8</v>
      </c>
      <c r="HN400" s="27" t="s">
        <v>7</v>
      </c>
      <c r="HO400" s="27" t="s">
        <v>8</v>
      </c>
      <c r="HP400" s="27" t="s">
        <v>7</v>
      </c>
    </row>
    <row r="401" spans="1:244" x14ac:dyDescent="0.25">
      <c r="A401" s="7">
        <v>39.776992891402749</v>
      </c>
      <c r="B401"/>
      <c r="C401"/>
      <c r="D401"/>
      <c r="E401"/>
      <c r="CE401" s="27" t="s">
        <v>8</v>
      </c>
      <c r="CF401" s="27" t="s">
        <v>7</v>
      </c>
      <c r="CQ401" s="27" t="s">
        <v>8</v>
      </c>
      <c r="CW401" s="27" t="s">
        <v>8</v>
      </c>
      <c r="CZ401" s="27" t="s">
        <v>7</v>
      </c>
      <c r="DA401" s="27" t="s">
        <v>8</v>
      </c>
      <c r="DB401" s="27" t="s">
        <v>7</v>
      </c>
      <c r="DF401" s="27" t="s">
        <v>7</v>
      </c>
      <c r="DQ401" s="27" t="s">
        <v>8</v>
      </c>
      <c r="DR401" s="27" t="s">
        <v>7</v>
      </c>
      <c r="DS401" s="27" t="s">
        <v>8</v>
      </c>
      <c r="DT401" s="27" t="s">
        <v>7</v>
      </c>
      <c r="DU401" s="27" t="s">
        <v>8</v>
      </c>
      <c r="DV401" s="27" t="s">
        <v>7</v>
      </c>
      <c r="DW401" s="27" t="s">
        <v>8</v>
      </c>
      <c r="DX401" s="27" t="s">
        <v>7</v>
      </c>
      <c r="GO401" s="27" t="s">
        <v>8</v>
      </c>
      <c r="GP401" s="27" t="s">
        <v>7</v>
      </c>
      <c r="GR401" s="27" t="s">
        <v>7</v>
      </c>
      <c r="GZ401" s="27" t="s">
        <v>7</v>
      </c>
      <c r="HA401" s="27" t="s">
        <v>8</v>
      </c>
      <c r="HJ401" s="27" t="s">
        <v>7</v>
      </c>
      <c r="HK401" s="27" t="s">
        <v>8</v>
      </c>
      <c r="HL401" s="27" t="s">
        <v>7</v>
      </c>
      <c r="HM401" s="27" t="s">
        <v>8</v>
      </c>
      <c r="HN401" s="27" t="s">
        <v>7</v>
      </c>
      <c r="HO401" s="27" t="s">
        <v>8</v>
      </c>
      <c r="HP401" s="27" t="s">
        <v>7</v>
      </c>
    </row>
    <row r="402" spans="1:244" x14ac:dyDescent="0.25">
      <c r="A402" s="7">
        <v>38.997051854316418</v>
      </c>
      <c r="B402"/>
      <c r="C402"/>
      <c r="D402"/>
      <c r="E402"/>
      <c r="CE402" s="27" t="s">
        <v>8</v>
      </c>
      <c r="CF402" s="27" t="s">
        <v>7</v>
      </c>
      <c r="CM402" s="27" t="s">
        <v>8</v>
      </c>
      <c r="CQ402" s="27" t="s">
        <v>8</v>
      </c>
      <c r="CR402" s="27" t="s">
        <v>7</v>
      </c>
      <c r="CW402" s="27" t="s">
        <v>8</v>
      </c>
      <c r="CZ402" s="27" t="s">
        <v>7</v>
      </c>
      <c r="DA402" s="27" t="s">
        <v>8</v>
      </c>
      <c r="DF402" s="27" t="s">
        <v>7</v>
      </c>
      <c r="DQ402" s="27" t="s">
        <v>8</v>
      </c>
      <c r="DR402" s="27" t="s">
        <v>7</v>
      </c>
      <c r="DS402" s="27" t="s">
        <v>8</v>
      </c>
      <c r="DT402" s="27" t="s">
        <v>7</v>
      </c>
      <c r="DU402" s="27" t="s">
        <v>8</v>
      </c>
      <c r="DV402" s="27" t="s">
        <v>7</v>
      </c>
      <c r="DW402" s="27" t="s">
        <v>8</v>
      </c>
      <c r="DX402" s="27" t="s">
        <v>7</v>
      </c>
      <c r="GO402" s="27" t="s">
        <v>8</v>
      </c>
      <c r="GZ402" s="27" t="s">
        <v>7</v>
      </c>
      <c r="HJ402" s="27" t="s">
        <v>7</v>
      </c>
      <c r="HK402" s="27" t="s">
        <v>8</v>
      </c>
      <c r="HL402" s="27" t="s">
        <v>7</v>
      </c>
      <c r="HN402" s="27" t="s">
        <v>7</v>
      </c>
      <c r="HP402" s="27" t="s">
        <v>7</v>
      </c>
      <c r="HS402" s="27" t="s">
        <v>8</v>
      </c>
    </row>
    <row r="403" spans="1:244" x14ac:dyDescent="0.25">
      <c r="A403" s="7">
        <v>38.232403778741585</v>
      </c>
      <c r="B403"/>
      <c r="C403"/>
      <c r="D403"/>
      <c r="E403"/>
      <c r="CE403" s="27" t="s">
        <v>8</v>
      </c>
      <c r="CF403" s="27" t="s">
        <v>7</v>
      </c>
      <c r="CK403" s="27" t="s">
        <v>8</v>
      </c>
      <c r="CM403" s="27" t="s">
        <v>8</v>
      </c>
      <c r="CN403" s="27" t="s">
        <v>7</v>
      </c>
      <c r="CO403" s="27" t="s">
        <v>8</v>
      </c>
      <c r="CQ403" s="27" t="s">
        <v>8</v>
      </c>
      <c r="CR403" s="27" t="s">
        <v>7</v>
      </c>
      <c r="CU403" s="27" t="s">
        <v>8</v>
      </c>
      <c r="CW403" s="27" t="s">
        <v>8</v>
      </c>
      <c r="CZ403" s="27" t="s">
        <v>7</v>
      </c>
      <c r="DF403" s="27" t="s">
        <v>7</v>
      </c>
      <c r="DG403" s="27" t="s">
        <v>8</v>
      </c>
      <c r="DO403" s="27" t="s">
        <v>8</v>
      </c>
      <c r="DQ403" s="27" t="s">
        <v>8</v>
      </c>
      <c r="DR403" s="27" t="s">
        <v>7</v>
      </c>
      <c r="DS403" s="27" t="s">
        <v>8</v>
      </c>
      <c r="DT403" s="27" t="s">
        <v>7</v>
      </c>
      <c r="DU403" s="27" t="s">
        <v>8</v>
      </c>
      <c r="DV403" s="27" t="s">
        <v>7</v>
      </c>
      <c r="DW403" s="27" t="s">
        <v>8</v>
      </c>
      <c r="DX403" s="27" t="s">
        <v>7</v>
      </c>
      <c r="GA403" s="27" t="s">
        <v>8</v>
      </c>
      <c r="GO403" s="27" t="s">
        <v>8</v>
      </c>
      <c r="HJ403" s="27" t="s">
        <v>7</v>
      </c>
      <c r="HP403" s="27" t="s">
        <v>7</v>
      </c>
      <c r="HS403" s="27" t="s">
        <v>8</v>
      </c>
      <c r="HT403" s="27" t="s">
        <v>7</v>
      </c>
    </row>
    <row r="404" spans="1:244" x14ac:dyDescent="0.25">
      <c r="A404" s="7">
        <v>37.48274880268783</v>
      </c>
      <c r="B404"/>
      <c r="C404"/>
      <c r="D404"/>
      <c r="E404"/>
      <c r="CE404" s="27" t="s">
        <v>8</v>
      </c>
      <c r="CF404" s="27" t="s">
        <v>7</v>
      </c>
      <c r="CK404" s="27" t="s">
        <v>8</v>
      </c>
      <c r="CL404" s="27" t="s">
        <v>7</v>
      </c>
      <c r="CM404" s="27" t="s">
        <v>8</v>
      </c>
      <c r="CN404" s="27" t="s">
        <v>7</v>
      </c>
      <c r="CO404" s="27" t="s">
        <v>8</v>
      </c>
      <c r="CP404" s="27" t="s">
        <v>7</v>
      </c>
      <c r="CQ404" s="27" t="s">
        <v>8</v>
      </c>
      <c r="CR404" s="27" t="s">
        <v>7</v>
      </c>
      <c r="CU404" s="27" t="s">
        <v>8</v>
      </c>
      <c r="CV404" s="27" t="s">
        <v>7</v>
      </c>
      <c r="CW404" s="27" t="s">
        <v>8</v>
      </c>
      <c r="DF404" s="27" t="s">
        <v>7</v>
      </c>
      <c r="DG404" s="27" t="s">
        <v>8</v>
      </c>
      <c r="DH404" s="27" t="s">
        <v>7</v>
      </c>
      <c r="DO404" s="27" t="s">
        <v>8</v>
      </c>
      <c r="DP404" s="27" t="s">
        <v>7</v>
      </c>
      <c r="DQ404" s="27" t="s">
        <v>8</v>
      </c>
      <c r="DR404" s="27" t="s">
        <v>7</v>
      </c>
      <c r="DS404" s="27" t="s">
        <v>8</v>
      </c>
      <c r="DT404" s="27" t="s">
        <v>7</v>
      </c>
      <c r="DU404" s="27" t="s">
        <v>8</v>
      </c>
      <c r="DV404" s="27" t="s">
        <v>7</v>
      </c>
      <c r="DW404" s="27" t="s">
        <v>8</v>
      </c>
      <c r="DX404" s="27" t="s">
        <v>7</v>
      </c>
      <c r="GA404" s="27" t="s">
        <v>8</v>
      </c>
      <c r="GB404" s="27" t="s">
        <v>7</v>
      </c>
      <c r="GO404" s="27" t="s">
        <v>8</v>
      </c>
      <c r="HP404" s="27" t="s">
        <v>7</v>
      </c>
      <c r="HS404" s="27" t="s">
        <v>8</v>
      </c>
      <c r="HT404" s="27" t="s">
        <v>7</v>
      </c>
    </row>
    <row r="405" spans="1:244" x14ac:dyDescent="0.25">
      <c r="A405" s="7">
        <v>36.747792943811596</v>
      </c>
      <c r="B405"/>
      <c r="C405"/>
      <c r="D405"/>
      <c r="E405"/>
      <c r="CE405" s="27" t="s">
        <v>8</v>
      </c>
      <c r="CF405" s="27" t="s">
        <v>7</v>
      </c>
      <c r="CG405" s="27" t="s">
        <v>8</v>
      </c>
      <c r="CK405" s="27" t="s">
        <v>8</v>
      </c>
      <c r="CL405" s="27" t="s">
        <v>7</v>
      </c>
      <c r="CM405" s="27" t="s">
        <v>8</v>
      </c>
      <c r="CN405" s="27" t="s">
        <v>7</v>
      </c>
      <c r="CO405" s="27" t="s">
        <v>8</v>
      </c>
      <c r="CP405" s="27" t="s">
        <v>7</v>
      </c>
      <c r="CQ405" s="27" t="s">
        <v>8</v>
      </c>
      <c r="CR405" s="27" t="s">
        <v>7</v>
      </c>
      <c r="CU405" s="27" t="s">
        <v>8</v>
      </c>
      <c r="CV405" s="27" t="s">
        <v>7</v>
      </c>
      <c r="CW405" s="27" t="s">
        <v>8</v>
      </c>
      <c r="DF405" s="27" t="s">
        <v>7</v>
      </c>
      <c r="DG405" s="27" t="s">
        <v>8</v>
      </c>
      <c r="DH405" s="27" t="s">
        <v>7</v>
      </c>
      <c r="DI405" s="27" t="s">
        <v>8</v>
      </c>
      <c r="DO405" s="27" t="s">
        <v>8</v>
      </c>
      <c r="DP405" s="27" t="s">
        <v>7</v>
      </c>
      <c r="DQ405" s="27" t="s">
        <v>8</v>
      </c>
      <c r="DR405" s="27" t="s">
        <v>7</v>
      </c>
      <c r="DS405" s="27" t="s">
        <v>8</v>
      </c>
      <c r="DT405" s="27" t="s">
        <v>7</v>
      </c>
      <c r="DU405" s="27" t="s">
        <v>8</v>
      </c>
      <c r="DV405" s="27" t="s">
        <v>7</v>
      </c>
      <c r="DW405" s="27" t="s">
        <v>8</v>
      </c>
      <c r="DX405" s="27" t="s">
        <v>7</v>
      </c>
      <c r="GA405" s="27" t="s">
        <v>8</v>
      </c>
      <c r="GB405" s="27" t="s">
        <v>7</v>
      </c>
      <c r="GM405" s="27" t="s">
        <v>8</v>
      </c>
      <c r="GO405" s="27" t="s">
        <v>8</v>
      </c>
      <c r="HP405" s="27" t="s">
        <v>7</v>
      </c>
      <c r="HS405" s="27" t="s">
        <v>8</v>
      </c>
      <c r="HT405" s="27" t="s">
        <v>7</v>
      </c>
    </row>
    <row r="406" spans="1:244" x14ac:dyDescent="0.25">
      <c r="A406" s="7">
        <v>36.027247984129012</v>
      </c>
      <c r="B406"/>
      <c r="C406"/>
      <c r="D406"/>
      <c r="E406"/>
      <c r="CE406" s="27" t="s">
        <v>8</v>
      </c>
      <c r="CF406" s="27" t="s">
        <v>7</v>
      </c>
      <c r="CG406" s="27" t="s">
        <v>8</v>
      </c>
      <c r="CH406" s="27" t="s">
        <v>7</v>
      </c>
      <c r="CK406" s="27" t="s">
        <v>8</v>
      </c>
      <c r="CL406" s="27" t="s">
        <v>7</v>
      </c>
      <c r="CM406" s="27" t="s">
        <v>8</v>
      </c>
      <c r="CN406" s="27" t="s">
        <v>7</v>
      </c>
      <c r="CO406" s="27" t="s">
        <v>8</v>
      </c>
      <c r="CP406" s="27" t="s">
        <v>7</v>
      </c>
      <c r="CQ406" s="27" t="s">
        <v>8</v>
      </c>
      <c r="CR406" s="27" t="s">
        <v>7</v>
      </c>
      <c r="CU406" s="27" t="s">
        <v>8</v>
      </c>
      <c r="CV406" s="27" t="s">
        <v>7</v>
      </c>
      <c r="DF406" s="27" t="s">
        <v>7</v>
      </c>
      <c r="DG406" s="27" t="s">
        <v>8</v>
      </c>
      <c r="DH406" s="27" t="s">
        <v>7</v>
      </c>
      <c r="DI406" s="27" t="s">
        <v>8</v>
      </c>
      <c r="DJ406" s="27" t="s">
        <v>7</v>
      </c>
      <c r="DO406" s="27" t="s">
        <v>8</v>
      </c>
      <c r="DP406" s="27" t="s">
        <v>7</v>
      </c>
      <c r="DQ406" s="27" t="s">
        <v>8</v>
      </c>
      <c r="DR406" s="27" t="s">
        <v>7</v>
      </c>
      <c r="DS406" s="27" t="s">
        <v>8</v>
      </c>
      <c r="DT406" s="27" t="s">
        <v>7</v>
      </c>
      <c r="DU406" s="27" t="s">
        <v>8</v>
      </c>
      <c r="DV406" s="27" t="s">
        <v>7</v>
      </c>
      <c r="DW406" s="27" t="s">
        <v>8</v>
      </c>
      <c r="DX406" s="27" t="s">
        <v>7</v>
      </c>
      <c r="GA406" s="27" t="s">
        <v>8</v>
      </c>
      <c r="GB406" s="27" t="s">
        <v>7</v>
      </c>
      <c r="GM406" s="27" t="s">
        <v>8</v>
      </c>
      <c r="GN406" s="27" t="s">
        <v>7</v>
      </c>
      <c r="GO406" s="27" t="s">
        <v>8</v>
      </c>
      <c r="HP406" s="27" t="s">
        <v>7</v>
      </c>
      <c r="HQ406" s="27" t="s">
        <v>8</v>
      </c>
      <c r="HS406" s="27" t="s">
        <v>8</v>
      </c>
      <c r="HT406" s="27" t="s">
        <v>7</v>
      </c>
    </row>
    <row r="407" spans="1:244" x14ac:dyDescent="0.25">
      <c r="A407" s="7">
        <v>35.320831356989224</v>
      </c>
      <c r="B407"/>
      <c r="C407"/>
      <c r="D407"/>
      <c r="E407"/>
      <c r="CE407" s="27" t="s">
        <v>8</v>
      </c>
      <c r="CF407" s="27" t="s">
        <v>7</v>
      </c>
      <c r="CG407" s="27" t="s">
        <v>8</v>
      </c>
      <c r="CH407" s="27" t="s">
        <v>7</v>
      </c>
      <c r="CI407" s="27" t="s">
        <v>8</v>
      </c>
      <c r="CK407" s="27" t="s">
        <v>8</v>
      </c>
      <c r="CL407" s="27" t="s">
        <v>7</v>
      </c>
      <c r="CM407" s="27" t="s">
        <v>8</v>
      </c>
      <c r="CN407" s="27" t="s">
        <v>7</v>
      </c>
      <c r="CO407" s="27" t="s">
        <v>8</v>
      </c>
      <c r="CP407" s="27" t="s">
        <v>7</v>
      </c>
      <c r="CQ407" s="27" t="s">
        <v>8</v>
      </c>
      <c r="CR407" s="27" t="s">
        <v>7</v>
      </c>
      <c r="CU407" s="27" t="s">
        <v>8</v>
      </c>
      <c r="DF407" s="27" t="s">
        <v>7</v>
      </c>
      <c r="DG407" s="27" t="s">
        <v>8</v>
      </c>
      <c r="DH407" s="27" t="s">
        <v>7</v>
      </c>
      <c r="DI407" s="27" t="s">
        <v>8</v>
      </c>
      <c r="DJ407" s="27" t="s">
        <v>7</v>
      </c>
      <c r="DM407" s="27" t="s">
        <v>8</v>
      </c>
      <c r="DO407" s="27" t="s">
        <v>8</v>
      </c>
      <c r="DP407" s="27" t="s">
        <v>7</v>
      </c>
      <c r="DQ407" s="27" t="s">
        <v>8</v>
      </c>
      <c r="DR407" s="27" t="s">
        <v>7</v>
      </c>
      <c r="DS407" s="27" t="s">
        <v>8</v>
      </c>
      <c r="DT407" s="27" t="s">
        <v>7</v>
      </c>
      <c r="DU407" s="27" t="s">
        <v>8</v>
      </c>
      <c r="DV407" s="27" t="s">
        <v>7</v>
      </c>
      <c r="DX407" s="27" t="s">
        <v>7</v>
      </c>
      <c r="GA407" s="27" t="s">
        <v>8</v>
      </c>
      <c r="GB407" s="27" t="s">
        <v>7</v>
      </c>
      <c r="GC407" s="27" t="s">
        <v>8</v>
      </c>
      <c r="GM407" s="27" t="s">
        <v>8</v>
      </c>
      <c r="GN407" s="27" t="s">
        <v>7</v>
      </c>
      <c r="GO407" s="27" t="s">
        <v>8</v>
      </c>
      <c r="HP407" s="27" t="s">
        <v>7</v>
      </c>
      <c r="HQ407" s="27" t="s">
        <v>8</v>
      </c>
      <c r="HR407" s="27" t="s">
        <v>7</v>
      </c>
      <c r="HS407" s="27" t="s">
        <v>8</v>
      </c>
      <c r="HT407" s="27" t="s">
        <v>7</v>
      </c>
    </row>
    <row r="408" spans="1:244" x14ac:dyDescent="0.25">
      <c r="A408" s="7">
        <v>34.628266036263945</v>
      </c>
      <c r="B408"/>
      <c r="C408"/>
      <c r="D408"/>
      <c r="E408"/>
      <c r="CE408" s="27" t="s">
        <v>8</v>
      </c>
      <c r="CF408" s="27" t="s">
        <v>7</v>
      </c>
      <c r="CG408" s="27" t="s">
        <v>8</v>
      </c>
      <c r="CH408" s="27" t="s">
        <v>7</v>
      </c>
      <c r="CI408" s="27" t="s">
        <v>8</v>
      </c>
      <c r="CJ408" s="27" t="s">
        <v>7</v>
      </c>
      <c r="CK408" s="27" t="s">
        <v>8</v>
      </c>
      <c r="CL408" s="27" t="s">
        <v>7</v>
      </c>
      <c r="CM408" s="27" t="s">
        <v>8</v>
      </c>
      <c r="CN408" s="27" t="s">
        <v>7</v>
      </c>
      <c r="CP408" s="27" t="s">
        <v>7</v>
      </c>
      <c r="CQ408" s="27" t="s">
        <v>8</v>
      </c>
      <c r="CR408" s="27" t="s">
        <v>7</v>
      </c>
      <c r="CU408" s="27" t="s">
        <v>8</v>
      </c>
      <c r="DF408" s="27" t="s">
        <v>7</v>
      </c>
      <c r="DG408" s="27" t="s">
        <v>8</v>
      </c>
      <c r="DH408" s="27" t="s">
        <v>7</v>
      </c>
      <c r="DI408" s="27" t="s">
        <v>8</v>
      </c>
      <c r="DJ408" s="27" t="s">
        <v>7</v>
      </c>
      <c r="DM408" s="27" t="s">
        <v>8</v>
      </c>
      <c r="DN408" s="27" t="s">
        <v>7</v>
      </c>
      <c r="DO408" s="27" t="s">
        <v>8</v>
      </c>
      <c r="DP408" s="27" t="s">
        <v>7</v>
      </c>
      <c r="DR408" s="27" t="s">
        <v>7</v>
      </c>
      <c r="DS408" s="27" t="s">
        <v>8</v>
      </c>
      <c r="DT408" s="27" t="s">
        <v>7</v>
      </c>
      <c r="DU408" s="27" t="s">
        <v>8</v>
      </c>
      <c r="DX408" s="27" t="s">
        <v>7</v>
      </c>
      <c r="FW408" s="27" t="s">
        <v>8</v>
      </c>
      <c r="GA408" s="27" t="s">
        <v>8</v>
      </c>
      <c r="GB408" s="27" t="s">
        <v>7</v>
      </c>
      <c r="GC408" s="27" t="s">
        <v>8</v>
      </c>
      <c r="GD408" s="27" t="s">
        <v>7</v>
      </c>
      <c r="GM408" s="27" t="s">
        <v>8</v>
      </c>
      <c r="GN408" s="27" t="s">
        <v>7</v>
      </c>
      <c r="GO408" s="27" t="s">
        <v>8</v>
      </c>
      <c r="HP408" s="27" t="s">
        <v>7</v>
      </c>
      <c r="HQ408" s="27" t="s">
        <v>8</v>
      </c>
      <c r="HR408" s="27" t="s">
        <v>7</v>
      </c>
      <c r="HS408" s="27" t="s">
        <v>8</v>
      </c>
      <c r="HT408" s="27" t="s">
        <v>7</v>
      </c>
    </row>
    <row r="409" spans="1:244" x14ac:dyDescent="0.25">
      <c r="A409" s="7">
        <v>33.949280427709752</v>
      </c>
      <c r="B409"/>
      <c r="C409"/>
      <c r="D409"/>
      <c r="E409"/>
      <c r="CE409" s="27" t="s">
        <v>8</v>
      </c>
      <c r="CF409" s="27" t="s">
        <v>7</v>
      </c>
      <c r="CG409" s="27" t="s">
        <v>8</v>
      </c>
      <c r="CH409" s="27" t="s">
        <v>7</v>
      </c>
      <c r="CI409" s="27" t="s">
        <v>8</v>
      </c>
      <c r="CJ409" s="27" t="s">
        <v>7</v>
      </c>
      <c r="CK409" s="27" t="s">
        <v>8</v>
      </c>
      <c r="CL409" s="27" t="s">
        <v>7</v>
      </c>
      <c r="CM409" s="27" t="s">
        <v>8</v>
      </c>
      <c r="CP409" s="27" t="s">
        <v>7</v>
      </c>
      <c r="CQ409" s="27" t="s">
        <v>8</v>
      </c>
      <c r="CR409" s="27" t="s">
        <v>7</v>
      </c>
      <c r="CU409" s="27" t="s">
        <v>8</v>
      </c>
      <c r="DF409" s="27" t="s">
        <v>7</v>
      </c>
      <c r="DG409" s="27" t="s">
        <v>8</v>
      </c>
      <c r="DH409" s="27" t="s">
        <v>7</v>
      </c>
      <c r="DI409" s="27" t="s">
        <v>8</v>
      </c>
      <c r="DJ409" s="27" t="s">
        <v>7</v>
      </c>
      <c r="DM409" s="27" t="s">
        <v>8</v>
      </c>
      <c r="DN409" s="27" t="s">
        <v>7</v>
      </c>
      <c r="DO409" s="27" t="s">
        <v>8</v>
      </c>
      <c r="DR409" s="27" t="s">
        <v>7</v>
      </c>
      <c r="DS409" s="27" t="s">
        <v>8</v>
      </c>
      <c r="DT409" s="27" t="s">
        <v>7</v>
      </c>
      <c r="DU409" s="27" t="s">
        <v>8</v>
      </c>
      <c r="DX409" s="27" t="s">
        <v>7</v>
      </c>
      <c r="FW409" s="27" t="s">
        <v>8</v>
      </c>
      <c r="FX409" s="27" t="s">
        <v>7</v>
      </c>
      <c r="GA409" s="27" t="s">
        <v>8</v>
      </c>
      <c r="GB409" s="27" t="s">
        <v>7</v>
      </c>
      <c r="GC409" s="27" t="s">
        <v>8</v>
      </c>
      <c r="GD409" s="27" t="s">
        <v>7</v>
      </c>
      <c r="GM409" s="27" t="s">
        <v>8</v>
      </c>
      <c r="GN409" s="27" t="s">
        <v>7</v>
      </c>
      <c r="GO409" s="27" t="s">
        <v>8</v>
      </c>
      <c r="HP409" s="27" t="s">
        <v>7</v>
      </c>
      <c r="HR409" s="27" t="s">
        <v>7</v>
      </c>
      <c r="HS409" s="27" t="s">
        <v>8</v>
      </c>
      <c r="HT409" s="27" t="s">
        <v>7</v>
      </c>
    </row>
    <row r="410" spans="1:244" x14ac:dyDescent="0.25">
      <c r="A410" s="7">
        <v>33.28360826246054</v>
      </c>
      <c r="B410"/>
      <c r="C410"/>
      <c r="D410"/>
      <c r="E410"/>
      <c r="CE410" s="27" t="s">
        <v>8</v>
      </c>
      <c r="CF410" s="27" t="s">
        <v>7</v>
      </c>
      <c r="CG410" s="27" t="s">
        <v>8</v>
      </c>
      <c r="CH410" s="27" t="s">
        <v>7</v>
      </c>
      <c r="CI410" s="27" t="s">
        <v>8</v>
      </c>
      <c r="CJ410" s="27" t="s">
        <v>7</v>
      </c>
      <c r="CK410" s="27" t="s">
        <v>8</v>
      </c>
      <c r="CL410" s="27" t="s">
        <v>7</v>
      </c>
      <c r="CM410" s="27" t="s">
        <v>8</v>
      </c>
      <c r="CP410" s="27" t="s">
        <v>7</v>
      </c>
      <c r="CQ410" s="27" t="s">
        <v>8</v>
      </c>
      <c r="CR410" s="27" t="s">
        <v>7</v>
      </c>
      <c r="CS410" s="27" t="s">
        <v>8</v>
      </c>
      <c r="CU410" s="27" t="s">
        <v>8</v>
      </c>
      <c r="DF410" s="27" t="s">
        <v>7</v>
      </c>
      <c r="DG410" s="27" t="s">
        <v>8</v>
      </c>
      <c r="DH410" s="27" t="s">
        <v>7</v>
      </c>
      <c r="DI410" s="27" t="s">
        <v>8</v>
      </c>
      <c r="DJ410" s="27" t="s">
        <v>7</v>
      </c>
      <c r="DM410" s="27" t="s">
        <v>8</v>
      </c>
      <c r="DN410" s="27" t="s">
        <v>7</v>
      </c>
      <c r="DR410" s="27" t="s">
        <v>7</v>
      </c>
      <c r="DS410" s="27" t="s">
        <v>8</v>
      </c>
      <c r="DT410" s="27" t="s">
        <v>7</v>
      </c>
      <c r="DX410" s="27" t="s">
        <v>7</v>
      </c>
      <c r="FU410" s="27" t="s">
        <v>8</v>
      </c>
      <c r="FW410" s="27" t="s">
        <v>8</v>
      </c>
      <c r="FX410" s="27" t="s">
        <v>7</v>
      </c>
      <c r="GA410" s="27" t="s">
        <v>8</v>
      </c>
      <c r="GB410" s="27" t="s">
        <v>7</v>
      </c>
      <c r="GC410" s="27" t="s">
        <v>8</v>
      </c>
      <c r="GD410" s="27" t="s">
        <v>7</v>
      </c>
      <c r="GE410" s="27" t="s">
        <v>8</v>
      </c>
      <c r="GK410" s="27" t="s">
        <v>8</v>
      </c>
      <c r="GM410" s="27" t="s">
        <v>8</v>
      </c>
      <c r="GN410" s="27" t="s">
        <v>7</v>
      </c>
      <c r="GO410" s="27" t="s">
        <v>8</v>
      </c>
      <c r="HR410" s="27" t="s">
        <v>7</v>
      </c>
      <c r="HS410" s="27" t="s">
        <v>8</v>
      </c>
      <c r="HT410" s="27" t="s">
        <v>7</v>
      </c>
    </row>
    <row r="411" spans="1:244" x14ac:dyDescent="0.25">
      <c r="A411" s="7">
        <v>32.630988492608374</v>
      </c>
      <c r="B411"/>
      <c r="C411"/>
      <c r="D411"/>
      <c r="E411"/>
      <c r="CE411" s="27" t="s">
        <v>8</v>
      </c>
      <c r="CF411" s="27" t="s">
        <v>7</v>
      </c>
      <c r="CG411" s="27" t="s">
        <v>8</v>
      </c>
      <c r="CH411" s="27" t="s">
        <v>7</v>
      </c>
      <c r="CI411" s="27" t="s">
        <v>8</v>
      </c>
      <c r="CJ411" s="27" t="s">
        <v>7</v>
      </c>
      <c r="CK411" s="27" t="s">
        <v>8</v>
      </c>
      <c r="CL411" s="27" t="s">
        <v>7</v>
      </c>
      <c r="CM411" s="27" t="s">
        <v>8</v>
      </c>
      <c r="CP411" s="27" t="s">
        <v>7</v>
      </c>
      <c r="CR411" s="27" t="s">
        <v>7</v>
      </c>
      <c r="CS411" s="27" t="s">
        <v>8</v>
      </c>
      <c r="CT411" s="27" t="s">
        <v>7</v>
      </c>
      <c r="CU411" s="27" t="s">
        <v>8</v>
      </c>
      <c r="DF411" s="27" t="s">
        <v>7</v>
      </c>
      <c r="DH411" s="27" t="s">
        <v>7</v>
      </c>
      <c r="DI411" s="27" t="s">
        <v>8</v>
      </c>
      <c r="DJ411" s="27" t="s">
        <v>7</v>
      </c>
      <c r="DM411" s="27" t="s">
        <v>8</v>
      </c>
      <c r="DR411" s="27" t="s">
        <v>7</v>
      </c>
      <c r="DX411" s="27" t="s">
        <v>7</v>
      </c>
      <c r="FU411" s="27" t="s">
        <v>8</v>
      </c>
      <c r="FV411" s="27" t="s">
        <v>7</v>
      </c>
      <c r="FW411" s="27" t="s">
        <v>8</v>
      </c>
      <c r="FX411" s="27" t="s">
        <v>7</v>
      </c>
      <c r="FY411" s="27" t="s">
        <v>8</v>
      </c>
      <c r="GA411" s="27" t="s">
        <v>8</v>
      </c>
      <c r="GB411" s="27" t="s">
        <v>7</v>
      </c>
      <c r="GD411" s="27" t="s">
        <v>7</v>
      </c>
      <c r="GE411" s="27" t="s">
        <v>8</v>
      </c>
      <c r="GF411" s="27" t="s">
        <v>7</v>
      </c>
      <c r="GK411" s="27" t="s">
        <v>8</v>
      </c>
      <c r="GL411" s="27" t="s">
        <v>7</v>
      </c>
      <c r="GM411" s="27" t="s">
        <v>8</v>
      </c>
      <c r="GN411" s="27" t="s">
        <v>7</v>
      </c>
      <c r="HR411" s="27" t="s">
        <v>7</v>
      </c>
      <c r="HT411" s="27" t="s">
        <v>7</v>
      </c>
      <c r="IG411" s="27" t="s">
        <v>8</v>
      </c>
    </row>
    <row r="412" spans="1:244" x14ac:dyDescent="0.25">
      <c r="A412" s="7">
        <v>31.99116518883174</v>
      </c>
      <c r="B412"/>
      <c r="C412"/>
      <c r="D412"/>
      <c r="E412"/>
      <c r="CE412" s="27" t="s">
        <v>8</v>
      </c>
      <c r="CF412" s="27" t="s">
        <v>7</v>
      </c>
      <c r="CG412" s="27" t="s">
        <v>8</v>
      </c>
      <c r="CH412" s="27" t="s">
        <v>7</v>
      </c>
      <c r="CI412" s="27" t="s">
        <v>8</v>
      </c>
      <c r="CJ412" s="27" t="s">
        <v>7</v>
      </c>
      <c r="CK412" s="27" t="s">
        <v>8</v>
      </c>
      <c r="CL412" s="27" t="s">
        <v>7</v>
      </c>
      <c r="CM412" s="27" t="s">
        <v>8</v>
      </c>
      <c r="CR412" s="27" t="s">
        <v>7</v>
      </c>
      <c r="CS412" s="27" t="s">
        <v>8</v>
      </c>
      <c r="CT412" s="27" t="s">
        <v>7</v>
      </c>
      <c r="CU412" s="27" t="s">
        <v>8</v>
      </c>
      <c r="DH412" s="27" t="s">
        <v>7</v>
      </c>
      <c r="DJ412" s="27" t="s">
        <v>7</v>
      </c>
      <c r="DK412" s="27" t="s">
        <v>8</v>
      </c>
      <c r="DM412" s="27" t="s">
        <v>8</v>
      </c>
      <c r="DX412" s="27" t="s">
        <v>7</v>
      </c>
      <c r="FU412" s="27" t="s">
        <v>8</v>
      </c>
      <c r="FV412" s="27" t="s">
        <v>7</v>
      </c>
      <c r="FW412" s="27" t="s">
        <v>8</v>
      </c>
      <c r="FX412" s="27" t="s">
        <v>7</v>
      </c>
      <c r="FY412" s="27" t="s">
        <v>8</v>
      </c>
      <c r="FZ412" s="27" t="s">
        <v>7</v>
      </c>
      <c r="GA412" s="27" t="s">
        <v>8</v>
      </c>
      <c r="GD412" s="27" t="s">
        <v>7</v>
      </c>
      <c r="GE412" s="27" t="s">
        <v>8</v>
      </c>
      <c r="GF412" s="27" t="s">
        <v>7</v>
      </c>
      <c r="GG412" s="27" t="s">
        <v>8</v>
      </c>
      <c r="GK412" s="27" t="s">
        <v>8</v>
      </c>
      <c r="GL412" s="27" t="s">
        <v>7</v>
      </c>
      <c r="GM412" s="27" t="s">
        <v>8</v>
      </c>
      <c r="HT412" s="27" t="s">
        <v>7</v>
      </c>
      <c r="IG412" s="27" t="s">
        <v>8</v>
      </c>
      <c r="IH412" s="27" t="s">
        <v>7</v>
      </c>
    </row>
    <row r="413" spans="1:244" x14ac:dyDescent="0.25">
      <c r="A413" s="7">
        <v>31.363887440031117</v>
      </c>
      <c r="B413"/>
      <c r="C413"/>
      <c r="D413"/>
      <c r="E413"/>
      <c r="CE413" s="27" t="s">
        <v>8</v>
      </c>
      <c r="CF413" s="27" t="s">
        <v>7</v>
      </c>
      <c r="CG413" s="27" t="s">
        <v>8</v>
      </c>
      <c r="CH413" s="27" t="s">
        <v>7</v>
      </c>
      <c r="CI413" s="27" t="s">
        <v>8</v>
      </c>
      <c r="CJ413" s="27" t="s">
        <v>7</v>
      </c>
      <c r="CK413" s="27" t="s">
        <v>8</v>
      </c>
      <c r="CL413" s="27" t="s">
        <v>7</v>
      </c>
      <c r="CR413" s="27" t="s">
        <v>7</v>
      </c>
      <c r="CS413" s="27" t="s">
        <v>8</v>
      </c>
      <c r="CT413" s="27" t="s">
        <v>7</v>
      </c>
      <c r="DJ413" s="27" t="s">
        <v>7</v>
      </c>
      <c r="DK413" s="27" t="s">
        <v>8</v>
      </c>
      <c r="DL413" s="27" t="s">
        <v>7</v>
      </c>
      <c r="DM413" s="27" t="s">
        <v>8</v>
      </c>
      <c r="DX413" s="27" t="s">
        <v>7</v>
      </c>
      <c r="FU413" s="27" t="s">
        <v>8</v>
      </c>
      <c r="FV413" s="27" t="s">
        <v>7</v>
      </c>
      <c r="FW413" s="27" t="s">
        <v>8</v>
      </c>
      <c r="FX413" s="27" t="s">
        <v>7</v>
      </c>
      <c r="FY413" s="27" t="s">
        <v>8</v>
      </c>
      <c r="FZ413" s="27" t="s">
        <v>7</v>
      </c>
      <c r="GA413" s="27" t="s">
        <v>8</v>
      </c>
      <c r="GD413" s="27" t="s">
        <v>7</v>
      </c>
      <c r="GE413" s="27" t="s">
        <v>8</v>
      </c>
      <c r="GF413" s="27" t="s">
        <v>7</v>
      </c>
      <c r="GG413" s="27" t="s">
        <v>8</v>
      </c>
      <c r="GH413" s="27" t="s">
        <v>7</v>
      </c>
      <c r="GK413" s="27" t="s">
        <v>8</v>
      </c>
      <c r="GL413" s="27" t="s">
        <v>7</v>
      </c>
      <c r="GM413" s="27" t="s">
        <v>8</v>
      </c>
      <c r="HT413" s="27" t="s">
        <v>7</v>
      </c>
      <c r="HW413" s="27" t="s">
        <v>8</v>
      </c>
      <c r="IG413" s="27" t="s">
        <v>8</v>
      </c>
      <c r="IH413" s="27" t="s">
        <v>7</v>
      </c>
    </row>
    <row r="414" spans="1:244" x14ac:dyDescent="0.25">
      <c r="A414" s="7">
        <v>30.748909254932467</v>
      </c>
      <c r="B414"/>
      <c r="C414"/>
      <c r="D414"/>
      <c r="E414"/>
      <c r="CE414" s="27" t="s">
        <v>8</v>
      </c>
      <c r="CF414" s="27" t="s">
        <v>7</v>
      </c>
      <c r="CG414" s="27" t="s">
        <v>8</v>
      </c>
      <c r="CH414" s="27" t="s">
        <v>7</v>
      </c>
      <c r="CI414" s="27" t="s">
        <v>8</v>
      </c>
      <c r="CJ414" s="27" t="s">
        <v>7</v>
      </c>
      <c r="CK414" s="27" t="s">
        <v>8</v>
      </c>
      <c r="CR414" s="27" t="s">
        <v>7</v>
      </c>
      <c r="CS414" s="27" t="s">
        <v>8</v>
      </c>
      <c r="DJ414" s="27" t="s">
        <v>7</v>
      </c>
      <c r="DK414" s="27" t="s">
        <v>8</v>
      </c>
      <c r="DL414" s="27" t="s">
        <v>7</v>
      </c>
      <c r="DM414" s="27" t="s">
        <v>8</v>
      </c>
      <c r="DX414" s="27" t="s">
        <v>7</v>
      </c>
      <c r="DY414" s="27" t="s">
        <v>8</v>
      </c>
      <c r="FU414" s="27" t="s">
        <v>8</v>
      </c>
      <c r="FV414" s="27" t="s">
        <v>7</v>
      </c>
      <c r="FX414" s="27" t="s">
        <v>7</v>
      </c>
      <c r="FY414" s="27" t="s">
        <v>8</v>
      </c>
      <c r="FZ414" s="27" t="s">
        <v>7</v>
      </c>
      <c r="GA414" s="27" t="s">
        <v>8</v>
      </c>
      <c r="GD414" s="27" t="s">
        <v>7</v>
      </c>
      <c r="GE414" s="27" t="s">
        <v>8</v>
      </c>
      <c r="GF414" s="27" t="s">
        <v>7</v>
      </c>
      <c r="GG414" s="27" t="s">
        <v>8</v>
      </c>
      <c r="GH414" s="27" t="s">
        <v>7</v>
      </c>
      <c r="GK414" s="27" t="s">
        <v>8</v>
      </c>
      <c r="GL414" s="27" t="s">
        <v>7</v>
      </c>
      <c r="GM414" s="27" t="s">
        <v>8</v>
      </c>
      <c r="HT414" s="27" t="s">
        <v>7</v>
      </c>
      <c r="HW414" s="27" t="s">
        <v>8</v>
      </c>
      <c r="HX414" s="27" t="s">
        <v>7</v>
      </c>
      <c r="IG414" s="27" t="s">
        <v>8</v>
      </c>
      <c r="IH414" s="27" t="s">
        <v>7</v>
      </c>
      <c r="II414" s="27" t="s">
        <v>8</v>
      </c>
    </row>
    <row r="415" spans="1:244" x14ac:dyDescent="0.25">
      <c r="A415" s="7">
        <v>30.145989465620065</v>
      </c>
      <c r="B415"/>
      <c r="C415"/>
      <c r="D415"/>
      <c r="E415"/>
      <c r="CC415" s="27" t="s">
        <v>8</v>
      </c>
      <c r="CE415" s="27" t="s">
        <v>8</v>
      </c>
      <c r="CF415" s="27" t="s">
        <v>7</v>
      </c>
      <c r="CG415" s="27" t="s">
        <v>8</v>
      </c>
      <c r="CH415" s="27" t="s">
        <v>7</v>
      </c>
      <c r="CI415" s="27" t="s">
        <v>8</v>
      </c>
      <c r="CJ415" s="27" t="s">
        <v>7</v>
      </c>
      <c r="CR415" s="27" t="s">
        <v>7</v>
      </c>
      <c r="CS415" s="27" t="s">
        <v>8</v>
      </c>
      <c r="DJ415" s="27" t="s">
        <v>7</v>
      </c>
      <c r="DK415" s="27" t="s">
        <v>8</v>
      </c>
      <c r="DL415" s="27" t="s">
        <v>7</v>
      </c>
      <c r="DM415" s="27" t="s">
        <v>8</v>
      </c>
      <c r="DX415" s="27" t="s">
        <v>7</v>
      </c>
      <c r="DY415" s="27" t="s">
        <v>8</v>
      </c>
      <c r="DZ415" s="27" t="s">
        <v>7</v>
      </c>
      <c r="FU415" s="27" t="s">
        <v>8</v>
      </c>
      <c r="FX415" s="27" t="s">
        <v>7</v>
      </c>
      <c r="FY415" s="27" t="s">
        <v>8</v>
      </c>
      <c r="FZ415" s="27" t="s">
        <v>7</v>
      </c>
      <c r="GA415" s="27" t="s">
        <v>8</v>
      </c>
      <c r="GD415" s="27" t="s">
        <v>7</v>
      </c>
      <c r="GE415" s="27" t="s">
        <v>8</v>
      </c>
      <c r="GF415" s="27" t="s">
        <v>7</v>
      </c>
      <c r="GG415" s="27" t="s">
        <v>8</v>
      </c>
      <c r="GH415" s="27" t="s">
        <v>7</v>
      </c>
      <c r="GI415" s="27" t="s">
        <v>8</v>
      </c>
      <c r="GK415" s="27" t="s">
        <v>8</v>
      </c>
      <c r="GL415" s="27" t="s">
        <v>7</v>
      </c>
      <c r="HT415" s="27" t="s">
        <v>7</v>
      </c>
      <c r="HW415" s="27" t="s">
        <v>8</v>
      </c>
      <c r="HX415" s="27" t="s">
        <v>7</v>
      </c>
      <c r="IG415" s="27" t="s">
        <v>8</v>
      </c>
      <c r="IH415" s="27" t="s">
        <v>7</v>
      </c>
      <c r="II415" s="27" t="s">
        <v>8</v>
      </c>
      <c r="IJ415" s="27" t="s">
        <v>7</v>
      </c>
    </row>
    <row r="416" spans="1:244" x14ac:dyDescent="0.25">
      <c r="A416" s="7">
        <v>29.55489163296085</v>
      </c>
      <c r="B416"/>
      <c r="C416"/>
      <c r="D416"/>
      <c r="E416"/>
      <c r="CC416" s="27" t="s">
        <v>8</v>
      </c>
      <c r="CD416" s="27" t="s">
        <v>7</v>
      </c>
      <c r="CE416" s="27" t="s">
        <v>8</v>
      </c>
      <c r="CF416" s="27" t="s">
        <v>7</v>
      </c>
      <c r="CG416" s="27" t="s">
        <v>8</v>
      </c>
      <c r="CH416" s="27" t="s">
        <v>7</v>
      </c>
      <c r="CI416" s="27" t="s">
        <v>8</v>
      </c>
      <c r="CR416" s="27" t="s">
        <v>7</v>
      </c>
      <c r="CS416" s="27" t="s">
        <v>8</v>
      </c>
      <c r="DJ416" s="27" t="s">
        <v>7</v>
      </c>
      <c r="DK416" s="27" t="s">
        <v>8</v>
      </c>
      <c r="DL416" s="27" t="s">
        <v>7</v>
      </c>
      <c r="DM416" s="27" t="s">
        <v>8</v>
      </c>
      <c r="DX416" s="27" t="s">
        <v>7</v>
      </c>
      <c r="DY416" s="27" t="s">
        <v>8</v>
      </c>
      <c r="DZ416" s="27" t="s">
        <v>7</v>
      </c>
      <c r="FU416" s="27" t="s">
        <v>8</v>
      </c>
      <c r="FX416" s="27" t="s">
        <v>7</v>
      </c>
      <c r="FY416" s="27" t="s">
        <v>8</v>
      </c>
      <c r="FZ416" s="27" t="s">
        <v>7</v>
      </c>
      <c r="GA416" s="27" t="s">
        <v>8</v>
      </c>
      <c r="GD416" s="27" t="s">
        <v>7</v>
      </c>
      <c r="GE416" s="27" t="s">
        <v>8</v>
      </c>
      <c r="GF416" s="27" t="s">
        <v>7</v>
      </c>
      <c r="GG416" s="27" t="s">
        <v>8</v>
      </c>
      <c r="GH416" s="27" t="s">
        <v>7</v>
      </c>
      <c r="GI416" s="27" t="s">
        <v>8</v>
      </c>
      <c r="GJ416" s="27" t="s">
        <v>7</v>
      </c>
      <c r="GK416" s="27" t="s">
        <v>8</v>
      </c>
      <c r="HT416" s="27" t="s">
        <v>7</v>
      </c>
      <c r="HU416" s="27" t="s">
        <v>8</v>
      </c>
      <c r="HW416" s="27" t="s">
        <v>8</v>
      </c>
      <c r="HX416" s="27" t="s">
        <v>7</v>
      </c>
      <c r="HY416" s="27" t="s">
        <v>8</v>
      </c>
      <c r="IE416" s="27" t="s">
        <v>8</v>
      </c>
      <c r="IG416" s="27" t="s">
        <v>8</v>
      </c>
      <c r="IH416" s="27" t="s">
        <v>7</v>
      </c>
      <c r="II416" s="27" t="s">
        <v>8</v>
      </c>
      <c r="IJ416" s="27" t="s">
        <v>7</v>
      </c>
    </row>
    <row r="417" spans="1:252" x14ac:dyDescent="0.25">
      <c r="A417" s="7">
        <v>28.975383953883185</v>
      </c>
      <c r="B417"/>
      <c r="C417"/>
      <c r="D417"/>
      <c r="E417"/>
      <c r="CC417" s="27" t="s">
        <v>8</v>
      </c>
      <c r="CD417" s="27" t="s">
        <v>7</v>
      </c>
      <c r="CE417" s="27" t="s">
        <v>8</v>
      </c>
      <c r="CF417" s="27" t="s">
        <v>7</v>
      </c>
      <c r="CG417" s="27" t="s">
        <v>8</v>
      </c>
      <c r="CH417" s="27" t="s">
        <v>7</v>
      </c>
      <c r="CI417" s="27" t="s">
        <v>8</v>
      </c>
      <c r="CR417" s="27" t="s">
        <v>7</v>
      </c>
      <c r="CS417" s="27" t="s">
        <v>8</v>
      </c>
      <c r="DJ417" s="27" t="s">
        <v>7</v>
      </c>
      <c r="DK417" s="27" t="s">
        <v>8</v>
      </c>
      <c r="DL417" s="27" t="s">
        <v>7</v>
      </c>
      <c r="DM417" s="27" t="s">
        <v>8</v>
      </c>
      <c r="DX417" s="27" t="s">
        <v>7</v>
      </c>
      <c r="DY417" s="27" t="s">
        <v>8</v>
      </c>
      <c r="DZ417" s="27" t="s">
        <v>7</v>
      </c>
      <c r="FQ417" s="27" t="s">
        <v>8</v>
      </c>
      <c r="FU417" s="27" t="s">
        <v>8</v>
      </c>
      <c r="FX417" s="27" t="s">
        <v>7</v>
      </c>
      <c r="FY417" s="27" t="s">
        <v>8</v>
      </c>
      <c r="FZ417" s="27" t="s">
        <v>7</v>
      </c>
      <c r="GA417" s="27" t="s">
        <v>8</v>
      </c>
      <c r="GD417" s="27" t="s">
        <v>7</v>
      </c>
      <c r="GE417" s="27" t="s">
        <v>8</v>
      </c>
      <c r="GF417" s="27" t="s">
        <v>7</v>
      </c>
      <c r="GG417" s="27" t="s">
        <v>8</v>
      </c>
      <c r="GH417" s="27" t="s">
        <v>7</v>
      </c>
      <c r="GI417" s="27" t="s">
        <v>8</v>
      </c>
      <c r="GJ417" s="27" t="s">
        <v>7</v>
      </c>
      <c r="GK417" s="27" t="s">
        <v>8</v>
      </c>
      <c r="HT417" s="27" t="s">
        <v>7</v>
      </c>
      <c r="HU417" s="27" t="s">
        <v>8</v>
      </c>
      <c r="HV417" s="27" t="s">
        <v>7</v>
      </c>
      <c r="HW417" s="27" t="s">
        <v>8</v>
      </c>
      <c r="HX417" s="27" t="s">
        <v>7</v>
      </c>
      <c r="HY417" s="27" t="s">
        <v>8</v>
      </c>
      <c r="HZ417" s="27" t="s">
        <v>7</v>
      </c>
      <c r="IE417" s="27" t="s">
        <v>8</v>
      </c>
      <c r="IF417" s="27" t="s">
        <v>7</v>
      </c>
      <c r="IG417" s="27" t="s">
        <v>8</v>
      </c>
      <c r="IH417" s="27" t="s">
        <v>7</v>
      </c>
      <c r="II417" s="27" t="s">
        <v>8</v>
      </c>
      <c r="IJ417" s="27" t="s">
        <v>7</v>
      </c>
    </row>
    <row r="418" spans="1:252" x14ac:dyDescent="0.25">
      <c r="A418" s="7">
        <v>28.407239170473709</v>
      </c>
      <c r="B418"/>
      <c r="C418"/>
      <c r="D418"/>
      <c r="E418"/>
      <c r="CC418" s="27" t="s">
        <v>8</v>
      </c>
      <c r="CD418" s="27" t="s">
        <v>7</v>
      </c>
      <c r="CE418" s="27" t="s">
        <v>8</v>
      </c>
      <c r="CF418" s="27" t="s">
        <v>7</v>
      </c>
      <c r="CG418" s="27" t="s">
        <v>8</v>
      </c>
      <c r="CH418" s="27" t="s">
        <v>7</v>
      </c>
      <c r="CR418" s="27" t="s">
        <v>7</v>
      </c>
      <c r="CS418" s="27" t="s">
        <v>8</v>
      </c>
      <c r="DJ418" s="27" t="s">
        <v>7</v>
      </c>
      <c r="DK418" s="27" t="s">
        <v>8</v>
      </c>
      <c r="DL418" s="27" t="s">
        <v>7</v>
      </c>
      <c r="DX418" s="27" t="s">
        <v>7</v>
      </c>
      <c r="DY418" s="27" t="s">
        <v>8</v>
      </c>
      <c r="DZ418" s="27" t="s">
        <v>7</v>
      </c>
      <c r="EG418" s="27" t="s">
        <v>8</v>
      </c>
      <c r="FQ418" s="27" t="s">
        <v>8</v>
      </c>
      <c r="FR418" s="27" t="s">
        <v>7</v>
      </c>
      <c r="FU418" s="27" t="s">
        <v>8</v>
      </c>
      <c r="FX418" s="27" t="s">
        <v>7</v>
      </c>
      <c r="FY418" s="27" t="s">
        <v>8</v>
      </c>
      <c r="FZ418" s="27" t="s">
        <v>7</v>
      </c>
      <c r="GD418" s="27" t="s">
        <v>7</v>
      </c>
      <c r="GE418" s="27" t="s">
        <v>8</v>
      </c>
      <c r="GF418" s="27" t="s">
        <v>7</v>
      </c>
      <c r="GH418" s="27" t="s">
        <v>7</v>
      </c>
      <c r="GI418" s="27" t="s">
        <v>8</v>
      </c>
      <c r="GJ418" s="27" t="s">
        <v>7</v>
      </c>
      <c r="GK418" s="27" t="s">
        <v>8</v>
      </c>
      <c r="HT418" s="27" t="s">
        <v>7</v>
      </c>
      <c r="HU418" s="27" t="s">
        <v>8</v>
      </c>
      <c r="HV418" s="27" t="s">
        <v>7</v>
      </c>
      <c r="HW418" s="27" t="s">
        <v>8</v>
      </c>
      <c r="HX418" s="27" t="s">
        <v>7</v>
      </c>
      <c r="HY418" s="27" t="s">
        <v>8</v>
      </c>
      <c r="HZ418" s="27" t="s">
        <v>7</v>
      </c>
      <c r="IE418" s="27" t="s">
        <v>8</v>
      </c>
      <c r="IF418" s="27" t="s">
        <v>7</v>
      </c>
      <c r="IG418" s="27" t="s">
        <v>8</v>
      </c>
      <c r="IH418" s="27" t="s">
        <v>7</v>
      </c>
      <c r="II418" s="27" t="s">
        <v>8</v>
      </c>
      <c r="IJ418" s="27" t="s">
        <v>7</v>
      </c>
      <c r="IQ418" s="27" t="s">
        <v>8</v>
      </c>
    </row>
    <row r="419" spans="1:252" x14ac:dyDescent="0.25">
      <c r="A419" s="7">
        <v>27.850234480856578</v>
      </c>
      <c r="B419"/>
      <c r="C419"/>
      <c r="D419"/>
      <c r="E419"/>
      <c r="CC419" s="27" t="s">
        <v>8</v>
      </c>
      <c r="CD419" s="27" t="s">
        <v>7</v>
      </c>
      <c r="CE419" s="27" t="s">
        <v>8</v>
      </c>
      <c r="CF419" s="27" t="s">
        <v>7</v>
      </c>
      <c r="CG419" s="27" t="s">
        <v>8</v>
      </c>
      <c r="CR419" s="27" t="s">
        <v>7</v>
      </c>
      <c r="DJ419" s="27" t="s">
        <v>7</v>
      </c>
      <c r="DK419" s="27" t="s">
        <v>8</v>
      </c>
      <c r="DX419" s="27" t="s">
        <v>7</v>
      </c>
      <c r="DY419" s="27" t="s">
        <v>8</v>
      </c>
      <c r="DZ419" s="27" t="s">
        <v>7</v>
      </c>
      <c r="EG419" s="27" t="s">
        <v>8</v>
      </c>
      <c r="EH419" s="27" t="s">
        <v>7</v>
      </c>
      <c r="FQ419" s="27" t="s">
        <v>8</v>
      </c>
      <c r="FR419" s="27" t="s">
        <v>7</v>
      </c>
      <c r="FU419" s="27" t="s">
        <v>8</v>
      </c>
      <c r="FX419" s="27" t="s">
        <v>7</v>
      </c>
      <c r="FY419" s="27" t="s">
        <v>8</v>
      </c>
      <c r="GD419" s="27" t="s">
        <v>7</v>
      </c>
      <c r="GE419" s="27" t="s">
        <v>8</v>
      </c>
      <c r="GH419" s="27" t="s">
        <v>7</v>
      </c>
      <c r="GI419" s="27" t="s">
        <v>8</v>
      </c>
      <c r="GJ419" s="27" t="s">
        <v>7</v>
      </c>
      <c r="GK419" s="27" t="s">
        <v>8</v>
      </c>
      <c r="HT419" s="27" t="s">
        <v>7</v>
      </c>
      <c r="HU419" s="27" t="s">
        <v>8</v>
      </c>
      <c r="HV419" s="27" t="s">
        <v>7</v>
      </c>
      <c r="HW419" s="27" t="s">
        <v>8</v>
      </c>
      <c r="HX419" s="27" t="s">
        <v>7</v>
      </c>
      <c r="HY419" s="27" t="s">
        <v>8</v>
      </c>
      <c r="HZ419" s="27" t="s">
        <v>7</v>
      </c>
      <c r="IE419" s="27" t="s">
        <v>8</v>
      </c>
      <c r="IF419" s="27" t="s">
        <v>7</v>
      </c>
      <c r="IH419" s="27" t="s">
        <v>7</v>
      </c>
      <c r="II419" s="27" t="s">
        <v>8</v>
      </c>
      <c r="IJ419" s="27" t="s">
        <v>7</v>
      </c>
      <c r="IQ419" s="27" t="s">
        <v>8</v>
      </c>
      <c r="IR419" s="27" t="s">
        <v>7</v>
      </c>
    </row>
    <row r="420" spans="1:252" x14ac:dyDescent="0.25">
      <c r="A420" s="7">
        <v>27.304151451820175</v>
      </c>
      <c r="B420"/>
      <c r="C420"/>
      <c r="D420"/>
      <c r="E420"/>
      <c r="CC420" s="27" t="s">
        <v>8</v>
      </c>
      <c r="CD420" s="27" t="s">
        <v>7</v>
      </c>
      <c r="CE420" s="27" t="s">
        <v>8</v>
      </c>
      <c r="CF420" s="27" t="s">
        <v>7</v>
      </c>
      <c r="CG420" s="27" t="s">
        <v>8</v>
      </c>
      <c r="DJ420" s="27" t="s">
        <v>7</v>
      </c>
      <c r="DK420" s="27" t="s">
        <v>8</v>
      </c>
      <c r="DX420" s="27" t="s">
        <v>7</v>
      </c>
      <c r="DY420" s="27" t="s">
        <v>8</v>
      </c>
      <c r="DZ420" s="27" t="s">
        <v>7</v>
      </c>
      <c r="EG420" s="27" t="s">
        <v>8</v>
      </c>
      <c r="EH420" s="27" t="s">
        <v>7</v>
      </c>
      <c r="FO420" s="27" t="s">
        <v>8</v>
      </c>
      <c r="FQ420" s="27" t="s">
        <v>8</v>
      </c>
      <c r="FR420" s="27" t="s">
        <v>7</v>
      </c>
      <c r="FU420" s="27" t="s">
        <v>8</v>
      </c>
      <c r="FX420" s="27" t="s">
        <v>7</v>
      </c>
      <c r="FY420" s="27" t="s">
        <v>8</v>
      </c>
      <c r="GD420" s="27" t="s">
        <v>7</v>
      </c>
      <c r="GE420" s="27" t="s">
        <v>8</v>
      </c>
      <c r="GH420" s="27" t="s">
        <v>7</v>
      </c>
      <c r="GI420" s="27" t="s">
        <v>8</v>
      </c>
      <c r="GJ420" s="27" t="s">
        <v>7</v>
      </c>
      <c r="GK420" s="27" t="s">
        <v>8</v>
      </c>
      <c r="HT420" s="27" t="s">
        <v>7</v>
      </c>
      <c r="HU420" s="27" t="s">
        <v>8</v>
      </c>
      <c r="HV420" s="27" t="s">
        <v>7</v>
      </c>
      <c r="HW420" s="27" t="s">
        <v>8</v>
      </c>
      <c r="HX420" s="27" t="s">
        <v>7</v>
      </c>
      <c r="HY420" s="27" t="s">
        <v>8</v>
      </c>
      <c r="HZ420" s="27" t="s">
        <v>7</v>
      </c>
      <c r="IA420" s="27" t="s">
        <v>8</v>
      </c>
      <c r="IE420" s="27" t="s">
        <v>8</v>
      </c>
      <c r="IH420" s="27" t="s">
        <v>7</v>
      </c>
      <c r="II420" s="27" t="s">
        <v>8</v>
      </c>
      <c r="IJ420" s="27" t="s">
        <v>7</v>
      </c>
      <c r="IK420" s="27" t="s">
        <v>8</v>
      </c>
      <c r="IO420" s="27" t="s">
        <v>8</v>
      </c>
      <c r="IQ420" s="27" t="s">
        <v>8</v>
      </c>
      <c r="IR420" s="27" t="s">
        <v>7</v>
      </c>
    </row>
    <row r="421" spans="1:252" x14ac:dyDescent="0.25">
      <c r="A421" s="7">
        <v>26.768775933157034</v>
      </c>
      <c r="B421"/>
      <c r="C421"/>
      <c r="D421"/>
      <c r="E421"/>
      <c r="CC421" s="27" t="s">
        <v>8</v>
      </c>
      <c r="CD421" s="27" t="s">
        <v>7</v>
      </c>
      <c r="CE421" s="27" t="s">
        <v>8</v>
      </c>
      <c r="CF421" s="27" t="s">
        <v>7</v>
      </c>
      <c r="DJ421" s="27" t="s">
        <v>7</v>
      </c>
      <c r="DX421" s="27" t="s">
        <v>7</v>
      </c>
      <c r="DY421" s="27" t="s">
        <v>8</v>
      </c>
      <c r="DZ421" s="27" t="s">
        <v>7</v>
      </c>
      <c r="EG421" s="27" t="s">
        <v>8</v>
      </c>
      <c r="EH421" s="27" t="s">
        <v>7</v>
      </c>
      <c r="FO421" s="27" t="s">
        <v>8</v>
      </c>
      <c r="FP421" s="27" t="s">
        <v>7</v>
      </c>
      <c r="FQ421" s="27" t="s">
        <v>8</v>
      </c>
      <c r="FR421" s="27" t="s">
        <v>7</v>
      </c>
      <c r="FU421" s="27" t="s">
        <v>8</v>
      </c>
      <c r="FX421" s="27" t="s">
        <v>7</v>
      </c>
      <c r="FY421" s="27" t="s">
        <v>8</v>
      </c>
      <c r="GD421" s="27" t="s">
        <v>7</v>
      </c>
      <c r="GE421" s="27" t="s">
        <v>8</v>
      </c>
      <c r="GH421" s="27" t="s">
        <v>7</v>
      </c>
      <c r="GJ421" s="27" t="s">
        <v>7</v>
      </c>
      <c r="GK421" s="27" t="s">
        <v>8</v>
      </c>
      <c r="HT421" s="27" t="s">
        <v>7</v>
      </c>
      <c r="HU421" s="27" t="s">
        <v>8</v>
      </c>
      <c r="HV421" s="27" t="s">
        <v>7</v>
      </c>
      <c r="HW421" s="27" t="s">
        <v>8</v>
      </c>
      <c r="HX421" s="27" t="s">
        <v>7</v>
      </c>
      <c r="HY421" s="27" t="s">
        <v>8</v>
      </c>
      <c r="HZ421" s="27" t="s">
        <v>7</v>
      </c>
      <c r="IA421" s="27" t="s">
        <v>8</v>
      </c>
      <c r="IB421" s="27" t="s">
        <v>7</v>
      </c>
      <c r="IE421" s="27" t="s">
        <v>8</v>
      </c>
      <c r="IH421" s="27" t="s">
        <v>7</v>
      </c>
      <c r="II421" s="27" t="s">
        <v>8</v>
      </c>
      <c r="IJ421" s="27" t="s">
        <v>7</v>
      </c>
      <c r="IK421" s="27" t="s">
        <v>8</v>
      </c>
      <c r="IL421" s="27" t="s">
        <v>7</v>
      </c>
      <c r="IO421" s="27" t="s">
        <v>8</v>
      </c>
      <c r="IP421" s="27" t="s">
        <v>7</v>
      </c>
      <c r="IQ421" s="27" t="s">
        <v>8</v>
      </c>
      <c r="IR421" s="27" t="s">
        <v>7</v>
      </c>
    </row>
    <row r="422" spans="1:252" x14ac:dyDescent="0.25">
      <c r="A422" s="7">
        <v>26.243897973683367</v>
      </c>
      <c r="B422"/>
      <c r="C422"/>
      <c r="D422"/>
      <c r="E422"/>
      <c r="CC422" s="27" t="s">
        <v>8</v>
      </c>
      <c r="CD422" s="27" t="s">
        <v>7</v>
      </c>
      <c r="CE422" s="27" t="s">
        <v>8</v>
      </c>
      <c r="DX422" s="27" t="s">
        <v>7</v>
      </c>
      <c r="DY422" s="27" t="s">
        <v>8</v>
      </c>
      <c r="DZ422" s="27" t="s">
        <v>7</v>
      </c>
      <c r="EG422" s="27" t="s">
        <v>8</v>
      </c>
      <c r="EH422" s="27" t="s">
        <v>7</v>
      </c>
      <c r="FO422" s="27" t="s">
        <v>8</v>
      </c>
      <c r="FP422" s="27" t="s">
        <v>7</v>
      </c>
      <c r="FQ422" s="27" t="s">
        <v>8</v>
      </c>
      <c r="FR422" s="27" t="s">
        <v>7</v>
      </c>
      <c r="FS422" s="27" t="s">
        <v>8</v>
      </c>
      <c r="FU422" s="27" t="s">
        <v>8</v>
      </c>
      <c r="FX422" s="27" t="s">
        <v>7</v>
      </c>
      <c r="FY422" s="27" t="s">
        <v>8</v>
      </c>
      <c r="GD422" s="27" t="s">
        <v>7</v>
      </c>
      <c r="GE422" s="27" t="s">
        <v>8</v>
      </c>
      <c r="GJ422" s="27" t="s">
        <v>7</v>
      </c>
      <c r="HT422" s="27" t="s">
        <v>7</v>
      </c>
      <c r="HU422" s="27" t="s">
        <v>8</v>
      </c>
      <c r="HV422" s="27" t="s">
        <v>7</v>
      </c>
      <c r="HW422" s="27" t="s">
        <v>8</v>
      </c>
      <c r="HX422" s="27" t="s">
        <v>7</v>
      </c>
      <c r="HY422" s="27" t="s">
        <v>8</v>
      </c>
      <c r="HZ422" s="27" t="s">
        <v>7</v>
      </c>
      <c r="IA422" s="27" t="s">
        <v>8</v>
      </c>
      <c r="IB422" s="27" t="s">
        <v>7</v>
      </c>
      <c r="IE422" s="27" t="s">
        <v>8</v>
      </c>
      <c r="IH422" s="27" t="s">
        <v>7</v>
      </c>
      <c r="IJ422" s="27" t="s">
        <v>7</v>
      </c>
      <c r="IK422" s="27" t="s">
        <v>8</v>
      </c>
      <c r="IL422" s="27" t="s">
        <v>7</v>
      </c>
      <c r="IO422" s="27" t="s">
        <v>8</v>
      </c>
      <c r="IP422" s="27" t="s">
        <v>7</v>
      </c>
      <c r="IQ422" s="27" t="s">
        <v>8</v>
      </c>
      <c r="IR422" s="27" t="s">
        <v>7</v>
      </c>
    </row>
    <row r="423" spans="1:252" x14ac:dyDescent="0.25">
      <c r="A423" s="7">
        <v>25.729311738905263</v>
      </c>
      <c r="B423"/>
      <c r="C423"/>
      <c r="D423"/>
      <c r="E423"/>
      <c r="CC423" s="27" t="s">
        <v>8</v>
      </c>
      <c r="CD423" s="27" t="s">
        <v>7</v>
      </c>
      <c r="CE423" s="27" t="s">
        <v>8</v>
      </c>
      <c r="DX423" s="27" t="s">
        <v>7</v>
      </c>
      <c r="DY423" s="27" t="s">
        <v>8</v>
      </c>
      <c r="DZ423" s="27" t="s">
        <v>7</v>
      </c>
      <c r="EG423" s="27" t="s">
        <v>8</v>
      </c>
      <c r="EH423" s="27" t="s">
        <v>7</v>
      </c>
      <c r="EK423" s="27" t="s">
        <v>8</v>
      </c>
      <c r="FO423" s="27" t="s">
        <v>8</v>
      </c>
      <c r="FP423" s="27" t="s">
        <v>7</v>
      </c>
      <c r="FQ423" s="27" t="s">
        <v>8</v>
      </c>
      <c r="FR423" s="27" t="s">
        <v>7</v>
      </c>
      <c r="FS423" s="27" t="s">
        <v>8</v>
      </c>
      <c r="FT423" s="27" t="s">
        <v>7</v>
      </c>
      <c r="FU423" s="27" t="s">
        <v>8</v>
      </c>
      <c r="FX423" s="27" t="s">
        <v>7</v>
      </c>
      <c r="FY423" s="27" t="s">
        <v>8</v>
      </c>
      <c r="GD423" s="27" t="s">
        <v>7</v>
      </c>
      <c r="HT423" s="27" t="s">
        <v>7</v>
      </c>
      <c r="HU423" s="27" t="s">
        <v>8</v>
      </c>
      <c r="HV423" s="27" t="s">
        <v>7</v>
      </c>
      <c r="HW423" s="27" t="s">
        <v>8</v>
      </c>
      <c r="HX423" s="27" t="s">
        <v>7</v>
      </c>
      <c r="HZ423" s="27" t="s">
        <v>7</v>
      </c>
      <c r="IA423" s="27" t="s">
        <v>8</v>
      </c>
      <c r="IB423" s="27" t="s">
        <v>7</v>
      </c>
      <c r="IC423" s="27" t="s">
        <v>8</v>
      </c>
      <c r="IE423" s="27" t="s">
        <v>8</v>
      </c>
      <c r="IJ423" s="27" t="s">
        <v>7</v>
      </c>
      <c r="IK423" s="27" t="s">
        <v>8</v>
      </c>
      <c r="IL423" s="27" t="s">
        <v>7</v>
      </c>
      <c r="IO423" s="27" t="s">
        <v>8</v>
      </c>
      <c r="IP423" s="27" t="s">
        <v>7</v>
      </c>
      <c r="IR423" s="27" t="s">
        <v>7</v>
      </c>
    </row>
    <row r="424" spans="1:252" x14ac:dyDescent="0.25">
      <c r="A424" s="7">
        <v>25.224815430299277</v>
      </c>
      <c r="B424"/>
      <c r="C424"/>
      <c r="D424"/>
      <c r="E424"/>
      <c r="CC424" s="27" t="s">
        <v>8</v>
      </c>
      <c r="CD424" s="27" t="s">
        <v>7</v>
      </c>
      <c r="CE424" s="27" t="s">
        <v>8</v>
      </c>
      <c r="DX424" s="27" t="s">
        <v>7</v>
      </c>
      <c r="DY424" s="27" t="s">
        <v>8</v>
      </c>
      <c r="DZ424" s="27" t="s">
        <v>7</v>
      </c>
      <c r="EG424" s="27" t="s">
        <v>8</v>
      </c>
      <c r="EH424" s="27" t="s">
        <v>7</v>
      </c>
      <c r="EK424" s="27" t="s">
        <v>8</v>
      </c>
      <c r="EL424" s="27" t="s">
        <v>7</v>
      </c>
      <c r="FO424" s="27" t="s">
        <v>8</v>
      </c>
      <c r="FP424" s="27" t="s">
        <v>7</v>
      </c>
      <c r="FQ424" s="27" t="s">
        <v>8</v>
      </c>
      <c r="FR424" s="27" t="s">
        <v>7</v>
      </c>
      <c r="FS424" s="27" t="s">
        <v>8</v>
      </c>
      <c r="FT424" s="27" t="s">
        <v>7</v>
      </c>
      <c r="FU424" s="27" t="s">
        <v>8</v>
      </c>
      <c r="FX424" s="27" t="s">
        <v>7</v>
      </c>
      <c r="FY424" s="27" t="s">
        <v>8</v>
      </c>
      <c r="HT424" s="27" t="s">
        <v>7</v>
      </c>
      <c r="HU424" s="27" t="s">
        <v>8</v>
      </c>
      <c r="HV424" s="27" t="s">
        <v>7</v>
      </c>
      <c r="HZ424" s="27" t="s">
        <v>7</v>
      </c>
      <c r="IA424" s="27" t="s">
        <v>8</v>
      </c>
      <c r="IB424" s="27" t="s">
        <v>7</v>
      </c>
      <c r="IC424" s="27" t="s">
        <v>8</v>
      </c>
      <c r="ID424" s="27" t="s">
        <v>7</v>
      </c>
      <c r="IE424" s="27" t="s">
        <v>8</v>
      </c>
      <c r="IJ424" s="27" t="s">
        <v>7</v>
      </c>
      <c r="IL424" s="27" t="s">
        <v>7</v>
      </c>
      <c r="IM424" s="27" t="s">
        <v>8</v>
      </c>
      <c r="IO424" s="27" t="s">
        <v>8</v>
      </c>
      <c r="IR424" s="27" t="s">
        <v>7</v>
      </c>
    </row>
    <row r="425" spans="1:252" x14ac:dyDescent="0.25">
      <c r="A425" s="7">
        <v>24.73021120617576</v>
      </c>
      <c r="B425"/>
      <c r="C425"/>
      <c r="D425"/>
      <c r="E425"/>
      <c r="CC425" s="27" t="s">
        <v>8</v>
      </c>
      <c r="CD425" s="27" t="s">
        <v>7</v>
      </c>
      <c r="CE425" s="27" t="s">
        <v>8</v>
      </c>
      <c r="DX425" s="27" t="s">
        <v>7</v>
      </c>
      <c r="DY425" s="27" t="s">
        <v>8</v>
      </c>
      <c r="DZ425" s="27" t="s">
        <v>7</v>
      </c>
      <c r="EC425" s="27" t="s">
        <v>8</v>
      </c>
      <c r="EG425" s="27" t="s">
        <v>8</v>
      </c>
      <c r="EH425" s="27" t="s">
        <v>7</v>
      </c>
      <c r="EK425" s="27" t="s">
        <v>8</v>
      </c>
      <c r="EL425" s="27" t="s">
        <v>7</v>
      </c>
      <c r="FO425" s="27" t="s">
        <v>8</v>
      </c>
      <c r="FP425" s="27" t="s">
        <v>7</v>
      </c>
      <c r="FQ425" s="27" t="s">
        <v>8</v>
      </c>
      <c r="FR425" s="27" t="s">
        <v>7</v>
      </c>
      <c r="FT425" s="27" t="s">
        <v>7</v>
      </c>
      <c r="FU425" s="27" t="s">
        <v>8</v>
      </c>
      <c r="FX425" s="27" t="s">
        <v>7</v>
      </c>
      <c r="FY425" s="27" t="s">
        <v>8</v>
      </c>
      <c r="HT425" s="27" t="s">
        <v>7</v>
      </c>
      <c r="HZ425" s="27" t="s">
        <v>7</v>
      </c>
      <c r="IB425" s="27" t="s">
        <v>7</v>
      </c>
      <c r="IC425" s="27" t="s">
        <v>8</v>
      </c>
      <c r="ID425" s="27" t="s">
        <v>7</v>
      </c>
      <c r="IE425" s="27" t="s">
        <v>8</v>
      </c>
      <c r="IL425" s="27" t="s">
        <v>7</v>
      </c>
      <c r="IM425" s="27" t="s">
        <v>8</v>
      </c>
      <c r="IN425" s="27" t="s">
        <v>7</v>
      </c>
      <c r="IO425" s="27" t="s">
        <v>8</v>
      </c>
      <c r="IR425" s="27" t="s">
        <v>7</v>
      </c>
    </row>
    <row r="426" spans="1:252" x14ac:dyDescent="0.25">
      <c r="A426" s="7">
        <v>24.24530510409388</v>
      </c>
      <c r="B426"/>
      <c r="C426"/>
      <c r="D426"/>
      <c r="E426"/>
      <c r="CC426" s="27" t="s">
        <v>8</v>
      </c>
      <c r="CD426" s="27" t="s">
        <v>7</v>
      </c>
      <c r="CE426" s="27" t="s">
        <v>8</v>
      </c>
      <c r="DX426" s="27" t="s">
        <v>7</v>
      </c>
      <c r="DY426" s="27" t="s">
        <v>8</v>
      </c>
      <c r="DZ426" s="27" t="s">
        <v>7</v>
      </c>
      <c r="EA426" s="27" t="s">
        <v>8</v>
      </c>
      <c r="EC426" s="27" t="s">
        <v>8</v>
      </c>
      <c r="ED426" s="27" t="s">
        <v>7</v>
      </c>
      <c r="EG426" s="27" t="s">
        <v>8</v>
      </c>
      <c r="EH426" s="27" t="s">
        <v>7</v>
      </c>
      <c r="EI426" s="27" t="s">
        <v>8</v>
      </c>
      <c r="EK426" s="27" t="s">
        <v>8</v>
      </c>
      <c r="EL426" s="27" t="s">
        <v>7</v>
      </c>
      <c r="FO426" s="27" t="s">
        <v>8</v>
      </c>
      <c r="FP426" s="27" t="s">
        <v>7</v>
      </c>
      <c r="FQ426" s="27" t="s">
        <v>8</v>
      </c>
      <c r="FT426" s="27" t="s">
        <v>7</v>
      </c>
      <c r="FU426" s="27" t="s">
        <v>8</v>
      </c>
      <c r="FX426" s="27" t="s">
        <v>7</v>
      </c>
      <c r="FY426" s="27" t="s">
        <v>8</v>
      </c>
      <c r="IB426" s="27" t="s">
        <v>7</v>
      </c>
      <c r="ID426" s="27" t="s">
        <v>7</v>
      </c>
      <c r="IE426" s="27" t="s">
        <v>8</v>
      </c>
      <c r="IL426" s="27" t="s">
        <v>7</v>
      </c>
      <c r="IM426" s="27" t="s">
        <v>8</v>
      </c>
      <c r="IN426" s="27" t="s">
        <v>7</v>
      </c>
      <c r="IO426" s="27" t="s">
        <v>8</v>
      </c>
      <c r="IR426" s="27" t="s">
        <v>7</v>
      </c>
    </row>
    <row r="427" spans="1:252" x14ac:dyDescent="0.25">
      <c r="A427" s="7">
        <v>23.769906964797922</v>
      </c>
      <c r="B427"/>
      <c r="C427"/>
      <c r="D427"/>
      <c r="E427"/>
      <c r="CC427" s="27" t="s">
        <v>8</v>
      </c>
      <c r="CD427" s="27" t="s">
        <v>7</v>
      </c>
      <c r="CE427" s="27" t="s">
        <v>8</v>
      </c>
      <c r="DX427" s="27" t="s">
        <v>7</v>
      </c>
      <c r="DY427" s="27" t="s">
        <v>8</v>
      </c>
      <c r="DZ427" s="27" t="s">
        <v>7</v>
      </c>
      <c r="EA427" s="27" t="s">
        <v>8</v>
      </c>
      <c r="EB427" s="27" t="s">
        <v>7</v>
      </c>
      <c r="EC427" s="27" t="s">
        <v>8</v>
      </c>
      <c r="ED427" s="27" t="s">
        <v>7</v>
      </c>
      <c r="EG427" s="27" t="s">
        <v>8</v>
      </c>
      <c r="EH427" s="27" t="s">
        <v>7</v>
      </c>
      <c r="EI427" s="27" t="s">
        <v>8</v>
      </c>
      <c r="EJ427" s="27" t="s">
        <v>7</v>
      </c>
      <c r="EK427" s="27" t="s">
        <v>8</v>
      </c>
      <c r="EL427" s="27" t="s">
        <v>7</v>
      </c>
      <c r="FO427" s="27" t="s">
        <v>8</v>
      </c>
      <c r="FP427" s="27" t="s">
        <v>7</v>
      </c>
      <c r="FQ427" s="27" t="s">
        <v>8</v>
      </c>
      <c r="FT427" s="27" t="s">
        <v>7</v>
      </c>
      <c r="FX427" s="27" t="s">
        <v>7</v>
      </c>
      <c r="FY427" s="27" t="s">
        <v>8</v>
      </c>
      <c r="ID427" s="27" t="s">
        <v>7</v>
      </c>
      <c r="IE427" s="27" t="s">
        <v>8</v>
      </c>
      <c r="IL427" s="27" t="s">
        <v>7</v>
      </c>
      <c r="IM427" s="27" t="s">
        <v>8</v>
      </c>
      <c r="IN427" s="27" t="s">
        <v>7</v>
      </c>
      <c r="IO427" s="27" t="s">
        <v>8</v>
      </c>
      <c r="IR427" s="27" t="s">
        <v>7</v>
      </c>
    </row>
    <row r="428" spans="1:252" x14ac:dyDescent="0.25">
      <c r="A428" s="7">
        <v>23.303830357645023</v>
      </c>
      <c r="B428"/>
      <c r="C428"/>
      <c r="D428"/>
      <c r="E428"/>
      <c r="CC428" s="27" t="s">
        <v>8</v>
      </c>
      <c r="CD428" s="27" t="s">
        <v>7</v>
      </c>
      <c r="DX428" s="27" t="s">
        <v>7</v>
      </c>
      <c r="DY428" s="27" t="s">
        <v>8</v>
      </c>
      <c r="DZ428" s="27" t="s">
        <v>7</v>
      </c>
      <c r="EA428" s="27" t="s">
        <v>8</v>
      </c>
      <c r="EB428" s="27" t="s">
        <v>7</v>
      </c>
      <c r="EC428" s="27" t="s">
        <v>8</v>
      </c>
      <c r="ED428" s="27" t="s">
        <v>7</v>
      </c>
      <c r="EE428" s="27" t="s">
        <v>8</v>
      </c>
      <c r="EG428" s="27" t="s">
        <v>8</v>
      </c>
      <c r="EH428" s="27" t="s">
        <v>7</v>
      </c>
      <c r="EI428" s="27" t="s">
        <v>8</v>
      </c>
      <c r="EJ428" s="27" t="s">
        <v>7</v>
      </c>
      <c r="EK428" s="27" t="s">
        <v>8</v>
      </c>
      <c r="EL428" s="27" t="s">
        <v>7</v>
      </c>
      <c r="FM428" s="27" t="s">
        <v>8</v>
      </c>
      <c r="FO428" s="27" t="s">
        <v>8</v>
      </c>
      <c r="FP428" s="27" t="s">
        <v>7</v>
      </c>
      <c r="FQ428" s="27" t="s">
        <v>8</v>
      </c>
      <c r="FX428" s="27" t="s">
        <v>7</v>
      </c>
      <c r="FY428" s="27" t="s">
        <v>8</v>
      </c>
      <c r="ID428" s="27" t="s">
        <v>7</v>
      </c>
      <c r="IL428" s="27" t="s">
        <v>7</v>
      </c>
      <c r="IN428" s="27" t="s">
        <v>7</v>
      </c>
      <c r="IO428" s="27" t="s">
        <v>8</v>
      </c>
      <c r="IR428" s="27" t="s">
        <v>7</v>
      </c>
    </row>
    <row r="429" spans="1:252" x14ac:dyDescent="0.25">
      <c r="A429" s="7">
        <v>22.84689250749512</v>
      </c>
      <c r="B429"/>
      <c r="C429"/>
      <c r="D429"/>
      <c r="E429"/>
      <c r="CC429" s="27" t="s">
        <v>8</v>
      </c>
      <c r="DX429" s="27" t="s">
        <v>7</v>
      </c>
      <c r="DY429" s="27" t="s">
        <v>8</v>
      </c>
      <c r="DZ429" s="27" t="s">
        <v>7</v>
      </c>
      <c r="EA429" s="27" t="s">
        <v>8</v>
      </c>
      <c r="EB429" s="27" t="s">
        <v>7</v>
      </c>
      <c r="EC429" s="27" t="s">
        <v>8</v>
      </c>
      <c r="ED429" s="27" t="s">
        <v>7</v>
      </c>
      <c r="EE429" s="27" t="s">
        <v>8</v>
      </c>
      <c r="EF429" s="27" t="s">
        <v>7</v>
      </c>
      <c r="EG429" s="27" t="s">
        <v>8</v>
      </c>
      <c r="EH429" s="27" t="s">
        <v>7</v>
      </c>
      <c r="EI429" s="27" t="s">
        <v>8</v>
      </c>
      <c r="EJ429" s="27" t="s">
        <v>7</v>
      </c>
      <c r="EK429" s="27" t="s">
        <v>8</v>
      </c>
      <c r="EL429" s="27" t="s">
        <v>7</v>
      </c>
      <c r="FM429" s="27" t="s">
        <v>8</v>
      </c>
      <c r="FN429" s="27" t="s">
        <v>7</v>
      </c>
      <c r="FO429" s="27" t="s">
        <v>8</v>
      </c>
      <c r="FP429" s="27" t="s">
        <v>7</v>
      </c>
      <c r="FX429" s="27" t="s">
        <v>7</v>
      </c>
      <c r="IN429" s="27" t="s">
        <v>7</v>
      </c>
      <c r="IR429" s="27" t="s">
        <v>7</v>
      </c>
    </row>
    <row r="430" spans="1:252" x14ac:dyDescent="0.25">
      <c r="A430" s="7">
        <v>22.398914223034431</v>
      </c>
      <c r="B430"/>
      <c r="C430"/>
      <c r="D430"/>
      <c r="E430"/>
      <c r="CC430" s="27" t="s">
        <v>8</v>
      </c>
      <c r="DX430" s="27" t="s">
        <v>7</v>
      </c>
      <c r="DY430" s="27" t="s">
        <v>8</v>
      </c>
      <c r="DZ430" s="27" t="s">
        <v>7</v>
      </c>
      <c r="EA430" s="27" t="s">
        <v>8</v>
      </c>
      <c r="EB430" s="27" t="s">
        <v>7</v>
      </c>
      <c r="EC430" s="27" t="s">
        <v>8</v>
      </c>
      <c r="ED430" s="27" t="s">
        <v>7</v>
      </c>
      <c r="EE430" s="27" t="s">
        <v>8</v>
      </c>
      <c r="EF430" s="27" t="s">
        <v>7</v>
      </c>
      <c r="EG430" s="27" t="s">
        <v>8</v>
      </c>
      <c r="EH430" s="27" t="s">
        <v>7</v>
      </c>
      <c r="EI430" s="27" t="s">
        <v>8</v>
      </c>
      <c r="EJ430" s="27" t="s">
        <v>7</v>
      </c>
      <c r="EK430" s="27" t="s">
        <v>8</v>
      </c>
      <c r="EL430" s="27" t="s">
        <v>7</v>
      </c>
      <c r="FK430" s="27" t="s">
        <v>8</v>
      </c>
      <c r="FM430" s="27" t="s">
        <v>8</v>
      </c>
      <c r="FN430" s="27" t="s">
        <v>7</v>
      </c>
      <c r="FO430" s="27" t="s">
        <v>8</v>
      </c>
      <c r="IR430" s="27" t="s">
        <v>7</v>
      </c>
    </row>
    <row r="431" spans="1:252" x14ac:dyDescent="0.25">
      <c r="A431" s="7">
        <v>21.959719826504344</v>
      </c>
      <c r="B431"/>
      <c r="C431"/>
      <c r="D431"/>
      <c r="E431"/>
      <c r="CC431" s="27" t="s">
        <v>8</v>
      </c>
      <c r="DX431" s="27" t="s">
        <v>7</v>
      </c>
      <c r="DY431" s="27" t="s">
        <v>8</v>
      </c>
      <c r="DZ431" s="27" t="s">
        <v>7</v>
      </c>
      <c r="EA431" s="27" t="s">
        <v>8</v>
      </c>
      <c r="EB431" s="27" t="s">
        <v>7</v>
      </c>
      <c r="EC431" s="27" t="s">
        <v>8</v>
      </c>
      <c r="ED431" s="27" t="s">
        <v>7</v>
      </c>
      <c r="EE431" s="27" t="s">
        <v>8</v>
      </c>
      <c r="EF431" s="27" t="s">
        <v>7</v>
      </c>
      <c r="EH431" s="27" t="s">
        <v>7</v>
      </c>
      <c r="EI431" s="27" t="s">
        <v>8</v>
      </c>
      <c r="EJ431" s="27" t="s">
        <v>7</v>
      </c>
      <c r="EK431" s="27" t="s">
        <v>8</v>
      </c>
      <c r="EL431" s="27" t="s">
        <v>7</v>
      </c>
      <c r="FK431" s="27" t="s">
        <v>8</v>
      </c>
      <c r="FL431" s="27" t="s">
        <v>7</v>
      </c>
      <c r="FM431" s="27" t="s">
        <v>8</v>
      </c>
      <c r="FN431" s="27" t="s">
        <v>7</v>
      </c>
      <c r="IR431" s="27" t="s">
        <v>7</v>
      </c>
    </row>
    <row r="432" spans="1:252" x14ac:dyDescent="0.25">
      <c r="A432" s="7">
        <v>21.52913708480818</v>
      </c>
      <c r="B432"/>
      <c r="C432"/>
      <c r="D432"/>
      <c r="E432"/>
      <c r="BY432" s="27" t="s">
        <v>8</v>
      </c>
      <c r="CC432" s="27" t="s">
        <v>8</v>
      </c>
      <c r="DX432" s="27" t="s">
        <v>7</v>
      </c>
      <c r="DY432" s="27" t="s">
        <v>8</v>
      </c>
      <c r="DZ432" s="27" t="s">
        <v>7</v>
      </c>
      <c r="EA432" s="27" t="s">
        <v>8</v>
      </c>
      <c r="EB432" s="27" t="s">
        <v>7</v>
      </c>
      <c r="EC432" s="27" t="s">
        <v>8</v>
      </c>
      <c r="ED432" s="27" t="s">
        <v>7</v>
      </c>
      <c r="EE432" s="27" t="s">
        <v>8</v>
      </c>
      <c r="EH432" s="27" t="s">
        <v>7</v>
      </c>
      <c r="EI432" s="27" t="s">
        <v>8</v>
      </c>
      <c r="EJ432" s="27" t="s">
        <v>7</v>
      </c>
      <c r="EK432" s="27" t="s">
        <v>8</v>
      </c>
      <c r="EL432" s="27" t="s">
        <v>7</v>
      </c>
      <c r="EM432" s="27" t="s">
        <v>8</v>
      </c>
      <c r="FI432" s="27" t="s">
        <v>8</v>
      </c>
      <c r="FK432" s="27" t="s">
        <v>8</v>
      </c>
      <c r="FL432" s="27" t="s">
        <v>7</v>
      </c>
      <c r="FM432" s="27" t="s">
        <v>8</v>
      </c>
      <c r="IR432" s="27" t="s">
        <v>7</v>
      </c>
    </row>
    <row r="433" spans="1:256" x14ac:dyDescent="0.25">
      <c r="A433" s="7">
        <v>21.106997141968804</v>
      </c>
      <c r="B433"/>
      <c r="C433"/>
      <c r="D433"/>
      <c r="E433"/>
      <c r="BY433" s="27" t="s">
        <v>8</v>
      </c>
      <c r="BZ433" s="27" t="s">
        <v>7</v>
      </c>
      <c r="CA433" s="27" t="s">
        <v>8</v>
      </c>
      <c r="CC433" s="27" t="s">
        <v>8</v>
      </c>
      <c r="DX433" s="27" t="s">
        <v>7</v>
      </c>
      <c r="DY433" s="27" t="s">
        <v>8</v>
      </c>
      <c r="DZ433" s="27" t="s">
        <v>7</v>
      </c>
      <c r="EA433" s="27" t="s">
        <v>8</v>
      </c>
      <c r="EB433" s="27" t="s">
        <v>7</v>
      </c>
      <c r="EC433" s="27" t="s">
        <v>8</v>
      </c>
      <c r="ED433" s="27" t="s">
        <v>7</v>
      </c>
      <c r="EE433" s="27" t="s">
        <v>8</v>
      </c>
      <c r="EH433" s="27" t="s">
        <v>7</v>
      </c>
      <c r="EI433" s="27" t="s">
        <v>8</v>
      </c>
      <c r="EJ433" s="27" t="s">
        <v>7</v>
      </c>
      <c r="EK433" s="27" t="s">
        <v>8</v>
      </c>
      <c r="EL433" s="27" t="s">
        <v>7</v>
      </c>
      <c r="EM433" s="27" t="s">
        <v>8</v>
      </c>
      <c r="EN433" s="27" t="s">
        <v>7</v>
      </c>
      <c r="FI433" s="27" t="s">
        <v>8</v>
      </c>
      <c r="FJ433" s="27" t="s">
        <v>7</v>
      </c>
      <c r="FK433" s="27" t="s">
        <v>8</v>
      </c>
      <c r="FL433" s="27" t="s">
        <v>7</v>
      </c>
      <c r="FM433" s="27" t="s">
        <v>8</v>
      </c>
      <c r="IR433" s="27" t="s">
        <v>7</v>
      </c>
    </row>
    <row r="434" spans="1:256" x14ac:dyDescent="0.25">
      <c r="A434" s="7">
        <v>20.693134452910591</v>
      </c>
      <c r="B434"/>
      <c r="C434"/>
      <c r="D434"/>
      <c r="E434"/>
      <c r="BY434" s="27" t="s">
        <v>8</v>
      </c>
      <c r="BZ434" s="27" t="s">
        <v>7</v>
      </c>
      <c r="CA434" s="27" t="s">
        <v>8</v>
      </c>
      <c r="CB434" s="27" t="s">
        <v>7</v>
      </c>
      <c r="CC434" s="27" t="s">
        <v>8</v>
      </c>
      <c r="DX434" s="27" t="s">
        <v>7</v>
      </c>
      <c r="DY434" s="27" t="s">
        <v>8</v>
      </c>
      <c r="DZ434" s="27" t="s">
        <v>7</v>
      </c>
      <c r="EA434" s="27" t="s">
        <v>8</v>
      </c>
      <c r="EB434" s="27" t="s">
        <v>7</v>
      </c>
      <c r="EC434" s="27" t="s">
        <v>8</v>
      </c>
      <c r="ED434" s="27" t="s">
        <v>7</v>
      </c>
      <c r="EE434" s="27" t="s">
        <v>8</v>
      </c>
      <c r="EH434" s="27" t="s">
        <v>7</v>
      </c>
      <c r="EI434" s="27" t="s">
        <v>8</v>
      </c>
      <c r="EJ434" s="27" t="s">
        <v>7</v>
      </c>
      <c r="EK434" s="27" t="s">
        <v>8</v>
      </c>
      <c r="EL434" s="27" t="s">
        <v>7</v>
      </c>
      <c r="EM434" s="27" t="s">
        <v>8</v>
      </c>
      <c r="EN434" s="27" t="s">
        <v>7</v>
      </c>
      <c r="FI434" s="27" t="s">
        <v>8</v>
      </c>
      <c r="FJ434" s="27" t="s">
        <v>7</v>
      </c>
      <c r="FK434" s="27" t="s">
        <v>8</v>
      </c>
      <c r="FL434" s="27" t="s">
        <v>7</v>
      </c>
      <c r="FM434" s="27" t="s">
        <v>8</v>
      </c>
      <c r="IR434" s="27" t="s">
        <v>7</v>
      </c>
    </row>
    <row r="435" spans="1:256" x14ac:dyDescent="0.25">
      <c r="A435" s="7">
        <v>20.287386718539796</v>
      </c>
      <c r="B435"/>
      <c r="C435"/>
      <c r="D435"/>
      <c r="E435"/>
      <c r="BY435" s="27" t="s">
        <v>8</v>
      </c>
      <c r="BZ435" s="27" t="s">
        <v>7</v>
      </c>
      <c r="CA435" s="27" t="s">
        <v>8</v>
      </c>
      <c r="CB435" s="27" t="s">
        <v>7</v>
      </c>
      <c r="CC435" s="27" t="s">
        <v>8</v>
      </c>
      <c r="DX435" s="27" t="s">
        <v>7</v>
      </c>
      <c r="DY435" s="27" t="s">
        <v>8</v>
      </c>
      <c r="DZ435" s="27" t="s">
        <v>7</v>
      </c>
      <c r="EB435" s="27" t="s">
        <v>7</v>
      </c>
      <c r="EC435" s="27" t="s">
        <v>8</v>
      </c>
      <c r="ED435" s="27" t="s">
        <v>7</v>
      </c>
      <c r="EE435" s="27" t="s">
        <v>8</v>
      </c>
      <c r="EH435" s="27" t="s">
        <v>7</v>
      </c>
      <c r="EI435" s="27" t="s">
        <v>8</v>
      </c>
      <c r="EJ435" s="27" t="s">
        <v>7</v>
      </c>
      <c r="EK435" s="27" t="s">
        <v>8</v>
      </c>
      <c r="EL435" s="27" t="s">
        <v>7</v>
      </c>
      <c r="EN435" s="27" t="s">
        <v>7</v>
      </c>
      <c r="FI435" s="27" t="s">
        <v>8</v>
      </c>
      <c r="FJ435" s="27" t="s">
        <v>7</v>
      </c>
      <c r="FK435" s="27" t="s">
        <v>8</v>
      </c>
      <c r="FL435" s="27" t="s">
        <v>7</v>
      </c>
      <c r="IR435" s="27" t="s">
        <v>7</v>
      </c>
    </row>
    <row r="436" spans="1:256" x14ac:dyDescent="0.25">
      <c r="A436" s="7">
        <v>19.889594822097838</v>
      </c>
      <c r="B436"/>
      <c r="C436"/>
      <c r="D436"/>
      <c r="E436"/>
      <c r="BY436" s="27" t="s">
        <v>8</v>
      </c>
      <c r="BZ436" s="27" t="s">
        <v>7</v>
      </c>
      <c r="CA436" s="27" t="s">
        <v>8</v>
      </c>
      <c r="CB436" s="27" t="s">
        <v>7</v>
      </c>
      <c r="CC436" s="27" t="s">
        <v>8</v>
      </c>
      <c r="DX436" s="27" t="s">
        <v>7</v>
      </c>
      <c r="DY436" s="27" t="s">
        <v>8</v>
      </c>
      <c r="EB436" s="27" t="s">
        <v>7</v>
      </c>
      <c r="EC436" s="27" t="s">
        <v>8</v>
      </c>
      <c r="ED436" s="27" t="s">
        <v>7</v>
      </c>
      <c r="EE436" s="27" t="s">
        <v>8</v>
      </c>
      <c r="EH436" s="27" t="s">
        <v>7</v>
      </c>
      <c r="EJ436" s="27" t="s">
        <v>7</v>
      </c>
      <c r="EN436" s="27" t="s">
        <v>7</v>
      </c>
      <c r="FE436" s="27" t="s">
        <v>8</v>
      </c>
      <c r="FI436" s="27" t="s">
        <v>8</v>
      </c>
      <c r="FJ436" s="27" t="s">
        <v>7</v>
      </c>
      <c r="FK436" s="27" t="s">
        <v>8</v>
      </c>
      <c r="IR436" s="27" t="s">
        <v>7</v>
      </c>
      <c r="IU436" s="27" t="s">
        <v>8</v>
      </c>
    </row>
    <row r="437" spans="1:256" x14ac:dyDescent="0.25">
      <c r="A437" s="7">
        <v>19.499602766762585</v>
      </c>
      <c r="B437"/>
      <c r="C437"/>
      <c r="D437"/>
      <c r="E437"/>
      <c r="BY437" s="27" t="s">
        <v>8</v>
      </c>
      <c r="BZ437" s="27" t="s">
        <v>7</v>
      </c>
      <c r="CB437" s="27" t="s">
        <v>7</v>
      </c>
      <c r="CC437" s="27" t="s">
        <v>8</v>
      </c>
      <c r="DX437" s="27" t="s">
        <v>7</v>
      </c>
      <c r="DY437" s="27" t="s">
        <v>8</v>
      </c>
      <c r="EB437" s="27" t="s">
        <v>7</v>
      </c>
      <c r="EC437" s="27" t="s">
        <v>8</v>
      </c>
      <c r="ED437" s="27" t="s">
        <v>7</v>
      </c>
      <c r="EE437" s="27" t="s">
        <v>8</v>
      </c>
      <c r="EN437" s="27" t="s">
        <v>7</v>
      </c>
      <c r="FE437" s="27" t="s">
        <v>8</v>
      </c>
      <c r="FF437" s="27" t="s">
        <v>7</v>
      </c>
      <c r="FG437" s="27" t="s">
        <v>8</v>
      </c>
      <c r="FI437" s="27" t="s">
        <v>8</v>
      </c>
      <c r="FJ437" s="27" t="s">
        <v>7</v>
      </c>
      <c r="FK437" s="27" t="s">
        <v>8</v>
      </c>
      <c r="IR437" s="27" t="s">
        <v>7</v>
      </c>
      <c r="IU437" s="27" t="s">
        <v>8</v>
      </c>
      <c r="IV437" s="27" t="s">
        <v>7</v>
      </c>
    </row>
    <row r="438" spans="1:256" x14ac:dyDescent="0.25">
      <c r="A438" s="7">
        <v>19.117257614473122</v>
      </c>
      <c r="B438"/>
      <c r="C438"/>
      <c r="D438"/>
      <c r="E438"/>
      <c r="BO438" s="27" t="s">
        <v>8</v>
      </c>
      <c r="BY438" s="27" t="s">
        <v>8</v>
      </c>
      <c r="CB438" s="27" t="s">
        <v>7</v>
      </c>
      <c r="CC438" s="27" t="s">
        <v>8</v>
      </c>
      <c r="DX438" s="27" t="s">
        <v>7</v>
      </c>
      <c r="DY438" s="27" t="s">
        <v>8</v>
      </c>
      <c r="EB438" s="27" t="s">
        <v>7</v>
      </c>
      <c r="EC438" s="27" t="s">
        <v>8</v>
      </c>
      <c r="ED438" s="27" t="s">
        <v>7</v>
      </c>
      <c r="EE438" s="27" t="s">
        <v>8</v>
      </c>
      <c r="EN438" s="27" t="s">
        <v>7</v>
      </c>
      <c r="FE438" s="27" t="s">
        <v>8</v>
      </c>
      <c r="FF438" s="27" t="s">
        <v>7</v>
      </c>
      <c r="FG438" s="27" t="s">
        <v>8</v>
      </c>
      <c r="FH438" s="27" t="s">
        <v>7</v>
      </c>
      <c r="FI438" s="27" t="s">
        <v>8</v>
      </c>
      <c r="FJ438" s="27" t="s">
        <v>7</v>
      </c>
      <c r="FK438" s="27" t="s">
        <v>8</v>
      </c>
      <c r="IR438" s="27" t="s">
        <v>7</v>
      </c>
      <c r="IS438" s="27" t="s">
        <v>8</v>
      </c>
      <c r="IU438" s="27" t="s">
        <v>8</v>
      </c>
      <c r="IV438" s="27" t="s">
        <v>7</v>
      </c>
    </row>
    <row r="439" spans="1:256" x14ac:dyDescent="0.25">
      <c r="A439" s="7">
        <v>18.74240942595404</v>
      </c>
      <c r="B439"/>
      <c r="C439"/>
      <c r="D439"/>
      <c r="E439"/>
      <c r="BO439" s="27" t="s">
        <v>8</v>
      </c>
      <c r="BP439" s="27" t="s">
        <v>7</v>
      </c>
      <c r="BS439" s="27" t="s">
        <v>8</v>
      </c>
      <c r="BU439" s="27" t="s">
        <v>8</v>
      </c>
      <c r="BY439" s="27" t="s">
        <v>8</v>
      </c>
      <c r="CB439" s="27" t="s">
        <v>7</v>
      </c>
      <c r="DX439" s="27" t="s">
        <v>7</v>
      </c>
      <c r="DY439" s="27" t="s">
        <v>8</v>
      </c>
      <c r="EB439" s="27" t="s">
        <v>7</v>
      </c>
      <c r="EC439" s="27" t="s">
        <v>8</v>
      </c>
      <c r="ED439" s="27" t="s">
        <v>7</v>
      </c>
      <c r="EN439" s="27" t="s">
        <v>7</v>
      </c>
      <c r="FE439" s="27" t="s">
        <v>8</v>
      </c>
      <c r="FF439" s="27" t="s">
        <v>7</v>
      </c>
      <c r="FG439" s="27" t="s">
        <v>8</v>
      </c>
      <c r="FH439" s="27" t="s">
        <v>7</v>
      </c>
      <c r="FI439" s="27" t="s">
        <v>8</v>
      </c>
      <c r="FJ439" s="27" t="s">
        <v>7</v>
      </c>
      <c r="IR439" s="27" t="s">
        <v>7</v>
      </c>
      <c r="IS439" s="27" t="s">
        <v>8</v>
      </c>
      <c r="IT439" s="27" t="s">
        <v>7</v>
      </c>
      <c r="IU439" s="27" t="s">
        <v>8</v>
      </c>
      <c r="IV439" s="27" t="s">
        <v>7</v>
      </c>
    </row>
    <row r="440" spans="1:256" x14ac:dyDescent="0.25">
      <c r="A440" s="7">
        <v>18.374911201915726</v>
      </c>
      <c r="B440"/>
      <c r="C440"/>
      <c r="D440"/>
      <c r="E440"/>
      <c r="BO440" s="27" t="s">
        <v>8</v>
      </c>
      <c r="BP440" s="27" t="s">
        <v>7</v>
      </c>
      <c r="BS440" s="27" t="s">
        <v>8</v>
      </c>
      <c r="BT440" s="27" t="s">
        <v>7</v>
      </c>
      <c r="BU440" s="27" t="s">
        <v>8</v>
      </c>
      <c r="BV440" s="27" t="s">
        <v>7</v>
      </c>
      <c r="BY440" s="27" t="s">
        <v>8</v>
      </c>
      <c r="DX440" s="27" t="s">
        <v>7</v>
      </c>
      <c r="DY440" s="27" t="s">
        <v>8</v>
      </c>
      <c r="EB440" s="27" t="s">
        <v>7</v>
      </c>
      <c r="EC440" s="27" t="s">
        <v>8</v>
      </c>
      <c r="EN440" s="27" t="s">
        <v>7</v>
      </c>
      <c r="FE440" s="27" t="s">
        <v>8</v>
      </c>
      <c r="FF440" s="27" t="s">
        <v>7</v>
      </c>
      <c r="FG440" s="27" t="s">
        <v>8</v>
      </c>
      <c r="FH440" s="27" t="s">
        <v>7</v>
      </c>
      <c r="FI440" s="27" t="s">
        <v>8</v>
      </c>
      <c r="IR440" s="27" t="s">
        <v>7</v>
      </c>
      <c r="IS440" s="27" t="s">
        <v>8</v>
      </c>
      <c r="IT440" s="27" t="s">
        <v>7</v>
      </c>
      <c r="IU440" s="27" t="s">
        <v>8</v>
      </c>
      <c r="IV440" s="27" t="s">
        <v>7</v>
      </c>
    </row>
    <row r="441" spans="1:256" x14ac:dyDescent="0.25">
      <c r="A441" s="7">
        <v>18.014618825407574</v>
      </c>
      <c r="B441"/>
      <c r="C441"/>
      <c r="D441"/>
      <c r="E441"/>
      <c r="BO441" s="27" t="s">
        <v>8</v>
      </c>
      <c r="BP441" s="27" t="s">
        <v>7</v>
      </c>
      <c r="BQ441" s="27" t="s">
        <v>8</v>
      </c>
      <c r="BS441" s="27" t="s">
        <v>8</v>
      </c>
      <c r="BT441" s="27" t="s">
        <v>7</v>
      </c>
      <c r="BU441" s="27" t="s">
        <v>8</v>
      </c>
      <c r="BV441" s="27" t="s">
        <v>7</v>
      </c>
      <c r="BY441" s="27" t="s">
        <v>8</v>
      </c>
      <c r="DX441" s="27" t="s">
        <v>7</v>
      </c>
      <c r="EB441" s="27" t="s">
        <v>7</v>
      </c>
      <c r="EC441" s="27" t="s">
        <v>8</v>
      </c>
      <c r="EN441" s="27" t="s">
        <v>7</v>
      </c>
      <c r="FE441" s="27" t="s">
        <v>8</v>
      </c>
      <c r="FF441" s="27" t="s">
        <v>7</v>
      </c>
      <c r="FG441" s="27" t="s">
        <v>8</v>
      </c>
      <c r="FH441" s="27" t="s">
        <v>7</v>
      </c>
      <c r="IR441" s="27" t="s">
        <v>7</v>
      </c>
      <c r="IS441" s="27" t="s">
        <v>8</v>
      </c>
      <c r="IT441" s="27" t="s">
        <v>7</v>
      </c>
      <c r="IU441" s="27" t="s">
        <v>8</v>
      </c>
      <c r="IV441" s="27" t="s">
        <v>7</v>
      </c>
    </row>
    <row r="442" spans="1:256" x14ac:dyDescent="0.25">
      <c r="A442" s="7">
        <v>17.661391005301542</v>
      </c>
      <c r="B442"/>
      <c r="C442"/>
      <c r="D442"/>
      <c r="E442"/>
      <c r="BO442" s="27" t="s">
        <v>8</v>
      </c>
      <c r="BP442" s="27" t="s">
        <v>7</v>
      </c>
      <c r="BQ442" s="27" t="s">
        <v>8</v>
      </c>
      <c r="BR442" s="27" t="s">
        <v>7</v>
      </c>
      <c r="BS442" s="27" t="s">
        <v>8</v>
      </c>
      <c r="BT442" s="27" t="s">
        <v>7</v>
      </c>
      <c r="BU442" s="27" t="s">
        <v>8</v>
      </c>
      <c r="BV442" s="27" t="s">
        <v>7</v>
      </c>
      <c r="BW442" s="27" t="s">
        <v>8</v>
      </c>
      <c r="BY442" s="27" t="s">
        <v>8</v>
      </c>
      <c r="EB442" s="27" t="s">
        <v>7</v>
      </c>
      <c r="EC442" s="27" t="s">
        <v>8</v>
      </c>
      <c r="EN442" s="27" t="s">
        <v>7</v>
      </c>
      <c r="EU442" s="27" t="s">
        <v>8</v>
      </c>
      <c r="FE442" s="27" t="s">
        <v>8</v>
      </c>
      <c r="FF442" s="27" t="s">
        <v>7</v>
      </c>
      <c r="FG442" s="27" t="s">
        <v>8</v>
      </c>
      <c r="IR442" s="27" t="s">
        <v>7</v>
      </c>
      <c r="IS442" s="27" t="s">
        <v>8</v>
      </c>
      <c r="IT442" s="27" t="s">
        <v>7</v>
      </c>
      <c r="IU442" s="27" t="s">
        <v>8</v>
      </c>
      <c r="IV442" s="27" t="s">
        <v>7</v>
      </c>
    </row>
    <row r="443" spans="1:256" x14ac:dyDescent="0.25">
      <c r="A443" s="7">
        <v>17.315089220883866</v>
      </c>
      <c r="B443"/>
      <c r="C443"/>
      <c r="D443"/>
      <c r="E443"/>
      <c r="BO443" s="27" t="s">
        <v>8</v>
      </c>
      <c r="BP443" s="27" t="s">
        <v>7</v>
      </c>
      <c r="BQ443" s="27" t="s">
        <v>8</v>
      </c>
      <c r="BR443" s="27" t="s">
        <v>7</v>
      </c>
      <c r="BS443" s="27" t="s">
        <v>8</v>
      </c>
      <c r="BT443" s="27" t="s">
        <v>7</v>
      </c>
      <c r="BV443" s="27" t="s">
        <v>7</v>
      </c>
      <c r="BW443" s="27" t="s">
        <v>8</v>
      </c>
      <c r="BX443" s="27" t="s">
        <v>7</v>
      </c>
      <c r="BY443" s="27" t="s">
        <v>8</v>
      </c>
      <c r="EB443" s="27" t="s">
        <v>7</v>
      </c>
      <c r="EC443" s="27" t="s">
        <v>8</v>
      </c>
      <c r="EN443" s="27" t="s">
        <v>7</v>
      </c>
      <c r="EU443" s="27" t="s">
        <v>8</v>
      </c>
      <c r="EV443" s="27" t="s">
        <v>7</v>
      </c>
      <c r="FE443" s="27" t="s">
        <v>8</v>
      </c>
      <c r="FF443" s="27" t="s">
        <v>7</v>
      </c>
      <c r="FG443" s="27" t="s">
        <v>8</v>
      </c>
      <c r="IR443" s="27" t="s">
        <v>7</v>
      </c>
      <c r="IS443" s="27" t="s">
        <v>8</v>
      </c>
      <c r="IT443" s="27" t="s">
        <v>7</v>
      </c>
      <c r="IU443" s="27" t="s">
        <v>8</v>
      </c>
    </row>
    <row r="444" spans="1:256" x14ac:dyDescent="0.25">
      <c r="A444" s="7">
        <v>16.975577667533202</v>
      </c>
      <c r="B444"/>
      <c r="C444"/>
      <c r="D444"/>
      <c r="E444"/>
      <c r="BO444" s="27" t="s">
        <v>8</v>
      </c>
      <c r="BP444" s="27" t="s">
        <v>7</v>
      </c>
      <c r="BQ444" s="27" t="s">
        <v>8</v>
      </c>
      <c r="BR444" s="27" t="s">
        <v>7</v>
      </c>
      <c r="BS444" s="27" t="s">
        <v>8</v>
      </c>
      <c r="BV444" s="27" t="s">
        <v>7</v>
      </c>
      <c r="BW444" s="27" t="s">
        <v>8</v>
      </c>
      <c r="BX444" s="27" t="s">
        <v>7</v>
      </c>
      <c r="BY444" s="27" t="s">
        <v>8</v>
      </c>
      <c r="EB444" s="27" t="s">
        <v>7</v>
      </c>
      <c r="EC444" s="27" t="s">
        <v>8</v>
      </c>
      <c r="EN444" s="27" t="s">
        <v>7</v>
      </c>
      <c r="EQ444" s="27" t="s">
        <v>8</v>
      </c>
      <c r="EU444" s="27" t="s">
        <v>8</v>
      </c>
      <c r="EV444" s="27" t="s">
        <v>7</v>
      </c>
      <c r="FE444" s="27" t="s">
        <v>8</v>
      </c>
      <c r="FF444" s="27" t="s">
        <v>7</v>
      </c>
      <c r="IR444" s="27" t="s">
        <v>7</v>
      </c>
      <c r="IS444" s="27" t="s">
        <v>8</v>
      </c>
      <c r="IT444" s="27" t="s">
        <v>7</v>
      </c>
      <c r="IU444" s="27" t="s">
        <v>8</v>
      </c>
    </row>
    <row r="445" spans="1:256" x14ac:dyDescent="0.25">
      <c r="A445" s="7">
        <v>16.642723203463923</v>
      </c>
      <c r="B445"/>
      <c r="C445"/>
      <c r="D445"/>
      <c r="E445"/>
      <c r="BO445" s="27" t="s">
        <v>8</v>
      </c>
      <c r="BP445" s="27" t="s">
        <v>7</v>
      </c>
      <c r="BQ445" s="27" t="s">
        <v>8</v>
      </c>
      <c r="BR445" s="27" t="s">
        <v>7</v>
      </c>
      <c r="BS445" s="27" t="s">
        <v>8</v>
      </c>
      <c r="BV445" s="27" t="s">
        <v>7</v>
      </c>
      <c r="BW445" s="27" t="s">
        <v>8</v>
      </c>
      <c r="BX445" s="27" t="s">
        <v>7</v>
      </c>
      <c r="BY445" s="27" t="s">
        <v>8</v>
      </c>
      <c r="EB445" s="27" t="s">
        <v>7</v>
      </c>
      <c r="EC445" s="27" t="s">
        <v>8</v>
      </c>
      <c r="EN445" s="27" t="s">
        <v>7</v>
      </c>
      <c r="EO445" s="27" t="s">
        <v>8</v>
      </c>
      <c r="EQ445" s="27" t="s">
        <v>8</v>
      </c>
      <c r="ER445" s="27" t="s">
        <v>7</v>
      </c>
      <c r="EU445" s="27" t="s">
        <v>8</v>
      </c>
      <c r="EV445" s="27" t="s">
        <v>7</v>
      </c>
      <c r="FE445" s="27" t="s">
        <v>8</v>
      </c>
      <c r="IR445" s="27" t="s">
        <v>7</v>
      </c>
      <c r="IS445" s="27" t="s">
        <v>8</v>
      </c>
      <c r="IT445" s="27" t="s">
        <v>7</v>
      </c>
      <c r="IU445" s="27" t="s">
        <v>8</v>
      </c>
    </row>
    <row r="446" spans="1:256" x14ac:dyDescent="0.25">
      <c r="A446" s="7">
        <v>16.316395297513651</v>
      </c>
      <c r="B446"/>
      <c r="C446"/>
      <c r="D446"/>
      <c r="E446"/>
      <c r="BO446" s="27" t="s">
        <v>8</v>
      </c>
      <c r="BP446" s="27" t="s">
        <v>7</v>
      </c>
      <c r="BQ446" s="27" t="s">
        <v>8</v>
      </c>
      <c r="BR446" s="27" t="s">
        <v>7</v>
      </c>
      <c r="BS446" s="27" t="s">
        <v>8</v>
      </c>
      <c r="BV446" s="27" t="s">
        <v>7</v>
      </c>
      <c r="BW446" s="27" t="s">
        <v>8</v>
      </c>
      <c r="BX446" s="27" t="s">
        <v>7</v>
      </c>
      <c r="BY446" s="27" t="s">
        <v>8</v>
      </c>
      <c r="EB446" s="27" t="s">
        <v>7</v>
      </c>
      <c r="EC446" s="27" t="s">
        <v>8</v>
      </c>
      <c r="EN446" s="27" t="s">
        <v>7</v>
      </c>
      <c r="EO446" s="27" t="s">
        <v>8</v>
      </c>
      <c r="EP446" s="27" t="s">
        <v>7</v>
      </c>
      <c r="EQ446" s="27" t="s">
        <v>8</v>
      </c>
      <c r="ER446" s="27" t="s">
        <v>7</v>
      </c>
      <c r="ES446" s="27" t="s">
        <v>8</v>
      </c>
      <c r="EU446" s="27" t="s">
        <v>8</v>
      </c>
      <c r="EV446" s="27" t="s">
        <v>7</v>
      </c>
      <c r="FE446" s="27" t="s">
        <v>8</v>
      </c>
      <c r="IR446" s="27" t="s">
        <v>7</v>
      </c>
      <c r="IT446" s="27" t="s">
        <v>7</v>
      </c>
      <c r="IU446" s="27" t="s">
        <v>8</v>
      </c>
    </row>
    <row r="447" spans="1:256" x14ac:dyDescent="0.25">
      <c r="A447" s="7">
        <v>15.996465977954561</v>
      </c>
      <c r="B447"/>
      <c r="C447"/>
      <c r="D447"/>
      <c r="E447"/>
      <c r="BO447" s="27" t="s">
        <v>8</v>
      </c>
      <c r="BP447" s="27" t="s">
        <v>7</v>
      </c>
      <c r="BR447" s="27" t="s">
        <v>7</v>
      </c>
      <c r="BS447" s="27" t="s">
        <v>8</v>
      </c>
      <c r="BV447" s="27" t="s">
        <v>7</v>
      </c>
      <c r="BW447" s="27" t="s">
        <v>8</v>
      </c>
      <c r="BX447" s="27" t="s">
        <v>7</v>
      </c>
      <c r="BY447" s="27" t="s">
        <v>8</v>
      </c>
      <c r="EB447" s="27" t="s">
        <v>7</v>
      </c>
      <c r="EC447" s="27" t="s">
        <v>8</v>
      </c>
      <c r="EN447" s="27" t="s">
        <v>7</v>
      </c>
      <c r="EO447" s="27" t="s">
        <v>8</v>
      </c>
      <c r="EP447" s="27" t="s">
        <v>7</v>
      </c>
      <c r="EQ447" s="27" t="s">
        <v>8</v>
      </c>
      <c r="ER447" s="27" t="s">
        <v>7</v>
      </c>
      <c r="ES447" s="27" t="s">
        <v>8</v>
      </c>
      <c r="ET447" s="27" t="s">
        <v>7</v>
      </c>
      <c r="EU447" s="27" t="s">
        <v>8</v>
      </c>
      <c r="EV447" s="27" t="s">
        <v>7</v>
      </c>
      <c r="EW447" s="27" t="s">
        <v>8</v>
      </c>
      <c r="FE447" s="27" t="s">
        <v>8</v>
      </c>
      <c r="IT447" s="27" t="s">
        <v>7</v>
      </c>
    </row>
    <row r="448" spans="1:256" x14ac:dyDescent="0.25">
      <c r="A448" s="7">
        <v>15.682809782308393</v>
      </c>
      <c r="B448"/>
      <c r="C448"/>
      <c r="D448"/>
      <c r="E448"/>
      <c r="BO448" s="27" t="s">
        <v>8</v>
      </c>
      <c r="BR448" s="27" t="s">
        <v>7</v>
      </c>
      <c r="BS448" s="27" t="s">
        <v>8</v>
      </c>
      <c r="BV448" s="27" t="s">
        <v>7</v>
      </c>
      <c r="BW448" s="27" t="s">
        <v>8</v>
      </c>
      <c r="BX448" s="27" t="s">
        <v>7</v>
      </c>
      <c r="EB448" s="27" t="s">
        <v>7</v>
      </c>
      <c r="EC448" s="27" t="s">
        <v>8</v>
      </c>
      <c r="EN448" s="27" t="s">
        <v>7</v>
      </c>
      <c r="EO448" s="27" t="s">
        <v>8</v>
      </c>
      <c r="EP448" s="27" t="s">
        <v>7</v>
      </c>
      <c r="EQ448" s="27" t="s">
        <v>8</v>
      </c>
      <c r="ER448" s="27" t="s">
        <v>7</v>
      </c>
      <c r="ES448" s="27" t="s">
        <v>8</v>
      </c>
      <c r="ET448" s="27" t="s">
        <v>7</v>
      </c>
      <c r="EU448" s="27" t="s">
        <v>8</v>
      </c>
      <c r="EV448" s="27" t="s">
        <v>7</v>
      </c>
      <c r="EW448" s="27" t="s">
        <v>8</v>
      </c>
      <c r="EX448" s="27" t="s">
        <v>7</v>
      </c>
      <c r="FE448" s="27" t="s">
        <v>8</v>
      </c>
    </row>
    <row r="449" spans="1:161" x14ac:dyDescent="0.25">
      <c r="A449" s="7">
        <v>15.375303708145482</v>
      </c>
      <c r="B449"/>
      <c r="C449"/>
      <c r="D449"/>
      <c r="E449"/>
      <c r="BO449" s="27" t="s">
        <v>8</v>
      </c>
      <c r="BR449" s="27" t="s">
        <v>7</v>
      </c>
      <c r="BS449" s="27" t="s">
        <v>8</v>
      </c>
      <c r="BV449" s="27" t="s">
        <v>7</v>
      </c>
      <c r="BW449" s="27" t="s">
        <v>8</v>
      </c>
      <c r="EB449" s="27" t="s">
        <v>7</v>
      </c>
      <c r="EC449" s="27" t="s">
        <v>8</v>
      </c>
      <c r="EN449" s="27" t="s">
        <v>7</v>
      </c>
      <c r="EO449" s="27" t="s">
        <v>8</v>
      </c>
      <c r="EP449" s="27" t="s">
        <v>7</v>
      </c>
      <c r="EQ449" s="27" t="s">
        <v>8</v>
      </c>
      <c r="ER449" s="27" t="s">
        <v>7</v>
      </c>
      <c r="ES449" s="27" t="s">
        <v>8</v>
      </c>
      <c r="ET449" s="27" t="s">
        <v>7</v>
      </c>
      <c r="EU449" s="27" t="s">
        <v>8</v>
      </c>
      <c r="EV449" s="27" t="s">
        <v>7</v>
      </c>
      <c r="EW449" s="27" t="s">
        <v>8</v>
      </c>
      <c r="EX449" s="27" t="s">
        <v>7</v>
      </c>
      <c r="FE449" s="27" t="s">
        <v>8</v>
      </c>
    </row>
    <row r="450" spans="1:161" x14ac:dyDescent="0.25">
      <c r="A450" s="7">
        <v>15.073827164848511</v>
      </c>
      <c r="B450"/>
      <c r="C450"/>
      <c r="D450"/>
      <c r="E450"/>
      <c r="BO450" s="27" t="s">
        <v>8</v>
      </c>
      <c r="BR450" s="27" t="s">
        <v>7</v>
      </c>
      <c r="BS450" s="27" t="s">
        <v>8</v>
      </c>
      <c r="BV450" s="27" t="s">
        <v>7</v>
      </c>
      <c r="EB450" s="27" t="s">
        <v>7</v>
      </c>
      <c r="EC450" s="27" t="s">
        <v>8</v>
      </c>
      <c r="EN450" s="27" t="s">
        <v>7</v>
      </c>
      <c r="EO450" s="27" t="s">
        <v>8</v>
      </c>
      <c r="EP450" s="27" t="s">
        <v>7</v>
      </c>
      <c r="EQ450" s="27" t="s">
        <v>8</v>
      </c>
      <c r="ER450" s="27" t="s">
        <v>7</v>
      </c>
      <c r="ES450" s="27" t="s">
        <v>8</v>
      </c>
      <c r="ET450" s="27" t="s">
        <v>7</v>
      </c>
      <c r="EU450" s="27" t="s">
        <v>8</v>
      </c>
      <c r="EV450" s="27" t="s">
        <v>7</v>
      </c>
      <c r="EX450" s="27" t="s">
        <v>7</v>
      </c>
      <c r="FC450" s="27" t="s">
        <v>8</v>
      </c>
      <c r="FE450" s="27" t="s">
        <v>8</v>
      </c>
    </row>
    <row r="451" spans="1:161" x14ac:dyDescent="0.25">
      <c r="A451" s="7">
        <v>14.77826192632207</v>
      </c>
      <c r="B451"/>
      <c r="C451"/>
      <c r="D451"/>
      <c r="E451"/>
      <c r="BO451" s="27" t="s">
        <v>8</v>
      </c>
      <c r="BR451" s="27" t="s">
        <v>7</v>
      </c>
      <c r="EB451" s="27" t="s">
        <v>7</v>
      </c>
      <c r="EC451" s="27" t="s">
        <v>8</v>
      </c>
      <c r="EN451" s="27" t="s">
        <v>7</v>
      </c>
      <c r="EO451" s="27" t="s">
        <v>8</v>
      </c>
      <c r="EP451" s="27" t="s">
        <v>7</v>
      </c>
      <c r="EQ451" s="27" t="s">
        <v>8</v>
      </c>
      <c r="ER451" s="27" t="s">
        <v>7</v>
      </c>
      <c r="ET451" s="27" t="s">
        <v>7</v>
      </c>
      <c r="EX451" s="34" t="s">
        <v>7</v>
      </c>
      <c r="FC451" s="27" t="s">
        <v>8</v>
      </c>
      <c r="FD451" s="27" t="s">
        <v>7</v>
      </c>
      <c r="FE451" s="27" t="s">
        <v>8</v>
      </c>
    </row>
    <row r="452" spans="1:161" x14ac:dyDescent="0.25">
      <c r="A452" s="7">
        <v>14.488492084629481</v>
      </c>
      <c r="B452"/>
      <c r="C452"/>
      <c r="D452"/>
      <c r="E452"/>
      <c r="BO452" s="27" t="s">
        <v>8</v>
      </c>
      <c r="EB452" s="27" t="s">
        <v>7</v>
      </c>
      <c r="EC452" s="27" t="s">
        <v>8</v>
      </c>
      <c r="EN452" s="27" t="s">
        <v>7</v>
      </c>
      <c r="EO452" s="27" t="s">
        <v>8</v>
      </c>
      <c r="EP452" s="27" t="s">
        <v>7</v>
      </c>
      <c r="EQ452" s="27" t="s">
        <v>8</v>
      </c>
      <c r="EX452" s="27" t="s">
        <v>7</v>
      </c>
      <c r="FC452" s="27" t="s">
        <v>8</v>
      </c>
      <c r="FD452" s="27" t="s">
        <v>7</v>
      </c>
      <c r="FE452" s="27" t="s">
        <v>8</v>
      </c>
    </row>
    <row r="453" spans="1:161" x14ac:dyDescent="0.25">
      <c r="A453" s="7">
        <v>14.204404004538707</v>
      </c>
      <c r="B453"/>
      <c r="C453"/>
      <c r="D453"/>
      <c r="E453"/>
      <c r="BO453" s="27" t="s">
        <v>8</v>
      </c>
      <c r="EB453" s="27" t="s">
        <v>7</v>
      </c>
      <c r="EC453" s="27" t="s">
        <v>8</v>
      </c>
      <c r="EN453" s="27" t="s">
        <v>7</v>
      </c>
      <c r="EO453" s="27" t="s">
        <v>8</v>
      </c>
      <c r="EP453" s="27" t="s">
        <v>7</v>
      </c>
      <c r="EQ453" s="27" t="s">
        <v>8</v>
      </c>
      <c r="EX453" s="27" t="s">
        <v>7</v>
      </c>
      <c r="FC453" s="27" t="s">
        <v>8</v>
      </c>
      <c r="FD453" s="27" t="s">
        <v>7</v>
      </c>
      <c r="FE453" s="27" t="s">
        <v>8</v>
      </c>
    </row>
    <row r="454" spans="1:161" x14ac:dyDescent="0.25">
      <c r="A454" s="7">
        <v>13.925886278959517</v>
      </c>
      <c r="B454"/>
      <c r="C454"/>
      <c r="D454"/>
      <c r="E454"/>
      <c r="BO454" s="27" t="s">
        <v>8</v>
      </c>
      <c r="EB454" s="27" t="s">
        <v>7</v>
      </c>
      <c r="EC454" s="27" t="s">
        <v>8</v>
      </c>
      <c r="EN454" s="27" t="s">
        <v>7</v>
      </c>
      <c r="EO454" s="27" t="s">
        <v>8</v>
      </c>
      <c r="EP454" s="27" t="s">
        <v>7</v>
      </c>
      <c r="EQ454" s="27" t="s">
        <v>8</v>
      </c>
      <c r="EX454" s="27" t="s">
        <v>7</v>
      </c>
      <c r="FA454" s="27" t="s">
        <v>8</v>
      </c>
      <c r="FC454" s="27" t="s">
        <v>8</v>
      </c>
      <c r="FD454" s="27" t="s">
        <v>7</v>
      </c>
      <c r="FE454" s="27" t="s">
        <v>8</v>
      </c>
    </row>
    <row r="455" spans="1:161" x14ac:dyDescent="0.25">
      <c r="A455" s="7">
        <v>13.652829685254428</v>
      </c>
      <c r="B455"/>
      <c r="C455"/>
      <c r="D455"/>
      <c r="E455"/>
      <c r="BO455" s="27" t="s">
        <v>8</v>
      </c>
      <c r="EB455" s="27" t="s">
        <v>7</v>
      </c>
      <c r="EN455" s="27" t="s">
        <v>7</v>
      </c>
      <c r="EO455" s="27" t="s">
        <v>8</v>
      </c>
      <c r="EP455" s="27" t="s">
        <v>7</v>
      </c>
      <c r="EX455" s="27" t="s">
        <v>7</v>
      </c>
      <c r="FA455" s="27" t="s">
        <v>8</v>
      </c>
      <c r="FB455" s="27" t="s">
        <v>7</v>
      </c>
      <c r="FC455" s="27" t="s">
        <v>8</v>
      </c>
      <c r="FD455" s="27" t="s">
        <v>7</v>
      </c>
      <c r="FE455" s="27" t="s">
        <v>8</v>
      </c>
    </row>
    <row r="456" spans="1:161" x14ac:dyDescent="0.25">
      <c r="A456" s="7">
        <v>13.385127142406303</v>
      </c>
      <c r="B456"/>
      <c r="C456"/>
      <c r="D456"/>
      <c r="E456"/>
      <c r="BO456" s="27" t="s">
        <v>8</v>
      </c>
      <c r="EN456" s="27" t="s">
        <v>7</v>
      </c>
      <c r="EO456" s="27" t="s">
        <v>8</v>
      </c>
      <c r="EX456" s="27" t="s">
        <v>7</v>
      </c>
      <c r="FA456" s="27" t="s">
        <v>8</v>
      </c>
      <c r="FB456" s="27" t="s">
        <v>7</v>
      </c>
      <c r="FC456" s="27" t="s">
        <v>8</v>
      </c>
      <c r="FD456" s="27" t="s">
        <v>7</v>
      </c>
    </row>
    <row r="457" spans="1:161" x14ac:dyDescent="0.25">
      <c r="A457" s="7">
        <v>13.122673669025787</v>
      </c>
      <c r="B457"/>
      <c r="C457"/>
      <c r="D457"/>
      <c r="E457"/>
      <c r="BO457" s="27" t="s">
        <v>8</v>
      </c>
      <c r="EN457" s="27" t="s">
        <v>7</v>
      </c>
      <c r="EX457" s="27" t="s">
        <v>7</v>
      </c>
      <c r="FA457" s="27" t="s">
        <v>8</v>
      </c>
      <c r="FB457" s="27" t="s">
        <v>7</v>
      </c>
    </row>
    <row r="458" spans="1:161" x14ac:dyDescent="0.25">
      <c r="A458" s="7">
        <v>12.865366342182144</v>
      </c>
      <c r="B458"/>
      <c r="C458"/>
      <c r="D458"/>
      <c r="E458"/>
      <c r="BO458" s="27" t="s">
        <v>8</v>
      </c>
      <c r="EX458" s="27" t="s">
        <v>7</v>
      </c>
      <c r="EY458" s="27" t="s">
        <v>8</v>
      </c>
      <c r="FA458" s="32" t="s">
        <v>8</v>
      </c>
    </row>
    <row r="459" spans="1:161" x14ac:dyDescent="0.25">
      <c r="A459" s="7">
        <v>12.613104257041318</v>
      </c>
      <c r="B459"/>
      <c r="C459"/>
      <c r="D459"/>
      <c r="E459"/>
      <c r="BO459" s="27" t="s">
        <v>8</v>
      </c>
      <c r="EX459" s="27" t="s">
        <v>7</v>
      </c>
      <c r="EY459" s="27" t="s">
        <v>8</v>
      </c>
      <c r="EZ459" s="27" t="s">
        <v>7</v>
      </c>
      <c r="FA459" s="27" t="s">
        <v>8</v>
      </c>
    </row>
    <row r="460" spans="1:161" x14ac:dyDescent="0.25">
      <c r="A460" s="7">
        <v>12.36578848729541</v>
      </c>
      <c r="B460"/>
      <c r="C460"/>
      <c r="D460"/>
      <c r="E460"/>
      <c r="BO460" s="27" t="s">
        <v>8</v>
      </c>
      <c r="EX460" s="27" t="s">
        <v>7</v>
      </c>
      <c r="EY460" s="27" t="s">
        <v>8</v>
      </c>
      <c r="EZ460" s="27" t="s">
        <v>7</v>
      </c>
      <c r="FA460" s="27" t="s">
        <v>8</v>
      </c>
    </row>
    <row r="461" spans="1:161" x14ac:dyDescent="0.25">
      <c r="A461" s="7">
        <v>12.123322046368049</v>
      </c>
      <c r="B461"/>
      <c r="C461"/>
      <c r="D461"/>
      <c r="E461"/>
      <c r="BO461" s="27" t="s">
        <v>8</v>
      </c>
      <c r="EX461" s="27" t="s">
        <v>7</v>
      </c>
      <c r="EY461" s="27" t="s">
        <v>8</v>
      </c>
      <c r="EZ461" s="27" t="s">
        <v>7</v>
      </c>
      <c r="FA461" s="27" t="s">
        <v>8</v>
      </c>
    </row>
    <row r="462" spans="1:161" x14ac:dyDescent="0.25">
      <c r="A462" s="7">
        <v>11.88560984938044</v>
      </c>
      <c r="B462"/>
      <c r="C462"/>
      <c r="D462"/>
      <c r="E462"/>
      <c r="BO462" s="27" t="s">
        <v>8</v>
      </c>
      <c r="EX462" s="27" t="s">
        <v>7</v>
      </c>
      <c r="EZ462" s="27" t="s">
        <v>7</v>
      </c>
      <c r="FA462" s="27" t="s">
        <v>8</v>
      </c>
    </row>
    <row r="463" spans="1:161" x14ac:dyDescent="0.25">
      <c r="A463" s="7">
        <v>11.652558675863176</v>
      </c>
      <c r="B463"/>
      <c r="C463"/>
      <c r="D463"/>
      <c r="E463"/>
      <c r="BO463" s="27" t="s">
        <v>8</v>
      </c>
      <c r="EZ463" s="27" t="s">
        <v>7</v>
      </c>
      <c r="FA463" s="27" t="s">
        <v>8</v>
      </c>
    </row>
    <row r="464" spans="1:161" x14ac:dyDescent="0.25">
      <c r="A464" s="7">
        <v>11.424077133199193</v>
      </c>
      <c r="B464"/>
      <c r="C464"/>
      <c r="D464"/>
      <c r="E464"/>
      <c r="BO464" s="27" t="s">
        <v>8</v>
      </c>
      <c r="EZ464" s="18" t="s">
        <v>7</v>
      </c>
      <c r="FA464" s="27" t="s">
        <v>8</v>
      </c>
    </row>
    <row r="465" spans="1:157" x14ac:dyDescent="0.25">
      <c r="A465" s="7">
        <v>11.200075620783522</v>
      </c>
      <c r="B465"/>
      <c r="C465"/>
      <c r="D465"/>
      <c r="E465"/>
      <c r="BO465" s="27" t="s">
        <v>8</v>
      </c>
      <c r="EZ465" s="27" t="s">
        <v>7</v>
      </c>
      <c r="FA465" s="27" t="s">
        <v>8</v>
      </c>
    </row>
    <row r="466" spans="1:157" x14ac:dyDescent="0.25">
      <c r="A466" s="7">
        <v>10.980466294885806</v>
      </c>
      <c r="B466"/>
      <c r="C466"/>
      <c r="D466"/>
      <c r="E466"/>
      <c r="BO466" s="27" t="s">
        <v>8</v>
      </c>
      <c r="EZ466" s="27" t="s">
        <v>7</v>
      </c>
      <c r="FA466" s="27" t="s">
        <v>8</v>
      </c>
    </row>
    <row r="467" spans="1:157" x14ac:dyDescent="0.25">
      <c r="A467" s="7">
        <v>10.765163034201771</v>
      </c>
      <c r="B467"/>
      <c r="C467"/>
      <c r="D467"/>
      <c r="E467"/>
      <c r="BO467" s="27" t="s">
        <v>8</v>
      </c>
      <c r="EZ467" s="27" t="s">
        <v>7</v>
      </c>
      <c r="FA467" s="27" t="s">
        <v>8</v>
      </c>
    </row>
    <row r="468" spans="1:157" x14ac:dyDescent="0.25">
      <c r="A468" s="7">
        <v>10.554081406080169</v>
      </c>
      <c r="B468"/>
      <c r="C468"/>
      <c r="D468"/>
      <c r="E468"/>
      <c r="BK468" s="27" t="s">
        <v>8</v>
      </c>
      <c r="BO468" s="27" t="s">
        <v>8</v>
      </c>
      <c r="EZ468" s="27" t="s">
        <v>7</v>
      </c>
    </row>
    <row r="469" spans="1:157" x14ac:dyDescent="0.25">
      <c r="A469" s="7">
        <v>10.34713863341193</v>
      </c>
      <c r="B469"/>
      <c r="C469"/>
      <c r="D469"/>
      <c r="E469"/>
      <c r="BI469" s="27" t="s">
        <v>8</v>
      </c>
      <c r="BK469" s="27" t="s">
        <v>8</v>
      </c>
      <c r="BL469" s="27" t="s">
        <v>7</v>
      </c>
      <c r="BO469" s="27" t="s">
        <v>8</v>
      </c>
    </row>
    <row r="470" spans="1:157" x14ac:dyDescent="0.25">
      <c r="A470" s="7">
        <v>10.14425356216856</v>
      </c>
      <c r="B470"/>
      <c r="C470"/>
      <c r="D470"/>
      <c r="E470"/>
      <c r="BI470" s="27" t="s">
        <v>8</v>
      </c>
      <c r="BJ470" s="27" t="s">
        <v>7</v>
      </c>
      <c r="BK470" s="27" t="s">
        <v>8</v>
      </c>
      <c r="BL470" s="27" t="s">
        <v>7</v>
      </c>
      <c r="BO470" s="27" t="s">
        <v>8</v>
      </c>
    </row>
    <row r="471" spans="1:157" x14ac:dyDescent="0.25">
      <c r="A471" s="7">
        <v>9.9453466295770188</v>
      </c>
      <c r="B471"/>
      <c r="C471"/>
      <c r="D471"/>
      <c r="E471"/>
      <c r="BI471" s="27" t="s">
        <v>8</v>
      </c>
      <c r="BJ471" s="27" t="s">
        <v>7</v>
      </c>
      <c r="BK471" s="27" t="s">
        <v>8</v>
      </c>
      <c r="BL471" s="27" t="s">
        <v>7</v>
      </c>
      <c r="BM471" s="27" t="s">
        <v>8</v>
      </c>
      <c r="BO471" s="27" t="s">
        <v>8</v>
      </c>
    </row>
    <row r="472" spans="1:157" x14ac:dyDescent="0.25">
      <c r="A472" s="7">
        <v>9.7503398329186464</v>
      </c>
      <c r="B472"/>
      <c r="C472"/>
      <c r="D472"/>
      <c r="E472"/>
      <c r="BI472" s="27" t="s">
        <v>8</v>
      </c>
      <c r="BJ472" s="27" t="s">
        <v>7</v>
      </c>
      <c r="BK472" s="27" t="s">
        <v>8</v>
      </c>
      <c r="BL472" s="27" t="s">
        <v>7</v>
      </c>
      <c r="BM472" s="27" t="s">
        <v>8</v>
      </c>
      <c r="BN472" s="27" t="s">
        <v>7</v>
      </c>
      <c r="BO472" s="27" t="s">
        <v>8</v>
      </c>
    </row>
    <row r="473" spans="1:157" x14ac:dyDescent="0.25">
      <c r="A473" s="7">
        <v>9.5591566989398498</v>
      </c>
      <c r="B473"/>
      <c r="C473"/>
      <c r="D473"/>
      <c r="E473"/>
      <c r="BI473" s="27" t="s">
        <v>8</v>
      </c>
      <c r="BJ473" s="27" t="s">
        <v>7</v>
      </c>
      <c r="BK473" s="27" t="s">
        <v>8</v>
      </c>
      <c r="BL473" s="27" t="s">
        <v>7</v>
      </c>
      <c r="BM473" s="27" t="s">
        <v>8</v>
      </c>
      <c r="BN473" s="27" t="s">
        <v>7</v>
      </c>
      <c r="BO473" s="27" t="s">
        <v>8</v>
      </c>
    </row>
    <row r="474" spans="1:157" x14ac:dyDescent="0.25">
      <c r="A474" s="7">
        <v>9.3717222538625968</v>
      </c>
      <c r="B474"/>
      <c r="C474"/>
      <c r="D474"/>
      <c r="E474"/>
      <c r="BG474" s="27" t="s">
        <v>8</v>
      </c>
      <c r="BI474" s="27" t="s">
        <v>8</v>
      </c>
      <c r="BJ474" s="27" t="s">
        <v>7</v>
      </c>
      <c r="BK474" s="27" t="s">
        <v>8</v>
      </c>
      <c r="BL474" s="27" t="s">
        <v>7</v>
      </c>
      <c r="BM474" s="27" t="s">
        <v>8</v>
      </c>
      <c r="BN474" s="27" t="s">
        <v>7</v>
      </c>
      <c r="BO474" s="27" t="s">
        <v>8</v>
      </c>
    </row>
    <row r="475" spans="1:157" x14ac:dyDescent="0.25">
      <c r="A475" s="7">
        <v>9.1879629939829375</v>
      </c>
      <c r="B475"/>
      <c r="C475"/>
      <c r="D475"/>
      <c r="E475"/>
      <c r="BG475" s="27" t="s">
        <v>8</v>
      </c>
      <c r="BH475" s="27" t="s">
        <v>7</v>
      </c>
      <c r="BI475" s="27" t="s">
        <v>8</v>
      </c>
      <c r="BJ475" s="27" t="s">
        <v>7</v>
      </c>
      <c r="BK475" s="27" t="s">
        <v>8</v>
      </c>
      <c r="BL475" s="27" t="s">
        <v>7</v>
      </c>
      <c r="BM475" s="27" t="s">
        <v>8</v>
      </c>
      <c r="BN475" s="27" t="s">
        <v>7</v>
      </c>
      <c r="BO475" s="27" t="s">
        <v>8</v>
      </c>
    </row>
    <row r="476" spans="1:157" x14ac:dyDescent="0.25">
      <c r="A476" s="7">
        <v>9.0078068568460168</v>
      </c>
      <c r="B476"/>
      <c r="C476"/>
      <c r="D476"/>
      <c r="E476"/>
      <c r="BG476" s="27" t="s">
        <v>8</v>
      </c>
      <c r="BH476" s="27" t="s">
        <v>7</v>
      </c>
      <c r="BI476" s="27" t="s">
        <v>8</v>
      </c>
      <c r="BJ476" s="27" t="s">
        <v>7</v>
      </c>
      <c r="BK476" s="27" t="s">
        <v>8</v>
      </c>
      <c r="BL476" s="27" t="s">
        <v>7</v>
      </c>
      <c r="BM476" s="27" t="s">
        <v>8</v>
      </c>
      <c r="BN476" s="27" t="s">
        <v>7</v>
      </c>
      <c r="BO476" s="27" t="s">
        <v>8</v>
      </c>
    </row>
    <row r="477" spans="1:157" x14ac:dyDescent="0.25">
      <c r="A477" s="7">
        <v>8.8311831929862912</v>
      </c>
      <c r="B477"/>
      <c r="C477"/>
      <c r="D477"/>
      <c r="E477"/>
      <c r="BG477" s="27" t="s">
        <v>8</v>
      </c>
      <c r="BH477" s="27" t="s">
        <v>7</v>
      </c>
      <c r="BI477" s="27" t="s">
        <v>8</v>
      </c>
      <c r="BJ477" s="27" t="s">
        <v>7</v>
      </c>
      <c r="BL477" s="27" t="s">
        <v>7</v>
      </c>
      <c r="BN477" s="27" t="s">
        <v>7</v>
      </c>
      <c r="BO477" s="27" t="s">
        <v>8</v>
      </c>
    </row>
    <row r="478" spans="1:157" x14ac:dyDescent="0.25">
      <c r="A478" s="7">
        <v>8.6580227382218542</v>
      </c>
      <c r="B478"/>
      <c r="C478"/>
      <c r="D478"/>
      <c r="E478"/>
      <c r="BG478" s="27" t="s">
        <v>8</v>
      </c>
      <c r="BH478" s="27" t="s">
        <v>7</v>
      </c>
      <c r="BI478" s="27" t="s">
        <v>8</v>
      </c>
      <c r="BN478" s="27" t="s">
        <v>7</v>
      </c>
      <c r="BO478" s="27" t="s">
        <v>8</v>
      </c>
    </row>
    <row r="479" spans="1:157" x14ac:dyDescent="0.25">
      <c r="A479" s="7">
        <v>8.4882575864920131</v>
      </c>
      <c r="B479"/>
      <c r="C479"/>
      <c r="D479"/>
      <c r="E479"/>
      <c r="BG479" s="27" t="s">
        <v>8</v>
      </c>
      <c r="BH479" s="27" t="s">
        <v>7</v>
      </c>
      <c r="BI479" s="27" t="s">
        <v>8</v>
      </c>
      <c r="BN479" s="27" t="s">
        <v>7</v>
      </c>
      <c r="BO479" s="27" t="s">
        <v>8</v>
      </c>
    </row>
    <row r="480" spans="1:157" x14ac:dyDescent="0.25">
      <c r="A480" s="7">
        <v>8.3218211632274635</v>
      </c>
      <c r="B480"/>
      <c r="C480"/>
      <c r="D480"/>
      <c r="E480"/>
      <c r="BG480" s="27" t="s">
        <v>8</v>
      </c>
      <c r="BH480" s="27" t="s">
        <v>7</v>
      </c>
      <c r="BI480" s="27" t="s">
        <v>8</v>
      </c>
      <c r="BN480" s="27" t="s">
        <v>7</v>
      </c>
      <c r="BO480" s="27" t="s">
        <v>8</v>
      </c>
    </row>
    <row r="481" spans="1:67" x14ac:dyDescent="0.25">
      <c r="A481" s="7">
        <v>8.1586481992426112</v>
      </c>
      <c r="B481"/>
      <c r="C481"/>
      <c r="D481"/>
      <c r="E481"/>
      <c r="BG481" s="27" t="s">
        <v>8</v>
      </c>
      <c r="BH481" s="27" t="s">
        <v>7</v>
      </c>
      <c r="BI481" s="27" t="s">
        <v>8</v>
      </c>
      <c r="BN481" s="27" t="s">
        <v>7</v>
      </c>
      <c r="BO481" s="27" t="s">
        <v>8</v>
      </c>
    </row>
    <row r="482" spans="1:67" x14ac:dyDescent="0.25">
      <c r="A482" s="7">
        <v>7.9986747051398144</v>
      </c>
      <c r="B482"/>
      <c r="C482"/>
      <c r="D482"/>
      <c r="E482"/>
      <c r="BG482" s="27" t="s">
        <v>8</v>
      </c>
      <c r="BH482" s="27" t="s">
        <v>7</v>
      </c>
      <c r="BN482" s="27" t="s">
        <v>7</v>
      </c>
      <c r="BO482" s="27" t="s">
        <v>8</v>
      </c>
    </row>
    <row r="483" spans="1:67" x14ac:dyDescent="0.25">
      <c r="A483" s="7">
        <v>7.8418379462155041</v>
      </c>
      <c r="B483"/>
      <c r="C483"/>
      <c r="D483"/>
      <c r="E483"/>
      <c r="BG483" s="27" t="s">
        <v>8</v>
      </c>
      <c r="BN483" s="27" t="s">
        <v>7</v>
      </c>
      <c r="BO483" s="27" t="s">
        <v>8</v>
      </c>
    </row>
    <row r="484" spans="1:67" x14ac:dyDescent="0.25">
      <c r="A484" s="7">
        <v>7.688076417858337</v>
      </c>
      <c r="B484"/>
      <c r="C484"/>
      <c r="D484"/>
      <c r="E484"/>
      <c r="BE484" s="27" t="s">
        <v>8</v>
      </c>
      <c r="BG484" s="27" t="s">
        <v>8</v>
      </c>
      <c r="BN484" s="27" t="s">
        <v>7</v>
      </c>
      <c r="BO484" s="27" t="s">
        <v>8</v>
      </c>
    </row>
    <row r="485" spans="1:67" x14ac:dyDescent="0.25">
      <c r="A485" s="7">
        <v>7.5373298214297417</v>
      </c>
      <c r="B485"/>
      <c r="C485"/>
      <c r="D485"/>
      <c r="E485"/>
      <c r="BE485" s="27" t="s">
        <v>8</v>
      </c>
      <c r="BF485" s="27" t="s">
        <v>7</v>
      </c>
      <c r="BG485" s="27" t="s">
        <v>8</v>
      </c>
      <c r="BN485" s="27" t="s">
        <v>7</v>
      </c>
      <c r="BO485" s="27" t="s">
        <v>8</v>
      </c>
    </row>
    <row r="486" spans="1:67" x14ac:dyDescent="0.25">
      <c r="A486" s="7">
        <v>7.389539040617394</v>
      </c>
      <c r="B486"/>
      <c r="C486"/>
      <c r="D486"/>
      <c r="E486"/>
      <c r="BE486" s="27" t="s">
        <v>8</v>
      </c>
      <c r="BF486" s="27" t="s">
        <v>7</v>
      </c>
      <c r="BG486" s="27" t="s">
        <v>8</v>
      </c>
      <c r="BN486" s="27" t="s">
        <v>7</v>
      </c>
      <c r="BO486" s="27" t="s">
        <v>8</v>
      </c>
    </row>
    <row r="487" spans="1:67" x14ac:dyDescent="0.25">
      <c r="A487" s="7">
        <v>7.2446461182523469</v>
      </c>
      <c r="B487"/>
      <c r="C487"/>
      <c r="D487"/>
      <c r="E487"/>
      <c r="BE487" s="27" t="s">
        <v>8</v>
      </c>
      <c r="BF487" s="27" t="s">
        <v>7</v>
      </c>
      <c r="BG487" s="27" t="s">
        <v>8</v>
      </c>
      <c r="BN487" s="27" t="s">
        <v>7</v>
      </c>
    </row>
    <row r="488" spans="1:67" x14ac:dyDescent="0.25">
      <c r="A488" s="7">
        <v>7.1025942335807324</v>
      </c>
      <c r="B488"/>
      <c r="C488"/>
      <c r="D488"/>
      <c r="E488"/>
      <c r="BE488" s="27" t="s">
        <v>8</v>
      </c>
      <c r="BF488" s="27" t="s">
        <v>7</v>
      </c>
    </row>
    <row r="489" spans="1:67" x14ac:dyDescent="0.25">
      <c r="A489" s="7">
        <v>6.9633276799811101</v>
      </c>
      <c r="B489"/>
      <c r="C489"/>
      <c r="D489"/>
      <c r="E489"/>
      <c r="BE489" s="27" t="s">
        <v>8</v>
      </c>
    </row>
    <row r="490" spans="1:67" x14ac:dyDescent="0.25">
      <c r="A490" s="7">
        <v>6.8267918431187349</v>
      </c>
      <c r="B490"/>
      <c r="C490"/>
      <c r="D490"/>
      <c r="E490"/>
      <c r="M490" s="27" t="s">
        <v>8</v>
      </c>
      <c r="BE490" s="27" t="s">
        <v>8</v>
      </c>
    </row>
    <row r="491" spans="1:67" x14ac:dyDescent="0.25">
      <c r="A491" s="7">
        <v>6.692933179528171</v>
      </c>
      <c r="B491"/>
      <c r="C491"/>
      <c r="D491"/>
      <c r="E491"/>
      <c r="I491" s="27" t="s">
        <v>8</v>
      </c>
      <c r="M491" s="27" t="s">
        <v>8</v>
      </c>
      <c r="N491" s="27" t="s">
        <v>7</v>
      </c>
      <c r="BE491" s="27" t="s">
        <v>8</v>
      </c>
    </row>
    <row r="492" spans="1:67" x14ac:dyDescent="0.25">
      <c r="A492" s="7">
        <v>6.5616991956158541</v>
      </c>
      <c r="B492"/>
      <c r="C492"/>
      <c r="D492"/>
      <c r="E492"/>
      <c r="I492" s="27" t="s">
        <v>8</v>
      </c>
      <c r="J492" s="27" t="s">
        <v>7</v>
      </c>
      <c r="M492" s="27" t="s">
        <v>8</v>
      </c>
      <c r="N492" s="27" t="s">
        <v>7</v>
      </c>
      <c r="BE492" s="27" t="s">
        <v>8</v>
      </c>
    </row>
    <row r="493" spans="1:67" x14ac:dyDescent="0.25">
      <c r="A493" s="7">
        <v>6.4330384270743668</v>
      </c>
      <c r="B493"/>
      <c r="C493"/>
      <c r="D493"/>
      <c r="E493"/>
      <c r="I493" s="27" t="s">
        <v>8</v>
      </c>
      <c r="J493" s="27" t="s">
        <v>7</v>
      </c>
      <c r="K493" s="27" t="s">
        <v>8</v>
      </c>
      <c r="M493" s="27" t="s">
        <v>8</v>
      </c>
      <c r="N493" s="27" t="s">
        <v>7</v>
      </c>
      <c r="BE493" s="27" t="s">
        <v>8</v>
      </c>
    </row>
    <row r="494" spans="1:67" x14ac:dyDescent="0.25">
      <c r="A494" s="7">
        <v>6.3069004187003594</v>
      </c>
      <c r="B494"/>
      <c r="C494"/>
      <c r="D494"/>
      <c r="E494"/>
      <c r="I494" s="27" t="s">
        <v>8</v>
      </c>
      <c r="J494" s="27" t="s">
        <v>7</v>
      </c>
      <c r="K494" s="27" t="s">
        <v>8</v>
      </c>
      <c r="L494" s="27" t="s">
        <v>7</v>
      </c>
      <c r="M494" s="27" t="s">
        <v>8</v>
      </c>
      <c r="N494" s="27" t="s">
        <v>7</v>
      </c>
      <c r="O494" s="27" t="s">
        <v>8</v>
      </c>
      <c r="BE494" s="27" t="s">
        <v>8</v>
      </c>
    </row>
    <row r="495" spans="1:67" x14ac:dyDescent="0.25">
      <c r="A495" s="7">
        <v>6.1832357046081956</v>
      </c>
      <c r="B495"/>
      <c r="C495"/>
      <c r="D495"/>
      <c r="E495"/>
      <c r="I495" s="27" t="s">
        <v>8</v>
      </c>
      <c r="J495" s="27" t="s">
        <v>7</v>
      </c>
      <c r="K495" s="27" t="s">
        <v>8</v>
      </c>
      <c r="L495" s="27" t="s">
        <v>7</v>
      </c>
      <c r="M495" s="27" t="s">
        <v>8</v>
      </c>
      <c r="N495" s="27" t="s">
        <v>7</v>
      </c>
      <c r="O495" s="27" t="s">
        <v>8</v>
      </c>
      <c r="P495" s="27" t="s">
        <v>7</v>
      </c>
      <c r="BE495" s="27" t="s">
        <v>8</v>
      </c>
    </row>
    <row r="496" spans="1:67" x14ac:dyDescent="0.25">
      <c r="A496" s="7">
        <v>6.0619957888315641</v>
      </c>
      <c r="B496"/>
      <c r="C496"/>
      <c r="D496"/>
      <c r="E496"/>
      <c r="I496" s="27" t="s">
        <v>8</v>
      </c>
      <c r="J496" s="27" t="s">
        <v>7</v>
      </c>
      <c r="K496" s="27" t="s">
        <v>8</v>
      </c>
      <c r="L496" s="27" t="s">
        <v>7</v>
      </c>
      <c r="M496" s="27" t="s">
        <v>8</v>
      </c>
      <c r="N496" s="27" t="s">
        <v>7</v>
      </c>
      <c r="O496" s="27" t="s">
        <v>8</v>
      </c>
      <c r="P496" s="27" t="s">
        <v>7</v>
      </c>
      <c r="AS496" s="27" t="s">
        <v>8</v>
      </c>
      <c r="BE496" s="27" t="s">
        <v>8</v>
      </c>
    </row>
    <row r="497" spans="1:57" x14ac:dyDescent="0.25">
      <c r="A497" s="7">
        <v>5.9431331263054545</v>
      </c>
      <c r="B497"/>
      <c r="C497"/>
      <c r="D497"/>
      <c r="E497"/>
      <c r="I497" s="27" t="s">
        <v>8</v>
      </c>
      <c r="J497" s="27" t="s">
        <v>7</v>
      </c>
      <c r="K497" s="27" t="s">
        <v>8</v>
      </c>
      <c r="L497" s="27" t="s">
        <v>7</v>
      </c>
      <c r="M497" s="27" t="s">
        <v>8</v>
      </c>
      <c r="N497" s="27" t="s">
        <v>7</v>
      </c>
      <c r="O497" s="27" t="s">
        <v>8</v>
      </c>
      <c r="P497" s="27" t="s">
        <v>7</v>
      </c>
      <c r="AS497" s="27" t="s">
        <v>8</v>
      </c>
      <c r="AT497" s="27" t="s">
        <v>7</v>
      </c>
      <c r="BE497" s="27" t="s">
        <v>8</v>
      </c>
    </row>
    <row r="498" spans="1:57" x14ac:dyDescent="0.25">
      <c r="A498" s="7">
        <v>5.8266011042210337</v>
      </c>
      <c r="B498"/>
      <c r="C498"/>
      <c r="D498"/>
      <c r="E498"/>
      <c r="I498" s="27" t="s">
        <v>8</v>
      </c>
      <c r="J498" s="27" t="s">
        <v>7</v>
      </c>
      <c r="K498" s="27" t="s">
        <v>8</v>
      </c>
      <c r="L498" s="27" t="s">
        <v>7</v>
      </c>
      <c r="M498" s="27" t="s">
        <v>8</v>
      </c>
      <c r="N498" s="27" t="s">
        <v>7</v>
      </c>
      <c r="O498" s="27" t="s">
        <v>8</v>
      </c>
      <c r="P498" s="27" t="s">
        <v>7</v>
      </c>
      <c r="AS498" s="27" t="s">
        <v>8</v>
      </c>
      <c r="AT498" s="27" t="s">
        <v>7</v>
      </c>
      <c r="BE498" s="27" t="s">
        <v>8</v>
      </c>
    </row>
    <row r="499" spans="1:57" x14ac:dyDescent="0.25">
      <c r="A499" s="7">
        <v>5.7123540237461112</v>
      </c>
      <c r="B499"/>
      <c r="C499"/>
      <c r="D499"/>
      <c r="E499"/>
      <c r="I499" s="27" t="s">
        <v>8</v>
      </c>
      <c r="J499" s="27" t="s">
        <v>7</v>
      </c>
      <c r="K499" s="27" t="s">
        <v>8</v>
      </c>
      <c r="L499" s="27" t="s">
        <v>7</v>
      </c>
      <c r="N499" s="27" t="s">
        <v>7</v>
      </c>
      <c r="O499" s="27" t="s">
        <v>8</v>
      </c>
      <c r="P499" s="27" t="s">
        <v>7</v>
      </c>
      <c r="AS499" s="27" t="s">
        <v>8</v>
      </c>
      <c r="AT499" s="27" t="s">
        <v>7</v>
      </c>
      <c r="BA499" s="27" t="s">
        <v>8</v>
      </c>
      <c r="BE499" s="27" t="s">
        <v>8</v>
      </c>
    </row>
    <row r="500" spans="1:57" x14ac:dyDescent="0.25">
      <c r="A500" s="7">
        <v>5.6003470821040304</v>
      </c>
      <c r="B500"/>
      <c r="C500"/>
      <c r="D500"/>
      <c r="E500"/>
      <c r="I500" s="27" t="s">
        <v>8</v>
      </c>
      <c r="J500" s="27" t="s">
        <v>7</v>
      </c>
      <c r="K500" s="27" t="s">
        <v>8</v>
      </c>
      <c r="N500" s="27" t="s">
        <v>7</v>
      </c>
      <c r="P500" s="27" t="s">
        <v>7</v>
      </c>
      <c r="AS500" s="27" t="s">
        <v>8</v>
      </c>
      <c r="AT500" s="27" t="s">
        <v>7</v>
      </c>
      <c r="BA500" s="27" t="s">
        <v>8</v>
      </c>
      <c r="BB500" s="27" t="s">
        <v>7</v>
      </c>
      <c r="BE500" s="27" t="s">
        <v>8</v>
      </c>
    </row>
    <row r="501" spans="1:57" x14ac:dyDescent="0.25">
      <c r="A501" s="7">
        <v>5.4905363550039512</v>
      </c>
      <c r="B501"/>
      <c r="C501"/>
      <c r="D501"/>
      <c r="E501"/>
      <c r="I501" s="27" t="s">
        <v>8</v>
      </c>
      <c r="J501" s="27" t="s">
        <v>7</v>
      </c>
      <c r="P501" s="27" t="s">
        <v>7</v>
      </c>
      <c r="U501" s="27" t="s">
        <v>8</v>
      </c>
      <c r="AS501" s="27" t="s">
        <v>8</v>
      </c>
      <c r="AT501" s="27" t="s">
        <v>7</v>
      </c>
      <c r="AW501" s="27" t="s">
        <v>8</v>
      </c>
      <c r="AY501" s="27" t="s">
        <v>8</v>
      </c>
      <c r="BA501" s="27" t="s">
        <v>8</v>
      </c>
      <c r="BB501" s="27" t="s">
        <v>7</v>
      </c>
      <c r="BE501" s="27" t="s">
        <v>8</v>
      </c>
    </row>
    <row r="502" spans="1:57" x14ac:dyDescent="0.25">
      <c r="A502" s="7">
        <v>5.3828787794156385</v>
      </c>
      <c r="B502"/>
      <c r="C502"/>
      <c r="D502"/>
      <c r="E502"/>
      <c r="I502" s="27" t="s">
        <v>8</v>
      </c>
      <c r="P502" s="27" t="s">
        <v>7</v>
      </c>
      <c r="U502" s="27" t="s">
        <v>8</v>
      </c>
      <c r="V502" s="27" t="s">
        <v>7</v>
      </c>
      <c r="W502" s="27" t="s">
        <v>8</v>
      </c>
      <c r="AS502" s="27" t="s">
        <v>8</v>
      </c>
      <c r="AT502" s="27" t="s">
        <v>7</v>
      </c>
      <c r="AW502" s="27" t="s">
        <v>8</v>
      </c>
      <c r="AX502" s="27" t="s">
        <v>7</v>
      </c>
      <c r="AY502" s="27" t="s">
        <v>8</v>
      </c>
      <c r="AZ502" s="27" t="s">
        <v>7</v>
      </c>
      <c r="BA502" s="27" t="s">
        <v>8</v>
      </c>
      <c r="BB502" s="27" t="s">
        <v>7</v>
      </c>
      <c r="BE502" s="27" t="s">
        <v>8</v>
      </c>
    </row>
    <row r="503" spans="1:57" x14ac:dyDescent="0.25">
      <c r="A503" s="7">
        <v>5.2773321366819985</v>
      </c>
      <c r="B503"/>
      <c r="C503"/>
      <c r="D503"/>
      <c r="E503"/>
      <c r="I503" s="27" t="s">
        <v>8</v>
      </c>
      <c r="P503" s="27" t="s">
        <v>7</v>
      </c>
      <c r="U503" s="27" t="s">
        <v>8</v>
      </c>
      <c r="V503" s="27" t="s">
        <v>7</v>
      </c>
      <c r="W503" s="27" t="s">
        <v>8</v>
      </c>
      <c r="X503" s="27" t="s">
        <v>7</v>
      </c>
      <c r="AS503" s="27" t="s">
        <v>8</v>
      </c>
      <c r="AT503" s="27" t="s">
        <v>7</v>
      </c>
      <c r="AW503" s="27" t="s">
        <v>8</v>
      </c>
      <c r="AX503" s="27" t="s">
        <v>7</v>
      </c>
      <c r="AY503" s="27" t="s">
        <v>8</v>
      </c>
      <c r="AZ503" s="27" t="s">
        <v>7</v>
      </c>
      <c r="BA503" s="27" t="s">
        <v>8</v>
      </c>
      <c r="BB503" s="27" t="s">
        <v>7</v>
      </c>
      <c r="BE503" s="27" t="s">
        <v>8</v>
      </c>
    </row>
    <row r="504" spans="1:57" x14ac:dyDescent="0.25">
      <c r="A504" s="7">
        <v>5.1738550359627435</v>
      </c>
      <c r="B504"/>
      <c r="C504"/>
      <c r="D504"/>
      <c r="E504"/>
      <c r="I504" s="27" t="s">
        <v>8</v>
      </c>
      <c r="P504" s="27" t="s">
        <v>7</v>
      </c>
      <c r="U504" s="27" t="s">
        <v>8</v>
      </c>
      <c r="V504" s="27" t="s">
        <v>7</v>
      </c>
      <c r="W504" s="27" t="s">
        <v>8</v>
      </c>
      <c r="X504" s="27" t="s">
        <v>7</v>
      </c>
      <c r="AS504" s="27" t="s">
        <v>8</v>
      </c>
      <c r="AT504" s="27" t="s">
        <v>7</v>
      </c>
      <c r="AW504" s="27" t="s">
        <v>8</v>
      </c>
      <c r="AX504" s="27" t="s">
        <v>7</v>
      </c>
      <c r="AY504" s="27" t="s">
        <v>8</v>
      </c>
      <c r="AZ504" s="27" t="s">
        <v>7</v>
      </c>
      <c r="BA504" s="27" t="s">
        <v>8</v>
      </c>
      <c r="BB504" s="27" t="s">
        <v>7</v>
      </c>
      <c r="BC504" s="27" t="s">
        <v>8</v>
      </c>
      <c r="BE504" s="27" t="s">
        <v>8</v>
      </c>
    </row>
    <row r="505" spans="1:57" x14ac:dyDescent="0.25">
      <c r="A505" s="7">
        <v>5.07240689800269</v>
      </c>
      <c r="B505"/>
      <c r="C505"/>
      <c r="D505"/>
      <c r="E505"/>
      <c r="I505" s="27" t="s">
        <v>8</v>
      </c>
      <c r="P505" s="27" t="s">
        <v>7</v>
      </c>
      <c r="U505" s="27" t="s">
        <v>8</v>
      </c>
      <c r="V505" s="27" t="s">
        <v>7</v>
      </c>
      <c r="W505" s="27" t="s">
        <v>8</v>
      </c>
      <c r="X505" s="27" t="s">
        <v>7</v>
      </c>
      <c r="AS505" s="27" t="s">
        <v>8</v>
      </c>
      <c r="AT505" s="27" t="s">
        <v>7</v>
      </c>
      <c r="AU505" s="27" t="s">
        <v>8</v>
      </c>
      <c r="AW505" s="27" t="s">
        <v>8</v>
      </c>
      <c r="AX505" s="27" t="s">
        <v>7</v>
      </c>
      <c r="AZ505" s="27" t="s">
        <v>7</v>
      </c>
      <c r="BA505" s="27" t="s">
        <v>8</v>
      </c>
      <c r="BB505" s="27" t="s">
        <v>7</v>
      </c>
      <c r="BC505" s="27" t="s">
        <v>8</v>
      </c>
      <c r="BD505" s="27" t="s">
        <v>7</v>
      </c>
      <c r="BE505" s="27" t="s">
        <v>8</v>
      </c>
    </row>
    <row r="506" spans="1:57" x14ac:dyDescent="0.25">
      <c r="A506" s="7">
        <v>4.9729479392183231</v>
      </c>
      <c r="B506"/>
      <c r="C506"/>
      <c r="D506"/>
      <c r="E506"/>
      <c r="I506" s="27" t="s">
        <v>8</v>
      </c>
      <c r="P506" s="27" t="s">
        <v>7</v>
      </c>
      <c r="U506" s="27" t="s">
        <v>8</v>
      </c>
      <c r="V506" s="27" t="s">
        <v>7</v>
      </c>
      <c r="X506" s="27" t="s">
        <v>7</v>
      </c>
      <c r="AS506" s="27" t="s">
        <v>8</v>
      </c>
      <c r="AT506" s="27" t="s">
        <v>7</v>
      </c>
      <c r="AU506" s="27" t="s">
        <v>8</v>
      </c>
      <c r="AV506" s="27" t="s">
        <v>7</v>
      </c>
      <c r="AW506" s="27" t="s">
        <v>8</v>
      </c>
      <c r="AZ506" s="27" t="s">
        <v>7</v>
      </c>
      <c r="BA506" s="27" t="s">
        <v>8</v>
      </c>
      <c r="BB506" s="27" t="s">
        <v>7</v>
      </c>
      <c r="BC506" s="27" t="s">
        <v>8</v>
      </c>
      <c r="BD506" s="27" t="s">
        <v>7</v>
      </c>
      <c r="BE506" s="27" t="s">
        <v>8</v>
      </c>
    </row>
    <row r="507" spans="1:57" x14ac:dyDescent="0.25">
      <c r="A507" s="7">
        <v>4.8754391560963954</v>
      </c>
      <c r="B507"/>
      <c r="C507"/>
      <c r="D507"/>
      <c r="E507"/>
      <c r="I507" s="27" t="s">
        <v>8</v>
      </c>
      <c r="P507" s="27" t="s">
        <v>7</v>
      </c>
      <c r="Q507" s="27" t="s">
        <v>8</v>
      </c>
      <c r="S507" s="27" t="s">
        <v>8</v>
      </c>
      <c r="U507" s="27" t="s">
        <v>8</v>
      </c>
      <c r="X507" s="27" t="s">
        <v>7</v>
      </c>
      <c r="AI507" s="27" t="s">
        <v>8</v>
      </c>
      <c r="AQ507" s="27" t="s">
        <v>8</v>
      </c>
      <c r="AS507" s="27" t="s">
        <v>8</v>
      </c>
      <c r="AT507" s="27" t="s">
        <v>7</v>
      </c>
      <c r="AU507" s="27" t="s">
        <v>8</v>
      </c>
      <c r="AV507" s="27" t="s">
        <v>7</v>
      </c>
      <c r="AW507" s="27" t="s">
        <v>8</v>
      </c>
      <c r="AZ507" s="27" t="s">
        <v>7</v>
      </c>
      <c r="BA507" s="27" t="s">
        <v>8</v>
      </c>
      <c r="BB507" s="27" t="s">
        <v>7</v>
      </c>
      <c r="BC507" s="27" t="s">
        <v>8</v>
      </c>
      <c r="BD507" s="27" t="s">
        <v>7</v>
      </c>
      <c r="BE507" s="27" t="s">
        <v>8</v>
      </c>
    </row>
    <row r="508" spans="1:57" x14ac:dyDescent="0.25">
      <c r="A508" s="7">
        <v>4.7798423098984264</v>
      </c>
      <c r="B508"/>
      <c r="C508"/>
      <c r="D508"/>
      <c r="E508"/>
      <c r="I508" s="27" t="s">
        <v>8</v>
      </c>
      <c r="P508" s="27" t="s">
        <v>7</v>
      </c>
      <c r="Q508" s="27" t="s">
        <v>8</v>
      </c>
      <c r="R508" s="27" t="s">
        <v>7</v>
      </c>
      <c r="S508" s="27" t="s">
        <v>8</v>
      </c>
      <c r="T508" s="27" t="s">
        <v>7</v>
      </c>
      <c r="U508" s="27" t="s">
        <v>8</v>
      </c>
      <c r="X508" s="27" t="s">
        <v>7</v>
      </c>
      <c r="AI508" s="27" t="s">
        <v>8</v>
      </c>
      <c r="AJ508" s="27" t="s">
        <v>7</v>
      </c>
      <c r="AM508" s="27" t="s">
        <v>8</v>
      </c>
      <c r="AQ508" s="27" t="s">
        <v>8</v>
      </c>
      <c r="AR508" s="27" t="s">
        <v>7</v>
      </c>
      <c r="AS508" s="27" t="s">
        <v>8</v>
      </c>
      <c r="AT508" s="27" t="s">
        <v>7</v>
      </c>
      <c r="AU508" s="27" t="s">
        <v>8</v>
      </c>
      <c r="AV508" s="27" t="s">
        <v>7</v>
      </c>
      <c r="AW508" s="27" t="s">
        <v>8</v>
      </c>
      <c r="AZ508" s="27" t="s">
        <v>7</v>
      </c>
      <c r="BA508" s="27" t="s">
        <v>8</v>
      </c>
      <c r="BB508" s="27" t="s">
        <v>7</v>
      </c>
      <c r="BD508" s="27" t="s">
        <v>7</v>
      </c>
      <c r="BE508" s="27" t="s">
        <v>8</v>
      </c>
    </row>
    <row r="509" spans="1:57" x14ac:dyDescent="0.25">
      <c r="A509" s="7">
        <v>4.6861199116651235</v>
      </c>
      <c r="B509"/>
      <c r="C509"/>
      <c r="D509"/>
      <c r="E509"/>
      <c r="I509" s="27" t="s">
        <v>8</v>
      </c>
      <c r="P509" s="27" t="s">
        <v>7</v>
      </c>
      <c r="Q509" s="27" t="s">
        <v>8</v>
      </c>
      <c r="R509" s="27" t="s">
        <v>7</v>
      </c>
      <c r="S509" s="27" t="s">
        <v>8</v>
      </c>
      <c r="T509" s="27" t="s">
        <v>7</v>
      </c>
      <c r="U509" s="27" t="s">
        <v>8</v>
      </c>
      <c r="X509" s="27" t="s">
        <v>7</v>
      </c>
      <c r="AI509" s="27" t="s">
        <v>8</v>
      </c>
      <c r="AJ509" s="27" t="s">
        <v>7</v>
      </c>
      <c r="AM509" s="27" t="s">
        <v>8</v>
      </c>
      <c r="AN509" s="27" t="s">
        <v>7</v>
      </c>
      <c r="AQ509" s="27" t="s">
        <v>8</v>
      </c>
      <c r="AR509" s="27" t="s">
        <v>7</v>
      </c>
      <c r="AS509" s="27" t="s">
        <v>8</v>
      </c>
      <c r="AT509" s="27" t="s">
        <v>7</v>
      </c>
      <c r="AU509" s="27" t="s">
        <v>8</v>
      </c>
      <c r="AV509" s="27" t="s">
        <v>7</v>
      </c>
      <c r="AZ509" s="27" t="s">
        <v>7</v>
      </c>
      <c r="BA509" s="27" t="s">
        <v>8</v>
      </c>
      <c r="BD509" s="27" t="s">
        <v>7</v>
      </c>
      <c r="BE509" s="27" t="s">
        <v>8</v>
      </c>
    </row>
    <row r="510" spans="1:57" x14ac:dyDescent="0.25">
      <c r="A510" s="7">
        <v>4.5942352075148269</v>
      </c>
      <c r="B510"/>
      <c r="C510"/>
      <c r="D510"/>
      <c r="E510"/>
      <c r="I510" s="27" t="s">
        <v>8</v>
      </c>
      <c r="P510" s="27" t="s">
        <v>7</v>
      </c>
      <c r="Q510" s="27" t="s">
        <v>8</v>
      </c>
      <c r="R510" s="27" t="s">
        <v>7</v>
      </c>
      <c r="S510" s="27" t="s">
        <v>8</v>
      </c>
      <c r="T510" s="27" t="s">
        <v>7</v>
      </c>
      <c r="U510" s="27" t="s">
        <v>8</v>
      </c>
      <c r="X510" s="27" t="s">
        <v>7</v>
      </c>
      <c r="AA510" s="27" t="s">
        <v>8</v>
      </c>
      <c r="AI510" s="27" t="s">
        <v>8</v>
      </c>
      <c r="AJ510" s="27" t="s">
        <v>7</v>
      </c>
      <c r="AM510" s="27" t="s">
        <v>8</v>
      </c>
      <c r="AN510" s="27" t="s">
        <v>7</v>
      </c>
      <c r="AO510" s="27" t="s">
        <v>8</v>
      </c>
      <c r="AQ510" s="27" t="s">
        <v>8</v>
      </c>
      <c r="AR510" s="27" t="s">
        <v>7</v>
      </c>
      <c r="AS510" s="27" t="s">
        <v>8</v>
      </c>
      <c r="AT510" s="27" t="s">
        <v>7</v>
      </c>
      <c r="AU510" s="27" t="s">
        <v>8</v>
      </c>
      <c r="AZ510" s="27" t="s">
        <v>7</v>
      </c>
      <c r="BD510" s="27" t="s">
        <v>7</v>
      </c>
    </row>
    <row r="511" spans="1:57" x14ac:dyDescent="0.25">
      <c r="A511" s="7">
        <v>4.5041521642302227</v>
      </c>
      <c r="B511"/>
      <c r="C511"/>
      <c r="D511"/>
      <c r="E511"/>
      <c r="G511" s="27" t="s">
        <v>8</v>
      </c>
      <c r="I511" s="27" t="s">
        <v>8</v>
      </c>
      <c r="P511" s="27" t="s">
        <v>7</v>
      </c>
      <c r="Q511" s="27" t="s">
        <v>8</v>
      </c>
      <c r="R511" s="27" t="s">
        <v>7</v>
      </c>
      <c r="S511" s="27" t="s">
        <v>8</v>
      </c>
      <c r="T511" s="27" t="s">
        <v>7</v>
      </c>
      <c r="U511" s="27" t="s">
        <v>8</v>
      </c>
      <c r="X511" s="27" t="s">
        <v>7</v>
      </c>
      <c r="Y511" s="27" t="s">
        <v>8</v>
      </c>
      <c r="AA511" s="27" t="s">
        <v>8</v>
      </c>
      <c r="AB511" s="27" t="s">
        <v>7</v>
      </c>
      <c r="AC511" s="27" t="s">
        <v>8</v>
      </c>
      <c r="AI511" s="27" t="s">
        <v>8</v>
      </c>
      <c r="AJ511" s="27" t="s">
        <v>7</v>
      </c>
      <c r="AM511" s="27" t="s">
        <v>8</v>
      </c>
      <c r="AN511" s="27" t="s">
        <v>7</v>
      </c>
      <c r="AO511" s="27" t="s">
        <v>8</v>
      </c>
      <c r="AP511" s="27" t="s">
        <v>7</v>
      </c>
      <c r="AQ511" s="27" t="s">
        <v>8</v>
      </c>
      <c r="AR511" s="27" t="s">
        <v>7</v>
      </c>
      <c r="AT511" s="27" t="s">
        <v>7</v>
      </c>
    </row>
    <row r="512" spans="1:57" x14ac:dyDescent="0.25">
      <c r="A512" s="7">
        <v>4.4158354551276693</v>
      </c>
      <c r="B512"/>
      <c r="C512"/>
      <c r="D512"/>
      <c r="E512"/>
      <c r="G512" s="27" t="s">
        <v>8</v>
      </c>
      <c r="H512" s="27" t="s">
        <v>7</v>
      </c>
      <c r="I512" s="27" t="s">
        <v>8</v>
      </c>
      <c r="P512" s="27" t="s">
        <v>7</v>
      </c>
      <c r="Q512" s="27" t="s">
        <v>8</v>
      </c>
      <c r="R512" s="27" t="s">
        <v>7</v>
      </c>
      <c r="S512" s="27" t="s">
        <v>8</v>
      </c>
      <c r="T512" s="27" t="s">
        <v>7</v>
      </c>
      <c r="U512" s="27" t="s">
        <v>8</v>
      </c>
      <c r="X512" s="27" t="s">
        <v>7</v>
      </c>
      <c r="Y512" s="27" t="s">
        <v>8</v>
      </c>
      <c r="Z512" s="27" t="s">
        <v>7</v>
      </c>
      <c r="AA512" s="27" t="s">
        <v>8</v>
      </c>
      <c r="AB512" s="27" t="s">
        <v>7</v>
      </c>
      <c r="AC512" s="27" t="s">
        <v>8</v>
      </c>
      <c r="AD512" s="27" t="s">
        <v>7</v>
      </c>
      <c r="AG512" s="27" t="s">
        <v>8</v>
      </c>
      <c r="AI512" s="27" t="s">
        <v>8</v>
      </c>
      <c r="AJ512" s="27" t="s">
        <v>7</v>
      </c>
      <c r="AM512" s="27" t="s">
        <v>8</v>
      </c>
      <c r="AN512" s="27" t="s">
        <v>7</v>
      </c>
      <c r="AO512" s="27" t="s">
        <v>8</v>
      </c>
      <c r="AP512" s="27" t="s">
        <v>7</v>
      </c>
      <c r="AQ512" s="27" t="s">
        <v>8</v>
      </c>
    </row>
    <row r="513" spans="1:42" x14ac:dyDescent="0.25">
      <c r="A513" s="7">
        <v>4.3292504462035977</v>
      </c>
      <c r="B513"/>
      <c r="C513"/>
      <c r="D513"/>
      <c r="E513"/>
      <c r="G513" s="27" t="s">
        <v>8</v>
      </c>
      <c r="H513" s="27" t="s">
        <v>7</v>
      </c>
      <c r="I513" s="27" t="s">
        <v>8</v>
      </c>
      <c r="P513" s="27" t="s">
        <v>7</v>
      </c>
      <c r="Q513" s="27" t="s">
        <v>8</v>
      </c>
      <c r="R513" s="27" t="s">
        <v>7</v>
      </c>
      <c r="S513" s="27" t="s">
        <v>8</v>
      </c>
      <c r="T513" s="27" t="s">
        <v>7</v>
      </c>
      <c r="X513" s="27" t="s">
        <v>7</v>
      </c>
      <c r="Y513" s="27" t="s">
        <v>8</v>
      </c>
      <c r="Z513" s="27" t="s">
        <v>7</v>
      </c>
      <c r="AA513" s="27" t="s">
        <v>8</v>
      </c>
      <c r="AB513" s="27" t="s">
        <v>7</v>
      </c>
      <c r="AC513" s="27" t="s">
        <v>8</v>
      </c>
      <c r="AD513" s="27" t="s">
        <v>7</v>
      </c>
      <c r="AG513" s="27" t="s">
        <v>8</v>
      </c>
      <c r="AH513" s="27" t="s">
        <v>7</v>
      </c>
      <c r="AI513" s="27" t="s">
        <v>8</v>
      </c>
      <c r="AJ513" s="27" t="s">
        <v>7</v>
      </c>
      <c r="AM513" s="27" t="s">
        <v>8</v>
      </c>
      <c r="AN513" s="27" t="s">
        <v>7</v>
      </c>
      <c r="AO513" s="27" t="s">
        <v>8</v>
      </c>
      <c r="AP513" s="27" t="s">
        <v>7</v>
      </c>
    </row>
    <row r="514" spans="1:42" x14ac:dyDescent="0.25">
      <c r="A514" s="7">
        <v>4.2443631825525463</v>
      </c>
      <c r="B514"/>
      <c r="C514"/>
      <c r="D514"/>
      <c r="E514"/>
      <c r="G514" s="27" t="s">
        <v>8</v>
      </c>
      <c r="H514" s="27" t="s">
        <v>7</v>
      </c>
      <c r="I514" s="27" t="s">
        <v>8</v>
      </c>
      <c r="P514" s="27" t="s">
        <v>7</v>
      </c>
      <c r="Q514" s="27" t="s">
        <v>8</v>
      </c>
      <c r="R514" s="27" t="s">
        <v>7</v>
      </c>
      <c r="S514" s="27" t="s">
        <v>8</v>
      </c>
      <c r="X514" s="27" t="s">
        <v>7</v>
      </c>
      <c r="Y514" s="27" t="s">
        <v>8</v>
      </c>
      <c r="Z514" s="27" t="s">
        <v>7</v>
      </c>
      <c r="AA514" s="27" t="s">
        <v>8</v>
      </c>
      <c r="AB514" s="27" t="s">
        <v>7</v>
      </c>
      <c r="AD514" s="27" t="s">
        <v>7</v>
      </c>
      <c r="AE514" s="27" t="s">
        <v>8</v>
      </c>
      <c r="AG514" s="27" t="s">
        <v>8</v>
      </c>
      <c r="AH514" s="27" t="s">
        <v>7</v>
      </c>
      <c r="AI514" s="27" t="s">
        <v>8</v>
      </c>
      <c r="AJ514" s="27" t="s">
        <v>7</v>
      </c>
      <c r="AK514" s="27" t="s">
        <v>8</v>
      </c>
      <c r="AM514" s="27" t="s">
        <v>8</v>
      </c>
      <c r="AN514" s="27" t="s">
        <v>7</v>
      </c>
      <c r="AO514" s="27" t="s">
        <v>8</v>
      </c>
    </row>
    <row r="515" spans="1:42" x14ac:dyDescent="0.25">
      <c r="A515" s="7">
        <v>4.1611403750515157</v>
      </c>
      <c r="B515"/>
      <c r="C515"/>
      <c r="D515"/>
      <c r="E515"/>
      <c r="G515" s="27" t="s">
        <v>8</v>
      </c>
      <c r="H515" s="27" t="s">
        <v>7</v>
      </c>
      <c r="I515" s="27" t="s">
        <v>8</v>
      </c>
      <c r="P515" s="27" t="s">
        <v>7</v>
      </c>
      <c r="Q515" s="27" t="s">
        <v>8</v>
      </c>
      <c r="R515" s="27" t="s">
        <v>7</v>
      </c>
      <c r="S515" s="27" t="s">
        <v>8</v>
      </c>
      <c r="X515" s="27" t="s">
        <v>7</v>
      </c>
      <c r="Y515" s="27" t="s">
        <v>8</v>
      </c>
      <c r="Z515" s="27" t="s">
        <v>7</v>
      </c>
      <c r="AD515" s="27" t="s">
        <v>7</v>
      </c>
      <c r="AE515" s="27" t="s">
        <v>8</v>
      </c>
      <c r="AF515" s="27" t="s">
        <v>7</v>
      </c>
      <c r="AG515" s="27" t="s">
        <v>8</v>
      </c>
      <c r="AH515" s="27" t="s">
        <v>7</v>
      </c>
      <c r="AI515" s="27" t="s">
        <v>8</v>
      </c>
      <c r="AJ515" s="27" t="s">
        <v>7</v>
      </c>
      <c r="AK515" s="27" t="s">
        <v>8</v>
      </c>
      <c r="AL515" s="27" t="s">
        <v>7</v>
      </c>
      <c r="AM515" s="27" t="s">
        <v>8</v>
      </c>
      <c r="AN515" s="27" t="s">
        <v>7</v>
      </c>
    </row>
    <row r="516" spans="1:42" x14ac:dyDescent="0.25">
      <c r="A516" s="7">
        <v>4.0795493873054074</v>
      </c>
      <c r="B516"/>
      <c r="C516"/>
      <c r="D516"/>
      <c r="E516"/>
      <c r="G516" s="27" t="s">
        <v>8</v>
      </c>
      <c r="H516" s="27" t="s">
        <v>7</v>
      </c>
      <c r="I516" s="27" t="s">
        <v>8</v>
      </c>
      <c r="P516" s="27" t="s">
        <v>7</v>
      </c>
      <c r="Q516" s="27" t="s">
        <v>8</v>
      </c>
      <c r="R516" s="27" t="s">
        <v>7</v>
      </c>
      <c r="X516" s="27" t="s">
        <v>7</v>
      </c>
      <c r="Y516" s="27" t="s">
        <v>8</v>
      </c>
      <c r="AD516" s="27" t="s">
        <v>7</v>
      </c>
      <c r="AE516" s="27" t="s">
        <v>8</v>
      </c>
      <c r="AF516" s="27" t="s">
        <v>7</v>
      </c>
      <c r="AG516" s="27" t="s">
        <v>8</v>
      </c>
      <c r="AH516" s="27" t="s">
        <v>7</v>
      </c>
      <c r="AI516" s="27" t="s">
        <v>8</v>
      </c>
      <c r="AJ516" s="27" t="s">
        <v>7</v>
      </c>
      <c r="AK516" s="27" t="s">
        <v>8</v>
      </c>
      <c r="AL516" s="27" t="s">
        <v>7</v>
      </c>
      <c r="AM516" s="27" t="s">
        <v>8</v>
      </c>
    </row>
    <row r="517" spans="1:42" x14ac:dyDescent="0.25">
      <c r="A517" s="7">
        <v>3.9995582228484383</v>
      </c>
      <c r="B517"/>
      <c r="C517"/>
      <c r="D517"/>
      <c r="E517"/>
      <c r="G517" s="27" t="s">
        <v>8</v>
      </c>
      <c r="H517" s="27" t="s">
        <v>7</v>
      </c>
      <c r="I517" s="27" t="s">
        <v>8</v>
      </c>
      <c r="P517" s="27" t="s">
        <v>7</v>
      </c>
      <c r="Q517" s="27" t="s">
        <v>8</v>
      </c>
      <c r="X517" s="27" t="s">
        <v>7</v>
      </c>
      <c r="Y517" s="27" t="s">
        <v>8</v>
      </c>
      <c r="AD517" s="27" t="s">
        <v>7</v>
      </c>
      <c r="AE517" s="27" t="s">
        <v>8</v>
      </c>
      <c r="AF517" s="27" t="s">
        <v>7</v>
      </c>
      <c r="AG517" s="27" t="s">
        <v>8</v>
      </c>
      <c r="AH517" s="27" t="s">
        <v>7</v>
      </c>
      <c r="AI517" s="27" t="s">
        <v>8</v>
      </c>
      <c r="AJ517" s="27" t="s">
        <v>7</v>
      </c>
      <c r="AK517" s="27" t="s">
        <v>8</v>
      </c>
      <c r="AL517" s="27" t="s">
        <v>7</v>
      </c>
      <c r="AM517" s="27" t="s">
        <v>8</v>
      </c>
    </row>
    <row r="518" spans="1:42" x14ac:dyDescent="0.25">
      <c r="A518" s="7">
        <v>3.9211355125965079</v>
      </c>
      <c r="B518"/>
      <c r="C518"/>
      <c r="D518"/>
      <c r="E518"/>
      <c r="G518" s="27" t="s">
        <v>8</v>
      </c>
      <c r="H518" s="27" t="s">
        <v>7</v>
      </c>
      <c r="I518" s="27" t="s">
        <v>8</v>
      </c>
      <c r="P518" s="27" t="s">
        <v>7</v>
      </c>
      <c r="Q518" s="27" t="s">
        <v>8</v>
      </c>
      <c r="X518" s="27" t="s">
        <v>7</v>
      </c>
      <c r="AD518" s="27" t="s">
        <v>7</v>
      </c>
      <c r="AF518" s="27" t="s">
        <v>7</v>
      </c>
      <c r="AG518" s="27" t="s">
        <v>8</v>
      </c>
      <c r="AH518" s="27" t="s">
        <v>7</v>
      </c>
      <c r="AI518" s="27" t="s">
        <v>8</v>
      </c>
      <c r="AJ518" s="27" t="s">
        <v>7</v>
      </c>
      <c r="AL518" s="27" t="s">
        <v>7</v>
      </c>
    </row>
    <row r="519" spans="1:42" x14ac:dyDescent="0.25">
      <c r="A519" s="7">
        <v>3.844250502545596</v>
      </c>
      <c r="B519"/>
      <c r="C519"/>
      <c r="D519"/>
      <c r="E519"/>
      <c r="G519" s="27" t="s">
        <v>8</v>
      </c>
      <c r="H519" s="27" t="s">
        <v>7</v>
      </c>
      <c r="I519" s="27" t="s">
        <v>8</v>
      </c>
      <c r="P519" s="27" t="s">
        <v>7</v>
      </c>
      <c r="Q519" s="27" t="s">
        <v>8</v>
      </c>
      <c r="AF519" s="27" t="s">
        <v>7</v>
      </c>
      <c r="AG519" s="27" t="s">
        <v>8</v>
      </c>
      <c r="AH519" s="27" t="s">
        <v>7</v>
      </c>
    </row>
    <row r="520" spans="1:42" x14ac:dyDescent="0.25">
      <c r="A520" s="7">
        <v>3.7688730417113687</v>
      </c>
      <c r="B520"/>
      <c r="C520"/>
      <c r="D520"/>
      <c r="E520"/>
      <c r="G520" s="27" t="s">
        <v>8</v>
      </c>
      <c r="H520" s="27" t="s">
        <v>7</v>
      </c>
      <c r="P520" s="27" t="s">
        <v>7</v>
      </c>
      <c r="Q520" s="27" t="s">
        <v>8</v>
      </c>
      <c r="AF520" s="27" t="s">
        <v>7</v>
      </c>
      <c r="AG520" s="27" t="s">
        <v>8</v>
      </c>
    </row>
    <row r="521" spans="1:42" x14ac:dyDescent="0.25">
      <c r="A521" s="7">
        <v>3.6949735703052635</v>
      </c>
      <c r="B521"/>
      <c r="C521"/>
      <c r="D521"/>
      <c r="E521"/>
      <c r="G521" s="27" t="s">
        <v>8</v>
      </c>
      <c r="P521" s="27" t="s">
        <v>7</v>
      </c>
      <c r="Q521" s="27" t="s">
        <v>8</v>
      </c>
      <c r="AF521" s="27" t="s">
        <v>7</v>
      </c>
      <c r="AG521" s="27" t="s">
        <v>8</v>
      </c>
    </row>
    <row r="522" spans="1:42" x14ac:dyDescent="0.25">
      <c r="A522" s="7">
        <v>3.6225231081424152</v>
      </c>
      <c r="B522"/>
      <c r="C522"/>
      <c r="D522"/>
      <c r="E522"/>
      <c r="G522" s="27" t="s">
        <v>8</v>
      </c>
      <c r="P522" s="27" t="s">
        <v>7</v>
      </c>
      <c r="Q522" s="27" t="s">
        <v>8</v>
      </c>
      <c r="AF522" s="27" t="s">
        <v>7</v>
      </c>
    </row>
    <row r="523" spans="1:42" x14ac:dyDescent="0.25">
      <c r="A523" s="7">
        <v>3.5514932432768775</v>
      </c>
      <c r="B523"/>
      <c r="C523"/>
      <c r="D523"/>
      <c r="E523"/>
      <c r="G523" s="27" t="s">
        <v>8</v>
      </c>
      <c r="P523" s="27" t="s">
        <v>7</v>
      </c>
    </row>
    <row r="524" spans="1:42" x14ac:dyDescent="0.25">
      <c r="A524" s="7">
        <v>3.4818561208596837</v>
      </c>
      <c r="B524"/>
      <c r="C524"/>
      <c r="D524"/>
      <c r="E524"/>
      <c r="G524" s="27" t="s">
        <v>8</v>
      </c>
    </row>
    <row r="525" spans="1:42" x14ac:dyDescent="0.25">
      <c r="A525" s="7">
        <v>3.4135844322153761</v>
      </c>
      <c r="B525"/>
      <c r="C525"/>
      <c r="D525"/>
      <c r="E525"/>
      <c r="G525" s="27" t="s">
        <v>8</v>
      </c>
    </row>
    <row r="526" spans="1:42" x14ac:dyDescent="0.25">
      <c r="A526" s="7">
        <v>3.3466514041327216</v>
      </c>
      <c r="B526"/>
      <c r="C526"/>
      <c r="D526"/>
      <c r="E526"/>
      <c r="G526" s="27" t="s">
        <v>8</v>
      </c>
    </row>
    <row r="527" spans="1:42" x14ac:dyDescent="0.25">
      <c r="A527" s="7">
        <v>3.2810307883654133</v>
      </c>
      <c r="B527"/>
      <c r="C527"/>
      <c r="D527"/>
      <c r="E527"/>
      <c r="G527" s="27" t="s">
        <v>8</v>
      </c>
    </row>
    <row r="528" spans="1:42" x14ac:dyDescent="0.25">
      <c r="A528" s="7">
        <v>3.2166968513386403</v>
      </c>
      <c r="B528"/>
      <c r="C528"/>
      <c r="D528"/>
      <c r="E528"/>
      <c r="G528" s="27" t="s">
        <v>8</v>
      </c>
    </row>
    <row r="529" spans="1:7" x14ac:dyDescent="0.25">
      <c r="A529" s="7">
        <v>3.1536243640574906</v>
      </c>
      <c r="B529"/>
      <c r="C529"/>
      <c r="D529"/>
      <c r="E529" t="s">
        <v>8</v>
      </c>
      <c r="G529" s="27" t="s">
        <v>8</v>
      </c>
    </row>
    <row r="530" spans="1:7" x14ac:dyDescent="0.25">
      <c r="A530" s="7">
        <v>3.0917885922132262</v>
      </c>
      <c r="B530"/>
      <c r="C530"/>
      <c r="D530"/>
      <c r="E530" t="s">
        <v>8</v>
      </c>
      <c r="F530" s="27" t="s">
        <v>7</v>
      </c>
      <c r="G530" s="27" t="s">
        <v>8</v>
      </c>
    </row>
    <row r="531" spans="1:7" x14ac:dyDescent="0.25">
      <c r="A531" s="7">
        <v>3.0311652864835552</v>
      </c>
      <c r="B531"/>
      <c r="C531"/>
      <c r="D531"/>
      <c r="E531" t="s">
        <v>8</v>
      </c>
      <c r="F531" s="27" t="s">
        <v>7</v>
      </c>
      <c r="G531" s="27" t="s">
        <v>8</v>
      </c>
    </row>
    <row r="532" spans="1:7" x14ac:dyDescent="0.25">
      <c r="A532" s="7">
        <v>2.9717306730230932</v>
      </c>
      <c r="B532"/>
      <c r="C532"/>
      <c r="D532"/>
      <c r="E532" t="s">
        <v>8</v>
      </c>
      <c r="F532" s="27" t="s">
        <v>7</v>
      </c>
      <c r="G532" s="27" t="s">
        <v>8</v>
      </c>
    </row>
    <row r="533" spans="1:7" x14ac:dyDescent="0.25">
      <c r="A533" s="7">
        <v>2.9134614441402875</v>
      </c>
      <c r="B533"/>
      <c r="C533"/>
      <c r="D533"/>
      <c r="E533" t="s">
        <v>8</v>
      </c>
      <c r="F533" s="27" t="s">
        <v>7</v>
      </c>
      <c r="G533" s="27" t="s">
        <v>8</v>
      </c>
    </row>
    <row r="534" spans="1:7" x14ac:dyDescent="0.25">
      <c r="A534" s="7">
        <v>2.8563347491571447</v>
      </c>
      <c r="B534"/>
      <c r="C534"/>
      <c r="D534"/>
      <c r="E534" t="s">
        <v>8</v>
      </c>
      <c r="F534" s="27" t="s">
        <v>7</v>
      </c>
      <c r="G534" s="27" t="s">
        <v>8</v>
      </c>
    </row>
    <row r="535" spans="1:7" x14ac:dyDescent="0.25">
      <c r="A535" s="7">
        <v>2.8003281854481812</v>
      </c>
      <c r="B535"/>
      <c r="C535"/>
      <c r="D535"/>
      <c r="E535" t="s">
        <v>8</v>
      </c>
      <c r="F535" s="27" t="s">
        <v>7</v>
      </c>
      <c r="G535" s="27" t="s">
        <v>8</v>
      </c>
    </row>
    <row r="536" spans="1:7" x14ac:dyDescent="0.25">
      <c r="A536" s="7">
        <v>2.7454197896550796</v>
      </c>
      <c r="B536"/>
      <c r="C536"/>
      <c r="D536"/>
      <c r="E536" t="s">
        <v>8</v>
      </c>
      <c r="F536" s="27" t="s">
        <v>7</v>
      </c>
      <c r="G536" s="27" t="s">
        <v>8</v>
      </c>
    </row>
    <row r="537" spans="1:7" x14ac:dyDescent="0.25">
      <c r="A537" s="7">
        <v>2.6915880290736074</v>
      </c>
      <c r="B537"/>
      <c r="C537"/>
      <c r="D537"/>
      <c r="E537" t="s">
        <v>8</v>
      </c>
      <c r="F537" s="27" t="s">
        <v>7</v>
      </c>
      <c r="G537" s="27" t="s">
        <v>8</v>
      </c>
    </row>
    <row r="538" spans="1:7" x14ac:dyDescent="0.25">
      <c r="A538" s="7">
        <v>2.6388117932094191</v>
      </c>
      <c r="B538"/>
      <c r="C538"/>
      <c r="D538"/>
      <c r="E538" t="s">
        <v>8</v>
      </c>
      <c r="F538" s="27" t="s">
        <v>7</v>
      </c>
    </row>
    <row r="539" spans="1:7" x14ac:dyDescent="0.25">
      <c r="A539" s="7">
        <v>2.5870703854994304</v>
      </c>
      <c r="B539"/>
      <c r="C539"/>
      <c r="D539"/>
      <c r="E539" t="s">
        <v>8</v>
      </c>
    </row>
    <row r="540" spans="1:7" x14ac:dyDescent="0.25">
      <c r="A540" s="7">
        <v>2.53634351519552</v>
      </c>
      <c r="B540"/>
      <c r="C540"/>
      <c r="D540"/>
      <c r="E540" t="s">
        <v>8</v>
      </c>
    </row>
    <row r="541" spans="1:7" x14ac:dyDescent="0.25">
      <c r="A541" s="7">
        <v>2.4866112894073726</v>
      </c>
      <c r="B541"/>
      <c r="C541"/>
      <c r="D541"/>
      <c r="E541" t="s">
        <v>8</v>
      </c>
    </row>
    <row r="542" spans="1:7" x14ac:dyDescent="0.25">
      <c r="A542" s="7">
        <v>2.4378542053013459</v>
      </c>
      <c r="B542"/>
      <c r="C542"/>
      <c r="D542"/>
      <c r="E542" t="s">
        <v>8</v>
      </c>
    </row>
    <row r="543" spans="1:7" x14ac:dyDescent="0.25">
      <c r="A543" s="7">
        <v>2.3900531424522997</v>
      </c>
      <c r="B543"/>
      <c r="C543"/>
      <c r="D543"/>
      <c r="E543" t="s">
        <v>8</v>
      </c>
    </row>
    <row r="544" spans="1:7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33" operator="equal">
      <formula>$U$1</formula>
    </cfRule>
    <cfRule type="cellIs" dxfId="89" priority="934" operator="equal">
      <formula>$S$1</formula>
    </cfRule>
  </conditionalFormatting>
  <conditionalFormatting sqref="D27">
    <cfRule type="cellIs" dxfId="88" priority="931" operator="equal">
      <formula>$S$1</formula>
    </cfRule>
    <cfRule type="cellIs" dxfId="87" priority="932" operator="equal">
      <formula>$U$1</formula>
    </cfRule>
  </conditionalFormatting>
  <conditionalFormatting sqref="C164">
    <cfRule type="cellIs" dxfId="86" priority="929" operator="equal">
      <formula>$U$1</formula>
    </cfRule>
    <cfRule type="cellIs" dxfId="85" priority="930" operator="equal">
      <formula>$S$1</formula>
    </cfRule>
  </conditionalFormatting>
  <conditionalFormatting sqref="D164">
    <cfRule type="cellIs" dxfId="84" priority="927" operator="equal">
      <formula>$S$1</formula>
    </cfRule>
    <cfRule type="cellIs" dxfId="83" priority="928" operator="equal">
      <formula>$U$1</formula>
    </cfRule>
  </conditionalFormatting>
  <conditionalFormatting sqref="C55">
    <cfRule type="cellIs" dxfId="82" priority="925" operator="equal">
      <formula>$U$1</formula>
    </cfRule>
    <cfRule type="cellIs" dxfId="81" priority="926" operator="equal">
      <formula>$S$1</formula>
    </cfRule>
  </conditionalFormatting>
  <conditionalFormatting sqref="D55">
    <cfRule type="cellIs" dxfId="80" priority="923" operator="equal">
      <formula>$S$1</formula>
    </cfRule>
    <cfRule type="cellIs" dxfId="79" priority="924" operator="equal">
      <formula>$U$1</formula>
    </cfRule>
  </conditionalFormatting>
  <conditionalFormatting sqref="C89">
    <cfRule type="cellIs" dxfId="78" priority="921" operator="equal">
      <formula>$U$1</formula>
    </cfRule>
    <cfRule type="cellIs" dxfId="77" priority="922" operator="equal">
      <formula>$S$1</formula>
    </cfRule>
  </conditionalFormatting>
  <conditionalFormatting sqref="D89">
    <cfRule type="cellIs" dxfId="76" priority="919" operator="equal">
      <formula>$S$1</formula>
    </cfRule>
    <cfRule type="cellIs" dxfId="75" priority="920" operator="equal">
      <formula>$U$1</formula>
    </cfRule>
  </conditionalFormatting>
  <conditionalFormatting sqref="C136">
    <cfRule type="cellIs" dxfId="74" priority="917" operator="equal">
      <formula>$U$1</formula>
    </cfRule>
    <cfRule type="cellIs" dxfId="73" priority="918" operator="equal">
      <formula>$S$1</formula>
    </cfRule>
  </conditionalFormatting>
  <conditionalFormatting sqref="D136">
    <cfRule type="cellIs" dxfId="72" priority="915" operator="equal">
      <formula>$S$1</formula>
    </cfRule>
    <cfRule type="cellIs" dxfId="71" priority="916" operator="equal">
      <formula>$U$1</formula>
    </cfRule>
  </conditionalFormatting>
  <conditionalFormatting sqref="C1">
    <cfRule type="cellIs" dxfId="70" priority="91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51" zoomScale="85" zoomScaleNormal="85" workbookViewId="0">
      <pane xSplit="4" topLeftCell="BI1" activePane="topRight" state="frozen"/>
      <selection activeCell="A109" sqref="A109"/>
      <selection pane="topRight" activeCell="DK179" sqref="DK17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$A$178</v>
      </c>
      <c r="D111" s="1" t="str">
        <f>ADDRESS(C121-1,D121,1,1)</f>
        <v>$DK$178</v>
      </c>
      <c r="E111"/>
    </row>
    <row r="112" spans="1:5" x14ac:dyDescent="0.25">
      <c r="A112" s="30">
        <v>515.50191262726139</v>
      </c>
      <c r="C112" s="1" t="str">
        <f>ADDRESS(C121,1,1,1)</f>
        <v>$A$179</v>
      </c>
      <c r="D112" s="1" t="str">
        <f>ADDRESS(C121,D121-1,1,1)</f>
        <v>$DJ$179</v>
      </c>
      <c r="E112"/>
    </row>
    <row r="113" spans="1:5" x14ac:dyDescent="0.25">
      <c r="A113" s="30">
        <v>490.95420250215363</v>
      </c>
      <c r="C113" s="1" t="str">
        <f>ADDRESS(C121+1,1,1,1)</f>
        <v>$A$180</v>
      </c>
      <c r="D113" s="1" t="str">
        <f>ADDRESS(C121-1,D121+1,1,1)</f>
        <v>$DL$178</v>
      </c>
    </row>
    <row r="114" spans="1:5" x14ac:dyDescent="0.25">
      <c r="A114" s="30">
        <v>467.57543095443202</v>
      </c>
      <c r="C114" s="1" t="str">
        <f>ADDRESS(C121,D121,1,1)</f>
        <v>$DK$179</v>
      </c>
      <c r="D114" s="1" t="str">
        <f>ADDRESS(C121+1,D121+1,1,1)</f>
        <v>$DL$180</v>
      </c>
    </row>
    <row r="115" spans="1:5" x14ac:dyDescent="0.25">
      <c r="A115" s="30">
        <v>445.30993424231622</v>
      </c>
      <c r="C115" s="1" t="str">
        <f>ADDRESS(C121+1,D121,1,1)</f>
        <v>$DK$180</v>
      </c>
    </row>
    <row r="116" spans="1:5" x14ac:dyDescent="0.25">
      <c r="A116" s="30">
        <v>424.10469927839637</v>
      </c>
      <c r="C116" s="1">
        <f>C117-1</f>
        <v>178</v>
      </c>
    </row>
    <row r="117" spans="1:5" x14ac:dyDescent="0.25">
      <c r="A117" s="30">
        <v>403.9092374079965</v>
      </c>
      <c r="C117" s="1">
        <f>C121</f>
        <v>179</v>
      </c>
      <c r="D117" s="1">
        <f>D121</f>
        <v>115</v>
      </c>
    </row>
    <row r="118" spans="1:5" x14ac:dyDescent="0.25">
      <c r="A118" s="30">
        <v>384.6754641980919</v>
      </c>
      <c r="C118" s="1">
        <f>C117+1</f>
        <v>180</v>
      </c>
      <c r="D118" s="1">
        <f>D117+1</f>
        <v>116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179</v>
      </c>
      <c r="D121" s="19">
        <v>115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R179</v>
      </c>
      <c r="D123" s="1" t="str">
        <f>"C"&amp;D121</f>
        <v>C115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19.613145188829147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103" x14ac:dyDescent="0.25">
      <c r="A145" s="30">
        <v>103.03467644609493</v>
      </c>
      <c r="E145"/>
    </row>
    <row r="146" spans="1:103" x14ac:dyDescent="0.25">
      <c r="A146" s="30">
        <v>98.128263281995174</v>
      </c>
      <c r="E146"/>
    </row>
    <row r="147" spans="1:103" x14ac:dyDescent="0.25">
      <c r="A147" s="30">
        <v>93.455488839995397</v>
      </c>
      <c r="E147"/>
    </row>
    <row r="148" spans="1:103" x14ac:dyDescent="0.25">
      <c r="A148" s="30">
        <v>89.005227466662276</v>
      </c>
      <c r="E148"/>
    </row>
    <row r="149" spans="1:103" x14ac:dyDescent="0.25">
      <c r="A149" s="30">
        <v>84.766883301583121</v>
      </c>
      <c r="E149"/>
    </row>
    <row r="150" spans="1:103" x14ac:dyDescent="0.25">
      <c r="A150" s="30">
        <v>80.730365049126775</v>
      </c>
      <c r="E150"/>
    </row>
    <row r="151" spans="1:103" x14ac:dyDescent="0.25">
      <c r="A151" s="30">
        <v>76.886061951549308</v>
      </c>
      <c r="E151"/>
    </row>
    <row r="152" spans="1:103" x14ac:dyDescent="0.25">
      <c r="A152" s="30">
        <v>73.22482090623744</v>
      </c>
      <c r="E152"/>
    </row>
    <row r="153" spans="1:103" x14ac:dyDescent="0.25">
      <c r="A153" s="30">
        <v>69.737924672607079</v>
      </c>
      <c r="C153" s="7"/>
      <c r="D153"/>
      <c r="E153"/>
    </row>
    <row r="154" spans="1:103" x14ac:dyDescent="0.25">
      <c r="A154" s="30">
        <v>66.417071116768639</v>
      </c>
      <c r="E154"/>
    </row>
    <row r="155" spans="1:103" x14ac:dyDescent="0.25">
      <c r="A155" s="30">
        <v>63.254353444541557</v>
      </c>
      <c r="E155"/>
    </row>
    <row r="156" spans="1:103" x14ac:dyDescent="0.25">
      <c r="A156" s="30">
        <v>60.242241375753864</v>
      </c>
      <c r="C156"/>
      <c r="D156"/>
      <c r="E156"/>
    </row>
    <row r="157" spans="1:103" x14ac:dyDescent="0.25">
      <c r="A157" s="30">
        <v>57.373563215003678</v>
      </c>
      <c r="E157"/>
    </row>
    <row r="158" spans="1:103" x14ac:dyDescent="0.25">
      <c r="A158" s="30">
        <v>54.641488776193974</v>
      </c>
      <c r="E158"/>
      <c r="CW158" s="31" t="s">
        <v>8</v>
      </c>
    </row>
    <row r="159" spans="1:103" x14ac:dyDescent="0.25">
      <c r="A159" s="30">
        <v>52.039513120184736</v>
      </c>
      <c r="E159"/>
      <c r="CW159" s="27" t="s">
        <v>8</v>
      </c>
      <c r="CX159" s="31" t="s">
        <v>7</v>
      </c>
    </row>
    <row r="160" spans="1:103" x14ac:dyDescent="0.25">
      <c r="A160" s="30">
        <v>49.561441066842605</v>
      </c>
      <c r="C160"/>
      <c r="E160"/>
      <c r="BM160" s="31" t="s">
        <v>8</v>
      </c>
      <c r="CW160" s="27" t="s">
        <v>8</v>
      </c>
      <c r="CX160" s="27" t="s">
        <v>7</v>
      </c>
      <c r="CY160" s="31"/>
    </row>
    <row r="161" spans="1:114" x14ac:dyDescent="0.25">
      <c r="A161" s="30">
        <v>47.201372444612005</v>
      </c>
      <c r="E161"/>
      <c r="BG161" s="27" t="s">
        <v>8</v>
      </c>
      <c r="BM161" s="27" t="s">
        <v>8</v>
      </c>
      <c r="BN161" s="31" t="s">
        <v>7</v>
      </c>
      <c r="CW161" s="27" t="s">
        <v>8</v>
      </c>
      <c r="CX161" s="27" t="s">
        <v>7</v>
      </c>
      <c r="CZ161" s="31"/>
    </row>
    <row r="162" spans="1:114" x14ac:dyDescent="0.25">
      <c r="A162" s="30">
        <v>44.95368804248762</v>
      </c>
      <c r="E162"/>
      <c r="BE162" s="27" t="s">
        <v>8</v>
      </c>
      <c r="BG162" s="27" t="s">
        <v>8</v>
      </c>
      <c r="BH162" s="27" t="s">
        <v>7</v>
      </c>
      <c r="BM162" s="27" t="s">
        <v>8</v>
      </c>
      <c r="BN162" s="27" t="s">
        <v>7</v>
      </c>
      <c r="BO162" s="31"/>
      <c r="CU162" s="27" t="s">
        <v>8</v>
      </c>
      <c r="CW162" s="27" t="s">
        <v>8</v>
      </c>
      <c r="CX162" s="27" t="s">
        <v>7</v>
      </c>
      <c r="DA162" s="31"/>
    </row>
    <row r="163" spans="1:114" x14ac:dyDescent="0.25">
      <c r="A163" s="30">
        <v>42.81303623094059</v>
      </c>
      <c r="E163"/>
      <c r="BE163" s="27" t="s">
        <v>8</v>
      </c>
      <c r="BF163" s="27" t="s">
        <v>7</v>
      </c>
      <c r="BG163" s="27" t="s">
        <v>8</v>
      </c>
      <c r="BH163" s="27" t="s">
        <v>7</v>
      </c>
      <c r="BI163" s="27" t="s">
        <v>8</v>
      </c>
      <c r="BM163" s="32" t="s">
        <v>8</v>
      </c>
      <c r="BN163" s="27" t="s">
        <v>7</v>
      </c>
      <c r="BP163" s="31"/>
      <c r="CU163" s="27" t="s">
        <v>8</v>
      </c>
      <c r="CV163" s="27" t="s">
        <v>7</v>
      </c>
      <c r="CW163" s="27" t="s">
        <v>8</v>
      </c>
      <c r="CX163" s="27" t="s">
        <v>7</v>
      </c>
      <c r="DB163" s="31"/>
    </row>
    <row r="164" spans="1:114" x14ac:dyDescent="0.25">
      <c r="A164" s="30">
        <v>40.774320219943419</v>
      </c>
      <c r="E164"/>
      <c r="AS164" s="27" t="s">
        <v>8</v>
      </c>
      <c r="BE164" s="32" t="s">
        <v>8</v>
      </c>
      <c r="BF164" s="27" t="s">
        <v>7</v>
      </c>
      <c r="BG164" s="27" t="s">
        <v>8</v>
      </c>
      <c r="BH164" s="27" t="s">
        <v>7</v>
      </c>
      <c r="BI164" s="27" t="s">
        <v>8</v>
      </c>
      <c r="BJ164" s="27" t="s">
        <v>7</v>
      </c>
      <c r="BK164" s="27" t="s">
        <v>8</v>
      </c>
      <c r="BM164" s="27" t="s">
        <v>8</v>
      </c>
      <c r="BN164" s="27" t="s">
        <v>7</v>
      </c>
      <c r="BO164" s="27" t="s">
        <v>8</v>
      </c>
      <c r="BQ164" s="31"/>
      <c r="CU164" s="27" t="s">
        <v>8</v>
      </c>
      <c r="CV164" s="27" t="s">
        <v>7</v>
      </c>
      <c r="CW164" s="27" t="s">
        <v>8</v>
      </c>
      <c r="CX164" s="27" t="s">
        <v>7</v>
      </c>
      <c r="DC164" s="31"/>
    </row>
    <row r="165" spans="1:114" x14ac:dyDescent="0.25">
      <c r="A165" s="30">
        <v>38.832685923755633</v>
      </c>
      <c r="E165"/>
      <c r="AS165" s="27" t="s">
        <v>8</v>
      </c>
      <c r="AT165" s="27" t="s">
        <v>7</v>
      </c>
      <c r="BA165" s="33" t="s">
        <v>8</v>
      </c>
      <c r="BC165" s="33" t="s">
        <v>8</v>
      </c>
      <c r="BE165" s="27" t="s">
        <v>8</v>
      </c>
      <c r="BF165" s="27" t="s">
        <v>7</v>
      </c>
      <c r="BH165" s="27" t="s">
        <v>7</v>
      </c>
      <c r="BI165" s="27" t="s">
        <v>8</v>
      </c>
      <c r="BJ165" s="27" t="s">
        <v>7</v>
      </c>
      <c r="BK165" s="27" t="s">
        <v>8</v>
      </c>
      <c r="BL165" s="27" t="s">
        <v>7</v>
      </c>
      <c r="BM165" s="27" t="s">
        <v>8</v>
      </c>
      <c r="BN165" s="27" t="s">
        <v>7</v>
      </c>
      <c r="BO165" s="27" t="s">
        <v>8</v>
      </c>
      <c r="BP165" s="27" t="s">
        <v>7</v>
      </c>
      <c r="BR165" s="31"/>
      <c r="CU165" s="27" t="s">
        <v>8</v>
      </c>
      <c r="CV165" s="27" t="s">
        <v>7</v>
      </c>
      <c r="CX165" s="27" t="s">
        <v>7</v>
      </c>
      <c r="CY165" s="27" t="s">
        <v>8</v>
      </c>
      <c r="DD165" s="31"/>
    </row>
    <row r="166" spans="1:114" x14ac:dyDescent="0.25">
      <c r="A166" s="30">
        <v>36.983510403576794</v>
      </c>
      <c r="E166"/>
      <c r="AS166" s="27" t="s">
        <v>8</v>
      </c>
      <c r="AT166" s="27" t="s">
        <v>7</v>
      </c>
      <c r="AY166" s="27" t="s">
        <v>8</v>
      </c>
      <c r="BA166" s="27" t="s">
        <v>8</v>
      </c>
      <c r="BB166" s="27" t="s">
        <v>7</v>
      </c>
      <c r="BC166" s="27" t="s">
        <v>8</v>
      </c>
      <c r="BD166" s="27" t="s">
        <v>7</v>
      </c>
      <c r="BE166" s="27" t="s">
        <v>8</v>
      </c>
      <c r="BH166" s="34" t="s">
        <v>7</v>
      </c>
      <c r="BI166" s="27" t="s">
        <v>8</v>
      </c>
      <c r="BJ166" s="27" t="s">
        <v>7</v>
      </c>
      <c r="BK166" s="27" t="s">
        <v>8</v>
      </c>
      <c r="BL166" s="27" t="s">
        <v>7</v>
      </c>
      <c r="BM166" s="27" t="s">
        <v>8</v>
      </c>
      <c r="BN166" s="27" t="s">
        <v>7</v>
      </c>
      <c r="BO166" s="27" t="s">
        <v>8</v>
      </c>
      <c r="BP166" s="31" t="s">
        <v>7</v>
      </c>
      <c r="BS166" s="31"/>
      <c r="CQ166" s="27" t="s">
        <v>8</v>
      </c>
      <c r="CU166" s="27" t="s">
        <v>8</v>
      </c>
      <c r="CX166" s="34" t="s">
        <v>7</v>
      </c>
      <c r="CY166" s="27" t="s">
        <v>8</v>
      </c>
      <c r="CZ166" s="27" t="s">
        <v>7</v>
      </c>
      <c r="DE166" s="31"/>
    </row>
    <row r="167" spans="1:114" x14ac:dyDescent="0.25">
      <c r="A167" s="30">
        <v>35.222390860549325</v>
      </c>
      <c r="E167"/>
      <c r="AS167" s="27" t="s">
        <v>8</v>
      </c>
      <c r="AT167" s="27" t="s">
        <v>7</v>
      </c>
      <c r="AU167" s="33" t="s">
        <v>8</v>
      </c>
      <c r="AW167" s="33" t="s">
        <v>8</v>
      </c>
      <c r="AY167" s="27" t="s">
        <v>8</v>
      </c>
      <c r="AZ167" s="27" t="s">
        <v>7</v>
      </c>
      <c r="BA167" s="27" t="s">
        <v>8</v>
      </c>
      <c r="BB167" s="27" t="s">
        <v>7</v>
      </c>
      <c r="BC167" s="27" t="s">
        <v>8</v>
      </c>
      <c r="BD167" s="27" t="s">
        <v>7</v>
      </c>
      <c r="BE167" s="27" t="s">
        <v>8</v>
      </c>
      <c r="BH167" s="27" t="s">
        <v>7</v>
      </c>
      <c r="BI167" s="27" t="s">
        <v>8</v>
      </c>
      <c r="BJ167" s="27" t="s">
        <v>7</v>
      </c>
      <c r="BK167" s="27" t="s">
        <v>8</v>
      </c>
      <c r="BL167" s="27" t="s">
        <v>7</v>
      </c>
      <c r="BM167" s="27" t="s">
        <v>8</v>
      </c>
      <c r="BN167" s="27" t="s">
        <v>7</v>
      </c>
      <c r="BO167" s="31"/>
      <c r="BP167" s="27" t="s">
        <v>7</v>
      </c>
      <c r="BT167" s="31"/>
      <c r="CO167" s="27" t="s">
        <v>8</v>
      </c>
      <c r="CQ167" s="27" t="s">
        <v>8</v>
      </c>
      <c r="CR167" s="27" t="s">
        <v>7</v>
      </c>
      <c r="CU167" s="27" t="s">
        <v>8</v>
      </c>
      <c r="CX167" s="27" t="s">
        <v>7</v>
      </c>
      <c r="CY167" s="27" t="s">
        <v>8</v>
      </c>
      <c r="CZ167" s="27" t="s">
        <v>7</v>
      </c>
      <c r="DF167" s="31"/>
    </row>
    <row r="168" spans="1:114" x14ac:dyDescent="0.25">
      <c r="A168" s="30">
        <v>33.545134152904119</v>
      </c>
      <c r="E168"/>
      <c r="AS168" s="27" t="s">
        <v>8</v>
      </c>
      <c r="AT168" s="27" t="s">
        <v>7</v>
      </c>
      <c r="AU168" s="27" t="s">
        <v>8</v>
      </c>
      <c r="AV168" s="27" t="s">
        <v>7</v>
      </c>
      <c r="AW168" s="27" t="s">
        <v>8</v>
      </c>
      <c r="AX168" s="27" t="s">
        <v>7</v>
      </c>
      <c r="AY168" s="27" t="s">
        <v>8</v>
      </c>
      <c r="AZ168" s="27" t="s">
        <v>7</v>
      </c>
      <c r="BA168" s="27" t="s">
        <v>8</v>
      </c>
      <c r="BB168" s="27" t="s">
        <v>7</v>
      </c>
      <c r="BD168" s="27" t="s">
        <v>7</v>
      </c>
      <c r="BE168" s="27" t="s">
        <v>8</v>
      </c>
      <c r="BH168" s="27" t="s">
        <v>7</v>
      </c>
      <c r="BI168" s="27" t="s">
        <v>8</v>
      </c>
      <c r="BJ168" s="33" t="s">
        <v>7</v>
      </c>
      <c r="BL168" s="33" t="s">
        <v>7</v>
      </c>
      <c r="BN168" s="31"/>
      <c r="BP168" s="34" t="s">
        <v>7</v>
      </c>
      <c r="BU168" s="31"/>
      <c r="CO168" s="27" t="s">
        <v>8</v>
      </c>
      <c r="CP168" s="27" t="s">
        <v>7</v>
      </c>
      <c r="CQ168" s="27" t="s">
        <v>8</v>
      </c>
      <c r="CR168" s="27" t="s">
        <v>7</v>
      </c>
      <c r="CS168" s="27" t="s">
        <v>8</v>
      </c>
      <c r="CU168" s="27" t="s">
        <v>8</v>
      </c>
      <c r="CX168" s="27" t="s">
        <v>7</v>
      </c>
      <c r="CZ168" s="27" t="s">
        <v>7</v>
      </c>
      <c r="DG168" s="31"/>
    </row>
    <row r="169" spans="1:114" x14ac:dyDescent="0.25">
      <c r="A169" s="30">
        <v>31.947746812289637</v>
      </c>
      <c r="E169"/>
      <c r="AS169" s="27" t="s">
        <v>8</v>
      </c>
      <c r="AT169" s="27" t="s">
        <v>7</v>
      </c>
      <c r="AU169" s="27" t="s">
        <v>8</v>
      </c>
      <c r="AV169" s="27" t="s">
        <v>7</v>
      </c>
      <c r="AW169" s="27" t="s">
        <v>8</v>
      </c>
      <c r="AX169" s="27" t="s">
        <v>7</v>
      </c>
      <c r="AY169" s="27" t="s">
        <v>8</v>
      </c>
      <c r="AZ169" s="27" t="s">
        <v>7</v>
      </c>
      <c r="BD169" s="34" t="s">
        <v>7</v>
      </c>
      <c r="BE169" s="27" t="s">
        <v>8</v>
      </c>
      <c r="BH169" s="27" t="s">
        <v>7</v>
      </c>
      <c r="BI169" s="27" t="s">
        <v>8</v>
      </c>
      <c r="BM169" s="31"/>
      <c r="BP169" s="27" t="s">
        <v>7</v>
      </c>
      <c r="BV169" s="31"/>
      <c r="CO169" s="27" t="s">
        <v>8</v>
      </c>
      <c r="CP169" s="27" t="s">
        <v>7</v>
      </c>
      <c r="CQ169" s="27" t="s">
        <v>8</v>
      </c>
      <c r="CR169" s="27" t="s">
        <v>7</v>
      </c>
      <c r="CS169" s="27" t="s">
        <v>8</v>
      </c>
      <c r="CT169" s="27" t="s">
        <v>7</v>
      </c>
      <c r="CU169" s="27" t="s">
        <v>8</v>
      </c>
      <c r="CZ169" s="27" t="s">
        <v>7</v>
      </c>
      <c r="DE169" s="32" t="s">
        <v>8</v>
      </c>
      <c r="DH169" s="31"/>
    </row>
    <row r="170" spans="1:114" x14ac:dyDescent="0.25">
      <c r="A170" s="30">
        <v>30.426425535513939</v>
      </c>
      <c r="E170"/>
      <c r="AS170" s="27" t="s">
        <v>8</v>
      </c>
      <c r="AT170" s="27" t="s">
        <v>7</v>
      </c>
      <c r="AU170" s="27" t="s">
        <v>8</v>
      </c>
      <c r="AV170" s="27" t="s">
        <v>7</v>
      </c>
      <c r="AW170" s="27" t="s">
        <v>8</v>
      </c>
      <c r="AX170" s="27" t="s">
        <v>7</v>
      </c>
      <c r="BD170" s="27" t="s">
        <v>7</v>
      </c>
      <c r="BE170" s="27" t="s">
        <v>8</v>
      </c>
      <c r="BH170" s="27" t="s">
        <v>7</v>
      </c>
      <c r="BI170" s="27" t="s">
        <v>8</v>
      </c>
      <c r="BL170" s="31"/>
      <c r="BP170" s="27" t="s">
        <v>7</v>
      </c>
      <c r="BQ170" s="27" t="s">
        <v>8</v>
      </c>
      <c r="BW170" s="31"/>
      <c r="CO170" s="27" t="s">
        <v>8</v>
      </c>
      <c r="CP170" s="27" t="s">
        <v>7</v>
      </c>
      <c r="CQ170" s="27" t="s">
        <v>8</v>
      </c>
      <c r="CR170" s="27" t="s">
        <v>7</v>
      </c>
      <c r="CS170" s="27" t="s">
        <v>8</v>
      </c>
      <c r="CT170" s="27" t="s">
        <v>7</v>
      </c>
      <c r="CU170" s="27" t="s">
        <v>8</v>
      </c>
      <c r="CZ170" s="27" t="s">
        <v>7</v>
      </c>
      <c r="DC170" s="32" t="s">
        <v>8</v>
      </c>
      <c r="DE170" s="27" t="s">
        <v>8</v>
      </c>
      <c r="DF170" s="27" t="s">
        <v>7</v>
      </c>
      <c r="DG170" s="27" t="s">
        <v>8</v>
      </c>
    </row>
    <row r="171" spans="1:114" x14ac:dyDescent="0.25">
      <c r="A171" s="30">
        <v>28.977548129060892</v>
      </c>
      <c r="E171"/>
      <c r="AQ171" s="27" t="s">
        <v>8</v>
      </c>
      <c r="AS171" s="27" t="s">
        <v>8</v>
      </c>
      <c r="AT171" s="27" t="s">
        <v>7</v>
      </c>
      <c r="AU171" s="27" t="s">
        <v>8</v>
      </c>
      <c r="AV171" s="27" t="s">
        <v>7</v>
      </c>
      <c r="BD171" s="27" t="s">
        <v>7</v>
      </c>
      <c r="BE171" s="27" t="s">
        <v>8</v>
      </c>
      <c r="BH171" s="27" t="s">
        <v>7</v>
      </c>
      <c r="BI171" s="27" t="s">
        <v>8</v>
      </c>
      <c r="BK171" s="31"/>
      <c r="BP171" s="27" t="s">
        <v>7</v>
      </c>
      <c r="BQ171" s="27" t="s">
        <v>8</v>
      </c>
      <c r="BR171" s="27" t="s">
        <v>7</v>
      </c>
      <c r="BX171" s="31"/>
      <c r="CM171" s="27" t="s">
        <v>8</v>
      </c>
      <c r="CO171" s="27" t="s">
        <v>8</v>
      </c>
      <c r="CP171" s="27" t="s">
        <v>7</v>
      </c>
      <c r="CQ171" s="27" t="s">
        <v>8</v>
      </c>
      <c r="CR171" s="27" t="s">
        <v>7</v>
      </c>
      <c r="CS171" s="27" t="s">
        <v>8</v>
      </c>
      <c r="CT171" s="27" t="s">
        <v>7</v>
      </c>
      <c r="CU171" s="27" t="s">
        <v>8</v>
      </c>
      <c r="CZ171" s="27" t="s">
        <v>7</v>
      </c>
      <c r="DA171" s="27" t="s">
        <v>8</v>
      </c>
      <c r="DC171" s="27" t="s">
        <v>8</v>
      </c>
      <c r="DD171" s="27" t="s">
        <v>7</v>
      </c>
      <c r="DE171" s="27" t="s">
        <v>8</v>
      </c>
      <c r="DF171" s="27" t="s">
        <v>7</v>
      </c>
      <c r="DG171" s="27" t="s">
        <v>8</v>
      </c>
      <c r="DH171" s="27" t="s">
        <v>7</v>
      </c>
    </row>
    <row r="172" spans="1:114" x14ac:dyDescent="0.25">
      <c r="A172" s="30">
        <v>27.597664884819896</v>
      </c>
      <c r="E172"/>
      <c r="AQ172" s="27" t="s">
        <v>8</v>
      </c>
      <c r="AR172" s="27" t="s">
        <v>7</v>
      </c>
      <c r="AS172" s="27" t="s">
        <v>8</v>
      </c>
      <c r="AT172" s="27" t="s">
        <v>7</v>
      </c>
      <c r="BD172" s="27" t="s">
        <v>7</v>
      </c>
      <c r="BH172" s="27" t="s">
        <v>7</v>
      </c>
      <c r="BJ172" s="31"/>
      <c r="BP172" s="27" t="s">
        <v>7</v>
      </c>
      <c r="BQ172" s="27" t="s">
        <v>8</v>
      </c>
      <c r="BR172" s="27" t="s">
        <v>7</v>
      </c>
      <c r="BW172" s="27" t="s">
        <v>8</v>
      </c>
      <c r="BY172" s="31"/>
      <c r="CM172" s="27" t="s">
        <v>8</v>
      </c>
      <c r="CN172" s="27" t="s">
        <v>7</v>
      </c>
      <c r="CO172" s="27" t="s">
        <v>8</v>
      </c>
      <c r="CP172" s="27" t="s">
        <v>7</v>
      </c>
      <c r="CQ172" s="27" t="s">
        <v>8</v>
      </c>
      <c r="CR172" s="27" t="s">
        <v>7</v>
      </c>
      <c r="CS172" s="27" t="s">
        <v>8</v>
      </c>
      <c r="CT172" s="27" t="s">
        <v>7</v>
      </c>
      <c r="CU172" s="27" t="s">
        <v>8</v>
      </c>
      <c r="CZ172" s="27" t="s">
        <v>7</v>
      </c>
      <c r="DA172" s="27" t="s">
        <v>8</v>
      </c>
      <c r="DB172" s="19" t="s">
        <v>7</v>
      </c>
      <c r="DC172" s="27" t="s">
        <v>8</v>
      </c>
      <c r="DD172" s="27" t="s">
        <v>7</v>
      </c>
      <c r="DE172" s="27" t="s">
        <v>8</v>
      </c>
      <c r="DF172" s="27" t="s">
        <v>7</v>
      </c>
      <c r="DG172" s="31" t="s">
        <v>8</v>
      </c>
      <c r="DH172" s="27" t="s">
        <v>7</v>
      </c>
      <c r="DI172" s="27" t="s">
        <v>8</v>
      </c>
    </row>
    <row r="173" spans="1:114" x14ac:dyDescent="0.25">
      <c r="A173" s="30">
        <v>26.283490366495137</v>
      </c>
      <c r="E173"/>
      <c r="AQ173" s="27" t="s">
        <v>8</v>
      </c>
      <c r="AR173" s="27" t="s">
        <v>7</v>
      </c>
      <c r="AS173" s="27" t="s">
        <v>8</v>
      </c>
      <c r="BI173" s="31"/>
      <c r="BP173" s="27" t="s">
        <v>7</v>
      </c>
      <c r="BQ173" s="27" t="s">
        <v>8</v>
      </c>
      <c r="BR173" s="27" t="s">
        <v>7</v>
      </c>
      <c r="BW173" s="27" t="s">
        <v>8</v>
      </c>
      <c r="BX173" s="27" t="s">
        <v>7</v>
      </c>
      <c r="BZ173" s="31"/>
      <c r="CK173" s="27" t="s">
        <v>8</v>
      </c>
      <c r="CM173" s="27" t="s">
        <v>8</v>
      </c>
      <c r="CN173" s="27" t="s">
        <v>7</v>
      </c>
      <c r="CO173" s="27" t="s">
        <v>8</v>
      </c>
      <c r="CP173" s="33" t="s">
        <v>7</v>
      </c>
      <c r="CR173" s="33" t="s">
        <v>7</v>
      </c>
      <c r="CT173" s="33" t="s">
        <v>7</v>
      </c>
      <c r="CZ173" s="27" t="s">
        <v>7</v>
      </c>
      <c r="DA173" s="19" t="s">
        <v>8</v>
      </c>
      <c r="DB173" s="27" t="s">
        <v>7</v>
      </c>
      <c r="DC173" s="27" t="s">
        <v>8</v>
      </c>
      <c r="DD173" s="27" t="s">
        <v>7</v>
      </c>
      <c r="DE173" s="27" t="s">
        <v>8</v>
      </c>
      <c r="DF173" s="31" t="s">
        <v>7</v>
      </c>
      <c r="DH173" s="27" t="s">
        <v>7</v>
      </c>
      <c r="DI173" s="27" t="s">
        <v>8</v>
      </c>
      <c r="DJ173" s="27" t="s">
        <v>7</v>
      </c>
    </row>
    <row r="174" spans="1:114" x14ac:dyDescent="0.25">
      <c r="A174" s="30">
        <v>25.031895587138223</v>
      </c>
      <c r="E174"/>
      <c r="AQ174" s="27" t="s">
        <v>8</v>
      </c>
      <c r="AR174" s="27" t="s">
        <v>7</v>
      </c>
      <c r="AS174" s="27" t="s">
        <v>8</v>
      </c>
      <c r="BH174" s="31"/>
      <c r="BP174" s="27" t="s">
        <v>7</v>
      </c>
      <c r="BQ174" s="27" t="s">
        <v>8</v>
      </c>
      <c r="BR174" s="27" t="s">
        <v>7</v>
      </c>
      <c r="BU174" s="32" t="s">
        <v>8</v>
      </c>
      <c r="BW174" s="27" t="s">
        <v>8</v>
      </c>
      <c r="BX174" s="27" t="s">
        <v>7</v>
      </c>
      <c r="CA174" s="31" t="s">
        <v>8</v>
      </c>
      <c r="CK174" s="27" t="s">
        <v>8</v>
      </c>
      <c r="CL174" s="27" t="s">
        <v>7</v>
      </c>
      <c r="CM174" s="27" t="s">
        <v>8</v>
      </c>
      <c r="CN174" s="27" t="s">
        <v>7</v>
      </c>
      <c r="CO174" s="27" t="s">
        <v>8</v>
      </c>
      <c r="CZ174" s="33" t="s">
        <v>7</v>
      </c>
      <c r="DB174" s="33" t="s">
        <v>7</v>
      </c>
      <c r="DD174" s="27" t="s">
        <v>7</v>
      </c>
      <c r="DE174" s="31" t="s">
        <v>8</v>
      </c>
      <c r="DH174" s="27" t="s">
        <v>7</v>
      </c>
      <c r="DI174" s="27" t="s">
        <v>8</v>
      </c>
      <c r="DJ174" s="27" t="s">
        <v>7</v>
      </c>
    </row>
    <row r="175" spans="1:114" x14ac:dyDescent="0.25">
      <c r="A175" s="30">
        <v>23.839900559179259</v>
      </c>
      <c r="E175"/>
      <c r="AQ175" s="27" t="s">
        <v>8</v>
      </c>
      <c r="AR175" s="27" t="s">
        <v>7</v>
      </c>
      <c r="BG175" s="31"/>
      <c r="BP175" s="27" t="s">
        <v>7</v>
      </c>
      <c r="BQ175" s="27" t="s">
        <v>8</v>
      </c>
      <c r="BR175" s="27" t="s">
        <v>7</v>
      </c>
      <c r="BS175" s="27" t="s">
        <v>8</v>
      </c>
      <c r="BU175" s="27" t="s">
        <v>8</v>
      </c>
      <c r="BV175" s="27" t="s">
        <v>7</v>
      </c>
      <c r="BW175" s="27" t="s">
        <v>8</v>
      </c>
      <c r="BX175" s="27" t="s">
        <v>7</v>
      </c>
      <c r="BY175" s="27" t="s">
        <v>8</v>
      </c>
      <c r="CA175" s="27" t="s">
        <v>8</v>
      </c>
      <c r="CB175" s="31" t="s">
        <v>7</v>
      </c>
      <c r="CK175" s="27" t="s">
        <v>8</v>
      </c>
      <c r="CL175" s="27" t="s">
        <v>7</v>
      </c>
      <c r="CM175" s="27" t="s">
        <v>8</v>
      </c>
      <c r="CN175" s="27" t="s">
        <v>7</v>
      </c>
      <c r="CY175" s="31"/>
      <c r="DD175" s="34" t="s">
        <v>7</v>
      </c>
      <c r="DH175" s="27" t="s">
        <v>7</v>
      </c>
      <c r="DI175" s="27" t="s">
        <v>8</v>
      </c>
      <c r="DJ175" s="27" t="s">
        <v>7</v>
      </c>
    </row>
    <row r="176" spans="1:114" x14ac:dyDescent="0.25">
      <c r="A176" s="30">
        <v>22.704667199218342</v>
      </c>
      <c r="E176"/>
      <c r="AQ176" s="27" t="s">
        <v>8</v>
      </c>
      <c r="BF176" s="31"/>
      <c r="BP176" s="27" t="s">
        <v>7</v>
      </c>
      <c r="BQ176" s="27" t="s">
        <v>8</v>
      </c>
      <c r="BR176" s="27" t="s">
        <v>7</v>
      </c>
      <c r="BS176" s="27" t="s">
        <v>8</v>
      </c>
      <c r="BT176" s="27" t="s">
        <v>7</v>
      </c>
      <c r="BU176" s="27" t="s">
        <v>8</v>
      </c>
      <c r="BV176" s="27" t="s">
        <v>7</v>
      </c>
      <c r="BW176" s="27" t="s">
        <v>8</v>
      </c>
      <c r="BX176" s="27" t="s">
        <v>7</v>
      </c>
      <c r="BY176" s="27" t="s">
        <v>8</v>
      </c>
      <c r="BZ176" s="27" t="s">
        <v>7</v>
      </c>
      <c r="CA176" s="27" t="s">
        <v>8</v>
      </c>
      <c r="CB176" s="27" t="s">
        <v>7</v>
      </c>
      <c r="CC176" s="31"/>
      <c r="CK176" s="27" t="s">
        <v>8</v>
      </c>
      <c r="CL176" s="27" t="s">
        <v>7</v>
      </c>
      <c r="CX176" s="31"/>
      <c r="DH176" s="27" t="s">
        <v>7</v>
      </c>
      <c r="DJ176" s="27" t="s">
        <v>7</v>
      </c>
    </row>
    <row r="177" spans="1:115" x14ac:dyDescent="0.25">
      <c r="A177" s="30">
        <v>21.623492570684135</v>
      </c>
      <c r="E177"/>
      <c r="AO177" s="27" t="s">
        <v>8</v>
      </c>
      <c r="AQ177" s="27" t="s">
        <v>8</v>
      </c>
      <c r="BE177" s="31"/>
      <c r="BP177" s="27" t="s">
        <v>7</v>
      </c>
      <c r="BQ177" s="27" t="s">
        <v>8</v>
      </c>
      <c r="BR177" s="27" t="s">
        <v>7</v>
      </c>
      <c r="BS177" s="27" t="s">
        <v>8</v>
      </c>
      <c r="BT177" s="27" t="s">
        <v>7</v>
      </c>
      <c r="BU177" s="27" t="s">
        <v>8</v>
      </c>
      <c r="BV177" s="27" t="s">
        <v>7</v>
      </c>
      <c r="BW177" s="27" t="s">
        <v>8</v>
      </c>
      <c r="BX177" s="27" t="s">
        <v>7</v>
      </c>
      <c r="BY177" s="27" t="s">
        <v>8</v>
      </c>
      <c r="BZ177" s="27" t="s">
        <v>7</v>
      </c>
      <c r="CA177" s="27" t="s">
        <v>8</v>
      </c>
      <c r="CB177" s="27" t="s">
        <v>7</v>
      </c>
      <c r="CD177" s="31"/>
      <c r="CK177" s="27" t="s">
        <v>8</v>
      </c>
      <c r="CW177" s="31"/>
      <c r="DJ177" s="27" t="s">
        <v>7</v>
      </c>
    </row>
    <row r="178" spans="1:115" x14ac:dyDescent="0.25">
      <c r="A178" s="30">
        <v>20.593802448270605</v>
      </c>
      <c r="C178" s="7"/>
      <c r="D178"/>
      <c r="E178"/>
      <c r="AO178" s="27" t="s">
        <v>8</v>
      </c>
      <c r="AP178" s="27" t="s">
        <v>7</v>
      </c>
      <c r="AQ178" s="27" t="s">
        <v>8</v>
      </c>
      <c r="BD178" s="31"/>
      <c r="BP178" s="27" t="s">
        <v>7</v>
      </c>
      <c r="BQ178" s="27" t="s">
        <v>8</v>
      </c>
      <c r="BR178" s="27" t="s">
        <v>7</v>
      </c>
      <c r="BT178" s="27" t="s">
        <v>7</v>
      </c>
      <c r="BU178" s="27" t="s">
        <v>8</v>
      </c>
      <c r="BV178" s="27" t="s">
        <v>7</v>
      </c>
      <c r="BW178" s="27" t="s">
        <v>8</v>
      </c>
      <c r="BX178" s="27" t="s">
        <v>7</v>
      </c>
      <c r="BY178" s="27" t="s">
        <v>8</v>
      </c>
      <c r="BZ178" s="27" t="s">
        <v>7</v>
      </c>
      <c r="CA178" s="27" t="s">
        <v>8</v>
      </c>
      <c r="CB178" s="27" t="s">
        <v>7</v>
      </c>
      <c r="CE178" s="31"/>
      <c r="CK178" s="27" t="s">
        <v>8</v>
      </c>
      <c r="CV178" s="31"/>
      <c r="DJ178" s="27" t="s">
        <v>7</v>
      </c>
    </row>
    <row r="179" spans="1:115" x14ac:dyDescent="0.25">
      <c r="A179" s="30">
        <v>19.613145188829147</v>
      </c>
      <c r="E179"/>
      <c r="AO179" s="27" t="s">
        <v>8</v>
      </c>
      <c r="AP179" s="27" t="s">
        <v>7</v>
      </c>
      <c r="AQ179" s="27" t="s">
        <v>8</v>
      </c>
      <c r="BC179" s="31"/>
      <c r="BP179" s="27" t="s">
        <v>7</v>
      </c>
      <c r="BQ179" s="27" t="s">
        <v>8</v>
      </c>
      <c r="BT179" s="27" t="s">
        <v>7</v>
      </c>
      <c r="BU179" s="27" t="s">
        <v>8</v>
      </c>
      <c r="BV179" s="27" t="s">
        <v>7</v>
      </c>
      <c r="BW179" s="27" t="s">
        <v>8</v>
      </c>
      <c r="BX179" s="33" t="s">
        <v>7</v>
      </c>
      <c r="BZ179" s="33" t="s">
        <v>7</v>
      </c>
      <c r="CB179" s="27" t="s">
        <v>7</v>
      </c>
      <c r="CF179" s="31"/>
      <c r="CI179" s="27" t="s">
        <v>8</v>
      </c>
      <c r="CK179" s="27" t="s">
        <v>8</v>
      </c>
      <c r="CU179" s="35"/>
      <c r="DJ179" s="27" t="s">
        <v>7</v>
      </c>
      <c r="DK179" s="27" t="s">
        <v>8</v>
      </c>
    </row>
    <row r="180" spans="1:115" x14ac:dyDescent="0.25">
      <c r="A180" s="30">
        <v>18.679185894122998</v>
      </c>
      <c r="E180"/>
      <c r="AI180" s="27" t="s">
        <v>8</v>
      </c>
      <c r="AM180" s="27" t="s">
        <v>8</v>
      </c>
      <c r="AO180" s="27" t="s">
        <v>8</v>
      </c>
      <c r="AP180" s="27" t="s">
        <v>7</v>
      </c>
      <c r="BB180" s="31"/>
      <c r="BP180" s="27" t="s">
        <v>7</v>
      </c>
      <c r="BT180" s="27" t="s">
        <v>7</v>
      </c>
      <c r="BU180" s="27" t="s">
        <v>8</v>
      </c>
      <c r="BV180" s="27" t="s">
        <v>7</v>
      </c>
      <c r="CB180" s="34" t="s">
        <v>7</v>
      </c>
      <c r="CG180" s="31"/>
      <c r="CI180" s="27" t="s">
        <v>8</v>
      </c>
      <c r="CJ180" s="27" t="s">
        <v>7</v>
      </c>
      <c r="CK180" s="27" t="s">
        <v>8</v>
      </c>
      <c r="CT180" s="35"/>
      <c r="DJ180" s="27" t="s">
        <v>7</v>
      </c>
      <c r="DK180" s="27" t="s">
        <v>8</v>
      </c>
    </row>
    <row r="181" spans="1:115" x14ac:dyDescent="0.25">
      <c r="A181" s="30">
        <v>17.78970085154571</v>
      </c>
      <c r="C181"/>
      <c r="D181"/>
      <c r="E181"/>
      <c r="AI181" s="27" t="s">
        <v>8</v>
      </c>
      <c r="AJ181" s="27" t="s">
        <v>7</v>
      </c>
      <c r="AK181" s="27" t="s">
        <v>8</v>
      </c>
      <c r="AM181" s="27" t="s">
        <v>8</v>
      </c>
      <c r="AN181" s="27" t="s">
        <v>7</v>
      </c>
      <c r="AO181" s="27" t="s">
        <v>8</v>
      </c>
      <c r="BA181" s="31"/>
      <c r="BT181" s="27" t="s">
        <v>7</v>
      </c>
      <c r="BU181" s="27" t="s">
        <v>8</v>
      </c>
      <c r="CB181" s="27" t="s">
        <v>7</v>
      </c>
      <c r="CH181" s="31"/>
      <c r="CI181" s="32" t="s">
        <v>8</v>
      </c>
      <c r="CJ181" s="27" t="s">
        <v>7</v>
      </c>
      <c r="CK181" s="27" t="s">
        <v>8</v>
      </c>
      <c r="CS181" s="35"/>
      <c r="DJ181" s="27" t="s">
        <v>7</v>
      </c>
      <c r="DK181" s="27" t="s">
        <v>8</v>
      </c>
    </row>
    <row r="182" spans="1:115" x14ac:dyDescent="0.25">
      <c r="A182" s="30">
        <v>16.942572239567344</v>
      </c>
      <c r="E182"/>
      <c r="AI182" s="27" t="s">
        <v>8</v>
      </c>
      <c r="AJ182" s="27" t="s">
        <v>7</v>
      </c>
      <c r="AK182" s="27" t="s">
        <v>8</v>
      </c>
      <c r="AL182" s="27" t="s">
        <v>7</v>
      </c>
      <c r="AM182" s="27" t="s">
        <v>8</v>
      </c>
      <c r="AN182" s="27" t="s">
        <v>7</v>
      </c>
      <c r="AO182" s="27" t="s">
        <v>8</v>
      </c>
      <c r="AZ182" s="31"/>
      <c r="BT182" s="27" t="s">
        <v>7</v>
      </c>
      <c r="BU182" s="27" t="s">
        <v>8</v>
      </c>
      <c r="CB182" s="27" t="s">
        <v>7</v>
      </c>
      <c r="CE182" s="33" t="s">
        <v>8</v>
      </c>
      <c r="CG182" s="33" t="s">
        <v>8</v>
      </c>
      <c r="CI182" s="31" t="s">
        <v>8</v>
      </c>
      <c r="CJ182" s="27" t="s">
        <v>7</v>
      </c>
      <c r="CR182" s="35"/>
      <c r="DJ182" s="27" t="s">
        <v>7</v>
      </c>
      <c r="DK182" s="27" t="s">
        <v>8</v>
      </c>
    </row>
    <row r="183" spans="1:115" x14ac:dyDescent="0.25">
      <c r="A183" s="30">
        <v>16.135783085302233</v>
      </c>
      <c r="E183"/>
      <c r="AI183" s="27" t="s">
        <v>8</v>
      </c>
      <c r="AJ183" s="27" t="s">
        <v>7</v>
      </c>
      <c r="AK183" s="27" t="s">
        <v>8</v>
      </c>
      <c r="AL183" s="27" t="s">
        <v>7</v>
      </c>
      <c r="AM183" s="27" t="s">
        <v>8</v>
      </c>
      <c r="AN183" s="27" t="s">
        <v>7</v>
      </c>
      <c r="AO183" s="27" t="s">
        <v>8</v>
      </c>
      <c r="AY183" s="31"/>
      <c r="BT183" s="27" t="s">
        <v>7</v>
      </c>
      <c r="BU183" s="27" t="s">
        <v>8</v>
      </c>
      <c r="CB183" s="27" t="s">
        <v>7</v>
      </c>
      <c r="CC183" s="27" t="s">
        <v>8</v>
      </c>
      <c r="CE183" s="27" t="s">
        <v>8</v>
      </c>
      <c r="CF183" s="27" t="s">
        <v>7</v>
      </c>
      <c r="CG183" s="27" t="s">
        <v>8</v>
      </c>
      <c r="CH183" s="27" t="s">
        <v>7</v>
      </c>
      <c r="CI183" s="27" t="s">
        <v>8</v>
      </c>
      <c r="CQ183" s="35"/>
      <c r="DJ183" s="27" t="s">
        <v>7</v>
      </c>
    </row>
    <row r="184" spans="1:115" x14ac:dyDescent="0.25">
      <c r="A184" s="30">
        <v>15.367412462192602</v>
      </c>
      <c r="E184"/>
      <c r="AI184" s="27" t="s">
        <v>8</v>
      </c>
      <c r="AJ184" s="33" t="s">
        <v>7</v>
      </c>
      <c r="AL184" s="33" t="s">
        <v>7</v>
      </c>
      <c r="AN184" s="33" t="s">
        <v>7</v>
      </c>
      <c r="AX184" s="31"/>
      <c r="BT184" s="27" t="s">
        <v>7</v>
      </c>
      <c r="BU184" s="27" t="s">
        <v>8</v>
      </c>
      <c r="CB184" s="27" t="s">
        <v>7</v>
      </c>
      <c r="CC184" s="27" t="s">
        <v>8</v>
      </c>
      <c r="CD184" s="27" t="s">
        <v>7</v>
      </c>
      <c r="CE184" s="27" t="s">
        <v>8</v>
      </c>
      <c r="CF184" s="27" t="s">
        <v>7</v>
      </c>
      <c r="CG184" s="27" t="s">
        <v>8</v>
      </c>
      <c r="CH184" s="27" t="s">
        <v>7</v>
      </c>
      <c r="CI184" s="27" t="s">
        <v>8</v>
      </c>
      <c r="CP184" s="35"/>
    </row>
    <row r="185" spans="1:115" x14ac:dyDescent="0.25">
      <c r="A185" s="30">
        <v>14.635630916373906</v>
      </c>
      <c r="C185"/>
      <c r="E185"/>
      <c r="AG185" s="27" t="s">
        <v>8</v>
      </c>
      <c r="AI185" s="27" t="s">
        <v>8</v>
      </c>
      <c r="AW185" s="31"/>
      <c r="BT185" s="27" t="s">
        <v>7</v>
      </c>
      <c r="BU185" s="27" t="s">
        <v>8</v>
      </c>
      <c r="CB185" s="27" t="s">
        <v>7</v>
      </c>
      <c r="CC185" s="27" t="s">
        <v>8</v>
      </c>
      <c r="CD185" s="27" t="s">
        <v>7</v>
      </c>
      <c r="CE185" s="27" t="s">
        <v>8</v>
      </c>
      <c r="CF185" s="27" t="s">
        <v>7</v>
      </c>
      <c r="CH185" s="27" t="s">
        <v>7</v>
      </c>
      <c r="CI185" s="27" t="s">
        <v>8</v>
      </c>
      <c r="CO185" s="35"/>
    </row>
    <row r="186" spans="1:115" x14ac:dyDescent="0.25">
      <c r="A186" s="30">
        <v>13.938696110832291</v>
      </c>
      <c r="E186"/>
      <c r="AG186" s="27" t="s">
        <v>8</v>
      </c>
      <c r="AH186" s="27" t="s">
        <v>7</v>
      </c>
      <c r="AI186" s="27" t="s">
        <v>8</v>
      </c>
      <c r="AV186" s="31"/>
      <c r="BT186" s="27" t="s">
        <v>7</v>
      </c>
      <c r="CB186" s="27" t="s">
        <v>7</v>
      </c>
      <c r="CC186" s="27" t="s">
        <v>8</v>
      </c>
      <c r="CD186" s="27" t="s">
        <v>7</v>
      </c>
      <c r="CH186" s="27" t="s">
        <v>7</v>
      </c>
      <c r="CI186" s="27" t="s">
        <v>8</v>
      </c>
      <c r="CN186" s="35"/>
    </row>
    <row r="187" spans="1:11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AG187" s="27" t="s">
        <v>8</v>
      </c>
      <c r="AH187" s="27" t="s">
        <v>7</v>
      </c>
      <c r="AI187" s="27" t="s">
        <v>8</v>
      </c>
      <c r="AU187" s="31"/>
      <c r="CB187" s="27" t="s">
        <v>7</v>
      </c>
      <c r="CH187" s="27" t="s">
        <v>7</v>
      </c>
      <c r="CI187" s="27" t="s">
        <v>8</v>
      </c>
      <c r="CM187" s="35"/>
    </row>
    <row r="188" spans="1:115" x14ac:dyDescent="0.25">
      <c r="A188" s="30">
        <v>12.64280826379346</v>
      </c>
      <c r="E188"/>
      <c r="AG188" s="27" t="s">
        <v>8</v>
      </c>
      <c r="AH188" s="27" t="s">
        <v>7</v>
      </c>
      <c r="AI188" s="27" t="s">
        <v>8</v>
      </c>
      <c r="AT188" s="31"/>
      <c r="CH188" s="27" t="s">
        <v>7</v>
      </c>
      <c r="CI188" s="27" t="s">
        <v>8</v>
      </c>
      <c r="CL188" s="35"/>
    </row>
    <row r="189" spans="1:115" x14ac:dyDescent="0.25">
      <c r="A189" s="30">
        <v>12.04076977504139</v>
      </c>
      <c r="E189"/>
      <c r="AG189" s="27" t="s">
        <v>8</v>
      </c>
      <c r="AH189" s="27" t="s">
        <v>7</v>
      </c>
      <c r="AS189" s="31"/>
      <c r="CH189" s="27" t="s">
        <v>7</v>
      </c>
      <c r="CI189" s="27" t="s">
        <v>8</v>
      </c>
      <c r="CK189" s="35"/>
    </row>
    <row r="190" spans="1:115" x14ac:dyDescent="0.25">
      <c r="A190" s="30">
        <v>11.467399785753704</v>
      </c>
      <c r="E190"/>
      <c r="AG190" s="27" t="s">
        <v>8</v>
      </c>
      <c r="AR190" s="31"/>
      <c r="CH190" s="18" t="s">
        <v>7</v>
      </c>
      <c r="CI190" s="27" t="s">
        <v>8</v>
      </c>
      <c r="CJ190" s="35"/>
    </row>
    <row r="191" spans="1:115" x14ac:dyDescent="0.25">
      <c r="A191" s="30">
        <v>10.921333129289241</v>
      </c>
      <c r="E191"/>
      <c r="AG191" s="32" t="s">
        <v>8</v>
      </c>
      <c r="AQ191" s="31"/>
      <c r="CH191" s="27" t="s">
        <v>7</v>
      </c>
      <c r="CI191" s="35" t="s">
        <v>8</v>
      </c>
    </row>
    <row r="192" spans="1:115" x14ac:dyDescent="0.25">
      <c r="A192" s="30">
        <v>10.401269646942135</v>
      </c>
      <c r="E192"/>
      <c r="AC192" s="33" t="s">
        <v>8</v>
      </c>
      <c r="AE192" s="33" t="s">
        <v>8</v>
      </c>
      <c r="AG192" s="27" t="s">
        <v>8</v>
      </c>
      <c r="AP192" s="31"/>
      <c r="CH192" s="35" t="s">
        <v>7</v>
      </c>
    </row>
    <row r="193" spans="1:41" x14ac:dyDescent="0.25">
      <c r="A193" s="30">
        <v>9.9059710923258422</v>
      </c>
      <c r="E193"/>
      <c r="AC193" s="27" t="s">
        <v>8</v>
      </c>
      <c r="AD193" s="27" t="s">
        <v>7</v>
      </c>
      <c r="AE193" s="27" t="s">
        <v>8</v>
      </c>
      <c r="AF193" s="27" t="s">
        <v>7</v>
      </c>
      <c r="AG193" s="27" t="s">
        <v>8</v>
      </c>
      <c r="AO193" s="31"/>
    </row>
    <row r="194" spans="1:41" x14ac:dyDescent="0.25">
      <c r="A194" s="30">
        <v>9.4342581831674686</v>
      </c>
      <c r="E194"/>
      <c r="AA194" s="27" t="s">
        <v>8</v>
      </c>
      <c r="AC194" s="27" t="s">
        <v>8</v>
      </c>
      <c r="AD194" s="27" t="s">
        <v>7</v>
      </c>
      <c r="AE194" s="27" t="s">
        <v>8</v>
      </c>
      <c r="AF194" s="27" t="s">
        <v>7</v>
      </c>
      <c r="AG194" s="27" t="s">
        <v>8</v>
      </c>
      <c r="AN194" s="31"/>
    </row>
    <row r="195" spans="1:41" x14ac:dyDescent="0.25">
      <c r="A195" s="30">
        <v>8.9850077934928265</v>
      </c>
      <c r="E195"/>
      <c r="AA195" s="27" t="s">
        <v>8</v>
      </c>
      <c r="AB195" s="27" t="s">
        <v>7</v>
      </c>
      <c r="AC195" s="27" t="s">
        <v>8</v>
      </c>
      <c r="AD195" s="27" t="s">
        <v>7</v>
      </c>
      <c r="AF195" s="27" t="s">
        <v>7</v>
      </c>
      <c r="AG195" s="27" t="s">
        <v>8</v>
      </c>
      <c r="AM195" s="31"/>
    </row>
    <row r="196" spans="1:41" x14ac:dyDescent="0.25">
      <c r="A196" s="30">
        <v>8.5571502795169767</v>
      </c>
      <c r="E196"/>
      <c r="AA196" s="27" t="s">
        <v>8</v>
      </c>
      <c r="AB196" s="27" t="s">
        <v>7</v>
      </c>
      <c r="AC196" s="27" t="s">
        <v>8</v>
      </c>
      <c r="AF196" s="34" t="s">
        <v>7</v>
      </c>
      <c r="AG196" s="27" t="s">
        <v>8</v>
      </c>
      <c r="AL196" s="31"/>
    </row>
    <row r="197" spans="1:41" x14ac:dyDescent="0.25">
      <c r="A197" s="30">
        <v>8.1496669328733109</v>
      </c>
      <c r="E197"/>
      <c r="AA197" s="27" t="s">
        <v>8</v>
      </c>
      <c r="AB197" s="27" t="s">
        <v>7</v>
      </c>
      <c r="AF197" s="27" t="s">
        <v>7</v>
      </c>
      <c r="AG197" s="27" t="s">
        <v>8</v>
      </c>
      <c r="AK197" s="31"/>
    </row>
    <row r="198" spans="1:41" x14ac:dyDescent="0.25">
      <c r="A198" s="30">
        <v>7.7615875551174378</v>
      </c>
      <c r="E198"/>
      <c r="AA198" s="27" t="s">
        <v>8</v>
      </c>
      <c r="AF198" s="27" t="s">
        <v>7</v>
      </c>
      <c r="AG198" s="27" t="s">
        <v>8</v>
      </c>
      <c r="AJ198" s="31"/>
    </row>
    <row r="199" spans="1:41" x14ac:dyDescent="0.25">
      <c r="A199" s="30">
        <v>7.3919881477308929</v>
      </c>
      <c r="E199"/>
      <c r="AA199" s="27" t="s">
        <v>8</v>
      </c>
      <c r="AF199" s="27" t="s">
        <v>7</v>
      </c>
      <c r="AI199" s="31"/>
    </row>
    <row r="200" spans="1:41" x14ac:dyDescent="0.25">
      <c r="A200" s="30">
        <v>7.0399887121246598</v>
      </c>
      <c r="E200"/>
      <c r="AA200" s="27" t="s">
        <v>8</v>
      </c>
      <c r="AH200" s="31"/>
    </row>
    <row r="201" spans="1:41" x14ac:dyDescent="0.25">
      <c r="A201" s="30">
        <v>6.7047511544044376</v>
      </c>
      <c r="E201"/>
      <c r="I201" s="27" t="s">
        <v>8</v>
      </c>
      <c r="K201" s="27" t="s">
        <v>8</v>
      </c>
      <c r="AA201" s="27" t="s">
        <v>8</v>
      </c>
      <c r="AG201" s="31"/>
    </row>
    <row r="202" spans="1:41" x14ac:dyDescent="0.25">
      <c r="A202" s="30">
        <v>6.3854772899089882</v>
      </c>
      <c r="E202"/>
      <c r="I202" s="27" t="s">
        <v>8</v>
      </c>
      <c r="J202" s="27" t="s">
        <v>7</v>
      </c>
      <c r="K202" s="27" t="s">
        <v>8</v>
      </c>
      <c r="L202" s="27" t="s">
        <v>7</v>
      </c>
      <c r="AA202" s="27" t="s">
        <v>8</v>
      </c>
      <c r="AF202" s="31"/>
    </row>
    <row r="203" spans="1:41" x14ac:dyDescent="0.25">
      <c r="A203" s="30">
        <v>6.0814069427704647</v>
      </c>
      <c r="C203" s="7"/>
      <c r="D203"/>
      <c r="E203"/>
      <c r="I203" s="27" t="s">
        <v>8</v>
      </c>
      <c r="J203" s="27" t="s">
        <v>7</v>
      </c>
      <c r="K203" s="27" t="s">
        <v>8</v>
      </c>
      <c r="L203" s="27" t="s">
        <v>7</v>
      </c>
      <c r="U203" s="27" t="s">
        <v>8</v>
      </c>
      <c r="AA203" s="27" t="s">
        <v>8</v>
      </c>
      <c r="AE203" s="31"/>
    </row>
    <row r="204" spans="1:41" x14ac:dyDescent="0.25">
      <c r="A204" s="30">
        <v>5.7918161359718709</v>
      </c>
      <c r="E204"/>
      <c r="I204" s="27" t="s">
        <v>8</v>
      </c>
      <c r="J204" s="27" t="s">
        <v>7</v>
      </c>
      <c r="K204" s="27" t="s">
        <v>8</v>
      </c>
      <c r="L204" s="27" t="s">
        <v>7</v>
      </c>
      <c r="U204" s="27" t="s">
        <v>8</v>
      </c>
      <c r="V204" s="27" t="s">
        <v>7</v>
      </c>
      <c r="AA204" s="27" t="s">
        <v>8</v>
      </c>
      <c r="AD204" s="31"/>
    </row>
    <row r="205" spans="1:41" x14ac:dyDescent="0.25">
      <c r="A205" s="30">
        <v>5.5160153675922574</v>
      </c>
      <c r="E205"/>
      <c r="I205" s="27" t="s">
        <v>8</v>
      </c>
      <c r="J205" s="27" t="s">
        <v>7</v>
      </c>
      <c r="L205" s="27" t="s">
        <v>7</v>
      </c>
      <c r="O205" s="27" t="s">
        <v>8</v>
      </c>
      <c r="U205" s="27" t="s">
        <v>8</v>
      </c>
      <c r="V205" s="27" t="s">
        <v>7</v>
      </c>
      <c r="W205" s="33" t="s">
        <v>8</v>
      </c>
      <c r="Y205" s="33" t="s">
        <v>8</v>
      </c>
      <c r="AA205" s="27" t="s">
        <v>8</v>
      </c>
      <c r="AC205" s="31"/>
    </row>
    <row r="206" spans="1:41" x14ac:dyDescent="0.25">
      <c r="A206" s="30">
        <v>5.2533479691354827</v>
      </c>
      <c r="C206"/>
      <c r="D206"/>
      <c r="E206"/>
      <c r="I206" s="27" t="s">
        <v>8</v>
      </c>
      <c r="L206" s="27" t="s">
        <v>7</v>
      </c>
      <c r="O206" s="27" t="s">
        <v>8</v>
      </c>
      <c r="P206" s="27" t="s">
        <v>7</v>
      </c>
      <c r="U206" s="27" t="s">
        <v>8</v>
      </c>
      <c r="V206" s="27" t="s">
        <v>7</v>
      </c>
      <c r="W206" s="27" t="s">
        <v>8</v>
      </c>
      <c r="X206" s="27" t="s">
        <v>7</v>
      </c>
      <c r="Y206" s="27" t="s">
        <v>8</v>
      </c>
      <c r="Z206" s="27" t="s">
        <v>7</v>
      </c>
      <c r="AA206" s="27" t="s">
        <v>8</v>
      </c>
      <c r="AB206" s="31"/>
    </row>
    <row r="207" spans="1:41" x14ac:dyDescent="0.25">
      <c r="A207" s="30">
        <v>5.0031885420337927</v>
      </c>
      <c r="E207"/>
      <c r="I207" s="27" t="s">
        <v>8</v>
      </c>
      <c r="L207" s="27" t="s">
        <v>7</v>
      </c>
      <c r="O207" s="27" t="s">
        <v>8</v>
      </c>
      <c r="P207" s="27" t="s">
        <v>7</v>
      </c>
      <c r="U207" s="27" t="s">
        <v>8</v>
      </c>
      <c r="V207" s="27" t="s">
        <v>7</v>
      </c>
      <c r="W207" s="27" t="s">
        <v>8</v>
      </c>
      <c r="X207" s="27" t="s">
        <v>7</v>
      </c>
      <c r="Y207" s="27" t="s">
        <v>8</v>
      </c>
      <c r="Z207" s="27" t="s">
        <v>7</v>
      </c>
      <c r="AA207" s="31" t="s">
        <v>8</v>
      </c>
    </row>
    <row r="208" spans="1:41" x14ac:dyDescent="0.25">
      <c r="A208" s="30">
        <v>4.7649414686036122</v>
      </c>
      <c r="E208"/>
      <c r="I208" s="27" t="s">
        <v>8</v>
      </c>
      <c r="L208" s="27" t="s">
        <v>7</v>
      </c>
      <c r="M208" s="27" t="s">
        <v>8</v>
      </c>
      <c r="O208" s="27" t="s">
        <v>8</v>
      </c>
      <c r="P208" s="27" t="s">
        <v>7</v>
      </c>
      <c r="S208" s="32" t="s">
        <v>8</v>
      </c>
      <c r="U208" s="27" t="s">
        <v>8</v>
      </c>
      <c r="V208" s="27" t="s">
        <v>7</v>
      </c>
      <c r="W208" s="27" t="s">
        <v>8</v>
      </c>
      <c r="X208" s="33" t="s">
        <v>7</v>
      </c>
      <c r="Z208" s="33" t="s">
        <v>7</v>
      </c>
    </row>
    <row r="209" spans="1:22" x14ac:dyDescent="0.25">
      <c r="A209" s="30">
        <v>4.5380394939082018</v>
      </c>
      <c r="E209"/>
      <c r="G209" s="27" t="s">
        <v>8</v>
      </c>
      <c r="I209" s="27" t="s">
        <v>8</v>
      </c>
      <c r="L209" s="27" t="s">
        <v>7</v>
      </c>
      <c r="M209" s="27" t="s">
        <v>8</v>
      </c>
      <c r="N209" s="27" t="s">
        <v>7</v>
      </c>
      <c r="O209" s="27" t="s">
        <v>8</v>
      </c>
      <c r="P209" s="27" t="s">
        <v>7</v>
      </c>
      <c r="Q209" s="27" t="s">
        <v>8</v>
      </c>
      <c r="S209" s="27" t="s">
        <v>8</v>
      </c>
      <c r="T209" s="27" t="s">
        <v>7</v>
      </c>
      <c r="U209" s="27" t="s">
        <v>8</v>
      </c>
      <c r="V209" s="27" t="s">
        <v>7</v>
      </c>
    </row>
    <row r="210" spans="1:22" x14ac:dyDescent="0.25">
      <c r="A210" s="30">
        <v>4.3219423751506678</v>
      </c>
      <c r="C210"/>
      <c r="E210"/>
      <c r="G210" s="27" t="s">
        <v>8</v>
      </c>
      <c r="H210" s="27" t="s">
        <v>7</v>
      </c>
      <c r="I210" s="27" t="s">
        <v>8</v>
      </c>
      <c r="L210" s="27" t="s">
        <v>7</v>
      </c>
      <c r="M210" s="27" t="s">
        <v>8</v>
      </c>
      <c r="N210" s="27" t="s">
        <v>7</v>
      </c>
      <c r="O210" s="27" t="s">
        <v>8</v>
      </c>
      <c r="P210" s="27" t="s">
        <v>7</v>
      </c>
      <c r="Q210" s="27" t="s">
        <v>8</v>
      </c>
      <c r="R210" s="27" t="s">
        <v>7</v>
      </c>
      <c r="S210" s="27" t="s">
        <v>8</v>
      </c>
      <c r="T210" s="27" t="s">
        <v>7</v>
      </c>
      <c r="U210" s="27" t="s">
        <v>8</v>
      </c>
    </row>
    <row r="211" spans="1:22" x14ac:dyDescent="0.25">
      <c r="A211" s="30">
        <v>4.1161355953815884</v>
      </c>
      <c r="E211"/>
      <c r="G211" s="27" t="s">
        <v>8</v>
      </c>
      <c r="H211" s="27" t="s">
        <v>7</v>
      </c>
      <c r="I211" s="27" t="s">
        <v>8</v>
      </c>
      <c r="L211" s="27" t="s">
        <v>7</v>
      </c>
      <c r="M211" s="27" t="s">
        <v>8</v>
      </c>
      <c r="N211" s="27" t="s">
        <v>7</v>
      </c>
      <c r="P211" s="27" t="s">
        <v>7</v>
      </c>
      <c r="Q211" s="27" t="s">
        <v>8</v>
      </c>
      <c r="R211" s="27" t="s">
        <v>7</v>
      </c>
      <c r="S211" s="27" t="s">
        <v>8</v>
      </c>
      <c r="T211" s="27" t="s">
        <v>7</v>
      </c>
      <c r="U211" s="27" t="s">
        <v>8</v>
      </c>
    </row>
    <row r="212" spans="1:22" x14ac:dyDescent="0.25">
      <c r="A212" s="30">
        <v>3.9201291384586554</v>
      </c>
      <c r="E212"/>
      <c r="G212" s="27" t="s">
        <v>8</v>
      </c>
      <c r="H212" s="27" t="s">
        <v>7</v>
      </c>
      <c r="I212" s="27" t="s">
        <v>8</v>
      </c>
      <c r="L212" s="27" t="s">
        <v>7</v>
      </c>
      <c r="M212" s="27" t="s">
        <v>8</v>
      </c>
      <c r="P212" s="27" t="s">
        <v>7</v>
      </c>
      <c r="R212" s="27" t="s">
        <v>7</v>
      </c>
      <c r="S212" s="27" t="s">
        <v>8</v>
      </c>
      <c r="T212" s="27" t="s">
        <v>7</v>
      </c>
    </row>
    <row r="213" spans="1:22" x14ac:dyDescent="0.25">
      <c r="A213" s="30">
        <v>3.7334563223415764</v>
      </c>
      <c r="E213"/>
      <c r="G213" s="27" t="s">
        <v>8</v>
      </c>
      <c r="H213" s="27" t="s">
        <v>7</v>
      </c>
      <c r="L213" s="27" t="s">
        <v>7</v>
      </c>
      <c r="M213" s="27" t="s">
        <v>8</v>
      </c>
      <c r="R213" s="27" t="s">
        <v>7</v>
      </c>
    </row>
    <row r="214" spans="1:22" x14ac:dyDescent="0.25">
      <c r="A214" s="30">
        <v>3.5556726879443583</v>
      </c>
      <c r="E214"/>
      <c r="G214" s="27" t="s">
        <v>8</v>
      </c>
      <c r="L214" s="27" t="s">
        <v>7</v>
      </c>
    </row>
    <row r="215" spans="1:22" x14ac:dyDescent="0.25">
      <c r="A215" s="30">
        <v>3.3863549408993889</v>
      </c>
      <c r="E215"/>
      <c r="G215" s="27" t="s">
        <v>8</v>
      </c>
    </row>
    <row r="216" spans="1:22" x14ac:dyDescent="0.25">
      <c r="A216" s="30">
        <v>3.2250999437137038</v>
      </c>
      <c r="E216"/>
      <c r="G216" s="27" t="s">
        <v>8</v>
      </c>
    </row>
    <row r="217" spans="1:22" x14ac:dyDescent="0.25">
      <c r="A217" s="30">
        <v>3.0715237559178128</v>
      </c>
      <c r="E217" t="s">
        <v>8</v>
      </c>
      <c r="G217" s="27" t="s">
        <v>8</v>
      </c>
    </row>
    <row r="218" spans="1:22" x14ac:dyDescent="0.25">
      <c r="A218" s="30">
        <v>2.9252607199217264</v>
      </c>
      <c r="E218" t="s">
        <v>8</v>
      </c>
      <c r="F218" s="27" t="s">
        <v>7</v>
      </c>
      <c r="G218" s="27" t="s">
        <v>8</v>
      </c>
    </row>
    <row r="219" spans="1:22" x14ac:dyDescent="0.25">
      <c r="A219" s="30">
        <v>2.7859625904016441</v>
      </c>
      <c r="E219" t="s">
        <v>8</v>
      </c>
      <c r="F219" s="27" t="s">
        <v>7</v>
      </c>
      <c r="G219" s="27" t="s">
        <v>8</v>
      </c>
    </row>
    <row r="220" spans="1:22" x14ac:dyDescent="0.25">
      <c r="A220" s="30">
        <v>2.6532977051444226</v>
      </c>
      <c r="E220" t="s">
        <v>8</v>
      </c>
      <c r="F220" s="27" t="s">
        <v>7</v>
      </c>
    </row>
    <row r="221" spans="1:22" x14ac:dyDescent="0.25">
      <c r="A221" s="30">
        <v>2.5269501953756404</v>
      </c>
      <c r="E221" t="s">
        <v>8</v>
      </c>
    </row>
    <row r="222" spans="1:22" x14ac:dyDescent="0.25">
      <c r="A222" s="30">
        <v>2.4066192336910861</v>
      </c>
      <c r="E222" t="s">
        <v>8</v>
      </c>
    </row>
    <row r="223" spans="1:22" x14ac:dyDescent="0.25">
      <c r="A223" s="30">
        <v>2.2920183178010345</v>
      </c>
      <c r="E223" t="s">
        <v>8</v>
      </c>
    </row>
    <row r="224" spans="1:22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48" operator="equal">
      <formula>$U$1</formula>
    </cfRule>
    <cfRule type="cellIs" dxfId="67" priority="949" operator="equal">
      <formula>$S$1</formula>
    </cfRule>
  </conditionalFormatting>
  <conditionalFormatting sqref="D136">
    <cfRule type="cellIs" dxfId="66" priority="946" operator="equal">
      <formula>$S$1</formula>
    </cfRule>
    <cfRule type="cellIs" dxfId="65" priority="947" operator="equal">
      <formula>$U$1</formula>
    </cfRule>
  </conditionalFormatting>
  <conditionalFormatting sqref="C162">
    <cfRule type="cellIs" dxfId="64" priority="944" operator="equal">
      <formula>$U$1</formula>
    </cfRule>
    <cfRule type="cellIs" dxfId="63" priority="945" operator="equal">
      <formula>$S$1</formula>
    </cfRule>
  </conditionalFormatting>
  <conditionalFormatting sqref="D162">
    <cfRule type="cellIs" dxfId="62" priority="942" operator="equal">
      <formula>$S$1</formula>
    </cfRule>
    <cfRule type="cellIs" dxfId="61" priority="943" operator="equal">
      <formula>$U$1</formula>
    </cfRule>
  </conditionalFormatting>
  <conditionalFormatting sqref="C187">
    <cfRule type="cellIs" dxfId="60" priority="940" operator="equal">
      <formula>$U$1</formula>
    </cfRule>
    <cfRule type="cellIs" dxfId="59" priority="941" operator="equal">
      <formula>$S$1</formula>
    </cfRule>
  </conditionalFormatting>
  <conditionalFormatting sqref="D187">
    <cfRule type="cellIs" dxfId="58" priority="938" operator="equal">
      <formula>$S$1</formula>
    </cfRule>
    <cfRule type="cellIs" dxfId="57" priority="939" operator="equal">
      <formula>$U$1</formula>
    </cfRule>
  </conditionalFormatting>
  <conditionalFormatting sqref="C212">
    <cfRule type="cellIs" dxfId="56" priority="936" operator="equal">
      <formula>$U$1</formula>
    </cfRule>
    <cfRule type="cellIs" dxfId="55" priority="937" operator="equal">
      <formula>$S$1</formula>
    </cfRule>
  </conditionalFormatting>
  <conditionalFormatting sqref="D212">
    <cfRule type="cellIs" dxfId="54" priority="934" operator="equal">
      <formula>$S$1</formula>
    </cfRule>
    <cfRule type="cellIs" dxfId="53" priority="935" operator="equal">
      <formula>$U$1</formula>
    </cfRule>
  </conditionalFormatting>
  <conditionalFormatting sqref="C237">
    <cfRule type="cellIs" dxfId="52" priority="932" operator="equal">
      <formula>$U$1</formula>
    </cfRule>
    <cfRule type="cellIs" dxfId="51" priority="933" operator="equal">
      <formula>$S$1</formula>
    </cfRule>
  </conditionalFormatting>
  <conditionalFormatting sqref="D237">
    <cfRule type="cellIs" dxfId="50" priority="930" operator="equal">
      <formula>$S$1</formula>
    </cfRule>
    <cfRule type="cellIs" dxfId="49" priority="931" operator="equal">
      <formula>$U$1</formula>
    </cfRule>
  </conditionalFormatting>
  <conditionalFormatting sqref="C106">
    <cfRule type="cellIs" dxfId="48" priority="928" operator="equal">
      <formula>$U$1</formula>
    </cfRule>
    <cfRule type="cellIs" dxfId="47" priority="929" operator="equal">
      <formula>$S$1</formula>
    </cfRule>
  </conditionalFormatting>
  <conditionalFormatting sqref="D106">
    <cfRule type="cellIs" dxfId="46" priority="926" operator="equal">
      <formula>$S$1</formula>
    </cfRule>
    <cfRule type="cellIs" dxfId="45" priority="927" operator="equal">
      <formula>$U$1</formula>
    </cfRule>
  </conditionalFormatting>
  <conditionalFormatting sqref="C81">
    <cfRule type="cellIs" dxfId="44" priority="924" operator="equal">
      <formula>$U$1</formula>
    </cfRule>
    <cfRule type="cellIs" dxfId="43" priority="925" operator="equal">
      <formula>$S$1</formula>
    </cfRule>
  </conditionalFormatting>
  <conditionalFormatting sqref="D81">
    <cfRule type="cellIs" dxfId="42" priority="922" operator="equal">
      <formula>$S$1</formula>
    </cfRule>
    <cfRule type="cellIs" dxfId="41" priority="923" operator="equal">
      <formula>$U$1</formula>
    </cfRule>
  </conditionalFormatting>
  <conditionalFormatting sqref="C56">
    <cfRule type="cellIs" dxfId="40" priority="920" operator="equal">
      <formula>$U$1</formula>
    </cfRule>
    <cfRule type="cellIs" dxfId="39" priority="921" operator="equal">
      <formula>$S$1</formula>
    </cfRule>
  </conditionalFormatting>
  <conditionalFormatting sqref="D56">
    <cfRule type="cellIs" dxfId="38" priority="918" operator="equal">
      <formula>$S$1</formula>
    </cfRule>
    <cfRule type="cellIs" dxfId="37" priority="919" operator="equal">
      <formula>$U$1</formula>
    </cfRule>
  </conditionalFormatting>
  <conditionalFormatting sqref="C31">
    <cfRule type="cellIs" dxfId="36" priority="916" operator="equal">
      <formula>$U$1</formula>
    </cfRule>
    <cfRule type="cellIs" dxfId="35" priority="917" operator="equal">
      <formula>$S$1</formula>
    </cfRule>
  </conditionalFormatting>
  <conditionalFormatting sqref="D31">
    <cfRule type="cellIs" dxfId="34" priority="914" operator="equal">
      <formula>$S$1</formula>
    </cfRule>
    <cfRule type="cellIs" dxfId="33" priority="91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69" zoomScale="90" zoomScaleNormal="90" workbookViewId="0">
      <pane xSplit="4" topLeftCell="G1" activePane="topRight" state="frozen"/>
      <selection activeCell="A109" sqref="A109"/>
      <selection pane="topRight" activeCell="AF92" sqref="AF92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32" x14ac:dyDescent="0.25">
      <c r="A65" s="30">
        <v>207.96505671840671</v>
      </c>
      <c r="E65"/>
    </row>
    <row r="66" spans="1:32" x14ac:dyDescent="0.25">
      <c r="A66" s="30">
        <v>189.05914247127882</v>
      </c>
      <c r="E66"/>
    </row>
    <row r="67" spans="1:32" x14ac:dyDescent="0.25">
      <c r="A67" s="30">
        <v>171.87194770116255</v>
      </c>
      <c r="C67" s="1" t="s">
        <v>15</v>
      </c>
      <c r="E67"/>
    </row>
    <row r="68" spans="1:32" x14ac:dyDescent="0.25">
      <c r="A68" s="30">
        <v>156.24722518287504</v>
      </c>
      <c r="C68" s="7">
        <v>0.11167815779424731</v>
      </c>
      <c r="D68"/>
      <c r="E68"/>
    </row>
    <row r="69" spans="1:32" x14ac:dyDescent="0.25">
      <c r="A69" s="30">
        <v>142.04293198443185</v>
      </c>
      <c r="E69"/>
    </row>
    <row r="70" spans="1:32" x14ac:dyDescent="0.25">
      <c r="A70" s="30">
        <v>129.1299381676653</v>
      </c>
      <c r="C70" s="1" t="s">
        <v>11</v>
      </c>
      <c r="D70" s="1" t="s">
        <v>12</v>
      </c>
      <c r="E70"/>
    </row>
    <row r="71" spans="1:32" x14ac:dyDescent="0.25">
      <c r="A71" s="30">
        <v>117.39085287969573</v>
      </c>
      <c r="C71"/>
      <c r="D71"/>
      <c r="E71"/>
    </row>
    <row r="72" spans="1:32" x14ac:dyDescent="0.25">
      <c r="A72" s="30">
        <v>106.71895716335975</v>
      </c>
      <c r="E72"/>
    </row>
    <row r="73" spans="1:32" x14ac:dyDescent="0.25">
      <c r="A73" s="30">
        <v>97.017233784872488</v>
      </c>
      <c r="C73" s="1" t="s">
        <v>13</v>
      </c>
      <c r="E73"/>
    </row>
    <row r="74" spans="1:32" x14ac:dyDescent="0.25">
      <c r="A74" s="30">
        <v>88.197485258974979</v>
      </c>
      <c r="C74" s="1">
        <f>C63</f>
        <v>0</v>
      </c>
      <c r="E74"/>
    </row>
    <row r="75" spans="1:32" x14ac:dyDescent="0.25">
      <c r="A75" s="30">
        <v>80.179532053613613</v>
      </c>
      <c r="C75"/>
      <c r="D75"/>
      <c r="E75"/>
    </row>
    <row r="76" spans="1:32" x14ac:dyDescent="0.25">
      <c r="A76" s="30">
        <v>72.890483685103277</v>
      </c>
      <c r="C76" s="1" t="s">
        <v>14</v>
      </c>
      <c r="E76"/>
    </row>
    <row r="77" spans="1:32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32" x14ac:dyDescent="0.25">
      <c r="A78" s="30">
        <v>60.240069161242367</v>
      </c>
      <c r="E78"/>
    </row>
    <row r="79" spans="1:32" x14ac:dyDescent="0.25">
      <c r="A79" s="30">
        <v>54.763699237493057</v>
      </c>
      <c r="E79"/>
      <c r="AE79" s="27" t="s">
        <v>8</v>
      </c>
    </row>
    <row r="80" spans="1:32" x14ac:dyDescent="0.25">
      <c r="A80" s="30">
        <v>49.785181124993684</v>
      </c>
      <c r="E80"/>
      <c r="AE80" s="27" t="s">
        <v>8</v>
      </c>
      <c r="AF80" s="27" t="s">
        <v>7</v>
      </c>
    </row>
    <row r="81" spans="1:36" x14ac:dyDescent="0.25">
      <c r="A81" s="30">
        <v>45.259255568176073</v>
      </c>
      <c r="E81"/>
      <c r="O81" s="33" t="s">
        <v>8</v>
      </c>
      <c r="Q81" s="33" t="s">
        <v>8</v>
      </c>
      <c r="AE81" s="27" t="s">
        <v>8</v>
      </c>
      <c r="AF81" s="27" t="s">
        <v>7</v>
      </c>
    </row>
    <row r="82" spans="1:36" x14ac:dyDescent="0.25">
      <c r="A82" s="30">
        <v>41.144777789250973</v>
      </c>
      <c r="E82"/>
      <c r="K82" s="27" t="s">
        <v>8</v>
      </c>
      <c r="O82" s="27" t="s">
        <v>8</v>
      </c>
      <c r="P82" s="27" t="s">
        <v>7</v>
      </c>
      <c r="Q82" s="27" t="s">
        <v>8</v>
      </c>
      <c r="R82" s="31" t="s">
        <v>7</v>
      </c>
      <c r="AE82" s="27" t="s">
        <v>8</v>
      </c>
      <c r="AF82" s="27" t="s">
        <v>7</v>
      </c>
    </row>
    <row r="83" spans="1:36" x14ac:dyDescent="0.25">
      <c r="A83" s="30">
        <v>37.404343444773609</v>
      </c>
      <c r="E83"/>
      <c r="K83" s="27" t="s">
        <v>8</v>
      </c>
      <c r="L83" s="27" t="s">
        <v>7</v>
      </c>
      <c r="M83" s="33" t="s">
        <v>8</v>
      </c>
      <c r="O83" s="27" t="s">
        <v>8</v>
      </c>
      <c r="P83" s="27" t="s">
        <v>7</v>
      </c>
      <c r="Q83" s="27" t="s">
        <v>8</v>
      </c>
      <c r="R83" s="27" t="s">
        <v>7</v>
      </c>
      <c r="S83" s="31"/>
      <c r="AC83" s="27" t="s">
        <v>8</v>
      </c>
      <c r="AE83" s="27" t="s">
        <v>8</v>
      </c>
      <c r="AF83" s="27" t="s">
        <v>7</v>
      </c>
    </row>
    <row r="84" spans="1:36" x14ac:dyDescent="0.25">
      <c r="A84" s="30">
        <v>34.003948586157826</v>
      </c>
      <c r="E84"/>
      <c r="K84" s="27" t="s">
        <v>8</v>
      </c>
      <c r="L84" s="27" t="s">
        <v>7</v>
      </c>
      <c r="M84" s="27" t="s">
        <v>8</v>
      </c>
      <c r="N84" s="27" t="s">
        <v>7</v>
      </c>
      <c r="O84" s="27" t="s">
        <v>8</v>
      </c>
      <c r="P84" s="27" t="s">
        <v>7</v>
      </c>
      <c r="Q84" s="27" t="s">
        <v>8</v>
      </c>
      <c r="R84" s="27" t="s">
        <v>7</v>
      </c>
      <c r="T84" s="31"/>
      <c r="AA84" s="27" t="s">
        <v>8</v>
      </c>
      <c r="AC84" s="27" t="s">
        <v>8</v>
      </c>
      <c r="AD84" s="27" t="s">
        <v>7</v>
      </c>
      <c r="AE84" s="27" t="s">
        <v>8</v>
      </c>
      <c r="AF84" s="27" t="s">
        <v>7</v>
      </c>
    </row>
    <row r="85" spans="1:36" x14ac:dyDescent="0.25">
      <c r="A85" s="30">
        <v>30.912680532870748</v>
      </c>
      <c r="E85"/>
      <c r="K85" s="27" t="s">
        <v>8</v>
      </c>
      <c r="L85" s="27" t="s">
        <v>7</v>
      </c>
      <c r="M85" s="27" t="s">
        <v>8</v>
      </c>
      <c r="N85" s="27" t="s">
        <v>7</v>
      </c>
      <c r="O85" s="27" t="s">
        <v>8</v>
      </c>
      <c r="P85" s="27" t="s">
        <v>7</v>
      </c>
      <c r="Q85" s="27" t="s">
        <v>8</v>
      </c>
      <c r="R85" s="27" t="s">
        <v>7</v>
      </c>
      <c r="S85" s="27" t="s">
        <v>8</v>
      </c>
      <c r="U85" s="31"/>
      <c r="AA85" s="27" t="s">
        <v>8</v>
      </c>
      <c r="AB85" s="27" t="s">
        <v>7</v>
      </c>
      <c r="AC85" s="27" t="s">
        <v>8</v>
      </c>
      <c r="AD85" s="27" t="s">
        <v>7</v>
      </c>
      <c r="AE85" s="27" t="s">
        <v>8</v>
      </c>
      <c r="AF85" s="27" t="s">
        <v>7</v>
      </c>
    </row>
    <row r="86" spans="1:36" x14ac:dyDescent="0.25">
      <c r="A86" s="30">
        <v>28.102436848064315</v>
      </c>
      <c r="E86"/>
      <c r="K86" s="27" t="s">
        <v>8</v>
      </c>
      <c r="L86" s="33" t="s">
        <v>7</v>
      </c>
      <c r="N86" s="33" t="s">
        <v>7</v>
      </c>
      <c r="P86" s="33" t="s">
        <v>7</v>
      </c>
      <c r="R86" s="27" t="s">
        <v>7</v>
      </c>
      <c r="S86" s="27" t="s">
        <v>8</v>
      </c>
      <c r="T86" s="27" t="s">
        <v>7</v>
      </c>
      <c r="V86" s="31"/>
      <c r="W86" s="32" t="s">
        <v>8</v>
      </c>
      <c r="AA86" s="27" t="s">
        <v>8</v>
      </c>
      <c r="AB86" s="27" t="s">
        <v>7</v>
      </c>
      <c r="AC86" s="27" t="s">
        <v>8</v>
      </c>
      <c r="AD86" s="27" t="s">
        <v>7</v>
      </c>
      <c r="AE86" s="27" t="s">
        <v>8</v>
      </c>
      <c r="AF86" s="27" t="s">
        <v>7</v>
      </c>
      <c r="AJ86" s="31"/>
    </row>
    <row r="87" spans="1:36" x14ac:dyDescent="0.25">
      <c r="A87" s="30">
        <v>25.547669861876649</v>
      </c>
      <c r="E87"/>
      <c r="K87" s="27" t="s">
        <v>8</v>
      </c>
      <c r="R87" s="34" t="s">
        <v>7</v>
      </c>
      <c r="S87" s="27" t="s">
        <v>8</v>
      </c>
      <c r="T87" s="27" t="s">
        <v>7</v>
      </c>
      <c r="U87" s="27" t="s">
        <v>8</v>
      </c>
      <c r="W87" s="31" t="s">
        <v>8</v>
      </c>
      <c r="X87" s="31" t="s">
        <v>7</v>
      </c>
      <c r="AA87" s="27" t="s">
        <v>8</v>
      </c>
      <c r="AB87" s="27" t="s">
        <v>7</v>
      </c>
      <c r="AC87" s="27" t="s">
        <v>8</v>
      </c>
      <c r="AD87" s="27" t="s">
        <v>7</v>
      </c>
      <c r="AF87" s="27" t="s">
        <v>7</v>
      </c>
      <c r="AI87" s="31"/>
    </row>
    <row r="88" spans="1:36" x14ac:dyDescent="0.25">
      <c r="A88" s="30">
        <v>23.225154419887861</v>
      </c>
      <c r="E88"/>
      <c r="K88" s="27" t="s">
        <v>8</v>
      </c>
      <c r="R88" s="27" t="s">
        <v>7</v>
      </c>
      <c r="S88" s="27" t="s">
        <v>8</v>
      </c>
      <c r="T88" s="27" t="s">
        <v>7</v>
      </c>
      <c r="U88" s="27" t="s">
        <v>8</v>
      </c>
      <c r="V88" s="27" t="s">
        <v>7</v>
      </c>
      <c r="W88" s="27" t="s">
        <v>8</v>
      </c>
      <c r="X88" s="27" t="s">
        <v>7</v>
      </c>
      <c r="Y88" s="31"/>
      <c r="AA88" s="27" t="s">
        <v>8</v>
      </c>
      <c r="AB88" s="27" t="s">
        <v>7</v>
      </c>
      <c r="AF88" s="27" t="s">
        <v>7</v>
      </c>
      <c r="AH88" s="31"/>
    </row>
    <row r="89" spans="1:36" x14ac:dyDescent="0.25">
      <c r="A89" s="30">
        <v>21.113776745352599</v>
      </c>
      <c r="E89"/>
      <c r="K89" s="27" t="s">
        <v>8</v>
      </c>
      <c r="R89" s="27" t="s">
        <v>7</v>
      </c>
      <c r="S89" s="27" t="s">
        <v>8</v>
      </c>
      <c r="T89" s="27" t="s">
        <v>7</v>
      </c>
      <c r="U89" s="27" t="s">
        <v>8</v>
      </c>
      <c r="V89" s="27" t="s">
        <v>7</v>
      </c>
      <c r="W89" s="27" t="s">
        <v>8</v>
      </c>
      <c r="X89" s="27" t="s">
        <v>7</v>
      </c>
      <c r="Z89" s="31"/>
      <c r="AA89" s="27" t="s">
        <v>8</v>
      </c>
      <c r="AF89" s="27" t="s">
        <v>7</v>
      </c>
      <c r="AG89" s="31"/>
    </row>
    <row r="90" spans="1:36" x14ac:dyDescent="0.25">
      <c r="A90" s="30">
        <v>19.194342495775089</v>
      </c>
      <c r="E90"/>
      <c r="K90" s="27" t="s">
        <v>8</v>
      </c>
      <c r="R90" s="27" t="s">
        <v>7</v>
      </c>
      <c r="T90" s="27" t="s">
        <v>7</v>
      </c>
      <c r="U90" s="27" t="s">
        <v>8</v>
      </c>
      <c r="V90" s="27" t="s">
        <v>7</v>
      </c>
      <c r="X90" s="27" t="s">
        <v>7</v>
      </c>
      <c r="AA90" s="32" t="s">
        <v>8</v>
      </c>
      <c r="AF90" s="31" t="s">
        <v>7</v>
      </c>
    </row>
    <row r="91" spans="1:36" x14ac:dyDescent="0.25">
      <c r="A91" s="30">
        <v>17.449402268886445</v>
      </c>
      <c r="E91"/>
      <c r="K91" s="27" t="s">
        <v>8</v>
      </c>
      <c r="T91" s="27" t="s">
        <v>7</v>
      </c>
      <c r="U91" s="27" t="s">
        <v>8</v>
      </c>
      <c r="X91" s="34" t="s">
        <v>7</v>
      </c>
      <c r="Y91" s="27" t="s">
        <v>8</v>
      </c>
      <c r="AA91" s="27" t="s">
        <v>8</v>
      </c>
      <c r="AB91" s="31"/>
      <c r="AE91" s="31"/>
      <c r="AF91" s="27" t="s">
        <v>7</v>
      </c>
    </row>
    <row r="92" spans="1:36" x14ac:dyDescent="0.25">
      <c r="A92" s="30">
        <v>15.863092971714948</v>
      </c>
      <c r="C92" s="1" t="s">
        <v>15</v>
      </c>
      <c r="E92"/>
      <c r="K92" s="27" t="s">
        <v>8</v>
      </c>
      <c r="T92" s="27" t="s">
        <v>7</v>
      </c>
      <c r="U92" s="27" t="s">
        <v>8</v>
      </c>
      <c r="X92" s="27" t="s">
        <v>7</v>
      </c>
      <c r="Y92" s="27" t="s">
        <v>8</v>
      </c>
      <c r="Z92" s="27" t="s">
        <v>7</v>
      </c>
      <c r="AA92" s="27" t="s">
        <v>8</v>
      </c>
      <c r="AD92" s="31"/>
      <c r="AF92" s="27" t="s">
        <v>7</v>
      </c>
    </row>
    <row r="93" spans="1:36" x14ac:dyDescent="0.25">
      <c r="A93" s="30">
        <v>14.420993610649951</v>
      </c>
      <c r="C93" s="7">
        <v>0.11167815779424731</v>
      </c>
      <c r="D93"/>
      <c r="E93"/>
      <c r="K93" s="27" t="s">
        <v>8</v>
      </c>
      <c r="T93" s="27" t="s">
        <v>7</v>
      </c>
      <c r="X93" s="27" t="s">
        <v>7</v>
      </c>
      <c r="Y93" s="27" t="s">
        <v>8</v>
      </c>
      <c r="Z93" s="27" t="s">
        <v>7</v>
      </c>
      <c r="AA93" s="27" t="s">
        <v>8</v>
      </c>
      <c r="AC93" s="31"/>
    </row>
    <row r="94" spans="1:36" x14ac:dyDescent="0.25">
      <c r="A94" s="30">
        <v>13.109994191499954</v>
      </c>
      <c r="E94"/>
      <c r="K94" s="27" t="s">
        <v>8</v>
      </c>
      <c r="X94" s="27" t="s">
        <v>7</v>
      </c>
      <c r="Z94" s="27" t="s">
        <v>7</v>
      </c>
      <c r="AA94" s="27" t="s">
        <v>8</v>
      </c>
      <c r="AB94" s="31"/>
    </row>
    <row r="95" spans="1:36" x14ac:dyDescent="0.25">
      <c r="A95" s="30">
        <v>11.918176537727231</v>
      </c>
      <c r="C95" s="1" t="s">
        <v>11</v>
      </c>
      <c r="D95" s="1" t="s">
        <v>12</v>
      </c>
      <c r="E95"/>
      <c r="K95" s="27" t="s">
        <v>8</v>
      </c>
      <c r="Z95" s="18" t="s">
        <v>7</v>
      </c>
      <c r="AA95" s="31" t="s">
        <v>8</v>
      </c>
    </row>
    <row r="96" spans="1:36" x14ac:dyDescent="0.25">
      <c r="A96" s="30">
        <v>10.834705943388391</v>
      </c>
      <c r="C96"/>
      <c r="D96"/>
      <c r="E96"/>
      <c r="K96" s="27" t="s">
        <v>8</v>
      </c>
      <c r="Z96" s="31" t="s">
        <v>7</v>
      </c>
    </row>
    <row r="97" spans="1:11" x14ac:dyDescent="0.25">
      <c r="A97" s="30">
        <v>9.849732675807628</v>
      </c>
      <c r="E97"/>
      <c r="I97" s="27" t="s">
        <v>8</v>
      </c>
      <c r="K97" s="27" t="s">
        <v>8</v>
      </c>
    </row>
    <row r="98" spans="1:11" x14ac:dyDescent="0.25">
      <c r="A98" s="30">
        <v>8.9543024325523888</v>
      </c>
      <c r="C98" s="1" t="s">
        <v>13</v>
      </c>
      <c r="E98"/>
      <c r="I98" s="27" t="s">
        <v>8</v>
      </c>
      <c r="J98" s="27" t="s">
        <v>7</v>
      </c>
      <c r="K98" s="27" t="s">
        <v>8</v>
      </c>
    </row>
    <row r="99" spans="1:11" x14ac:dyDescent="0.25">
      <c r="A99" s="30">
        <v>8.140274938683989</v>
      </c>
      <c r="C99" s="1">
        <f>C88</f>
        <v>0</v>
      </c>
      <c r="E99"/>
      <c r="I99" s="27" t="s">
        <v>8</v>
      </c>
      <c r="J99" s="27" t="s">
        <v>7</v>
      </c>
      <c r="K99" s="27" t="s">
        <v>8</v>
      </c>
    </row>
    <row r="100" spans="1:11" x14ac:dyDescent="0.25">
      <c r="A100" s="30">
        <v>7.4002499442581717</v>
      </c>
      <c r="C100"/>
      <c r="D100"/>
      <c r="E100"/>
      <c r="I100" s="27" t="s">
        <v>8</v>
      </c>
      <c r="J100" s="27" t="s">
        <v>7</v>
      </c>
    </row>
    <row r="101" spans="1:11" x14ac:dyDescent="0.25">
      <c r="A101" s="30">
        <v>6.72749994932561</v>
      </c>
      <c r="C101" s="1" t="s">
        <v>14</v>
      </c>
      <c r="E101" t="s">
        <v>8</v>
      </c>
      <c r="I101" s="27" t="s">
        <v>8</v>
      </c>
    </row>
    <row r="102" spans="1:11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I102" s="27" t="s">
        <v>8</v>
      </c>
    </row>
    <row r="103" spans="1:11" x14ac:dyDescent="0.25">
      <c r="A103" s="30">
        <v>5.5599173134922388</v>
      </c>
      <c r="E103" t="s">
        <v>8</v>
      </c>
      <c r="F103" s="27" t="s">
        <v>7</v>
      </c>
      <c r="G103" s="27" t="s">
        <v>8</v>
      </c>
      <c r="I103" s="27" t="s">
        <v>8</v>
      </c>
    </row>
    <row r="104" spans="1:11" x14ac:dyDescent="0.25">
      <c r="A104" s="30">
        <v>5.0544702849929442</v>
      </c>
      <c r="E104" t="s">
        <v>8</v>
      </c>
      <c r="F104" s="27" t="s">
        <v>7</v>
      </c>
      <c r="G104" s="27" t="s">
        <v>8</v>
      </c>
      <c r="H104" s="27" t="s">
        <v>7</v>
      </c>
      <c r="I104" s="27" t="s">
        <v>8</v>
      </c>
    </row>
    <row r="105" spans="1:11" x14ac:dyDescent="0.25">
      <c r="A105" s="30">
        <v>4.594972986357222</v>
      </c>
      <c r="E105" t="s">
        <v>8</v>
      </c>
      <c r="F105" s="27" t="s">
        <v>7</v>
      </c>
      <c r="G105" s="27" t="s">
        <v>8</v>
      </c>
      <c r="H105" s="27" t="s">
        <v>7</v>
      </c>
      <c r="I105" s="27" t="s">
        <v>8</v>
      </c>
    </row>
    <row r="106" spans="1:11" x14ac:dyDescent="0.25">
      <c r="A106" s="30">
        <v>4.1772481694156562</v>
      </c>
      <c r="E106" t="s">
        <v>8</v>
      </c>
      <c r="F106" s="27" t="s">
        <v>7</v>
      </c>
      <c r="G106" s="27" t="s">
        <v>8</v>
      </c>
      <c r="H106" s="27" t="s">
        <v>7</v>
      </c>
      <c r="I106" s="27" t="s">
        <v>8</v>
      </c>
    </row>
    <row r="107" spans="1:11" x14ac:dyDescent="0.25">
      <c r="A107" s="30">
        <v>3.7974983358324148</v>
      </c>
      <c r="E107" t="s">
        <v>8</v>
      </c>
      <c r="F107" s="27" t="s">
        <v>7</v>
      </c>
      <c r="H107" s="27" t="s">
        <v>7</v>
      </c>
    </row>
    <row r="108" spans="1:11" x14ac:dyDescent="0.25">
      <c r="A108" s="30">
        <v>3.4522712143931042</v>
      </c>
      <c r="E108" t="s">
        <v>8</v>
      </c>
    </row>
    <row r="109" spans="1:11" x14ac:dyDescent="0.25">
      <c r="A109" s="30">
        <v>3.1384283767210035</v>
      </c>
      <c r="E109" t="s">
        <v>8</v>
      </c>
    </row>
    <row r="110" spans="1:11" x14ac:dyDescent="0.25">
      <c r="A110" s="30">
        <v>2.8531167061100029</v>
      </c>
      <c r="E110" t="s">
        <v>8</v>
      </c>
    </row>
    <row r="111" spans="1:11" x14ac:dyDescent="0.25">
      <c r="A111" s="30">
        <v>2.5937424601000023</v>
      </c>
      <c r="C111" s="1" t="str">
        <f>ADDRESS(C121-1,1,1,1)</f>
        <v>$A$91</v>
      </c>
      <c r="D111" s="1" t="str">
        <f>ADDRESS(C121-1,D121,1,1)</f>
        <v>$AF$91</v>
      </c>
      <c r="E111" t="s">
        <v>8</v>
      </c>
    </row>
    <row r="112" spans="1:11" x14ac:dyDescent="0.25">
      <c r="A112" s="30">
        <v>2.3579476910000019</v>
      </c>
      <c r="C112" s="1" t="str">
        <f>ADDRESS(C121,1,1,1)</f>
        <v>$A$92</v>
      </c>
      <c r="D112" s="1" t="str">
        <f>ADDRESS(C121,D121-1,1,1)</f>
        <v>$AE$92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$A$93</v>
      </c>
      <c r="D113" s="1" t="str">
        <f>ADDRESS(C121-1,D121+1,1,1)</f>
        <v>$AG$91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$AF$92</v>
      </c>
      <c r="D114" s="1" t="str">
        <f>ADDRESS(C121+1,D121+1,1,1)</f>
        <v>$AG$93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$AF$93</v>
      </c>
      <c r="E115" s="1" t="s">
        <v>8</v>
      </c>
    </row>
    <row r="116" spans="1:5" x14ac:dyDescent="0.25">
      <c r="A116" s="30">
        <v>1.6105100000000008</v>
      </c>
      <c r="C116" s="1">
        <f>C117-1</f>
        <v>91</v>
      </c>
      <c r="E116" s="1" t="s">
        <v>8</v>
      </c>
    </row>
    <row r="117" spans="1:5" x14ac:dyDescent="0.25">
      <c r="A117" s="30">
        <v>1.4641000000000006</v>
      </c>
      <c r="C117" s="1">
        <f>C121</f>
        <v>92</v>
      </c>
      <c r="D117" s="1">
        <f>D121</f>
        <v>32</v>
      </c>
      <c r="E117" s="1" t="s">
        <v>8</v>
      </c>
    </row>
    <row r="118" spans="1:5" x14ac:dyDescent="0.25">
      <c r="A118" s="30">
        <v>1.3310000000000004</v>
      </c>
      <c r="C118" s="1">
        <f>C117+1</f>
        <v>93</v>
      </c>
      <c r="D118" s="1">
        <f>D117+1</f>
        <v>33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92</v>
      </c>
      <c r="D121" s="19">
        <v>32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R92</v>
      </c>
      <c r="D123" s="1" t="str">
        <f>"C"&amp;D121</f>
        <v>C32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15.863092971714948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32" operator="equal">
      <formula>$U$1</formula>
    </cfRule>
    <cfRule type="cellIs" dxfId="30" priority="933" operator="equal">
      <formula>$S$1</formula>
    </cfRule>
  </conditionalFormatting>
  <conditionalFormatting sqref="D136">
    <cfRule type="cellIs" dxfId="29" priority="930" operator="equal">
      <formula>$S$1</formula>
    </cfRule>
    <cfRule type="cellIs" dxfId="28" priority="931" operator="equal">
      <formula>$U$1</formula>
    </cfRule>
  </conditionalFormatting>
  <conditionalFormatting sqref="C102">
    <cfRule type="cellIs" dxfId="27" priority="928" operator="equal">
      <formula>$U$1</formula>
    </cfRule>
    <cfRule type="cellIs" dxfId="26" priority="929" operator="equal">
      <formula>$S$1</formula>
    </cfRule>
  </conditionalFormatting>
  <conditionalFormatting sqref="D102">
    <cfRule type="cellIs" dxfId="25" priority="926" operator="equal">
      <formula>$S$1</formula>
    </cfRule>
    <cfRule type="cellIs" dxfId="24" priority="927" operator="equal">
      <formula>$U$1</formula>
    </cfRule>
  </conditionalFormatting>
  <conditionalFormatting sqref="C77">
    <cfRule type="cellIs" dxfId="23" priority="924" operator="equal">
      <formula>$U$1</formula>
    </cfRule>
    <cfRule type="cellIs" dxfId="22" priority="925" operator="equal">
      <formula>$S$1</formula>
    </cfRule>
  </conditionalFormatting>
  <conditionalFormatting sqref="D77">
    <cfRule type="cellIs" dxfId="21" priority="922" operator="equal">
      <formula>$S$1</formula>
    </cfRule>
    <cfRule type="cellIs" dxfId="20" priority="923" operator="equal">
      <formula>$U$1</formula>
    </cfRule>
  </conditionalFormatting>
  <conditionalFormatting sqref="C52">
    <cfRule type="cellIs" dxfId="19" priority="920" operator="equal">
      <formula>$U$1</formula>
    </cfRule>
    <cfRule type="cellIs" dxfId="18" priority="921" operator="equal">
      <formula>$S$1</formula>
    </cfRule>
  </conditionalFormatting>
  <conditionalFormatting sqref="D52">
    <cfRule type="cellIs" dxfId="17" priority="918" operator="equal">
      <formula>$S$1</formula>
    </cfRule>
    <cfRule type="cellIs" dxfId="16" priority="919" operator="equal">
      <formula>$U$1</formula>
    </cfRule>
  </conditionalFormatting>
  <conditionalFormatting sqref="C26">
    <cfRule type="cellIs" dxfId="15" priority="916" operator="equal">
      <formula>$U$1</formula>
    </cfRule>
    <cfRule type="cellIs" dxfId="14" priority="917" operator="equal">
      <formula>$S$1</formula>
    </cfRule>
  </conditionalFormatting>
  <conditionalFormatting sqref="D26">
    <cfRule type="cellIs" dxfId="13" priority="914" operator="equal">
      <formula>$S$1</formula>
    </cfRule>
    <cfRule type="cellIs" dxfId="12" priority="91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7" sqref="G7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7.3919881477308929</v>
      </c>
      <c r="F3" s="30">
        <v>7.7615875551174378</v>
      </c>
      <c r="G3" s="30">
        <v>14.635630916373906</v>
      </c>
      <c r="H3" s="25">
        <f>IF(G3="","",(3*(G3-F3))+E3)</f>
        <v>28.014118231500294</v>
      </c>
      <c r="I3" s="7"/>
      <c r="J3" s="7">
        <f>(E3+G3)/2</f>
        <v>11.013809532052399</v>
      </c>
      <c r="K3" s="7">
        <f>H3/2</f>
        <v>14.007059115750147</v>
      </c>
      <c r="M3" s="26">
        <f>IF(OR(J3="",H3=""),"",H3/J3)</f>
        <v>2.5435448243383529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10.401269646942135</v>
      </c>
      <c r="F4" s="30">
        <v>10.921333129289241</v>
      </c>
      <c r="G4" s="30">
        <v>19.613145188829147</v>
      </c>
      <c r="H4" s="25">
        <f t="shared" ref="H4:H25" si="0">IF(G4="","",(3*(G4-F4))+E4)</f>
        <v>36.476705825561851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>
        <v>10.554081406080169</v>
      </c>
      <c r="F7" s="7">
        <v>10.765163034201771</v>
      </c>
      <c r="G7" s="30">
        <v>19.613145188829147</v>
      </c>
      <c r="H7" s="25">
        <f t="shared" si="0"/>
        <v>37.098027869962294</v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topLeftCell="A3" zoomScale="90" zoomScaleNormal="90" workbookViewId="0">
      <selection activeCell="G55" sqref="G5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2022-01-28T01:16:04Z</dcterms:modified>
</cp:coreProperties>
</file>