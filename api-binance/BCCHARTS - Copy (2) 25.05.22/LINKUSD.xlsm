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22556CF-BB2F-4D39-80F0-1CCB8157700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12" i="1"/>
  <c r="Q1112" i="1" s="1"/>
  <c r="R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S1112" i="1"/>
  <c r="T1112" i="1" s="1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D118" i="5"/>
  <c r="C118" i="5"/>
  <c r="C122" i="4"/>
  <c r="C133" i="4" s="1"/>
  <c r="C136" i="4" s="1"/>
  <c r="C116" i="4"/>
  <c r="R1111" i="1"/>
  <c r="C122" i="3"/>
  <c r="C133" i="3" s="1"/>
  <c r="D136" i="3" s="1"/>
  <c r="C116" i="3"/>
  <c r="D136" i="5" l="1"/>
  <c r="C138" i="5" s="1"/>
  <c r="D136" i="4"/>
  <c r="C138" i="4" s="1"/>
  <c r="R1110" i="1"/>
  <c r="S1111" i="1"/>
  <c r="T1111" i="1" s="1"/>
  <c r="C136" i="3"/>
  <c r="C138" i="3" s="1"/>
  <c r="S1110" i="1" l="1"/>
  <c r="T1110" i="1" s="1"/>
  <c r="R1109" i="1"/>
  <c r="R1108" i="1" l="1"/>
  <c r="S1109" i="1"/>
  <c r="T1109" i="1" s="1"/>
  <c r="R1107" i="1" l="1"/>
  <c r="S1108" i="1"/>
  <c r="T1108" i="1" s="1"/>
  <c r="S1107" i="1" l="1"/>
  <c r="T1107" i="1" s="1"/>
  <c r="R1106" i="1"/>
  <c r="S1106" i="1" l="1"/>
  <c r="T1106" i="1" s="1"/>
  <c r="R1105" i="1"/>
  <c r="R1104" i="1" l="1"/>
  <c r="S1105" i="1"/>
  <c r="T1105" i="1" s="1"/>
  <c r="R1103" i="1" l="1"/>
  <c r="S1104" i="1"/>
  <c r="T1104" i="1" s="1"/>
  <c r="S1103" i="1" l="1"/>
  <c r="T1103" i="1" s="1"/>
  <c r="R1102" i="1"/>
  <c r="S1102" i="1" l="1"/>
  <c r="T1102" i="1" s="1"/>
  <c r="R1101" i="1"/>
  <c r="R1100" i="1" l="1"/>
  <c r="S1101" i="1"/>
  <c r="T1101" i="1" s="1"/>
  <c r="R1099" i="1" l="1"/>
  <c r="S1100" i="1"/>
  <c r="T1100" i="1" s="1"/>
  <c r="S1099" i="1" l="1"/>
  <c r="T1099" i="1" s="1"/>
  <c r="R1098" i="1"/>
  <c r="S1098" i="1" l="1"/>
  <c r="T1098" i="1" s="1"/>
  <c r="R1097" i="1"/>
  <c r="R1096" i="1" l="1"/>
  <c r="S1097" i="1"/>
  <c r="T1097" i="1" s="1"/>
  <c r="R1095" i="1" l="1"/>
  <c r="S1096" i="1"/>
  <c r="T1096" i="1" s="1"/>
  <c r="R1094" i="1" l="1"/>
  <c r="S1095" i="1"/>
  <c r="T1095" i="1" s="1"/>
  <c r="S1094" i="1" l="1"/>
  <c r="T1094" i="1" s="1"/>
  <c r="R1093" i="1"/>
  <c r="S1093" i="1" l="1"/>
  <c r="T1093" i="1" s="1"/>
  <c r="R1092" i="1"/>
  <c r="R1091" i="1" l="1"/>
  <c r="S1092" i="1"/>
  <c r="T1092" i="1" s="1"/>
  <c r="R1090" i="1" l="1"/>
  <c r="S1091" i="1"/>
  <c r="T1091" i="1" s="1"/>
  <c r="S1090" i="1" l="1"/>
  <c r="T1090" i="1" s="1"/>
  <c r="R1089" i="1"/>
  <c r="R1088" i="1" l="1"/>
  <c r="S1089" i="1"/>
  <c r="T1089" i="1" s="1"/>
  <c r="R1087" i="1" l="1"/>
  <c r="S1088" i="1"/>
  <c r="T1088" i="1" s="1"/>
  <c r="S1087" i="1" l="1"/>
  <c r="T1087" i="1" s="1"/>
  <c r="R1086" i="1"/>
  <c r="S1086" i="1" l="1"/>
  <c r="T1086" i="1" s="1"/>
  <c r="R1085" i="1"/>
  <c r="R1084" i="1" l="1"/>
  <c r="S1085" i="1"/>
  <c r="T1085" i="1" s="1"/>
  <c r="R1083" i="1" l="1"/>
  <c r="S1084" i="1"/>
  <c r="T1084" i="1" s="1"/>
  <c r="S1083" i="1" l="1"/>
  <c r="T1083" i="1" s="1"/>
  <c r="R1082" i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S1077" i="1" l="1"/>
  <c r="T1077" i="1" s="1"/>
  <c r="R1076" i="1"/>
  <c r="S1076" i="1" l="1"/>
  <c r="T1076" i="1" s="1"/>
  <c r="R1075" i="1"/>
  <c r="R1074" i="1" l="1"/>
  <c r="S1075" i="1"/>
  <c r="T1075" i="1" s="1"/>
  <c r="S1074" i="1" l="1"/>
  <c r="T1074" i="1" s="1"/>
  <c r="R1073" i="1"/>
  <c r="S1073" i="1" l="1"/>
  <c r="T1073" i="1" s="1"/>
  <c r="R1072" i="1"/>
  <c r="R1071" i="1" l="1"/>
  <c r="S1072" i="1"/>
  <c r="T1072" i="1" s="1"/>
  <c r="R1070" i="1" l="1"/>
  <c r="S1071" i="1"/>
  <c r="T1071" i="1" s="1"/>
  <c r="S1070" i="1" l="1"/>
  <c r="T1070" i="1" s="1"/>
  <c r="R1069" i="1"/>
  <c r="S1069" i="1" l="1"/>
  <c r="T1069" i="1" s="1"/>
  <c r="R1068" i="1"/>
  <c r="R1067" i="1" l="1"/>
  <c r="S1068" i="1"/>
  <c r="T1068" i="1" s="1"/>
  <c r="R1066" i="1" l="1"/>
  <c r="S1067" i="1"/>
  <c r="T1067" i="1" s="1"/>
  <c r="S1066" i="1" l="1"/>
  <c r="T1066" i="1" s="1"/>
  <c r="R1065" i="1"/>
  <c r="S1065" i="1" l="1"/>
  <c r="T1065" i="1" s="1"/>
  <c r="R1064" i="1"/>
  <c r="R1063" i="1" l="1"/>
  <c r="S1064" i="1"/>
  <c r="T1064" i="1" s="1"/>
  <c r="R1062" i="1" l="1"/>
  <c r="S1063" i="1"/>
  <c r="T1063" i="1" s="1"/>
  <c r="S1062" i="1" l="1"/>
  <c r="T1062" i="1" s="1"/>
  <c r="R1061" i="1"/>
  <c r="S1061" i="1" l="1"/>
  <c r="T1061" i="1" s="1"/>
  <c r="R1060" i="1"/>
  <c r="R1059" i="1" l="1"/>
  <c r="S1060" i="1"/>
  <c r="T1060" i="1" s="1"/>
  <c r="R1058" i="1" l="1"/>
  <c r="S1059" i="1"/>
  <c r="T1059" i="1" s="1"/>
  <c r="S1058" i="1" l="1"/>
  <c r="T1058" i="1" s="1"/>
  <c r="R1057" i="1"/>
  <c r="S1057" i="1" l="1"/>
  <c r="T1057" i="1" s="1"/>
  <c r="R1056" i="1"/>
  <c r="S1056" i="1" l="1"/>
  <c r="T1056" i="1" s="1"/>
  <c r="R1055" i="1"/>
  <c r="R1054" i="1" l="1"/>
  <c r="S1055" i="1"/>
  <c r="T1055" i="1" s="1"/>
  <c r="R1053" i="1" l="1"/>
  <c r="S1054" i="1"/>
  <c r="T1054" i="1" s="1"/>
  <c r="S1053" i="1" l="1"/>
  <c r="T1053" i="1" s="1"/>
  <c r="R1052" i="1"/>
  <c r="S1052" i="1" l="1"/>
  <c r="T1052" i="1" s="1"/>
  <c r="R1051" i="1"/>
  <c r="S1051" i="1" l="1"/>
  <c r="T1051" i="1" s="1"/>
  <c r="R1050" i="1"/>
  <c r="R1049" i="1" l="1"/>
  <c r="S1050" i="1"/>
  <c r="T1050" i="1" s="1"/>
  <c r="S1049" i="1" l="1"/>
  <c r="T1049" i="1" s="1"/>
  <c r="R1048" i="1"/>
  <c r="R1047" i="1" l="1"/>
  <c r="S1048" i="1"/>
  <c r="T1048" i="1" s="1"/>
  <c r="R1046" i="1" l="1"/>
  <c r="S1047" i="1"/>
  <c r="T1047" i="1" s="1"/>
  <c r="S1046" i="1" l="1"/>
  <c r="T1046" i="1" s="1"/>
  <c r="R1045" i="1"/>
  <c r="S1045" i="1" l="1"/>
  <c r="T1045" i="1" s="1"/>
  <c r="R1044" i="1"/>
  <c r="R1043" i="1" l="1"/>
  <c r="S1044" i="1"/>
  <c r="T1044" i="1" s="1"/>
  <c r="R1042" i="1" l="1"/>
  <c r="S1043" i="1"/>
  <c r="T1043" i="1" s="1"/>
  <c r="S1042" i="1" l="1"/>
  <c r="T1042" i="1" s="1"/>
  <c r="R1041" i="1"/>
  <c r="S1041" i="1" l="1"/>
  <c r="T1041" i="1" s="1"/>
  <c r="R1040" i="1"/>
  <c r="R1039" i="1" l="1"/>
  <c r="S1040" i="1"/>
  <c r="T1040" i="1" s="1"/>
  <c r="R1038" i="1" l="1"/>
  <c r="S1039" i="1"/>
  <c r="T1039" i="1" s="1"/>
  <c r="R1037" i="1" l="1"/>
  <c r="S1038" i="1"/>
  <c r="T1038" i="1" s="1"/>
  <c r="S1037" i="1" l="1"/>
  <c r="T1037" i="1" s="1"/>
  <c r="R1036" i="1"/>
  <c r="S1036" i="1" l="1"/>
  <c r="T1036" i="1" s="1"/>
  <c r="R1035" i="1"/>
  <c r="R1034" i="1" l="1"/>
  <c r="S1035" i="1"/>
  <c r="T1035" i="1" s="1"/>
  <c r="R1033" i="1" l="1"/>
  <c r="S1034" i="1"/>
  <c r="T1034" i="1" s="1"/>
  <c r="S1033" i="1" l="1"/>
  <c r="T1033" i="1" s="1"/>
  <c r="R1032" i="1"/>
  <c r="S1032" i="1" l="1"/>
  <c r="T1032" i="1" s="1"/>
  <c r="R1031" i="1"/>
  <c r="R1030" i="1" l="1"/>
  <c r="S1031" i="1"/>
  <c r="T1031" i="1" s="1"/>
  <c r="R1029" i="1" l="1"/>
  <c r="S1030" i="1"/>
  <c r="T1030" i="1" s="1"/>
  <c r="S1029" i="1" l="1"/>
  <c r="T1029" i="1" s="1"/>
  <c r="R1028" i="1"/>
  <c r="S1028" i="1" l="1"/>
  <c r="T1028" i="1" s="1"/>
  <c r="R1027" i="1"/>
  <c r="S1027" i="1" l="1"/>
  <c r="T1027" i="1" s="1"/>
  <c r="R1026" i="1"/>
  <c r="R1025" i="1" l="1"/>
  <c r="S1026" i="1"/>
  <c r="T1026" i="1" s="1"/>
  <c r="R1024" i="1" l="1"/>
  <c r="S1025" i="1"/>
  <c r="T1025" i="1" s="1"/>
  <c r="S1024" i="1" l="1"/>
  <c r="T1024" i="1" s="1"/>
  <c r="R1023" i="1"/>
  <c r="S1023" i="1" l="1"/>
  <c r="T1023" i="1" s="1"/>
  <c r="R1022" i="1"/>
  <c r="R1021" i="1" l="1"/>
  <c r="S1022" i="1"/>
  <c r="T1022" i="1" s="1"/>
  <c r="R1020" i="1" l="1"/>
  <c r="S1021" i="1"/>
  <c r="T1021" i="1" s="1"/>
  <c r="S1020" i="1" l="1"/>
  <c r="T1020" i="1" s="1"/>
  <c r="R1019" i="1"/>
  <c r="S1019" i="1" l="1"/>
  <c r="T1019" i="1" s="1"/>
  <c r="R1018" i="1"/>
  <c r="R1017" i="1" l="1"/>
  <c r="S1018" i="1"/>
  <c r="T1018" i="1" s="1"/>
  <c r="S1017" i="1" l="1"/>
  <c r="T1017" i="1" s="1"/>
  <c r="R1016" i="1"/>
  <c r="S1016" i="1" l="1"/>
  <c r="T1016" i="1" s="1"/>
  <c r="R1015" i="1"/>
  <c r="R1014" i="1" l="1"/>
  <c r="S1015" i="1"/>
  <c r="T1015" i="1" s="1"/>
  <c r="R1013" i="1" l="1"/>
  <c r="S1014" i="1"/>
  <c r="T1014" i="1" s="1"/>
  <c r="S1013" i="1" l="1"/>
  <c r="T1013" i="1" s="1"/>
  <c r="R1012" i="1"/>
  <c r="S1012" i="1" l="1"/>
  <c r="T1012" i="1" s="1"/>
  <c r="R1011" i="1"/>
  <c r="R1010" i="1" l="1"/>
  <c r="S1011" i="1"/>
  <c r="T1011" i="1" s="1"/>
  <c r="R1009" i="1" l="1"/>
  <c r="S1010" i="1"/>
  <c r="T1010" i="1" s="1"/>
  <c r="S1009" i="1" l="1"/>
  <c r="T1009" i="1" s="1"/>
  <c r="R1008" i="1"/>
  <c r="S1008" i="1" l="1"/>
  <c r="T1008" i="1" s="1"/>
  <c r="R1007" i="1"/>
  <c r="S1007" i="1" l="1"/>
  <c r="T1007" i="1" s="1"/>
  <c r="R1006" i="1"/>
  <c r="R1005" i="1" l="1"/>
  <c r="S1006" i="1"/>
  <c r="T1006" i="1" s="1"/>
  <c r="R1004" i="1" l="1"/>
  <c r="S1005" i="1"/>
  <c r="T1005" i="1" s="1"/>
  <c r="S1004" i="1" l="1"/>
  <c r="T1004" i="1" s="1"/>
  <c r="R1003" i="1"/>
  <c r="S1003" i="1" l="1"/>
  <c r="T1003" i="1" s="1"/>
  <c r="R1002" i="1"/>
  <c r="R1001" i="1" l="1"/>
  <c r="S1002" i="1"/>
  <c r="T1002" i="1" s="1"/>
  <c r="S1001" i="1" l="1"/>
  <c r="T1001" i="1" s="1"/>
  <c r="R1000" i="1"/>
  <c r="S1000" i="1" l="1"/>
  <c r="T1000" i="1" s="1"/>
  <c r="R999" i="1"/>
  <c r="R998" i="1" l="1"/>
  <c r="S999" i="1"/>
  <c r="T999" i="1" s="1"/>
  <c r="R997" i="1" l="1"/>
  <c r="S998" i="1"/>
  <c r="T998" i="1" s="1"/>
  <c r="S997" i="1" l="1"/>
  <c r="T997" i="1" s="1"/>
  <c r="R996" i="1"/>
  <c r="S996" i="1" l="1"/>
  <c r="T996" i="1" s="1"/>
  <c r="R995" i="1"/>
  <c r="R994" i="1" l="1"/>
  <c r="S995" i="1"/>
  <c r="T995" i="1" s="1"/>
  <c r="R993" i="1" l="1"/>
  <c r="S994" i="1"/>
  <c r="T994" i="1" s="1"/>
  <c r="S993" i="1" l="1"/>
  <c r="T993" i="1" s="1"/>
  <c r="R992" i="1"/>
  <c r="S992" i="1" l="1"/>
  <c r="T992" i="1" s="1"/>
  <c r="R991" i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S982" i="1" l="1"/>
  <c r="T982" i="1" s="1"/>
  <c r="R981" i="1"/>
  <c r="S981" i="1" l="1"/>
  <c r="T981" i="1" s="1"/>
  <c r="R980" i="1"/>
  <c r="R979" i="1" l="1"/>
  <c r="S980" i="1"/>
  <c r="T980" i="1" s="1"/>
  <c r="R978" i="1" l="1"/>
  <c r="S979" i="1"/>
  <c r="T979" i="1" s="1"/>
  <c r="S978" i="1" l="1"/>
  <c r="T978" i="1" s="1"/>
  <c r="R977" i="1"/>
  <c r="R976" i="1" l="1"/>
  <c r="S977" i="1"/>
  <c r="T977" i="1" s="1"/>
  <c r="R975" i="1" l="1"/>
  <c r="S976" i="1"/>
  <c r="T976" i="1" s="1"/>
  <c r="R974" i="1" l="1"/>
  <c r="S975" i="1"/>
  <c r="T975" i="1" s="1"/>
  <c r="S974" i="1" l="1"/>
  <c r="T974" i="1" s="1"/>
  <c r="R973" i="1"/>
  <c r="S973" i="1" l="1"/>
  <c r="T973" i="1" s="1"/>
  <c r="R972" i="1"/>
  <c r="R971" i="1" l="1"/>
  <c r="S972" i="1"/>
  <c r="T972" i="1" s="1"/>
  <c r="R970" i="1" l="1"/>
  <c r="S971" i="1"/>
  <c r="T971" i="1" s="1"/>
  <c r="S970" i="1" l="1"/>
  <c r="T970" i="1" s="1"/>
  <c r="R969" i="1"/>
  <c r="R968" i="1" l="1"/>
  <c r="S969" i="1"/>
  <c r="T969" i="1" s="1"/>
  <c r="R967" i="1" l="1"/>
  <c r="S968" i="1"/>
  <c r="T968" i="1" s="1"/>
  <c r="S967" i="1" l="1"/>
  <c r="T967" i="1" s="1"/>
  <c r="R966" i="1"/>
  <c r="S966" i="1" l="1"/>
  <c r="T966" i="1" s="1"/>
  <c r="R965" i="1"/>
  <c r="R964" i="1" l="1"/>
  <c r="S965" i="1"/>
  <c r="T965" i="1" s="1"/>
  <c r="R963" i="1" l="1"/>
  <c r="S964" i="1"/>
  <c r="T964" i="1" s="1"/>
  <c r="S963" i="1" l="1"/>
  <c r="T963" i="1" s="1"/>
  <c r="R962" i="1"/>
  <c r="S962" i="1" l="1"/>
  <c r="T962" i="1" s="1"/>
  <c r="R961" i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S956" i="1" l="1"/>
  <c r="T956" i="1" s="1"/>
  <c r="R955" i="1"/>
  <c r="R954" i="1" l="1"/>
  <c r="S955" i="1"/>
  <c r="T955" i="1" s="1"/>
  <c r="R953" i="1" l="1"/>
  <c r="S954" i="1"/>
  <c r="T954" i="1" s="1"/>
  <c r="S953" i="1" l="1"/>
  <c r="T953" i="1" s="1"/>
  <c r="R952" i="1"/>
  <c r="S952" i="1" l="1"/>
  <c r="T952" i="1" s="1"/>
  <c r="R951" i="1"/>
  <c r="R950" i="1" l="1"/>
  <c r="S951" i="1"/>
  <c r="T951" i="1" s="1"/>
  <c r="R949" i="1" l="1"/>
  <c r="S950" i="1"/>
  <c r="T950" i="1" s="1"/>
  <c r="S949" i="1" l="1"/>
  <c r="T949" i="1" s="1"/>
  <c r="R948" i="1"/>
  <c r="R947" i="1" l="1"/>
  <c r="S948" i="1"/>
  <c r="T948" i="1" s="1"/>
  <c r="S947" i="1" l="1"/>
  <c r="T947" i="1" s="1"/>
  <c r="R946" i="1"/>
  <c r="S946" i="1" l="1"/>
  <c r="T946" i="1" s="1"/>
  <c r="R945" i="1"/>
  <c r="R944" i="1" l="1"/>
  <c r="S945" i="1"/>
  <c r="T945" i="1" s="1"/>
  <c r="R943" i="1" l="1"/>
  <c r="S944" i="1"/>
  <c r="T944" i="1" s="1"/>
  <c r="S943" i="1" l="1"/>
  <c r="T943" i="1" s="1"/>
  <c r="R942" i="1"/>
  <c r="S942" i="1" l="1"/>
  <c r="T942" i="1" s="1"/>
  <c r="R941" i="1"/>
  <c r="R940" i="1" l="1"/>
  <c r="S941" i="1"/>
  <c r="T941" i="1" s="1"/>
  <c r="R939" i="1" l="1"/>
  <c r="S940" i="1"/>
  <c r="T940" i="1" s="1"/>
  <c r="S939" i="1" l="1"/>
  <c r="T939" i="1" s="1"/>
  <c r="R938" i="1"/>
  <c r="S938" i="1" l="1"/>
  <c r="T938" i="1" s="1"/>
  <c r="R937" i="1"/>
  <c r="S937" i="1" l="1"/>
  <c r="T937" i="1" s="1"/>
  <c r="R936" i="1"/>
  <c r="R935" i="1" l="1"/>
  <c r="S936" i="1"/>
  <c r="T936" i="1" s="1"/>
  <c r="R934" i="1" l="1"/>
  <c r="S935" i="1"/>
  <c r="T935" i="1" s="1"/>
  <c r="S934" i="1" l="1"/>
  <c r="T934" i="1" s="1"/>
  <c r="R933" i="1"/>
  <c r="S933" i="1" l="1"/>
  <c r="T933" i="1" s="1"/>
  <c r="R932" i="1"/>
  <c r="R931" i="1" l="1"/>
  <c r="S932" i="1"/>
  <c r="T932" i="1" s="1"/>
  <c r="R930" i="1" l="1"/>
  <c r="S931" i="1"/>
  <c r="T931" i="1" s="1"/>
  <c r="S930" i="1" l="1"/>
  <c r="T930" i="1" s="1"/>
  <c r="R929" i="1"/>
  <c r="S929" i="1" l="1"/>
  <c r="T929" i="1" s="1"/>
  <c r="R928" i="1"/>
  <c r="R927" i="1" l="1"/>
  <c r="S928" i="1"/>
  <c r="T928" i="1" s="1"/>
  <c r="R926" i="1" l="1"/>
  <c r="S927" i="1"/>
  <c r="T927" i="1" s="1"/>
  <c r="S926" i="1" l="1"/>
  <c r="T926" i="1" s="1"/>
  <c r="R925" i="1"/>
  <c r="S925" i="1" l="1"/>
  <c r="T925" i="1" s="1"/>
  <c r="R924" i="1"/>
  <c r="S924" i="1" l="1"/>
  <c r="T924" i="1" s="1"/>
  <c r="R923" i="1"/>
  <c r="R922" i="1" l="1"/>
  <c r="S923" i="1"/>
  <c r="T923" i="1" s="1"/>
  <c r="S922" i="1" l="1"/>
  <c r="T922" i="1" s="1"/>
  <c r="R921" i="1"/>
  <c r="S921" i="1" l="1"/>
  <c r="T921" i="1" s="1"/>
  <c r="R920" i="1"/>
  <c r="R919" i="1" l="1"/>
  <c r="S920" i="1"/>
  <c r="T920" i="1" s="1"/>
  <c r="R918" i="1" l="1"/>
  <c r="S919" i="1"/>
  <c r="T919" i="1" s="1"/>
  <c r="S918" i="1" l="1"/>
  <c r="T918" i="1" s="1"/>
  <c r="R917" i="1"/>
  <c r="S917" i="1" l="1"/>
  <c r="T917" i="1" s="1"/>
  <c r="R916" i="1"/>
  <c r="S916" i="1" l="1"/>
  <c r="T916" i="1" s="1"/>
  <c r="R915" i="1"/>
  <c r="R914" i="1" l="1"/>
  <c r="S915" i="1"/>
  <c r="T915" i="1" s="1"/>
  <c r="S914" i="1" l="1"/>
  <c r="T914" i="1" s="1"/>
  <c r="R913" i="1"/>
  <c r="R912" i="1" l="1"/>
  <c r="S913" i="1"/>
  <c r="T913" i="1" s="1"/>
  <c r="R911" i="1" l="1"/>
  <c r="S912" i="1"/>
  <c r="T912" i="1" s="1"/>
  <c r="R910" i="1" l="1"/>
  <c r="S911" i="1"/>
  <c r="T911" i="1" s="1"/>
  <c r="S910" i="1" l="1"/>
  <c r="T910" i="1" s="1"/>
  <c r="R909" i="1"/>
  <c r="R908" i="1" l="1"/>
  <c r="S909" i="1"/>
  <c r="T909" i="1" s="1"/>
  <c r="S908" i="1" l="1"/>
  <c r="T908" i="1" s="1"/>
  <c r="R907" i="1"/>
  <c r="R906" i="1" l="1"/>
  <c r="S907" i="1"/>
  <c r="T907" i="1" s="1"/>
  <c r="R905" i="1" l="1"/>
  <c r="S906" i="1"/>
  <c r="T906" i="1" s="1"/>
  <c r="S905" i="1" l="1"/>
  <c r="T905" i="1" s="1"/>
  <c r="R904" i="1"/>
  <c r="R903" i="1" l="1"/>
  <c r="S904" i="1"/>
  <c r="T904" i="1" s="1"/>
  <c r="R902" i="1" l="1"/>
  <c r="S903" i="1"/>
  <c r="T903" i="1" s="1"/>
  <c r="S902" i="1" l="1"/>
  <c r="T902" i="1" s="1"/>
  <c r="R901" i="1"/>
  <c r="S901" i="1" l="1"/>
  <c r="T901" i="1" s="1"/>
  <c r="R900" i="1"/>
  <c r="R899" i="1" l="1"/>
  <c r="S900" i="1"/>
  <c r="T900" i="1" s="1"/>
  <c r="S899" i="1" l="1"/>
  <c r="T899" i="1" s="1"/>
  <c r="R898" i="1"/>
  <c r="R897" i="1" l="1"/>
  <c r="S898" i="1"/>
  <c r="T898" i="1" s="1"/>
  <c r="R896" i="1" l="1"/>
  <c r="S897" i="1"/>
  <c r="T897" i="1" s="1"/>
  <c r="R895" i="1" l="1"/>
  <c r="S896" i="1"/>
  <c r="T896" i="1" s="1"/>
  <c r="S895" i="1" l="1"/>
  <c r="T895" i="1" s="1"/>
  <c r="R894" i="1"/>
  <c r="R893" i="1" l="1"/>
  <c r="S894" i="1"/>
  <c r="T894" i="1" s="1"/>
  <c r="S893" i="1" l="1"/>
  <c r="T893" i="1" s="1"/>
  <c r="R892" i="1"/>
  <c r="S892" i="1" l="1"/>
  <c r="T892" i="1" s="1"/>
  <c r="R891" i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S884" i="1" l="1"/>
  <c r="T884" i="1" s="1"/>
  <c r="R883" i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S874" i="1" l="1"/>
  <c r="T874" i="1" s="1"/>
  <c r="R873" i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S863" i="1" l="1"/>
  <c r="T863" i="1" s="1"/>
  <c r="R862" i="1"/>
  <c r="S862" i="1" l="1"/>
  <c r="T862" i="1" s="1"/>
  <c r="R861" i="1"/>
  <c r="S861" i="1" l="1"/>
  <c r="T861" i="1" s="1"/>
  <c r="R860" i="1"/>
  <c r="S860" i="1" l="1"/>
  <c r="T860" i="1" s="1"/>
  <c r="R859" i="1"/>
  <c r="R858" i="1" l="1"/>
  <c r="S859" i="1"/>
  <c r="T859" i="1" s="1"/>
  <c r="R857" i="1" l="1"/>
  <c r="S858" i="1"/>
  <c r="T858" i="1" s="1"/>
  <c r="R856" i="1" l="1"/>
  <c r="S857" i="1"/>
  <c r="T857" i="1" s="1"/>
  <c r="S856" i="1" l="1"/>
  <c r="T856" i="1" s="1"/>
  <c r="R855" i="1"/>
  <c r="R854" i="1" l="1"/>
  <c r="S855" i="1"/>
  <c r="T855" i="1" s="1"/>
  <c r="R853" i="1" l="1"/>
  <c r="S854" i="1"/>
  <c r="T854" i="1" s="1"/>
  <c r="R852" i="1" l="1"/>
  <c r="S853" i="1"/>
  <c r="T853" i="1" s="1"/>
  <c r="S852" i="1" l="1"/>
  <c r="T852" i="1" s="1"/>
  <c r="R851" i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S846" i="1" l="1"/>
  <c r="T846" i="1" s="1"/>
  <c r="R845" i="1"/>
  <c r="R844" i="1" l="1"/>
  <c r="S845" i="1"/>
  <c r="T845" i="1" s="1"/>
  <c r="R843" i="1" l="1"/>
  <c r="S844" i="1"/>
  <c r="T844" i="1" s="1"/>
  <c r="R842" i="1" l="1"/>
  <c r="S843" i="1"/>
  <c r="T843" i="1" s="1"/>
  <c r="S842" i="1" l="1"/>
  <c r="T842" i="1" s="1"/>
  <c r="R841" i="1"/>
  <c r="R840" i="1" l="1"/>
  <c r="S841" i="1"/>
  <c r="T841" i="1" s="1"/>
  <c r="R839" i="1" l="1"/>
  <c r="S840" i="1"/>
  <c r="T840" i="1" s="1"/>
  <c r="R838" i="1" l="1"/>
  <c r="S839" i="1"/>
  <c r="T839" i="1" s="1"/>
  <c r="S838" i="1" l="1"/>
  <c r="T838" i="1" s="1"/>
  <c r="R837" i="1"/>
  <c r="R836" i="1" l="1"/>
  <c r="S837" i="1"/>
  <c r="T837" i="1" s="1"/>
  <c r="R835" i="1" l="1"/>
  <c r="S836" i="1"/>
  <c r="T836" i="1" s="1"/>
  <c r="R834" i="1" l="1"/>
  <c r="S835" i="1"/>
  <c r="T835" i="1" s="1"/>
  <c r="S834" i="1" l="1"/>
  <c r="T834" i="1" s="1"/>
  <c r="R833" i="1"/>
  <c r="R832" i="1" l="1"/>
  <c r="S833" i="1"/>
  <c r="T833" i="1" s="1"/>
  <c r="S832" i="1" l="1"/>
  <c r="T832" i="1" s="1"/>
  <c r="R831" i="1"/>
  <c r="R830" i="1" l="1"/>
  <c r="S831" i="1"/>
  <c r="T831" i="1" s="1"/>
  <c r="S830" i="1" l="1"/>
  <c r="T830" i="1" s="1"/>
  <c r="R829" i="1"/>
  <c r="R828" i="1" l="1"/>
  <c r="S829" i="1"/>
  <c r="T829" i="1" s="1"/>
  <c r="S828" i="1" l="1"/>
  <c r="T828" i="1" s="1"/>
  <c r="R827" i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S820" i="1" l="1"/>
  <c r="T820" i="1" s="1"/>
  <c r="R819" i="1"/>
  <c r="S819" i="1" l="1"/>
  <c r="T819" i="1" s="1"/>
  <c r="R818" i="1"/>
  <c r="S818" i="1" l="1"/>
  <c r="T818" i="1" s="1"/>
  <c r="R817" i="1"/>
  <c r="R816" i="1" l="1"/>
  <c r="S817" i="1"/>
  <c r="T817" i="1" s="1"/>
  <c r="R815" i="1" l="1"/>
  <c r="S816" i="1"/>
  <c r="T816" i="1" s="1"/>
  <c r="S815" i="1" l="1"/>
  <c r="T815" i="1" s="1"/>
  <c r="R814" i="1"/>
  <c r="S814" i="1" l="1"/>
  <c r="T814" i="1" s="1"/>
  <c r="R813" i="1"/>
  <c r="R812" i="1" l="1"/>
  <c r="S813" i="1"/>
  <c r="T813" i="1" s="1"/>
  <c r="R811" i="1" l="1"/>
  <c r="S812" i="1"/>
  <c r="T812" i="1" s="1"/>
  <c r="R810" i="1" l="1"/>
  <c r="S811" i="1"/>
  <c r="T811" i="1" s="1"/>
  <c r="S810" i="1" l="1"/>
  <c r="T810" i="1" s="1"/>
  <c r="R809" i="1"/>
  <c r="S809" i="1" l="1"/>
  <c r="T809" i="1" s="1"/>
  <c r="R808" i="1"/>
  <c r="R807" i="1" l="1"/>
  <c r="S808" i="1"/>
  <c r="T808" i="1" s="1"/>
  <c r="R806" i="1" l="1"/>
  <c r="S807" i="1"/>
  <c r="T807" i="1" s="1"/>
  <c r="S806" i="1" l="1"/>
  <c r="T806" i="1" s="1"/>
  <c r="R805" i="1"/>
  <c r="S805" i="1" l="1"/>
  <c r="T805" i="1" s="1"/>
  <c r="R804" i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S797" i="1" l="1"/>
  <c r="T797" i="1" s="1"/>
  <c r="R796" i="1"/>
  <c r="S796" i="1" l="1"/>
  <c r="T796" i="1" s="1"/>
  <c r="R795" i="1"/>
  <c r="R794" i="1" l="1"/>
  <c r="S795" i="1"/>
  <c r="T795" i="1" s="1"/>
  <c r="R793" i="1" l="1"/>
  <c r="S794" i="1"/>
  <c r="T794" i="1" s="1"/>
  <c r="S793" i="1" l="1"/>
  <c r="T793" i="1" s="1"/>
  <c r="R792" i="1"/>
  <c r="S792" i="1" l="1"/>
  <c r="T792" i="1" s="1"/>
  <c r="R791" i="1"/>
  <c r="R790" i="1" l="1"/>
  <c r="S791" i="1"/>
  <c r="T791" i="1" s="1"/>
  <c r="R789" i="1" l="1"/>
  <c r="S790" i="1"/>
  <c r="T790" i="1" s="1"/>
  <c r="S789" i="1" l="1"/>
  <c r="T789" i="1" s="1"/>
  <c r="R788" i="1"/>
  <c r="S788" i="1" l="1"/>
  <c r="T788" i="1" s="1"/>
  <c r="R787" i="1"/>
  <c r="R786" i="1" l="1"/>
  <c r="S787" i="1"/>
  <c r="T787" i="1" s="1"/>
  <c r="R785" i="1" l="1"/>
  <c r="S786" i="1"/>
  <c r="T786" i="1" s="1"/>
  <c r="R784" i="1" l="1"/>
  <c r="S785" i="1"/>
  <c r="T785" i="1" s="1"/>
  <c r="S784" i="1" l="1"/>
  <c r="T784" i="1" s="1"/>
  <c r="R783" i="1"/>
  <c r="R782" i="1" l="1"/>
  <c r="S783" i="1"/>
  <c r="T783" i="1" s="1"/>
  <c r="R781" i="1" l="1"/>
  <c r="S782" i="1"/>
  <c r="T782" i="1" s="1"/>
  <c r="S781" i="1" l="1"/>
  <c r="T781" i="1" s="1"/>
  <c r="R780" i="1"/>
  <c r="S780" i="1" l="1"/>
  <c r="T780" i="1" s="1"/>
  <c r="R779" i="1"/>
  <c r="R778" i="1" l="1"/>
  <c r="S779" i="1"/>
  <c r="T779" i="1" s="1"/>
  <c r="R777" i="1" l="1"/>
  <c r="S778" i="1"/>
  <c r="T778" i="1" s="1"/>
  <c r="R776" i="1" l="1"/>
  <c r="S777" i="1"/>
  <c r="T777" i="1" s="1"/>
  <c r="S776" i="1" l="1"/>
  <c r="T776" i="1" s="1"/>
  <c r="R775" i="1"/>
  <c r="R774" i="1" l="1"/>
  <c r="S775" i="1"/>
  <c r="T775" i="1" s="1"/>
  <c r="R773" i="1" l="1"/>
  <c r="S774" i="1"/>
  <c r="T774" i="1" s="1"/>
  <c r="S773" i="1" l="1"/>
  <c r="T773" i="1" s="1"/>
  <c r="R772" i="1"/>
  <c r="S772" i="1" l="1"/>
  <c r="T772" i="1" s="1"/>
  <c r="R771" i="1"/>
  <c r="S771" i="1" l="1"/>
  <c r="T771" i="1" s="1"/>
  <c r="R770" i="1"/>
  <c r="R769" i="1" l="1"/>
  <c r="S770" i="1"/>
  <c r="T770" i="1" s="1"/>
  <c r="S769" i="1" l="1"/>
  <c r="T769" i="1" s="1"/>
  <c r="R768" i="1"/>
  <c r="S768" i="1" l="1"/>
  <c r="T768" i="1" s="1"/>
  <c r="R767" i="1"/>
  <c r="R766" i="1" l="1"/>
  <c r="S767" i="1"/>
  <c r="T767" i="1" s="1"/>
  <c r="R765" i="1" l="1"/>
  <c r="S766" i="1"/>
  <c r="T766" i="1" s="1"/>
  <c r="S765" i="1" l="1"/>
  <c r="T765" i="1" s="1"/>
  <c r="R764" i="1"/>
  <c r="S764" i="1" l="1"/>
  <c r="T764" i="1" s="1"/>
  <c r="R763" i="1"/>
  <c r="R762" i="1" l="1"/>
  <c r="S763" i="1"/>
  <c r="T763" i="1" s="1"/>
  <c r="R761" i="1" l="1"/>
  <c r="S762" i="1"/>
  <c r="T762" i="1" s="1"/>
  <c r="S761" i="1" l="1"/>
  <c r="T761" i="1" s="1"/>
  <c r="R760" i="1"/>
  <c r="S760" i="1" l="1"/>
  <c r="T760" i="1" s="1"/>
  <c r="R759" i="1"/>
  <c r="S759" i="1" l="1"/>
  <c r="T759" i="1" s="1"/>
  <c r="R758" i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S748" i="1" l="1"/>
  <c r="T748" i="1" s="1"/>
  <c r="R747" i="1"/>
  <c r="S747" i="1" l="1"/>
  <c r="T747" i="1" s="1"/>
  <c r="R746" i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R740" i="1" l="1"/>
  <c r="S741" i="1"/>
  <c r="T741" i="1" s="1"/>
  <c r="S740" i="1" l="1"/>
  <c r="T740" i="1" s="1"/>
  <c r="R739" i="1"/>
  <c r="S739" i="1" l="1"/>
  <c r="T739" i="1" s="1"/>
  <c r="R738" i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S726" i="1" l="1"/>
  <c r="T726" i="1" s="1"/>
  <c r="R725" i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S718" i="1" l="1"/>
  <c r="T718" i="1" s="1"/>
  <c r="R717" i="1"/>
  <c r="S717" i="1" l="1"/>
  <c r="T717" i="1" s="1"/>
  <c r="R716" i="1"/>
  <c r="S716" i="1" l="1"/>
  <c r="T716" i="1" s="1"/>
  <c r="R715" i="1"/>
  <c r="R714" i="1" l="1"/>
  <c r="S715" i="1"/>
  <c r="T715" i="1" s="1"/>
  <c r="S714" i="1" l="1"/>
  <c r="T714" i="1" s="1"/>
  <c r="R713" i="1"/>
  <c r="S713" i="1" l="1"/>
  <c r="T713" i="1" s="1"/>
  <c r="R712" i="1"/>
  <c r="R711" i="1" l="1"/>
  <c r="S712" i="1"/>
  <c r="T712" i="1" s="1"/>
  <c r="S711" i="1" l="1"/>
  <c r="T711" i="1" s="1"/>
  <c r="R710" i="1"/>
  <c r="S710" i="1" l="1"/>
  <c r="T710" i="1" s="1"/>
  <c r="R709" i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S705" i="1" l="1"/>
  <c r="T705" i="1" s="1"/>
  <c r="R704" i="1"/>
  <c r="S704" i="1" l="1"/>
  <c r="T704" i="1" s="1"/>
  <c r="R703" i="1"/>
  <c r="R702" i="1" l="1"/>
  <c r="S703" i="1"/>
  <c r="T703" i="1" s="1"/>
  <c r="R701" i="1" l="1"/>
  <c r="S702" i="1"/>
  <c r="T702" i="1" s="1"/>
  <c r="S701" i="1" l="1"/>
  <c r="T701" i="1" s="1"/>
  <c r="R700" i="1"/>
  <c r="S700" i="1" l="1"/>
  <c r="T700" i="1" s="1"/>
  <c r="R699" i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S674" i="1" l="1"/>
  <c r="T674" i="1" s="1"/>
  <c r="R673" i="1"/>
  <c r="S673" i="1" l="1"/>
  <c r="T673" i="1" s="1"/>
  <c r="R672" i="1"/>
  <c r="R671" i="1" l="1"/>
  <c r="S672" i="1"/>
  <c r="T672" i="1" s="1"/>
  <c r="R670" i="1" l="1"/>
  <c r="S671" i="1"/>
  <c r="T671" i="1" s="1"/>
  <c r="S670" i="1" l="1"/>
  <c r="T670" i="1" s="1"/>
  <c r="R669" i="1"/>
  <c r="R668" i="1" l="1"/>
  <c r="S669" i="1"/>
  <c r="T669" i="1" s="1"/>
  <c r="R667" i="1" l="1"/>
  <c r="S668" i="1"/>
  <c r="T668" i="1" s="1"/>
  <c r="S667" i="1" l="1"/>
  <c r="T667" i="1" s="1"/>
  <c r="R666" i="1"/>
  <c r="S666" i="1" l="1"/>
  <c r="T666" i="1" s="1"/>
  <c r="R665" i="1"/>
  <c r="R664" i="1" l="1"/>
  <c r="S665" i="1"/>
  <c r="T665" i="1" s="1"/>
  <c r="S664" i="1" l="1"/>
  <c r="T664" i="1" s="1"/>
  <c r="R663" i="1"/>
  <c r="S663" i="1" l="1"/>
  <c r="T663" i="1" s="1"/>
  <c r="R662" i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S657" i="1" l="1"/>
  <c r="T657" i="1" s="1"/>
  <c r="R656" i="1"/>
  <c r="S656" i="1" l="1"/>
  <c r="T656" i="1" s="1"/>
  <c r="R655" i="1"/>
  <c r="R654" i="1" l="1"/>
  <c r="S655" i="1"/>
  <c r="T655" i="1" s="1"/>
  <c r="R653" i="1" l="1"/>
  <c r="S654" i="1"/>
  <c r="T654" i="1" s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S648" i="1" l="1"/>
  <c r="T648" i="1" s="1"/>
  <c r="R647" i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R640" i="1" l="1"/>
  <c r="S641" i="1"/>
  <c r="T641" i="1" s="1"/>
  <c r="R639" i="1" l="1"/>
  <c r="S640" i="1"/>
  <c r="T640" i="1" s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S627" i="1" l="1"/>
  <c r="T627" i="1" s="1"/>
  <c r="R626" i="1"/>
  <c r="S626" i="1" l="1"/>
  <c r="T626" i="1" s="1"/>
  <c r="R625" i="1"/>
  <c r="R624" i="1" l="1"/>
  <c r="S625" i="1"/>
  <c r="T625" i="1" s="1"/>
  <c r="R623" i="1" l="1"/>
  <c r="S624" i="1"/>
  <c r="T624" i="1" s="1"/>
  <c r="R622" i="1" l="1"/>
  <c r="S623" i="1"/>
  <c r="T623" i="1" s="1"/>
  <c r="S622" i="1" l="1"/>
  <c r="T622" i="1" s="1"/>
  <c r="R621" i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S610" i="1" l="1"/>
  <c r="T610" i="1" s="1"/>
  <c r="R609" i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R601" i="1" l="1"/>
  <c r="S602" i="1"/>
  <c r="T602" i="1" s="1"/>
  <c r="S601" i="1" l="1"/>
  <c r="T601" i="1" s="1"/>
  <c r="R600" i="1"/>
  <c r="S600" i="1" l="1"/>
  <c r="T600" i="1" s="1"/>
  <c r="R599" i="1"/>
  <c r="S599" i="1" l="1"/>
  <c r="T599" i="1" s="1"/>
  <c r="R598" i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S594" i="1" l="1"/>
  <c r="T594" i="1" s="1"/>
  <c r="R593" i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S587" i="1" l="1"/>
  <c r="T587" i="1" s="1"/>
  <c r="R586" i="1"/>
  <c r="S586" i="1" l="1"/>
  <c r="T586" i="1" s="1"/>
  <c r="R585" i="1"/>
  <c r="R584" i="1" l="1"/>
  <c r="S585" i="1"/>
  <c r="T585" i="1" s="1"/>
  <c r="R583" i="1" l="1"/>
  <c r="S584" i="1"/>
  <c r="T584" i="1" s="1"/>
  <c r="R582" i="1" l="1"/>
  <c r="S583" i="1"/>
  <c r="T583" i="1" s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S578" i="1" l="1"/>
  <c r="T578" i="1" s="1"/>
  <c r="R577" i="1"/>
  <c r="S577" i="1" l="1"/>
  <c r="T577" i="1" s="1"/>
  <c r="R576" i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S564" i="1" l="1"/>
  <c r="T564" i="1" s="1"/>
  <c r="R563" i="1"/>
  <c r="R562" i="1" l="1"/>
  <c r="S563" i="1"/>
  <c r="T563" i="1" s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S537" i="1" l="1"/>
  <c r="T537" i="1" s="1"/>
  <c r="R536" i="1"/>
  <c r="S536" i="1" l="1"/>
  <c r="T536" i="1" s="1"/>
  <c r="R535" i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R485" i="1" l="1"/>
  <c r="S486" i="1"/>
  <c r="T486" i="1" s="1"/>
  <c r="R484" i="1" l="1"/>
  <c r="S485" i="1"/>
  <c r="T485" i="1" s="1"/>
  <c r="R483" i="1" l="1"/>
  <c r="S484" i="1"/>
  <c r="T484" i="1" s="1"/>
  <c r="S483" i="1" l="1"/>
  <c r="T483" i="1" s="1"/>
  <c r="R482" i="1"/>
  <c r="R481" i="1" l="1"/>
  <c r="S482" i="1"/>
  <c r="T482" i="1" s="1"/>
  <c r="R480" i="1" l="1"/>
  <c r="S481" i="1"/>
  <c r="T481" i="1" s="1"/>
  <c r="R479" i="1" l="1"/>
  <c r="S480" i="1"/>
  <c r="T480" i="1" s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S462" i="1" l="1"/>
  <c r="T462" i="1" s="1"/>
  <c r="R461" i="1"/>
  <c r="S461" i="1" l="1"/>
  <c r="T461" i="1" s="1"/>
  <c r="R460" i="1"/>
  <c r="R459" i="1" l="1"/>
  <c r="S460" i="1"/>
  <c r="T460" i="1" s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R427" i="1" l="1"/>
  <c r="S428" i="1"/>
  <c r="T428" i="1" s="1"/>
  <c r="R426" i="1" l="1"/>
  <c r="S427" i="1"/>
  <c r="T427" i="1" s="1"/>
  <c r="S426" i="1" l="1"/>
  <c r="T426" i="1" s="1"/>
  <c r="R425" i="1"/>
  <c r="S425" i="1" l="1"/>
  <c r="T425" i="1" s="1"/>
  <c r="R424" i="1"/>
  <c r="S424" i="1" l="1"/>
  <c r="T424" i="1" s="1"/>
  <c r="R423" i="1"/>
  <c r="R422" i="1" l="1"/>
  <c r="S423" i="1"/>
  <c r="T423" i="1" s="1"/>
  <c r="R421" i="1" l="1"/>
  <c r="S422" i="1"/>
  <c r="T422" i="1" s="1"/>
  <c r="R420" i="1" l="1"/>
  <c r="S421" i="1"/>
  <c r="T421" i="1" s="1"/>
  <c r="S420" i="1" l="1"/>
  <c r="T420" i="1" s="1"/>
  <c r="R419" i="1"/>
  <c r="S419" i="1" l="1"/>
  <c r="T419" i="1" s="1"/>
  <c r="R418" i="1"/>
  <c r="R417" i="1" l="1"/>
  <c r="S418" i="1"/>
  <c r="T418" i="1" s="1"/>
  <c r="R416" i="1" l="1"/>
  <c r="S417" i="1"/>
  <c r="T417" i="1" s="1"/>
  <c r="S416" i="1" l="1"/>
  <c r="T416" i="1" s="1"/>
  <c r="R415" i="1"/>
  <c r="S415" i="1" l="1"/>
  <c r="T415" i="1" s="1"/>
  <c r="R414" i="1"/>
  <c r="R413" i="1" l="1"/>
  <c r="S414" i="1"/>
  <c r="T414" i="1" s="1"/>
  <c r="R412" i="1" l="1"/>
  <c r="S413" i="1"/>
  <c r="T413" i="1" s="1"/>
  <c r="S412" i="1" l="1"/>
  <c r="T412" i="1" s="1"/>
  <c r="R411" i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R403" i="1" l="1"/>
  <c r="S404" i="1"/>
  <c r="T404" i="1" s="1"/>
  <c r="S403" i="1" l="1"/>
  <c r="T403" i="1" s="1"/>
  <c r="R402" i="1"/>
  <c r="S402" i="1" l="1"/>
  <c r="T402" i="1" s="1"/>
  <c r="R401" i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S390" i="1" l="1"/>
  <c r="T390" i="1" s="1"/>
  <c r="R389" i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S379" i="1" l="1"/>
  <c r="T379" i="1" s="1"/>
  <c r="R378" i="1"/>
  <c r="S378" i="1" l="1"/>
  <c r="T378" i="1" s="1"/>
  <c r="R377" i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S372" i="1" l="1"/>
  <c r="T372" i="1" s="1"/>
  <c r="R371" i="1"/>
  <c r="R370" i="1" l="1"/>
  <c r="S371" i="1"/>
  <c r="T371" i="1" s="1"/>
  <c r="R369" i="1" l="1"/>
  <c r="S370" i="1"/>
  <c r="T370" i="1" s="1"/>
  <c r="S369" i="1" l="1"/>
  <c r="T369" i="1" s="1"/>
  <c r="R368" i="1"/>
  <c r="S368" i="1" l="1"/>
  <c r="T368" i="1" s="1"/>
  <c r="R367" i="1"/>
  <c r="R366" i="1" l="1"/>
  <c r="S367" i="1"/>
  <c r="T367" i="1" s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S362" i="1" l="1"/>
  <c r="T362" i="1" s="1"/>
  <c r="R361" i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R350" i="1" l="1"/>
  <c r="S351" i="1"/>
  <c r="T351" i="1" s="1"/>
  <c r="S350" i="1" l="1"/>
  <c r="T350" i="1" s="1"/>
  <c r="R349" i="1"/>
  <c r="S349" i="1" l="1"/>
  <c r="T349" i="1" s="1"/>
  <c r="R348" i="1"/>
  <c r="R347" i="1" l="1"/>
  <c r="S348" i="1"/>
  <c r="T348" i="1" s="1"/>
  <c r="R346" i="1" l="1"/>
  <c r="S347" i="1"/>
  <c r="T347" i="1" s="1"/>
  <c r="S346" i="1" l="1"/>
  <c r="T346" i="1" s="1"/>
  <c r="R345" i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S341" i="1" l="1"/>
  <c r="T341" i="1" s="1"/>
  <c r="R340" i="1"/>
  <c r="R339" i="1" l="1"/>
  <c r="S340" i="1"/>
  <c r="T340" i="1" s="1"/>
  <c r="R338" i="1" l="1"/>
  <c r="S339" i="1"/>
  <c r="T339" i="1" s="1"/>
  <c r="S338" i="1" l="1"/>
  <c r="T338" i="1" s="1"/>
  <c r="R337" i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S325" i="1" l="1"/>
  <c r="T325" i="1" s="1"/>
  <c r="R324" i="1"/>
  <c r="R323" i="1" l="1"/>
  <c r="S324" i="1"/>
  <c r="T324" i="1" s="1"/>
  <c r="R322" i="1" l="1"/>
  <c r="S323" i="1"/>
  <c r="T323" i="1" s="1"/>
  <c r="S322" i="1" l="1"/>
  <c r="T322" i="1" s="1"/>
  <c r="R321" i="1"/>
  <c r="S321" i="1" l="1"/>
  <c r="T321" i="1" s="1"/>
  <c r="R320" i="1"/>
  <c r="S320" i="1" l="1"/>
  <c r="T320" i="1" s="1"/>
  <c r="R319" i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R312" i="1" l="1"/>
  <c r="S313" i="1"/>
  <c r="T313" i="1" s="1"/>
  <c r="S312" i="1" l="1"/>
  <c r="T312" i="1" s="1"/>
  <c r="R311" i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S306" i="1" l="1"/>
  <c r="T306" i="1" s="1"/>
  <c r="R305" i="1"/>
  <c r="R304" i="1" l="1"/>
  <c r="S305" i="1"/>
  <c r="T305" i="1" s="1"/>
  <c r="S304" i="1" l="1"/>
  <c r="T304" i="1" s="1"/>
  <c r="R303" i="1"/>
  <c r="S303" i="1" l="1"/>
  <c r="T303" i="1" s="1"/>
  <c r="R302" i="1"/>
  <c r="S302" i="1" l="1"/>
  <c r="T302" i="1" s="1"/>
  <c r="R301" i="1"/>
  <c r="R300" i="1" l="1"/>
  <c r="S301" i="1"/>
  <c r="T301" i="1" s="1"/>
  <c r="R299" i="1" l="1"/>
  <c r="S300" i="1"/>
  <c r="T300" i="1" s="1"/>
  <c r="R298" i="1" l="1"/>
  <c r="S299" i="1"/>
  <c r="T299" i="1" s="1"/>
  <c r="S298" i="1" l="1"/>
  <c r="T298" i="1" s="1"/>
  <c r="R297" i="1"/>
  <c r="S297" i="1" l="1"/>
  <c r="T297" i="1" s="1"/>
  <c r="R296" i="1"/>
  <c r="S296" i="1" l="1"/>
  <c r="T296" i="1" s="1"/>
  <c r="R295" i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S287" i="1" l="1"/>
  <c r="T287" i="1" s="1"/>
  <c r="R286" i="1"/>
  <c r="R285" i="1" l="1"/>
  <c r="S286" i="1"/>
  <c r="T286" i="1" s="1"/>
  <c r="R284" i="1" l="1"/>
  <c r="S285" i="1"/>
  <c r="T285" i="1" s="1"/>
  <c r="S284" i="1" l="1"/>
  <c r="T284" i="1" s="1"/>
  <c r="R283" i="1"/>
  <c r="S283" i="1" l="1"/>
  <c r="T283" i="1" s="1"/>
  <c r="R282" i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S278" i="1" l="1"/>
  <c r="T278" i="1" s="1"/>
  <c r="R277" i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S248" i="1" l="1"/>
  <c r="T248" i="1" s="1"/>
  <c r="R247" i="1"/>
  <c r="R246" i="1" l="1"/>
  <c r="S247" i="1"/>
  <c r="T247" i="1" s="1"/>
  <c r="S246" i="1" l="1"/>
  <c r="T246" i="1" s="1"/>
  <c r="R245" i="1"/>
  <c r="S245" i="1" l="1"/>
  <c r="T245" i="1" s="1"/>
  <c r="R244" i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S209" i="1" l="1"/>
  <c r="T209" i="1" s="1"/>
  <c r="R208" i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R203" i="1" l="1"/>
  <c r="S204" i="1"/>
  <c r="T204" i="1" s="1"/>
  <c r="S203" i="1" l="1"/>
  <c r="T203" i="1" s="1"/>
  <c r="R202" i="1"/>
  <c r="S202" i="1" l="1"/>
  <c r="T202" i="1" s="1"/>
  <c r="R201" i="1"/>
  <c r="S201" i="1" l="1"/>
  <c r="T201" i="1" s="1"/>
  <c r="R200" i="1"/>
  <c r="S200" i="1" l="1"/>
  <c r="T200" i="1" s="1"/>
  <c r="R199" i="1"/>
  <c r="R198" i="1" l="1"/>
  <c r="S199" i="1"/>
  <c r="T199" i="1" s="1"/>
  <c r="R197" i="1" l="1"/>
  <c r="S198" i="1"/>
  <c r="T198" i="1" s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S192" i="1" l="1"/>
  <c r="T192" i="1" s="1"/>
  <c r="R191" i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R173" i="1" l="1"/>
  <c r="S174" i="1"/>
  <c r="T174" i="1" s="1"/>
  <c r="S173" i="1" l="1"/>
  <c r="T173" i="1" s="1"/>
  <c r="R172" i="1"/>
  <c r="S172" i="1" l="1"/>
  <c r="T172" i="1" s="1"/>
  <c r="R171" i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R166" i="1" l="1"/>
  <c r="S167" i="1"/>
  <c r="T167" i="1" s="1"/>
  <c r="R165" i="1" l="1"/>
  <c r="S166" i="1"/>
  <c r="T166" i="1" s="1"/>
  <c r="S165" i="1" l="1"/>
  <c r="T165" i="1" s="1"/>
  <c r="R164" i="1"/>
  <c r="S164" i="1" l="1"/>
  <c r="T164" i="1" s="1"/>
  <c r="R163" i="1"/>
  <c r="R162" i="1" l="1"/>
  <c r="S163" i="1"/>
  <c r="T163" i="1" s="1"/>
  <c r="R161" i="1" l="1"/>
  <c r="S162" i="1"/>
  <c r="T162" i="1" s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S149" i="1" l="1"/>
  <c r="T149" i="1" s="1"/>
  <c r="R148" i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S141" i="1" l="1"/>
  <c r="T141" i="1" s="1"/>
  <c r="R140" i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S130" i="1" l="1"/>
  <c r="T130" i="1" s="1"/>
  <c r="R129" i="1"/>
  <c r="S129" i="1" l="1"/>
  <c r="T129" i="1" s="1"/>
  <c r="R128" i="1"/>
  <c r="R127" i="1" l="1"/>
  <c r="S128" i="1"/>
  <c r="T128" i="1" s="1"/>
  <c r="R126" i="1" l="1"/>
  <c r="S127" i="1"/>
  <c r="T127" i="1" s="1"/>
  <c r="R125" i="1" l="1"/>
  <c r="S126" i="1"/>
  <c r="T126" i="1" s="1"/>
  <c r="S125" i="1" l="1"/>
  <c r="T125" i="1" s="1"/>
  <c r="R124" i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S102" i="1" l="1"/>
  <c r="T102" i="1" s="1"/>
  <c r="R101" i="1"/>
  <c r="R100" i="1" l="1"/>
  <c r="S101" i="1"/>
  <c r="T101" i="1" s="1"/>
  <c r="R99" i="1" l="1"/>
  <c r="S100" i="1"/>
  <c r="T100" i="1" s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S95" i="1" l="1"/>
  <c r="T95" i="1" s="1"/>
  <c r="R94" i="1"/>
  <c r="S94" i="1" l="1"/>
  <c r="T94" i="1" s="1"/>
  <c r="R93" i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S76" i="1" l="1"/>
  <c r="T76" i="1" s="1"/>
  <c r="R75" i="1"/>
  <c r="S75" i="1" l="1"/>
  <c r="T75" i="1" s="1"/>
  <c r="R74" i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S34" i="1" l="1"/>
  <c r="T34" i="1" s="1"/>
  <c r="R33" i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S29" i="1" l="1"/>
  <c r="T29" i="1" s="1"/>
  <c r="R28" i="1"/>
  <c r="R27" i="1" l="1"/>
  <c r="S28" i="1"/>
  <c r="T28" i="1" s="1"/>
  <c r="R26" i="1" l="1"/>
  <c r="S27" i="1"/>
  <c r="T27" i="1" s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<sst xmlns="http://schemas.openxmlformats.org/spreadsheetml/2006/main" count="10932" uniqueCount="34">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</sst>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14.79</c:v>
                </c:pt>
                <c:pt idx="1">
                  <c:v>15.23</c:v>
                </c:pt>
                <c:pt idx="2">
                  <c:v>15.49</c:v>
                </c:pt>
                <c:pt idx="3">
                  <c:v>15.58</c:v>
                </c:pt>
                <c:pt idx="4">
                  <c:v>16.64</c:v>
                </c:pt>
                <c:pt idx="5">
                  <c:v>15.85</c:v>
                </c:pt>
                <c:pt idx="6">
                  <c:v>17.420000000000002</c:v>
                </c:pt>
                <c:pt idx="7">
                  <c:v>20.170000000000002</c:v>
                </c:pt>
                <c:pt idx="8">
                  <c:v>21.55</c:v>
                </c:pt>
                <c:pt idx="9">
                  <c:v>22.96</c:v>
                </c:pt>
                <c:pt idx="10">
                  <c:v>23.79</c:v>
                </c:pt>
                <c:pt idx="11">
                  <c:v>25.5</c:v>
                </c:pt>
                <c:pt idx="12">
                  <c:v>25.17</c:v>
                </c:pt>
                <c:pt idx="13">
                  <c:v>25.72</c:v>
                </c:pt>
                <c:pt idx="14">
                  <c:v>24.86</c:v>
                </c:pt>
                <c:pt idx="15">
                  <c:v>26.75</c:v>
                </c:pt>
                <c:pt idx="16">
                  <c:v>26.59</c:v>
                </c:pt>
                <c:pt idx="17">
                  <c:v>27.98</c:v>
                </c:pt>
                <c:pt idx="18">
                  <c:v>27.54</c:v>
                </c:pt>
                <c:pt idx="19">
                  <c:v>25.32</c:v>
                </c:pt>
                <c:pt idx="20">
                  <c:v>25.98</c:v>
                </c:pt>
                <c:pt idx="21">
                  <c:v>25.38</c:v>
                </c:pt>
                <c:pt idx="22">
                  <c:v>25.24</c:v>
                </c:pt>
                <c:pt idx="23">
                  <c:v>23.42</c:v>
                </c:pt>
                <c:pt idx="24">
                  <c:v>23.72</c:v>
                </c:pt>
                <c:pt idx="25">
                  <c:v>21.87</c:v>
                </c:pt>
                <c:pt idx="26">
                  <c:v>20.76</c:v>
                </c:pt>
                <c:pt idx="27">
                  <c:v>19.510000000000002</c:v>
                </c:pt>
                <c:pt idx="28">
                  <c:v>19.93</c:v>
                </c:pt>
                <c:pt idx="29">
                  <c:v>19.739999999999998</c:v>
                </c:pt>
                <c:pt idx="30">
                  <c:v>20.37</c:v>
                </c:pt>
                <c:pt idx="31">
                  <c:v>23.02</c:v>
                </c:pt>
                <c:pt idx="32">
                  <c:v>22.98</c:v>
                </c:pt>
                <c:pt idx="33">
                  <c:v>22.1</c:v>
                </c:pt>
                <c:pt idx="34">
                  <c:v>21.48</c:v>
                </c:pt>
                <c:pt idx="35">
                  <c:v>22.17</c:v>
                </c:pt>
                <c:pt idx="36">
                  <c:v>19.93</c:v>
                </c:pt>
                <c:pt idx="37">
                  <c:v>19.420000000000002</c:v>
                </c:pt>
                <c:pt idx="38">
                  <c:v>18.78</c:v>
                </c:pt>
                <c:pt idx="39">
                  <c:v>18.86</c:v>
                </c:pt>
                <c:pt idx="40">
                  <c:v>19.54</c:v>
                </c:pt>
                <c:pt idx="41">
                  <c:v>18.25</c:v>
                </c:pt>
                <c:pt idx="42">
                  <c:v>18.760000000000002</c:v>
                </c:pt>
                <c:pt idx="43">
                  <c:v>19.690000000000001</c:v>
                </c:pt>
                <c:pt idx="44">
                  <c:v>18.440000000000001</c:v>
                </c:pt>
                <c:pt idx="45">
                  <c:v>17.78</c:v>
                </c:pt>
                <c:pt idx="46">
                  <c:v>20.41</c:v>
                </c:pt>
                <c:pt idx="47">
                  <c:v>18.87</c:v>
                </c:pt>
                <c:pt idx="48">
                  <c:v>18.559999999999999</c:v>
                </c:pt>
                <c:pt idx="49">
                  <c:v>20.25</c:v>
                </c:pt>
                <c:pt idx="50">
                  <c:v>22.91</c:v>
                </c:pt>
                <c:pt idx="51">
                  <c:v>21.09</c:v>
                </c:pt>
                <c:pt idx="52">
                  <c:v>19.8</c:v>
                </c:pt>
                <c:pt idx="53">
                  <c:v>19.48</c:v>
                </c:pt>
                <c:pt idx="54">
                  <c:v>20.64</c:v>
                </c:pt>
                <c:pt idx="55">
                  <c:v>23.31</c:v>
                </c:pt>
                <c:pt idx="56">
                  <c:v>24.55</c:v>
                </c:pt>
                <c:pt idx="57">
                  <c:v>25.32</c:v>
                </c:pt>
                <c:pt idx="58">
                  <c:v>25.31</c:v>
                </c:pt>
                <c:pt idx="59">
                  <c:v>24.99</c:v>
                </c:pt>
                <c:pt idx="60">
                  <c:v>24.76</c:v>
                </c:pt>
                <c:pt idx="61">
                  <c:v>24.1</c:v>
                </c:pt>
                <c:pt idx="62">
                  <c:v>23.96</c:v>
                </c:pt>
                <c:pt idx="63">
                  <c:v>26.41</c:v>
                </c:pt>
                <c:pt idx="64">
                  <c:v>26.45</c:v>
                </c:pt>
                <c:pt idx="65">
                  <c:v>26.94</c:v>
                </c:pt>
                <c:pt idx="66">
                  <c:v>26.77</c:v>
                </c:pt>
                <c:pt idx="67">
                  <c:v>28.98</c:v>
                </c:pt>
                <c:pt idx="68">
                  <c:v>28.36</c:v>
                </c:pt>
                <c:pt idx="69">
                  <c:v>28.27</c:v>
                </c:pt>
                <c:pt idx="70">
                  <c:v>26.55</c:v>
                </c:pt>
                <c:pt idx="71">
                  <c:v>29.18</c:v>
                </c:pt>
                <c:pt idx="72">
                  <c:v>29.16</c:v>
                </c:pt>
                <c:pt idx="73">
                  <c:v>32.04</c:v>
                </c:pt>
                <c:pt idx="74">
                  <c:v>33.75</c:v>
                </c:pt>
                <c:pt idx="75">
                  <c:v>34</c:v>
                </c:pt>
                <c:pt idx="76">
                  <c:v>34.26</c:v>
                </c:pt>
                <c:pt idx="77">
                  <c:v>34.69</c:v>
                </c:pt>
                <c:pt idx="78">
                  <c:v>34.21</c:v>
                </c:pt>
                <c:pt idx="79">
                  <c:v>33.82</c:v>
                </c:pt>
                <c:pt idx="80">
                  <c:v>34.46</c:v>
                </c:pt>
                <c:pt idx="81">
                  <c:v>32.340000000000003</c:v>
                </c:pt>
                <c:pt idx="82">
                  <c:v>32.049999999999997</c:v>
                </c:pt>
                <c:pt idx="83">
                  <c:v>32.86</c:v>
                </c:pt>
                <c:pt idx="84">
                  <c:v>31</c:v>
                </c:pt>
                <c:pt idx="85">
                  <c:v>31.96</c:v>
                </c:pt>
                <c:pt idx="86">
                  <c:v>32.26</c:v>
                </c:pt>
                <c:pt idx="87">
                  <c:v>31.66</c:v>
                </c:pt>
                <c:pt idx="88">
                  <c:v>30</c:v>
                </c:pt>
                <c:pt idx="89">
                  <c:v>29.79</c:v>
                </c:pt>
                <c:pt idx="90">
                  <c:v>30.96</c:v>
                </c:pt>
                <c:pt idx="91">
                  <c:v>30.19</c:v>
                </c:pt>
                <c:pt idx="92">
                  <c:v>28.88</c:v>
                </c:pt>
                <c:pt idx="93">
                  <c:v>32.520000000000003</c:v>
                </c:pt>
                <c:pt idx="94">
                  <c:v>32.380000000000003</c:v>
                </c:pt>
                <c:pt idx="95">
                  <c:v>29.7</c:v>
                </c:pt>
                <c:pt idx="96">
                  <c:v>31.36</c:v>
                </c:pt>
                <c:pt idx="97">
                  <c:v>28.67</c:v>
                </c:pt>
                <c:pt idx="98">
                  <c:v>28.26</c:v>
                </c:pt>
                <c:pt idx="99">
                  <c:v>27.49</c:v>
                </c:pt>
                <c:pt idx="100">
                  <c:v>25.91</c:v>
                </c:pt>
                <c:pt idx="101">
                  <c:v>25.71</c:v>
                </c:pt>
                <c:pt idx="102">
                  <c:v>26.54</c:v>
                </c:pt>
                <c:pt idx="103">
                  <c:v>27.23</c:v>
                </c:pt>
                <c:pt idx="104">
                  <c:v>27.01</c:v>
                </c:pt>
                <c:pt idx="105">
                  <c:v>26.72</c:v>
                </c:pt>
                <c:pt idx="106">
                  <c:v>25.66</c:v>
                </c:pt>
                <c:pt idx="107">
                  <c:v>24.65</c:v>
                </c:pt>
                <c:pt idx="108">
                  <c:v>25.22</c:v>
                </c:pt>
                <c:pt idx="109">
                  <c:v>25.56</c:v>
                </c:pt>
                <c:pt idx="110">
                  <c:v>27.45</c:v>
                </c:pt>
                <c:pt idx="111">
                  <c:v>26.39</c:v>
                </c:pt>
                <c:pt idx="112">
                  <c:v>26.83</c:v>
                </c:pt>
                <c:pt idx="113">
                  <c:v>26.8</c:v>
                </c:pt>
                <c:pt idx="114">
                  <c:v>27.23</c:v>
                </c:pt>
                <c:pt idx="115">
                  <c:v>26.6</c:v>
                </c:pt>
                <c:pt idx="116">
                  <c:v>27.56</c:v>
                </c:pt>
                <c:pt idx="117">
                  <c:v>26.89</c:v>
                </c:pt>
                <c:pt idx="118">
                  <c:v>26.31</c:v>
                </c:pt>
                <c:pt idx="119">
                  <c:v>24</c:v>
                </c:pt>
                <c:pt idx="120">
                  <c:v>22.85</c:v>
                </c:pt>
                <c:pt idx="121">
                  <c:v>22.1</c:v>
                </c:pt>
                <c:pt idx="122">
                  <c:v>23.01</c:v>
                </c:pt>
                <c:pt idx="123">
                  <c:v>24.6</c:v>
                </c:pt>
                <c:pt idx="124">
                  <c:v>24.51</c:v>
                </c:pt>
                <c:pt idx="125">
                  <c:v>23.26</c:v>
                </c:pt>
                <c:pt idx="126">
                  <c:v>25.41</c:v>
                </c:pt>
                <c:pt idx="127">
                  <c:v>24.45</c:v>
                </c:pt>
                <c:pt idx="128">
                  <c:v>21.42</c:v>
                </c:pt>
                <c:pt idx="129">
                  <c:v>25.22</c:v>
                </c:pt>
                <c:pt idx="130">
                  <c:v>27.36</c:v>
                </c:pt>
                <c:pt idx="131">
                  <c:v>28.39</c:v>
                </c:pt>
                <c:pt idx="132">
                  <c:v>27.72</c:v>
                </c:pt>
                <c:pt idx="133">
                  <c:v>29.8</c:v>
                </c:pt>
                <c:pt idx="134">
                  <c:v>30.67</c:v>
                </c:pt>
                <c:pt idx="135">
                  <c:v>30.8</c:v>
                </c:pt>
                <c:pt idx="136">
                  <c:v>26.96</c:v>
                </c:pt>
                <c:pt idx="137">
                  <c:v>29.42</c:v>
                </c:pt>
                <c:pt idx="138">
                  <c:v>26.99</c:v>
                </c:pt>
                <c:pt idx="139">
                  <c:v>26.39</c:v>
                </c:pt>
                <c:pt idx="140">
                  <c:v>28.01</c:v>
                </c:pt>
                <c:pt idx="141">
                  <c:v>27.16</c:v>
                </c:pt>
                <c:pt idx="142">
                  <c:v>28.26</c:v>
                </c:pt>
                <c:pt idx="143">
                  <c:v>34.81</c:v>
                </c:pt>
                <c:pt idx="144">
                  <c:v>33.549999999999997</c:v>
                </c:pt>
                <c:pt idx="145">
                  <c:v>29.88</c:v>
                </c:pt>
                <c:pt idx="146">
                  <c:v>30.75</c:v>
                </c:pt>
                <c:pt idx="147">
                  <c:v>29.95</c:v>
                </c:pt>
                <c:pt idx="148">
                  <c:v>29.72</c:v>
                </c:pt>
                <c:pt idx="149">
                  <c:v>26.7</c:v>
                </c:pt>
                <c:pt idx="150">
                  <c:v>25.04</c:v>
                </c:pt>
                <c:pt idx="151">
                  <c:v>25.76</c:v>
                </c:pt>
                <c:pt idx="152">
                  <c:v>25.73</c:v>
                </c:pt>
                <c:pt idx="153">
                  <c:v>26.04</c:v>
                </c:pt>
                <c:pt idx="154">
                  <c:v>24.39</c:v>
                </c:pt>
                <c:pt idx="155">
                  <c:v>26.611999999999998</c:v>
                </c:pt>
                <c:pt idx="156">
                  <c:v>25.728000000000002</c:v>
                </c:pt>
                <c:pt idx="157">
                  <c:v>28.552</c:v>
                </c:pt>
                <c:pt idx="158">
                  <c:v>28.263999999999999</c:v>
                </c:pt>
                <c:pt idx="159">
                  <c:v>27.844000000000001</c:v>
                </c:pt>
                <c:pt idx="160">
                  <c:v>28.678000000000001</c:v>
                </c:pt>
                <c:pt idx="161">
                  <c:v>27.096</c:v>
                </c:pt>
                <c:pt idx="162">
                  <c:v>25.341000000000001</c:v>
                </c:pt>
                <c:pt idx="163">
                  <c:v>26.146000000000001</c:v>
                </c:pt>
                <c:pt idx="164">
                  <c:v>27.943999999999999</c:v>
                </c:pt>
                <c:pt idx="165">
                  <c:v>27.901</c:v>
                </c:pt>
                <c:pt idx="166">
                  <c:v>27.143999999999998</c:v>
                </c:pt>
                <c:pt idx="167">
                  <c:v>27.748000000000001</c:v>
                </c:pt>
                <c:pt idx="168">
                  <c:v>24.943999999999999</c:v>
                </c:pt>
                <c:pt idx="169">
                  <c:v>25.905999999999999</c:v>
                </c:pt>
                <c:pt idx="170">
                  <c:v>24.536999999999999</c:v>
                </c:pt>
                <c:pt idx="171">
                  <c:v>24.196999999999999</c:v>
                </c:pt>
                <c:pt idx="172">
                  <c:v>23.029</c:v>
                </c:pt>
                <c:pt idx="173">
                  <c:v>24.693999999999999</c:v>
                </c:pt>
                <c:pt idx="174">
                  <c:v>23.89</c:v>
                </c:pt>
                <c:pt idx="175">
                  <c:v>24.056999999999999</c:v>
                </c:pt>
                <c:pt idx="176">
                  <c:v>24.193000000000001</c:v>
                </c:pt>
                <c:pt idx="177">
                  <c:v>23.942</c:v>
                </c:pt>
                <c:pt idx="178">
                  <c:v>23.472000000000001</c:v>
                </c:pt>
                <c:pt idx="179">
                  <c:v>22.062000000000001</c:v>
                </c:pt>
                <c:pt idx="180">
                  <c:v>22.713000000000001</c:v>
                </c:pt>
                <c:pt idx="181">
                  <c:v>22.268999999999998</c:v>
                </c:pt>
                <c:pt idx="182">
                  <c:v>19.37</c:v>
                </c:pt>
                <c:pt idx="183">
                  <c:v>19.109000000000002</c:v>
                </c:pt>
                <c:pt idx="184">
                  <c:v>19.489000000000001</c:v>
                </c:pt>
                <c:pt idx="185">
                  <c:v>18.027999999999999</c:v>
                </c:pt>
                <c:pt idx="186">
                  <c:v>16.745999999999999</c:v>
                </c:pt>
                <c:pt idx="187">
                  <c:v>16.683</c:v>
                </c:pt>
                <c:pt idx="188">
                  <c:v>16.501999999999999</c:v>
                </c:pt>
                <c:pt idx="189">
                  <c:v>16.071000000000002</c:v>
                </c:pt>
                <c:pt idx="190">
                  <c:v>15.297000000000001</c:v>
                </c:pt>
                <c:pt idx="191">
                  <c:v>13.742000000000001</c:v>
                </c:pt>
                <c:pt idx="192">
                  <c:v>14.528</c:v>
                </c:pt>
                <c:pt idx="193">
                  <c:v>15.47</c:v>
                </c:pt>
                <c:pt idx="194">
                  <c:v>15.352</c:v>
                </c:pt>
                <c:pt idx="195">
                  <c:v>15.234</c:v>
                </c:pt>
                <c:pt idx="196">
                  <c:v>15.763999999999999</c:v>
                </c:pt>
                <c:pt idx="197">
                  <c:v>16.936</c:v>
                </c:pt>
                <c:pt idx="198">
                  <c:v>16.87</c:v>
                </c:pt>
                <c:pt idx="199">
                  <c:v>17.518000000000001</c:v>
                </c:pt>
                <c:pt idx="200">
                  <c:v>18.382999999999999</c:v>
                </c:pt>
                <c:pt idx="201">
                  <c:v>18.204000000000001</c:v>
                </c:pt>
                <c:pt idx="202">
                  <c:v>18.655999999999999</c:v>
                </c:pt>
                <c:pt idx="203">
                  <c:v>18.353000000000002</c:v>
                </c:pt>
                <c:pt idx="204">
                  <c:v>19.788</c:v>
                </c:pt>
                <c:pt idx="205">
                  <c:v>20.073</c:v>
                </c:pt>
                <c:pt idx="206">
                  <c:v>18.361999999999998</c:v>
                </c:pt>
                <c:pt idx="207">
                  <c:v>19.242000000000001</c:v>
                </c:pt>
                <c:pt idx="208">
                  <c:v>18.542999999999999</c:v>
                </c:pt>
                <c:pt idx="209">
                  <c:v>18.274000000000001</c:v>
                </c:pt>
                <c:pt idx="210">
                  <c:v>18.186</c:v>
                </c:pt>
                <c:pt idx="211">
                  <c:v>19.515999999999998</c:v>
                </c:pt>
                <c:pt idx="212">
                  <c:v>19.535</c:v>
                </c:pt>
                <c:pt idx="213">
                  <c:v>18.829999999999998</c:v>
                </c:pt>
                <c:pt idx="214">
                  <c:v>18.405999999999999</c:v>
                </c:pt>
                <c:pt idx="215">
                  <c:v>16.952000000000002</c:v>
                </c:pt>
                <c:pt idx="216">
                  <c:v>16.87</c:v>
                </c:pt>
                <c:pt idx="217">
                  <c:v>19.059999999999999</c:v>
                </c:pt>
                <c:pt idx="218">
                  <c:v>18.395</c:v>
                </c:pt>
                <c:pt idx="219">
                  <c:v>16.850000000000001</c:v>
                </c:pt>
                <c:pt idx="220">
                  <c:v>17.364999999999998</c:v>
                </c:pt>
                <c:pt idx="221">
                  <c:v>21.646000000000001</c:v>
                </c:pt>
                <c:pt idx="222">
                  <c:v>20.245999999999999</c:v>
                </c:pt>
                <c:pt idx="223">
                  <c:v>21.233000000000001</c:v>
                </c:pt>
                <c:pt idx="224">
                  <c:v>23.396000000000001</c:v>
                </c:pt>
                <c:pt idx="225">
                  <c:v>23.044</c:v>
                </c:pt>
                <c:pt idx="226">
                  <c:v>24.481999999999999</c:v>
                </c:pt>
                <c:pt idx="227">
                  <c:v>24.972999999999999</c:v>
                </c:pt>
                <c:pt idx="228">
                  <c:v>23.312000000000001</c:v>
                </c:pt>
                <c:pt idx="229">
                  <c:v>21.67</c:v>
                </c:pt>
                <c:pt idx="230">
                  <c:v>21.478000000000002</c:v>
                </c:pt>
                <c:pt idx="231">
                  <c:v>23.114000000000001</c:v>
                </c:pt>
                <c:pt idx="232">
                  <c:v>25.585000000000001</c:v>
                </c:pt>
                <c:pt idx="233">
                  <c:v>24.076000000000001</c:v>
                </c:pt>
                <c:pt idx="234">
                  <c:v>24.584</c:v>
                </c:pt>
                <c:pt idx="235">
                  <c:v>27.532</c:v>
                </c:pt>
                <c:pt idx="236">
                  <c:v>27.129000000000001</c:v>
                </c:pt>
                <c:pt idx="237">
                  <c:v>28.826000000000001</c:v>
                </c:pt>
                <c:pt idx="238">
                  <c:v>32.198</c:v>
                </c:pt>
                <c:pt idx="239">
                  <c:v>30.67</c:v>
                </c:pt>
                <c:pt idx="240">
                  <c:v>30.719000000000001</c:v>
                </c:pt>
                <c:pt idx="241">
                  <c:v>32.097999999999999</c:v>
                </c:pt>
                <c:pt idx="242">
                  <c:v>26.818000000000001</c:v>
                </c:pt>
                <c:pt idx="243">
                  <c:v>25.364999999999998</c:v>
                </c:pt>
                <c:pt idx="244">
                  <c:v>27.878</c:v>
                </c:pt>
                <c:pt idx="245">
                  <c:v>31.731999999999999</c:v>
                </c:pt>
                <c:pt idx="246">
                  <c:v>34.018000000000001</c:v>
                </c:pt>
                <c:pt idx="247">
                  <c:v>27.503</c:v>
                </c:pt>
                <c:pt idx="248">
                  <c:v>26.411999999999999</c:v>
                </c:pt>
                <c:pt idx="249">
                  <c:v>19.844000000000001</c:v>
                </c:pt>
                <c:pt idx="250">
                  <c:v>23.295999999999999</c:v>
                </c:pt>
                <c:pt idx="251">
                  <c:v>25.545999999999999</c:v>
                </c:pt>
                <c:pt idx="252">
                  <c:v>30.606000000000002</c:v>
                </c:pt>
                <c:pt idx="253">
                  <c:v>26.227</c:v>
                </c:pt>
                <c:pt idx="254">
                  <c:v>42.566000000000003</c:v>
                </c:pt>
                <c:pt idx="255">
                  <c:v>37.177</c:v>
                </c:pt>
                <c:pt idx="256">
                  <c:v>40.67</c:v>
                </c:pt>
                <c:pt idx="257">
                  <c:v>41.491999999999997</c:v>
                </c:pt>
                <c:pt idx="258">
                  <c:v>46.567</c:v>
                </c:pt>
                <c:pt idx="259">
                  <c:v>43.286999999999999</c:v>
                </c:pt>
                <c:pt idx="260">
                  <c:v>41.622</c:v>
                </c:pt>
                <c:pt idx="261">
                  <c:v>48.826000000000001</c:v>
                </c:pt>
                <c:pt idx="262">
                  <c:v>46.334000000000003</c:v>
                </c:pt>
                <c:pt idx="263">
                  <c:v>52.268999999999998</c:v>
                </c:pt>
                <c:pt idx="264">
                  <c:v>48.597000000000001</c:v>
                </c:pt>
                <c:pt idx="265">
                  <c:v>49.128999999999998</c:v>
                </c:pt>
                <c:pt idx="266">
                  <c:v>47.154000000000003</c:v>
                </c:pt>
                <c:pt idx="267">
                  <c:v>49.575000000000003</c:v>
                </c:pt>
                <c:pt idx="268">
                  <c:v>45.527000000000001</c:v>
                </c:pt>
                <c:pt idx="269">
                  <c:v>42.052</c:v>
                </c:pt>
                <c:pt idx="270">
                  <c:v>39.460999999999999</c:v>
                </c:pt>
                <c:pt idx="271">
                  <c:v>41.256999999999998</c:v>
                </c:pt>
                <c:pt idx="272">
                  <c:v>38.1</c:v>
                </c:pt>
                <c:pt idx="273">
                  <c:v>36.466999999999999</c:v>
                </c:pt>
                <c:pt idx="274">
                  <c:v>36.232999999999997</c:v>
                </c:pt>
                <c:pt idx="275">
                  <c:v>36.787999999999997</c:v>
                </c:pt>
                <c:pt idx="276">
                  <c:v>35.130000000000003</c:v>
                </c:pt>
                <c:pt idx="277">
                  <c:v>31.692</c:v>
                </c:pt>
                <c:pt idx="278">
                  <c:v>31.244299999999999</c:v>
                </c:pt>
                <c:pt idx="279">
                  <c:v>35.2121</c:v>
                </c:pt>
                <c:pt idx="280">
                  <c:v>35.130600000000001</c:v>
                </c:pt>
                <c:pt idx="281">
                  <c:v>36.227400000000003</c:v>
                </c:pt>
                <c:pt idx="282">
                  <c:v>38.995399999999997</c:v>
                </c:pt>
                <c:pt idx="283">
                  <c:v>35.735900000000001</c:v>
                </c:pt>
                <c:pt idx="284">
                  <c:v>39.079900000000002</c:v>
                </c:pt>
                <c:pt idx="285">
                  <c:v>39.913699999999999</c:v>
                </c:pt>
                <c:pt idx="286">
                  <c:v>41.9861</c:v>
                </c:pt>
                <c:pt idx="287">
                  <c:v>42.560099999999998</c:v>
                </c:pt>
                <c:pt idx="288">
                  <c:v>41.364100000000001</c:v>
                </c:pt>
                <c:pt idx="289">
                  <c:v>35.521700000000003</c:v>
                </c:pt>
                <c:pt idx="290">
                  <c:v>33.107999999999997</c:v>
                </c:pt>
                <c:pt idx="291">
                  <c:v>33.881100000000004</c:v>
                </c:pt>
                <c:pt idx="292">
                  <c:v>31.894400000000001</c:v>
                </c:pt>
                <c:pt idx="293">
                  <c:v>31.589300000000001</c:v>
                </c:pt>
                <c:pt idx="294">
                  <c:v>32.788400000000003</c:v>
                </c:pt>
                <c:pt idx="295">
                  <c:v>31.109000000000002</c:v>
                </c:pt>
                <c:pt idx="296">
                  <c:v>34.725000000000001</c:v>
                </c:pt>
                <c:pt idx="297">
                  <c:v>32.379100000000001</c:v>
                </c:pt>
                <c:pt idx="298">
                  <c:v>30.7471</c:v>
                </c:pt>
                <c:pt idx="299">
                  <c:v>29.292999999999999</c:v>
                </c:pt>
                <c:pt idx="300">
                  <c:v>32.486400000000003</c:v>
                </c:pt>
                <c:pt idx="301">
                  <c:v>30.0684</c:v>
                </c:pt>
                <c:pt idx="302">
                  <c:v>29.416699999999999</c:v>
                </c:pt>
                <c:pt idx="303">
                  <c:v>27.830100000000002</c:v>
                </c:pt>
                <c:pt idx="304">
                  <c:v>28.035699999999999</c:v>
                </c:pt>
                <c:pt idx="305">
                  <c:v>26.658799999999999</c:v>
                </c:pt>
                <c:pt idx="306">
                  <c:v>26.8766</c:v>
                </c:pt>
                <c:pt idx="307">
                  <c:v>27.392700000000001</c:v>
                </c:pt>
                <c:pt idx="308">
                  <c:v>25.535</c:v>
                </c:pt>
                <c:pt idx="309">
                  <c:v>24.868400000000001</c:v>
                </c:pt>
                <c:pt idx="310">
                  <c:v>26.781300000000002</c:v>
                </c:pt>
                <c:pt idx="311">
                  <c:v>27.243099999999998</c:v>
                </c:pt>
                <c:pt idx="312">
                  <c:v>29.209700000000002</c:v>
                </c:pt>
                <c:pt idx="313">
                  <c:v>29.6465</c:v>
                </c:pt>
                <c:pt idx="314">
                  <c:v>29.777000000000001</c:v>
                </c:pt>
                <c:pt idx="315">
                  <c:v>29.3949</c:v>
                </c:pt>
                <c:pt idx="316">
                  <c:v>31.0579</c:v>
                </c:pt>
                <c:pt idx="317">
                  <c:v>27.9099</c:v>
                </c:pt>
                <c:pt idx="318">
                  <c:v>27.5091</c:v>
                </c:pt>
                <c:pt idx="319">
                  <c:v>28.546900000000001</c:v>
                </c:pt>
                <c:pt idx="320">
                  <c:v>29.738399999999999</c:v>
                </c:pt>
                <c:pt idx="321">
                  <c:v>28.3553</c:v>
                </c:pt>
                <c:pt idx="322">
                  <c:v>30.116599999999998</c:v>
                </c:pt>
                <c:pt idx="323">
                  <c:v>29.903600000000001</c:v>
                </c:pt>
                <c:pt idx="324">
                  <c:v>31.491399999999999</c:v>
                </c:pt>
                <c:pt idx="325">
                  <c:v>31.846900000000002</c:v>
                </c:pt>
                <c:pt idx="326">
                  <c:v>28.5932</c:v>
                </c:pt>
                <c:pt idx="327">
                  <c:v>28.1479</c:v>
                </c:pt>
                <c:pt idx="328">
                  <c:v>27.834299999999999</c:v>
                </c:pt>
                <c:pt idx="329">
                  <c:v>27.694299999999998</c:v>
                </c:pt>
                <c:pt idx="330">
                  <c:v>29.85</c:v>
                </c:pt>
                <c:pt idx="331">
                  <c:v>28.476900000000001</c:v>
                </c:pt>
                <c:pt idx="332">
                  <c:v>27.711600000000001</c:v>
                </c:pt>
                <c:pt idx="333">
                  <c:v>24.701599999999999</c:v>
                </c:pt>
                <c:pt idx="334">
                  <c:v>26.189599999999999</c:v>
                </c:pt>
                <c:pt idx="335">
                  <c:v>25.186199999999999</c:v>
                </c:pt>
                <c:pt idx="336">
                  <c:v>24.714400000000001</c:v>
                </c:pt>
                <c:pt idx="337">
                  <c:v>28.085100000000001</c:v>
                </c:pt>
                <c:pt idx="338">
                  <c:v>25.924900000000001</c:v>
                </c:pt>
                <c:pt idx="339">
                  <c:v>31.4542</c:v>
                </c:pt>
                <c:pt idx="340">
                  <c:v>34.091500000000003</c:v>
                </c:pt>
                <c:pt idx="341">
                  <c:v>33.938699999999997</c:v>
                </c:pt>
                <c:pt idx="342">
                  <c:v>34.684600000000003</c:v>
                </c:pt>
                <c:pt idx="343">
                  <c:v>32.4801</c:v>
                </c:pt>
                <c:pt idx="344">
                  <c:v>32.232399999999998</c:v>
                </c:pt>
                <c:pt idx="345">
                  <c:v>31.963200000000001</c:v>
                </c:pt>
                <c:pt idx="346">
                  <c:v>32.5899</c:v>
                </c:pt>
                <c:pt idx="347">
                  <c:v>33.156500000000001</c:v>
                </c:pt>
                <c:pt idx="348">
                  <c:v>34.194099999999999</c:v>
                </c:pt>
                <c:pt idx="349">
                  <c:v>30.6265</c:v>
                </c:pt>
                <c:pt idx="350">
                  <c:v>27.8475</c:v>
                </c:pt>
                <c:pt idx="351">
                  <c:v>26.812100000000001</c:v>
                </c:pt>
                <c:pt idx="352">
                  <c:v>27.603400000000001</c:v>
                </c:pt>
                <c:pt idx="353">
                  <c:v>25.4115</c:v>
                </c:pt>
                <c:pt idx="354">
                  <c:v>24.7254</c:v>
                </c:pt>
                <c:pt idx="355">
                  <c:v>25.023099999999999</c:v>
                </c:pt>
                <c:pt idx="356">
                  <c:v>26.3034</c:v>
                </c:pt>
                <c:pt idx="357">
                  <c:v>24.492000000000001</c:v>
                </c:pt>
                <c:pt idx="358">
                  <c:v>25.087</c:v>
                </c:pt>
                <c:pt idx="359">
                  <c:v>23.658200000000001</c:v>
                </c:pt>
                <c:pt idx="360">
                  <c:v>22.875699999999998</c:v>
                </c:pt>
                <c:pt idx="361">
                  <c:v>22.561299999999999</c:v>
                </c:pt>
                <c:pt idx="362">
                  <c:v>23.639900000000001</c:v>
                </c:pt>
                <c:pt idx="363">
                  <c:v>22.748000000000001</c:v>
                </c:pt>
                <c:pt idx="364">
                  <c:v>23.014500000000002</c:v>
                </c:pt>
                <c:pt idx="365">
                  <c:v>20.958600000000001</c:v>
                </c:pt>
                <c:pt idx="366">
                  <c:v>23.098099999999999</c:v>
                </c:pt>
                <c:pt idx="367">
                  <c:v>23.341799999999999</c:v>
                </c:pt>
                <c:pt idx="368">
                  <c:v>24.793500000000002</c:v>
                </c:pt>
                <c:pt idx="369">
                  <c:v>24.804600000000001</c:v>
                </c:pt>
                <c:pt idx="370">
                  <c:v>21.5519</c:v>
                </c:pt>
                <c:pt idx="371">
                  <c:v>18.411899999999999</c:v>
                </c:pt>
                <c:pt idx="372">
                  <c:v>21.848199999999999</c:v>
                </c:pt>
                <c:pt idx="373">
                  <c:v>20.555700000000002</c:v>
                </c:pt>
                <c:pt idx="374">
                  <c:v>22.0336</c:v>
                </c:pt>
                <c:pt idx="375">
                  <c:v>23.2819</c:v>
                </c:pt>
                <c:pt idx="376">
                  <c:v>20.105399999999999</c:v>
                </c:pt>
                <c:pt idx="377">
                  <c:v>20.737500000000001</c:v>
                </c:pt>
                <c:pt idx="378">
                  <c:v>17.980399999999999</c:v>
                </c:pt>
                <c:pt idx="379">
                  <c:v>15.935600000000001</c:v>
                </c:pt>
                <c:pt idx="380">
                  <c:v>13.9655</c:v>
                </c:pt>
                <c:pt idx="381">
                  <c:v>14.6393</c:v>
                </c:pt>
                <c:pt idx="382">
                  <c:v>16.206</c:v>
                </c:pt>
                <c:pt idx="383">
                  <c:v>17.5501</c:v>
                </c:pt>
                <c:pt idx="384">
                  <c:v>15.238099999999999</c:v>
                </c:pt>
                <c:pt idx="385">
                  <c:v>15.9628</c:v>
                </c:pt>
                <c:pt idx="386">
                  <c:v>17.232199999999999</c:v>
                </c:pt>
                <c:pt idx="387">
                  <c:v>14.5162</c:v>
                </c:pt>
                <c:pt idx="388">
                  <c:v>13.593500000000001</c:v>
                </c:pt>
                <c:pt idx="389">
                  <c:v>13.6814</c:v>
                </c:pt>
                <c:pt idx="390">
                  <c:v>12.221500000000001</c:v>
                </c:pt>
                <c:pt idx="391">
                  <c:v>11.8477</c:v>
                </c:pt>
                <c:pt idx="392">
                  <c:v>11.2364</c:v>
                </c:pt>
                <c:pt idx="393">
                  <c:v>11.243499999999999</c:v>
                </c:pt>
                <c:pt idx="394">
                  <c:v>11.778600000000001</c:v>
                </c:pt>
                <c:pt idx="395">
                  <c:v>12.6081</c:v>
                </c:pt>
                <c:pt idx="396">
                  <c:v>12.1541</c:v>
                </c:pt>
                <c:pt idx="397">
                  <c:v>10.9809</c:v>
                </c:pt>
                <c:pt idx="398">
                  <c:v>11.5543</c:v>
                </c:pt>
                <c:pt idx="399">
                  <c:v>11.5724</c:v>
                </c:pt>
                <c:pt idx="400">
                  <c:v>10.973599999999999</c:v>
                </c:pt>
                <c:pt idx="401">
                  <c:v>12.7842</c:v>
                </c:pt>
                <c:pt idx="402">
                  <c:v>12.3049</c:v>
                </c:pt>
                <c:pt idx="403">
                  <c:v>13.0604</c:v>
                </c:pt>
                <c:pt idx="404">
                  <c:v>13.4747</c:v>
                </c:pt>
                <c:pt idx="405">
                  <c:v>13.5001</c:v>
                </c:pt>
                <c:pt idx="406">
                  <c:v>13.444000000000001</c:v>
                </c:pt>
                <c:pt idx="407">
                  <c:v>13.485200000000001</c:v>
                </c:pt>
                <c:pt idx="408">
                  <c:v>12.681800000000001</c:v>
                </c:pt>
                <c:pt idx="409">
                  <c:v>12.850199999999999</c:v>
                </c:pt>
                <c:pt idx="410">
                  <c:v>12.9392</c:v>
                </c:pt>
                <c:pt idx="411">
                  <c:v>12.225899999999999</c:v>
                </c:pt>
                <c:pt idx="412">
                  <c:v>11.6335</c:v>
                </c:pt>
                <c:pt idx="413">
                  <c:v>11.917199999999999</c:v>
                </c:pt>
                <c:pt idx="414">
                  <c:v>12.6212</c:v>
                </c:pt>
                <c:pt idx="415">
                  <c:v>12.1356</c:v>
                </c:pt>
                <c:pt idx="416">
                  <c:v>13.070399999999999</c:v>
                </c:pt>
                <c:pt idx="417">
                  <c:v>13.505699999999999</c:v>
                </c:pt>
                <c:pt idx="418">
                  <c:v>13.174799999999999</c:v>
                </c:pt>
                <c:pt idx="419">
                  <c:v>12.68</c:v>
                </c:pt>
                <c:pt idx="420">
                  <c:v>13.9749</c:v>
                </c:pt>
                <c:pt idx="421">
                  <c:v>13.979900000000001</c:v>
                </c:pt>
                <c:pt idx="422">
                  <c:v>13.3461</c:v>
                </c:pt>
                <c:pt idx="423">
                  <c:v>14.2677</c:v>
                </c:pt>
                <c:pt idx="424">
                  <c:v>13.38</c:v>
                </c:pt>
                <c:pt idx="425">
                  <c:v>13.0853</c:v>
                </c:pt>
                <c:pt idx="426">
                  <c:v>12.498900000000001</c:v>
                </c:pt>
                <c:pt idx="427">
                  <c:v>12.603</c:v>
                </c:pt>
                <c:pt idx="428">
                  <c:v>14.201599999999999</c:v>
                </c:pt>
                <c:pt idx="429">
                  <c:v>15.670299999999999</c:v>
                </c:pt>
                <c:pt idx="430">
                  <c:v>15.2746</c:v>
                </c:pt>
                <c:pt idx="431">
                  <c:v>14.5098</c:v>
                </c:pt>
                <c:pt idx="432">
                  <c:v>15.4511</c:v>
                </c:pt>
                <c:pt idx="433">
                  <c:v>14.093299999999999</c:v>
                </c:pt>
                <c:pt idx="434">
                  <c:v>13.6187</c:v>
                </c:pt>
                <c:pt idx="435">
                  <c:v>13.559799999999999</c:v>
                </c:pt>
                <c:pt idx="436">
                  <c:v>13.394399999999999</c:v>
                </c:pt>
                <c:pt idx="437">
                  <c:v>12.622299999999999</c:v>
                </c:pt>
                <c:pt idx="438">
                  <c:v>12.119199999999999</c:v>
                </c:pt>
                <c:pt idx="439">
                  <c:v>12.557399999999999</c:v>
                </c:pt>
                <c:pt idx="440">
                  <c:v>12.8687</c:v>
                </c:pt>
                <c:pt idx="441">
                  <c:v>12.4038</c:v>
                </c:pt>
                <c:pt idx="442">
                  <c:v>12.753</c:v>
                </c:pt>
                <c:pt idx="443">
                  <c:v>13.0017</c:v>
                </c:pt>
                <c:pt idx="444">
                  <c:v>12.5107</c:v>
                </c:pt>
                <c:pt idx="445">
                  <c:v>12.71</c:v>
                </c:pt>
                <c:pt idx="446">
                  <c:v>11.7638</c:v>
                </c:pt>
                <c:pt idx="447">
                  <c:v>12.168699999999999</c:v>
                </c:pt>
                <c:pt idx="448">
                  <c:v>10.9794</c:v>
                </c:pt>
                <c:pt idx="449">
                  <c:v>10.471299999999999</c:v>
                </c:pt>
                <c:pt idx="450">
                  <c:v>10.3911</c:v>
                </c:pt>
                <c:pt idx="451">
                  <c:v>10.7814</c:v>
                </c:pt>
                <c:pt idx="452">
                  <c:v>11.5722</c:v>
                </c:pt>
                <c:pt idx="453">
                  <c:v>11.2277</c:v>
                </c:pt>
                <c:pt idx="454">
                  <c:v>11.09</c:v>
                </c:pt>
                <c:pt idx="455">
                  <c:v>11.277200000000001</c:v>
                </c:pt>
                <c:pt idx="456">
                  <c:v>11.440300000000001</c:v>
                </c:pt>
                <c:pt idx="457">
                  <c:v>11.9224</c:v>
                </c:pt>
                <c:pt idx="458">
                  <c:v>11.7096</c:v>
                </c:pt>
                <c:pt idx="459">
                  <c:v>12.148099999999999</c:v>
                </c:pt>
                <c:pt idx="460">
                  <c:v>12.700100000000001</c:v>
                </c:pt>
                <c:pt idx="461">
                  <c:v>12.1586</c:v>
                </c:pt>
                <c:pt idx="462">
                  <c:v>11.953900000000001</c:v>
                </c:pt>
                <c:pt idx="463">
                  <c:v>10.786300000000001</c:v>
                </c:pt>
                <c:pt idx="464">
                  <c:v>9.8589000000000002</c:v>
                </c:pt>
                <c:pt idx="465">
                  <c:v>10.9147</c:v>
                </c:pt>
                <c:pt idx="466">
                  <c:v>10.940899999999999</c:v>
                </c:pt>
                <c:pt idx="467">
                  <c:v>10.6267</c:v>
                </c:pt>
                <c:pt idx="468">
                  <c:v>10.5877</c:v>
                </c:pt>
                <c:pt idx="469">
                  <c:v>10.7483</c:v>
                </c:pt>
                <c:pt idx="470">
                  <c:v>10.8896</c:v>
                </c:pt>
                <c:pt idx="471">
                  <c:v>11.0016</c:v>
                </c:pt>
                <c:pt idx="472">
                  <c:v>11.4259</c:v>
                </c:pt>
                <c:pt idx="473">
                  <c:v>10.8515</c:v>
                </c:pt>
                <c:pt idx="474">
                  <c:v>10.5198</c:v>
                </c:pt>
                <c:pt idx="475">
                  <c:v>10.395899999999999</c:v>
                </c:pt>
                <c:pt idx="476">
                  <c:v>9.5594000000000001</c:v>
                </c:pt>
                <c:pt idx="477">
                  <c:v>8.9799000000000007</c:v>
                </c:pt>
                <c:pt idx="478">
                  <c:v>8.7689000000000004</c:v>
                </c:pt>
                <c:pt idx="479">
                  <c:v>9.6175999999999995</c:v>
                </c:pt>
                <c:pt idx="480">
                  <c:v>9.3922000000000008</c:v>
                </c:pt>
                <c:pt idx="481">
                  <c:v>9.2690000000000001</c:v>
                </c:pt>
                <c:pt idx="482">
                  <c:v>9.2166999999999994</c:v>
                </c:pt>
                <c:pt idx="483">
                  <c:v>9.6394000000000002</c:v>
                </c:pt>
                <c:pt idx="484">
                  <c:v>9.8694000000000006</c:v>
                </c:pt>
                <c:pt idx="485">
                  <c:v>10.135</c:v>
                </c:pt>
                <c:pt idx="486">
                  <c:v>10.282999999999999</c:v>
                </c:pt>
                <c:pt idx="487">
                  <c:v>10.793900000000001</c:v>
                </c:pt>
                <c:pt idx="488">
                  <c:v>10.3169</c:v>
                </c:pt>
                <c:pt idx="489">
                  <c:v>10.7279</c:v>
                </c:pt>
                <c:pt idx="490">
                  <c:v>9.8699999999999992</c:v>
                </c:pt>
                <c:pt idx="491">
                  <c:v>7.6364000000000001</c:v>
                </c:pt>
                <c:pt idx="492">
                  <c:v>8.7401</c:v>
                </c:pt>
                <c:pt idx="493">
                  <c:v>8.7113999999999994</c:v>
                </c:pt>
                <c:pt idx="494">
                  <c:v>9.7356999999999996</c:v>
                </c:pt>
                <c:pt idx="495">
                  <c:v>10.120900000000001</c:v>
                </c:pt>
                <c:pt idx="496">
                  <c:v>10.093999999999999</c:v>
                </c:pt>
                <c:pt idx="497">
                  <c:v>11.0139</c:v>
                </c:pt>
                <c:pt idx="498">
                  <c:v>10.736700000000001</c:v>
                </c:pt>
                <c:pt idx="499">
                  <c:v>10.9314</c:v>
                </c:pt>
                <c:pt idx="500">
                  <c:v>12.1374</c:v>
                </c:pt>
                <c:pt idx="501">
                  <c:v>12.067</c:v>
                </c:pt>
                <c:pt idx="502">
                  <c:v>12.7187</c:v>
                </c:pt>
                <c:pt idx="503">
                  <c:v>12.4406</c:v>
                </c:pt>
                <c:pt idx="504">
                  <c:v>12.495699999999999</c:v>
                </c:pt>
                <c:pt idx="505">
                  <c:v>12.3444</c:v>
                </c:pt>
                <c:pt idx="506">
                  <c:v>11.746</c:v>
                </c:pt>
                <c:pt idx="507">
                  <c:v>12.47</c:v>
                </c:pt>
                <c:pt idx="508">
                  <c:v>12.804399999999999</c:v>
                </c:pt>
                <c:pt idx="509">
                  <c:v>10.601699999999999</c:v>
                </c:pt>
                <c:pt idx="510">
                  <c:v>12.370799999999999</c:v>
                </c:pt>
                <c:pt idx="511">
                  <c:v>11.8895</c:v>
                </c:pt>
                <c:pt idx="512">
                  <c:v>14.7982</c:v>
                </c:pt>
                <c:pt idx="513">
                  <c:v>16.033300000000001</c:v>
                </c:pt>
                <c:pt idx="514">
                  <c:v>15.577199999999999</c:v>
                </c:pt>
                <c:pt idx="515">
                  <c:v>16.4788</c:v>
                </c:pt>
                <c:pt idx="516">
                  <c:v>16.3612</c:v>
                </c:pt>
                <c:pt idx="517">
                  <c:v>15.120699999999999</c:v>
                </c:pt>
                <c:pt idx="518">
                  <c:v>14.523400000000001</c:v>
                </c:pt>
                <c:pt idx="519">
                  <c:v>15.2</c:v>
                </c:pt>
                <c:pt idx="520">
                  <c:v>14.116400000000001</c:v>
                </c:pt>
                <c:pt idx="521">
                  <c:v>15.1419</c:v>
                </c:pt>
                <c:pt idx="522">
                  <c:v>15.142799999999999</c:v>
                </c:pt>
                <c:pt idx="523">
                  <c:v>15.8078</c:v>
                </c:pt>
                <c:pt idx="524">
                  <c:v>13.8325</c:v>
                </c:pt>
                <c:pt idx="525">
                  <c:v>16.048300000000001</c:v>
                </c:pt>
                <c:pt idx="526">
                  <c:v>16.186299999999999</c:v>
                </c:pt>
                <c:pt idx="527">
                  <c:v>16.192699999999999</c:v>
                </c:pt>
                <c:pt idx="528">
                  <c:v>16.819600000000001</c:v>
                </c:pt>
                <c:pt idx="529">
                  <c:v>18.806100000000001</c:v>
                </c:pt>
                <c:pt idx="530">
                  <c:v>19.2285</c:v>
                </c:pt>
                <c:pt idx="531">
                  <c:v>16.9574</c:v>
                </c:pt>
                <c:pt idx="532">
                  <c:v>17.188300000000002</c:v>
                </c:pt>
                <c:pt idx="533">
                  <c:v>16.4635</c:v>
                </c:pt>
                <c:pt idx="534">
                  <c:v>12.9971</c:v>
                </c:pt>
                <c:pt idx="535">
                  <c:v>13.472200000000001</c:v>
                </c:pt>
                <c:pt idx="536">
                  <c:v>13.8104</c:v>
                </c:pt>
                <c:pt idx="537">
                  <c:v>12.709300000000001</c:v>
                </c:pt>
                <c:pt idx="538">
                  <c:v>10.1286</c:v>
                </c:pt>
                <c:pt idx="539">
                  <c:v>10.234299999999999</c:v>
                </c:pt>
                <c:pt idx="540">
                  <c:v>9.5252999999999997</c:v>
                </c:pt>
                <c:pt idx="541">
                  <c:v>9.8687000000000005</c:v>
                </c:pt>
                <c:pt idx="542">
                  <c:v>9.2501999999999995</c:v>
                </c:pt>
                <c:pt idx="543">
                  <c:v>8.2813999999999997</c:v>
                </c:pt>
                <c:pt idx="544">
                  <c:v>8.3247999999999998</c:v>
                </c:pt>
                <c:pt idx="545">
                  <c:v>7.8033000000000001</c:v>
                </c:pt>
                <c:pt idx="546">
                  <c:v>7.4093</c:v>
                </c:pt>
                <c:pt idx="547">
                  <c:v>7.0876000000000001</c:v>
                </c:pt>
                <c:pt idx="548">
                  <c:v>7.2332999999999998</c:v>
                </c:pt>
                <c:pt idx="549">
                  <c:v>7.1</c:v>
                </c:pt>
                <c:pt idx="550">
                  <c:v>7.5022000000000002</c:v>
                </c:pt>
                <c:pt idx="551">
                  <c:v>7.6719999999999997</c:v>
                </c:pt>
                <c:pt idx="552">
                  <c:v>7.4283999999999999</c:v>
                </c:pt>
                <c:pt idx="553">
                  <c:v>7.8982999999999999</c:v>
                </c:pt>
                <c:pt idx="554">
                  <c:v>7.4688999999999997</c:v>
                </c:pt>
                <c:pt idx="555">
                  <c:v>7.3101000000000003</c:v>
                </c:pt>
                <c:pt idx="556">
                  <c:v>7.2301000000000002</c:v>
                </c:pt>
                <c:pt idx="557">
                  <c:v>8.0784000000000002</c:v>
                </c:pt>
                <c:pt idx="558">
                  <c:v>7.9733999999999998</c:v>
                </c:pt>
                <c:pt idx="559">
                  <c:v>8.2605000000000004</c:v>
                </c:pt>
                <c:pt idx="560">
                  <c:v>8.3539999999999992</c:v>
                </c:pt>
                <c:pt idx="561">
                  <c:v>8.6494</c:v>
                </c:pt>
                <c:pt idx="562">
                  <c:v>8.1320999999999994</c:v>
                </c:pt>
                <c:pt idx="563">
                  <c:v>7.1630000000000003</c:v>
                </c:pt>
                <c:pt idx="564">
                  <c:v>7.3345000000000002</c:v>
                </c:pt>
                <c:pt idx="565">
                  <c:v>6.0994000000000002</c:v>
                </c:pt>
                <c:pt idx="566">
                  <c:v>6.1487999999999996</c:v>
                </c:pt>
                <c:pt idx="567">
                  <c:v>6.0819999999999999</c:v>
                </c:pt>
                <c:pt idx="568">
                  <c:v>6.4987000000000004</c:v>
                </c:pt>
                <c:pt idx="569">
                  <c:v>5.7248000000000001</c:v>
                </c:pt>
                <c:pt idx="570">
                  <c:v>5.3616999999999999</c:v>
                </c:pt>
                <c:pt idx="571">
                  <c:v>4.7439</c:v>
                </c:pt>
                <c:pt idx="572">
                  <c:v>4.82</c:v>
                </c:pt>
                <c:pt idx="573">
                  <c:v>4.7309000000000001</c:v>
                </c:pt>
                <c:pt idx="574">
                  <c:v>4.7995999999999999</c:v>
                </c:pt>
                <c:pt idx="575">
                  <c:v>4.7066999999999997</c:v>
                </c:pt>
                <c:pt idx="576">
                  <c:v>4.5625999999999998</c:v>
                </c:pt>
                <c:pt idx="577">
                  <c:v>4.6186999999999996</c:v>
                </c:pt>
                <c:pt idx="578">
                  <c:v>4.5667999999999997</c:v>
                </c:pt>
                <c:pt idx="579">
                  <c:v>4.4058000000000002</c:v>
                </c:pt>
                <c:pt idx="580">
                  <c:v>4.6813000000000002</c:v>
                </c:pt>
                <c:pt idx="581">
                  <c:v>4.8133999999999997</c:v>
                </c:pt>
                <c:pt idx="582">
                  <c:v>4.7074999999999996</c:v>
                </c:pt>
                <c:pt idx="583">
                  <c:v>4.8051000000000004</c:v>
                </c:pt>
                <c:pt idx="584">
                  <c:v>4.4840999999999998</c:v>
                </c:pt>
                <c:pt idx="585">
                  <c:v>4.1811999999999996</c:v>
                </c:pt>
                <c:pt idx="586">
                  <c:v>4.1764999999999999</c:v>
                </c:pt>
                <c:pt idx="587">
                  <c:v>4.0979999999999999</c:v>
                </c:pt>
                <c:pt idx="588">
                  <c:v>4.1414999999999997</c:v>
                </c:pt>
                <c:pt idx="589">
                  <c:v>4.1658999999999997</c:v>
                </c:pt>
                <c:pt idx="590">
                  <c:v>4.0502000000000002</c:v>
                </c:pt>
                <c:pt idx="591">
                  <c:v>3.9274</c:v>
                </c:pt>
                <c:pt idx="592">
                  <c:v>3.9371</c:v>
                </c:pt>
                <c:pt idx="593">
                  <c:v>4.1100000000000003</c:v>
                </c:pt>
                <c:pt idx="594">
                  <c:v>4.0819000000000001</c:v>
                </c:pt>
                <c:pt idx="595">
                  <c:v>3.9565000000000001</c:v>
                </c:pt>
                <c:pt idx="596">
                  <c:v>4.4225000000000003</c:v>
                </c:pt>
                <c:pt idx="597">
                  <c:v>4.4349999999999996</c:v>
                </c:pt>
                <c:pt idx="598">
                  <c:v>4.4729999999999999</c:v>
                </c:pt>
                <c:pt idx="599">
                  <c:v>4.3464999999999998</c:v>
                </c:pt>
                <c:pt idx="600">
                  <c:v>4.3512000000000004</c:v>
                </c:pt>
                <c:pt idx="601">
                  <c:v>4.3579999999999997</c:v>
                </c:pt>
                <c:pt idx="602">
                  <c:v>4.4242999999999997</c:v>
                </c:pt>
                <c:pt idx="603">
                  <c:v>4.4892000000000003</c:v>
                </c:pt>
                <c:pt idx="604">
                  <c:v>4.3975999999999997</c:v>
                </c:pt>
                <c:pt idx="605">
                  <c:v>4.3784999999999998</c:v>
                </c:pt>
                <c:pt idx="606">
                  <c:v>4.1310000000000002</c:v>
                </c:pt>
                <c:pt idx="607">
                  <c:v>4.1763000000000003</c:v>
                </c:pt>
                <c:pt idx="608">
                  <c:v>3.98</c:v>
                </c:pt>
                <c:pt idx="609">
                  <c:v>4.0461</c:v>
                </c:pt>
                <c:pt idx="610">
                  <c:v>3.8525999999999998</c:v>
                </c:pt>
                <c:pt idx="611">
                  <c:v>3.8439999999999999</c:v>
                </c:pt>
                <c:pt idx="612">
                  <c:v>3.8614000000000002</c:v>
                </c:pt>
                <c:pt idx="613">
                  <c:v>3.7917000000000001</c:v>
                </c:pt>
                <c:pt idx="614">
                  <c:v>3.9249999999999998</c:v>
                </c:pt>
                <c:pt idx="615">
                  <c:v>4.0610999999999997</c:v>
                </c:pt>
                <c:pt idx="616">
                  <c:v>3.8298000000000001</c:v>
                </c:pt>
                <c:pt idx="617">
                  <c:v>4.0865999999999998</c:v>
                </c:pt>
                <c:pt idx="618">
                  <c:v>3.9470000000000001</c:v>
                </c:pt>
                <c:pt idx="619">
                  <c:v>3.8895</c:v>
                </c:pt>
                <c:pt idx="620">
                  <c:v>3.7814999999999999</c:v>
                </c:pt>
                <c:pt idx="621">
                  <c:v>3.7614000000000001</c:v>
                </c:pt>
                <c:pt idx="622">
                  <c:v>3.6615000000000002</c:v>
                </c:pt>
                <c:pt idx="623">
                  <c:v>3.8096000000000001</c:v>
                </c:pt>
                <c:pt idx="624">
                  <c:v>3.7654999999999998</c:v>
                </c:pt>
                <c:pt idx="625">
                  <c:v>3.6943000000000001</c:v>
                </c:pt>
                <c:pt idx="626">
                  <c:v>3.5836999999999999</c:v>
                </c:pt>
                <c:pt idx="627">
                  <c:v>3.7582</c:v>
                </c:pt>
                <c:pt idx="628">
                  <c:v>4.0149999999999997</c:v>
                </c:pt>
                <c:pt idx="629">
                  <c:v>3.8010000000000002</c:v>
                </c:pt>
                <c:pt idx="630">
                  <c:v>3.7559999999999998</c:v>
                </c:pt>
                <c:pt idx="631">
                  <c:v>3.5872000000000002</c:v>
                </c:pt>
                <c:pt idx="632">
                  <c:v>3.6833</c:v>
                </c:pt>
                <c:pt idx="633">
                  <c:v>3.7498999999999998</c:v>
                </c:pt>
                <c:pt idx="634">
                  <c:v>3.7092000000000001</c:v>
                </c:pt>
                <c:pt idx="635">
                  <c:v>3.8182</c:v>
                </c:pt>
                <c:pt idx="636">
                  <c:v>3.7570999999999999</c:v>
                </c:pt>
                <c:pt idx="637">
                  <c:v>3.7025000000000001</c:v>
                </c:pt>
                <c:pt idx="638">
                  <c:v>3.8879000000000001</c:v>
                </c:pt>
                <c:pt idx="639">
                  <c:v>3.6413000000000002</c:v>
                </c:pt>
                <c:pt idx="640">
                  <c:v>3.6383000000000001</c:v>
                </c:pt>
                <c:pt idx="641">
                  <c:v>3.7210000000000001</c:v>
                </c:pt>
                <c:pt idx="642">
                  <c:v>3.7865000000000002</c:v>
                </c:pt>
                <c:pt idx="643">
                  <c:v>3.7734999999999999</c:v>
                </c:pt>
                <c:pt idx="644">
                  <c:v>3.7532999999999999</c:v>
                </c:pt>
                <c:pt idx="645">
                  <c:v>3.6785999999999999</c:v>
                </c:pt>
                <c:pt idx="646">
                  <c:v>3.4577</c:v>
                </c:pt>
                <c:pt idx="647">
                  <c:v>3.4321999999999999</c:v>
                </c:pt>
                <c:pt idx="648">
                  <c:v>3.5901999999999998</c:v>
                </c:pt>
                <c:pt idx="649">
                  <c:v>3.7805</c:v>
                </c:pt>
                <c:pt idx="650">
                  <c:v>3.4523000000000001</c:v>
                </c:pt>
                <c:pt idx="651">
                  <c:v>3.4851000000000001</c:v>
                </c:pt>
                <c:pt idx="652">
                  <c:v>3.1212</c:v>
                </c:pt>
                <c:pt idx="653">
                  <c:v>3.2519999999999998</c:v>
                </c:pt>
                <c:pt idx="654">
                  <c:v>3.3702000000000001</c:v>
                </c:pt>
                <c:pt idx="655">
                  <c:v>3.4188999999999998</c:v>
                </c:pt>
                <c:pt idx="656">
                  <c:v>3.29</c:v>
                </c:pt>
                <c:pt idx="657">
                  <c:v>3.22</c:v>
                </c:pt>
                <c:pt idx="658">
                  <c:v>3.3098999999999998</c:v>
                </c:pt>
                <c:pt idx="659">
                  <c:v>3.1692999999999998</c:v>
                </c:pt>
                <c:pt idx="660">
                  <c:v>2.7303000000000002</c:v>
                </c:pt>
                <c:pt idx="661">
                  <c:v>2.5554999999999999</c:v>
                </c:pt>
                <c:pt idx="662">
                  <c:v>2.2635000000000001</c:v>
                </c:pt>
                <c:pt idx="663">
                  <c:v>2.3155000000000001</c:v>
                </c:pt>
                <c:pt idx="664">
                  <c:v>2.3012999999999999</c:v>
                </c:pt>
                <c:pt idx="665">
                  <c:v>2.2940999999999998</c:v>
                </c:pt>
                <c:pt idx="666">
                  <c:v>2.2753000000000001</c:v>
                </c:pt>
                <c:pt idx="667">
                  <c:v>2.2658</c:v>
                </c:pt>
                <c:pt idx="668">
                  <c:v>2.1349999999999998</c:v>
                </c:pt>
                <c:pt idx="669">
                  <c:v>2.0083000000000002</c:v>
                </c:pt>
                <c:pt idx="670">
                  <c:v>2.1364000000000001</c:v>
                </c:pt>
                <c:pt idx="671">
                  <c:v>2.1373000000000002</c:v>
                </c:pt>
                <c:pt idx="672">
                  <c:v>2.3132000000000001</c:v>
                </c:pt>
                <c:pt idx="673">
                  <c:v>2.2570000000000001</c:v>
                </c:pt>
                <c:pt idx="674">
                  <c:v>2.3104</c:v>
                </c:pt>
                <c:pt idx="675">
                  <c:v>2.2467999999999999</c:v>
                </c:pt>
                <c:pt idx="676">
                  <c:v>1.9898</c:v>
                </c:pt>
                <c:pt idx="677">
                  <c:v>2.2787000000000002</c:v>
                </c:pt>
                <c:pt idx="678">
                  <c:v>2.2599999999999998</c:v>
                </c:pt>
                <c:pt idx="679">
                  <c:v>2.2397999999999998</c:v>
                </c:pt>
                <c:pt idx="680">
                  <c:v>1.9482999999999999</c:v>
                </c:pt>
                <c:pt idx="681">
                  <c:v>1.8641000000000001</c:v>
                </c:pt>
                <c:pt idx="682">
                  <c:v>1.7831999999999999</c:v>
                </c:pt>
                <c:pt idx="683">
                  <c:v>2.0884</c:v>
                </c:pt>
                <c:pt idx="684">
                  <c:v>2.1379000000000001</c:v>
                </c:pt>
                <c:pt idx="685">
                  <c:v>2.4333</c:v>
                </c:pt>
                <c:pt idx="686">
                  <c:v>1.9931000000000001</c:v>
                </c:pt>
                <c:pt idx="687">
                  <c:v>3.8169</c:v>
                </c:pt>
                <c:pt idx="688">
                  <c:v>4.0838999999999999</c:v>
                </c:pt>
                <c:pt idx="689">
                  <c:v>4.1231</c:v>
                </c:pt>
                <c:pt idx="690">
                  <c:v>4.0537000000000001</c:v>
                </c:pt>
                <c:pt idx="691">
                  <c:v>4.3411999999999997</c:v>
                </c:pt>
                <c:pt idx="692">
                  <c:v>4.6814</c:v>
                </c:pt>
                <c:pt idx="693">
                  <c:v>4.7150999999999996</c:v>
                </c:pt>
                <c:pt idx="694">
                  <c:v>4.6406000000000001</c:v>
                </c:pt>
                <c:pt idx="695">
                  <c:v>4.5846</c:v>
                </c:pt>
                <c:pt idx="696">
                  <c:v>4.2423000000000002</c:v>
                </c:pt>
                <c:pt idx="697">
                  <c:v>3.859</c:v>
                </c:pt>
                <c:pt idx="698">
                  <c:v>4.0579000000000001</c:v>
                </c:pt>
                <c:pt idx="699">
                  <c:v>4.1608999999999998</c:v>
                </c:pt>
                <c:pt idx="700">
                  <c:v>3.9579</c:v>
                </c:pt>
                <c:pt idx="701">
                  <c:v>3.5648</c:v>
                </c:pt>
                <c:pt idx="702">
                  <c:v>3.4904999999999999</c:v>
                </c:pt>
                <c:pt idx="703">
                  <c:v>3.9148000000000001</c:v>
                </c:pt>
                <c:pt idx="704">
                  <c:v>4.2365000000000004</c:v>
                </c:pt>
                <c:pt idx="705">
                  <c:v>4.1066000000000003</c:v>
                </c:pt>
                <c:pt idx="706">
                  <c:v>4.2778</c:v>
                </c:pt>
                <c:pt idx="707">
                  <c:v>4.2644000000000002</c:v>
                </c:pt>
                <c:pt idx="708">
                  <c:v>4.3872999999999998</c:v>
                </c:pt>
                <c:pt idx="709">
                  <c:v>4.5522999999999998</c:v>
                </c:pt>
                <c:pt idx="710">
                  <c:v>4.3108000000000004</c:v>
                </c:pt>
                <c:pt idx="711">
                  <c:v>4.4565999999999999</c:v>
                </c:pt>
                <c:pt idx="712">
                  <c:v>4.3240999999999996</c:v>
                </c:pt>
                <c:pt idx="713">
                  <c:v>4.4260000000000002</c:v>
                </c:pt>
                <c:pt idx="714">
                  <c:v>3.8765000000000001</c:v>
                </c:pt>
                <c:pt idx="715">
                  <c:v>3.9952999999999999</c:v>
                </c:pt>
                <c:pt idx="716">
                  <c:v>3.9931000000000001</c:v>
                </c:pt>
                <c:pt idx="717">
                  <c:v>3.3862000000000001</c:v>
                </c:pt>
                <c:pt idx="718">
                  <c:v>3.4944999999999999</c:v>
                </c:pt>
                <c:pt idx="719">
                  <c:v>3.4171</c:v>
                </c:pt>
                <c:pt idx="720">
                  <c:v>3.3071999999999999</c:v>
                </c:pt>
                <c:pt idx="721">
                  <c:v>2.89</c:v>
                </c:pt>
                <c:pt idx="722">
                  <c:v>2.839</c:v>
                </c:pt>
                <c:pt idx="723">
                  <c:v>2.7395</c:v>
                </c:pt>
                <c:pt idx="724">
                  <c:v>2.7709999999999999</c:v>
                </c:pt>
                <c:pt idx="725">
                  <c:v>2.8267000000000002</c:v>
                </c:pt>
                <c:pt idx="726">
                  <c:v>2.8378000000000001</c:v>
                </c:pt>
                <c:pt idx="727">
                  <c:v>2.8258999999999999</c:v>
                </c:pt>
                <c:pt idx="728">
                  <c:v>2.9156</c:v>
                </c:pt>
                <c:pt idx="729">
                  <c:v>2.7772999999999999</c:v>
                </c:pt>
                <c:pt idx="730">
                  <c:v>2.6558000000000002</c:v>
                </c:pt>
                <c:pt idx="731">
                  <c:v>2.6055000000000001</c:v>
                </c:pt>
                <c:pt idx="732">
                  <c:v>2.5764</c:v>
                </c:pt>
                <c:pt idx="733">
                  <c:v>2.4468000000000001</c:v>
                </c:pt>
                <c:pt idx="734">
                  <c:v>2.5024000000000002</c:v>
                </c:pt>
                <c:pt idx="735">
                  <c:v>2.4698000000000002</c:v>
                </c:pt>
                <c:pt idx="736">
                  <c:v>2.6425999999999998</c:v>
                </c:pt>
                <c:pt idx="737">
                  <c:v>2.6716000000000002</c:v>
                </c:pt>
                <c:pt idx="738">
                  <c:v>2.6880000000000002</c:v>
                </c:pt>
                <c:pt idx="739">
                  <c:v>2.6212</c:v>
                </c:pt>
                <c:pt idx="740">
                  <c:v>2.7709000000000001</c:v>
                </c:pt>
                <c:pt idx="741">
                  <c:v>2.7006000000000001</c:v>
                </c:pt>
                <c:pt idx="742">
                  <c:v>2.4925000000000002</c:v>
                </c:pt>
                <c:pt idx="743">
                  <c:v>2.3953000000000002</c:v>
                </c:pt>
                <c:pt idx="744">
                  <c:v>2.3751000000000002</c:v>
                </c:pt>
                <c:pt idx="745">
                  <c:v>2.1901000000000002</c:v>
                </c:pt>
                <c:pt idx="746">
                  <c:v>2.2383000000000002</c:v>
                </c:pt>
                <c:pt idx="747">
                  <c:v>2.2734000000000001</c:v>
                </c:pt>
                <c:pt idx="748">
                  <c:v>2.2256999999999998</c:v>
                </c:pt>
                <c:pt idx="749">
                  <c:v>2.1886000000000001</c:v>
                </c:pt>
                <c:pt idx="750">
                  <c:v>2.1892</c:v>
                </c:pt>
                <c:pt idx="751">
                  <c:v>2.1032999999999999</c:v>
                </c:pt>
                <c:pt idx="752">
                  <c:v>1.9374</c:v>
                </c:pt>
                <c:pt idx="753">
                  <c:v>1.7957000000000001</c:v>
                </c:pt>
                <c:pt idx="754">
                  <c:v>1.8242</c:v>
                </c:pt>
                <c:pt idx="755">
                  <c:v>1.804</c:v>
                </c:pt>
                <c:pt idx="756">
                  <c:v>1.7365999999999999</c:v>
                </c:pt>
                <c:pt idx="757">
                  <c:v>1.8110999999999999</c:v>
                </c:pt>
                <c:pt idx="758">
                  <c:v>1.7673000000000001</c:v>
                </c:pt>
                <c:pt idx="759">
                  <c:v>1.8243</c:v>
                </c:pt>
                <c:pt idx="760">
                  <c:v>1.8976</c:v>
                </c:pt>
                <c:pt idx="761">
                  <c:v>1.8746</c:v>
                </c:pt>
                <c:pt idx="762">
                  <c:v>1.8751</c:v>
                </c:pt>
                <c:pt idx="763">
                  <c:v>1.8539000000000001</c:v>
                </c:pt>
                <c:pt idx="764">
                  <c:v>1.7826</c:v>
                </c:pt>
                <c:pt idx="765">
                  <c:v>1.8434999999999999</c:v>
                </c:pt>
                <c:pt idx="766">
                  <c:v>1.8629</c:v>
                </c:pt>
                <c:pt idx="767">
                  <c:v>1.9180999999999999</c:v>
                </c:pt>
                <c:pt idx="768">
                  <c:v>1.8574999999999999</c:v>
                </c:pt>
                <c:pt idx="769">
                  <c:v>1.9181999999999999</c:v>
                </c:pt>
                <c:pt idx="770">
                  <c:v>1.8049999999999999</c:v>
                </c:pt>
                <c:pt idx="771">
                  <c:v>1.8703000000000001</c:v>
                </c:pt>
                <c:pt idx="772">
                  <c:v>1.7598</c:v>
                </c:pt>
                <c:pt idx="773">
                  <c:v>1.9751000000000001</c:v>
                </c:pt>
                <c:pt idx="774">
                  <c:v>2.0708000000000002</c:v>
                </c:pt>
                <c:pt idx="775">
                  <c:v>1.9945999999999999</c:v>
                </c:pt>
                <c:pt idx="776">
                  <c:v>2.0709</c:v>
                </c:pt>
                <c:pt idx="777">
                  <c:v>2.1055999999999999</c:v>
                </c:pt>
                <c:pt idx="778">
                  <c:v>2.1785999999999999</c:v>
                </c:pt>
                <c:pt idx="779">
                  <c:v>2.2656999999999998</c:v>
                </c:pt>
                <c:pt idx="780">
                  <c:v>2.0983999999999998</c:v>
                </c:pt>
                <c:pt idx="781">
                  <c:v>2.0528</c:v>
                </c:pt>
                <c:pt idx="782">
                  <c:v>2.044</c:v>
                </c:pt>
                <c:pt idx="783">
                  <c:v>2.0943000000000001</c:v>
                </c:pt>
                <c:pt idx="784">
                  <c:v>2.0068000000000001</c:v>
                </c:pt>
                <c:pt idx="785">
                  <c:v>2.0289999999999999</c:v>
                </c:pt>
                <c:pt idx="786">
                  <c:v>2.1221999999999999</c:v>
                </c:pt>
                <c:pt idx="787">
                  <c:v>2.0911</c:v>
                </c:pt>
                <c:pt idx="788">
                  <c:v>2.1638000000000002</c:v>
                </c:pt>
                <c:pt idx="789">
                  <c:v>2.2372999999999998</c:v>
                </c:pt>
                <c:pt idx="790">
                  <c:v>2.3403</c:v>
                </c:pt>
                <c:pt idx="791">
                  <c:v>2.2702</c:v>
                </c:pt>
                <c:pt idx="792">
                  <c:v>2.2242000000000002</c:v>
                </c:pt>
                <c:pt idx="793">
                  <c:v>2.2423999999999999</c:v>
                </c:pt>
                <c:pt idx="794">
                  <c:v>2.2523</c:v>
                </c:pt>
                <c:pt idx="795">
                  <c:v>2.2216</c:v>
                </c:pt>
                <c:pt idx="796">
                  <c:v>2.4266000000000001</c:v>
                </c:pt>
                <c:pt idx="797">
                  <c:v>2.3466</c:v>
                </c:pt>
                <c:pt idx="798">
                  <c:v>2.5455999999999999</c:v>
                </c:pt>
                <c:pt idx="799">
                  <c:v>2.6981999999999999</c:v>
                </c:pt>
                <c:pt idx="800">
                  <c:v>2.7254999999999998</c:v>
                </c:pt>
                <c:pt idx="801">
                  <c:v>2.7885</c:v>
                </c:pt>
                <c:pt idx="802">
                  <c:v>2.91</c:v>
                </c:pt>
                <c:pt idx="803">
                  <c:v>2.9893999999999998</c:v>
                </c:pt>
                <c:pt idx="804">
                  <c:v>3.0388999999999999</c:v>
                </c:pt>
                <c:pt idx="805">
                  <c:v>3.0390000000000001</c:v>
                </c:pt>
                <c:pt idx="806">
                  <c:v>3.02</c:v>
                </c:pt>
                <c:pt idx="807">
                  <c:v>2.8151999999999999</c:v>
                </c:pt>
                <c:pt idx="808">
                  <c:v>2.7440000000000002</c:v>
                </c:pt>
                <c:pt idx="809">
                  <c:v>2.7770000000000001</c:v>
                </c:pt>
                <c:pt idx="810">
                  <c:v>2.8008999999999999</c:v>
                </c:pt>
                <c:pt idx="811">
                  <c:v>2.71</c:v>
                </c:pt>
                <c:pt idx="812">
                  <c:v>2.6757</c:v>
                </c:pt>
                <c:pt idx="813">
                  <c:v>2.7448000000000001</c:v>
                </c:pt>
                <c:pt idx="814">
                  <c:v>2.6745999999999999</c:v>
                </c:pt>
                <c:pt idx="815">
                  <c:v>2.6745999999999999</c:v>
                </c:pt>
                <c:pt idx="816">
                  <c:v>2.6604999999999999</c:v>
                </c:pt>
                <c:pt idx="817">
                  <c:v>2.6972999999999998</c:v>
                </c:pt>
                <c:pt idx="818">
                  <c:v>2.7090999999999998</c:v>
                </c:pt>
                <c:pt idx="819">
                  <c:v>2.7219000000000002</c:v>
                </c:pt>
                <c:pt idx="820">
                  <c:v>2.6093000000000002</c:v>
                </c:pt>
                <c:pt idx="821">
                  <c:v>2.6619999999999999</c:v>
                </c:pt>
                <c:pt idx="822">
                  <c:v>2.6610999999999998</c:v>
                </c:pt>
                <c:pt idx="823">
                  <c:v>2.6646000000000001</c:v>
                </c:pt>
                <c:pt idx="824">
                  <c:v>2.7347999999999999</c:v>
                </c:pt>
                <c:pt idx="825">
                  <c:v>2.8374000000000001</c:v>
                </c:pt>
                <c:pt idx="826">
                  <c:v>2.72</c:v>
                </c:pt>
                <c:pt idx="827">
                  <c:v>2.6055000000000001</c:v>
                </c:pt>
                <c:pt idx="828">
                  <c:v>2.6074000000000002</c:v>
                </c:pt>
                <c:pt idx="829">
                  <c:v>2.6223000000000001</c:v>
                </c:pt>
                <c:pt idx="830">
                  <c:v>2.4443999999999999</c:v>
                </c:pt>
                <c:pt idx="831">
                  <c:v>2.3521000000000001</c:v>
                </c:pt>
                <c:pt idx="832">
                  <c:v>2.3546</c:v>
                </c:pt>
                <c:pt idx="833">
                  <c:v>2.4123999999999999</c:v>
                </c:pt>
                <c:pt idx="834">
                  <c:v>2.3717000000000001</c:v>
                </c:pt>
                <c:pt idx="835">
                  <c:v>2.3974000000000002</c:v>
                </c:pt>
                <c:pt idx="836">
                  <c:v>2.5324</c:v>
                </c:pt>
                <c:pt idx="837">
                  <c:v>2.4860000000000002</c:v>
                </c:pt>
                <c:pt idx="838">
                  <c:v>2.5975000000000001</c:v>
                </c:pt>
                <c:pt idx="839">
                  <c:v>2.7481</c:v>
                </c:pt>
                <c:pt idx="840">
                  <c:v>2.6278999999999999</c:v>
                </c:pt>
                <c:pt idx="841">
                  <c:v>2.8010999999999999</c:v>
                </c:pt>
                <c:pt idx="842">
                  <c:v>2.5764999999999998</c:v>
                </c:pt>
                <c:pt idx="843">
                  <c:v>2.3963000000000001</c:v>
                </c:pt>
                <c:pt idx="844">
                  <c:v>2.1669</c:v>
                </c:pt>
                <c:pt idx="845">
                  <c:v>1.9623999999999999</c:v>
                </c:pt>
                <c:pt idx="846">
                  <c:v>1.9662999999999999</c:v>
                </c:pt>
                <c:pt idx="847">
                  <c:v>1.9441999999999999</c:v>
                </c:pt>
                <c:pt idx="848">
                  <c:v>2.0110000000000001</c:v>
                </c:pt>
                <c:pt idx="849">
                  <c:v>1.8286</c:v>
                </c:pt>
                <c:pt idx="850">
                  <c:v>1.7677</c:v>
                </c:pt>
                <c:pt idx="851">
                  <c:v>1.7001999999999999</c:v>
                </c:pt>
                <c:pt idx="852">
                  <c:v>1.6741999999999999</c:v>
                </c:pt>
                <c:pt idx="853">
                  <c:v>1.659</c:v>
                </c:pt>
                <c:pt idx="854">
                  <c:v>1.6512</c:v>
                </c:pt>
                <c:pt idx="855">
                  <c:v>1.7443</c:v>
                </c:pt>
                <c:pt idx="856">
                  <c:v>1.716</c:v>
                </c:pt>
                <c:pt idx="857">
                  <c:v>1.8048</c:v>
                </c:pt>
                <c:pt idx="858">
                  <c:v>1.8157000000000001</c:v>
                </c:pt>
                <c:pt idx="859">
                  <c:v>1.8855</c:v>
                </c:pt>
                <c:pt idx="860">
                  <c:v>1.8245</c:v>
                </c:pt>
                <c:pt idx="861">
                  <c:v>1.8744000000000001</c:v>
                </c:pt>
                <c:pt idx="862">
                  <c:v>1.8009999999999999</c:v>
                </c:pt>
                <c:pt idx="863">
                  <c:v>1.6240000000000001</c:v>
                </c:pt>
                <c:pt idx="864">
                  <c:v>1.5806</c:v>
                </c:pt>
                <c:pt idx="865">
                  <c:v>1.6104000000000001</c:v>
                </c:pt>
                <c:pt idx="866">
                  <c:v>1.5633999999999999</c:v>
                </c:pt>
                <c:pt idx="867">
                  <c:v>1.5759000000000001</c:v>
                </c:pt>
                <c:pt idx="868">
                  <c:v>1.7073</c:v>
                </c:pt>
                <c:pt idx="869">
                  <c:v>1.7301</c:v>
                </c:pt>
                <c:pt idx="870">
                  <c:v>1.7998000000000001</c:v>
                </c:pt>
                <c:pt idx="871">
                  <c:v>1.7871999999999999</c:v>
                </c:pt>
                <c:pt idx="872">
                  <c:v>1.8274999999999999</c:v>
                </c:pt>
                <c:pt idx="873">
                  <c:v>1.7672000000000001</c:v>
                </c:pt>
                <c:pt idx="874">
                  <c:v>1.7225999999999999</c:v>
                </c:pt>
                <c:pt idx="875">
                  <c:v>1.7921</c:v>
                </c:pt>
                <c:pt idx="876">
                  <c:v>1.7784</c:v>
                </c:pt>
                <c:pt idx="877">
                  <c:v>1.849</c:v>
                </c:pt>
                <c:pt idx="878">
                  <c:v>1.8287</c:v>
                </c:pt>
                <c:pt idx="879">
                  <c:v>1.7685999999999999</c:v>
                </c:pt>
                <c:pt idx="880">
                  <c:v>1.7790999999999999</c:v>
                </c:pt>
                <c:pt idx="881">
                  <c:v>1.796</c:v>
                </c:pt>
                <c:pt idx="882">
                  <c:v>1.7744</c:v>
                </c:pt>
                <c:pt idx="883">
                  <c:v>1.8956999999999999</c:v>
                </c:pt>
                <c:pt idx="884">
                  <c:v>2.1128</c:v>
                </c:pt>
                <c:pt idx="885">
                  <c:v>2.0739000000000001</c:v>
                </c:pt>
                <c:pt idx="886">
                  <c:v>2.0779999999999998</c:v>
                </c:pt>
                <c:pt idx="887">
                  <c:v>2.1680999999999999</c:v>
                </c:pt>
                <c:pt idx="888">
                  <c:v>2.2332999999999998</c:v>
                </c:pt>
                <c:pt idx="889">
                  <c:v>2.2227000000000001</c:v>
                </c:pt>
                <c:pt idx="890">
                  <c:v>2.2054</c:v>
                </c:pt>
                <c:pt idx="891">
                  <c:v>2.3624000000000001</c:v>
                </c:pt>
                <c:pt idx="892">
                  <c:v>2.4958</c:v>
                </c:pt>
                <c:pt idx="893">
                  <c:v>2.5051000000000001</c:v>
                </c:pt>
                <c:pt idx="894">
                  <c:v>2.4036</c:v>
                </c:pt>
                <c:pt idx="895">
                  <c:v>2.2999999999999998</c:v>
                </c:pt>
                <c:pt idx="896">
                  <c:v>2.4232</c:v>
                </c:pt>
                <c:pt idx="897">
                  <c:v>2.2841999999999998</c:v>
                </c:pt>
                <c:pt idx="898">
                  <c:v>2.4228999999999998</c:v>
                </c:pt>
                <c:pt idx="899">
                  <c:v>2.39</c:v>
                </c:pt>
                <c:pt idx="900">
                  <c:v>2.415</c:v>
                </c:pt>
                <c:pt idx="901">
                  <c:v>2.3336000000000001</c:v>
                </c:pt>
                <c:pt idx="902">
                  <c:v>2.1669</c:v>
                </c:pt>
                <c:pt idx="903">
                  <c:v>2.2755000000000001</c:v>
                </c:pt>
                <c:pt idx="904">
                  <c:v>2.3826000000000001</c:v>
                </c:pt>
                <c:pt idx="905">
                  <c:v>2.4784999999999999</c:v>
                </c:pt>
                <c:pt idx="906">
                  <c:v>2.4561999999999999</c:v>
                </c:pt>
                <c:pt idx="907">
                  <c:v>2.5099</c:v>
                </c:pt>
                <c:pt idx="908">
                  <c:v>2.4211</c:v>
                </c:pt>
                <c:pt idx="909">
                  <c:v>2.4270999999999998</c:v>
                </c:pt>
                <c:pt idx="910">
                  <c:v>2.161</c:v>
                </c:pt>
                <c:pt idx="911">
                  <c:v>2.2101999999999999</c:v>
                </c:pt>
                <c:pt idx="912">
                  <c:v>2.0682</c:v>
                </c:pt>
                <c:pt idx="913">
                  <c:v>2.1251000000000002</c:v>
                </c:pt>
                <c:pt idx="914">
                  <c:v>2.2155999999999998</c:v>
                </c:pt>
                <c:pt idx="915">
                  <c:v>2.2452999999999999</c:v>
                </c:pt>
                <c:pt idx="916">
                  <c:v>2.3988999999999998</c:v>
                </c:pt>
                <c:pt idx="917">
                  <c:v>2.3614999999999999</c:v>
                </c:pt>
                <c:pt idx="918">
                  <c:v>2.3999000000000001</c:v>
                </c:pt>
                <c:pt idx="919">
                  <c:v>2.3534999999999999</c:v>
                </c:pt>
                <c:pt idx="920">
                  <c:v>2.4077999999999999</c:v>
                </c:pt>
                <c:pt idx="921">
                  <c:v>2.5318999999999998</c:v>
                </c:pt>
                <c:pt idx="922">
                  <c:v>2.637</c:v>
                </c:pt>
                <c:pt idx="923">
                  <c:v>2.6046</c:v>
                </c:pt>
                <c:pt idx="924">
                  <c:v>2.67</c:v>
                </c:pt>
                <c:pt idx="925">
                  <c:v>2.3980000000000001</c:v>
                </c:pt>
                <c:pt idx="926">
                  <c:v>2.1947999999999999</c:v>
                </c:pt>
                <c:pt idx="927">
                  <c:v>2.6913</c:v>
                </c:pt>
                <c:pt idx="928">
                  <c:v>2.7856000000000001</c:v>
                </c:pt>
                <c:pt idx="929">
                  <c:v>3.1652</c:v>
                </c:pt>
                <c:pt idx="930">
                  <c:v>3.1659999999999999</c:v>
                </c:pt>
                <c:pt idx="931">
                  <c:v>2.7852999999999999</c:v>
                </c:pt>
                <c:pt idx="932">
                  <c:v>3.1166</c:v>
                </c:pt>
                <c:pt idx="933">
                  <c:v>3.0670000000000002</c:v>
                </c:pt>
                <c:pt idx="934">
                  <c:v>3.3361999999999998</c:v>
                </c:pt>
                <c:pt idx="935">
                  <c:v>3.2749999999999999</c:v>
                </c:pt>
                <c:pt idx="936">
                  <c:v>3.4603000000000002</c:v>
                </c:pt>
                <c:pt idx="937">
                  <c:v>3.64</c:v>
                </c:pt>
                <c:pt idx="938">
                  <c:v>3.4529999999999998</c:v>
                </c:pt>
                <c:pt idx="939">
                  <c:v>3.49</c:v>
                </c:pt>
                <c:pt idx="940">
                  <c:v>3.7452999999999999</c:v>
                </c:pt>
                <c:pt idx="941">
                  <c:v>3.6368999999999998</c:v>
                </c:pt>
                <c:pt idx="942">
                  <c:v>3.3885000000000001</c:v>
                </c:pt>
                <c:pt idx="943">
                  <c:v>3.7124999999999999</c:v>
                </c:pt>
                <c:pt idx="944">
                  <c:v>3.0392000000000001</c:v>
                </c:pt>
                <c:pt idx="945">
                  <c:v>2.2879</c:v>
                </c:pt>
                <c:pt idx="946">
                  <c:v>2.2799999999999998</c:v>
                </c:pt>
                <c:pt idx="947">
                  <c:v>2.1928000000000001</c:v>
                </c:pt>
                <c:pt idx="948">
                  <c:v>1.8689</c:v>
                </c:pt>
                <c:pt idx="949">
                  <c:v>1.8169</c:v>
                </c:pt>
                <c:pt idx="950">
                  <c:v>1.8428</c:v>
                </c:pt>
                <c:pt idx="951">
                  <c:v>1.6882999999999999</c:v>
                </c:pt>
                <c:pt idx="952">
                  <c:v>1.7656000000000001</c:v>
                </c:pt>
                <c:pt idx="953">
                  <c:v>1.8352999999999999</c:v>
                </c:pt>
                <c:pt idx="954">
                  <c:v>1.8193999999999999</c:v>
                </c:pt>
                <c:pt idx="955">
                  <c:v>1.9631000000000001</c:v>
                </c:pt>
                <c:pt idx="956">
                  <c:v>1.6620999999999999</c:v>
                </c:pt>
                <c:pt idx="957">
                  <c:v>1.7179</c:v>
                </c:pt>
                <c:pt idx="958">
                  <c:v>1.6395</c:v>
                </c:pt>
                <c:pt idx="959">
                  <c:v>1.8680000000000001</c:v>
                </c:pt>
                <c:pt idx="960">
                  <c:v>1.1448</c:v>
                </c:pt>
                <c:pt idx="961">
                  <c:v>1.1243000000000001</c:v>
                </c:pt>
                <c:pt idx="962">
                  <c:v>1.206</c:v>
                </c:pt>
                <c:pt idx="963">
                  <c:v>1.0595000000000001</c:v>
                </c:pt>
                <c:pt idx="964">
                  <c:v>1.1326000000000001</c:v>
                </c:pt>
                <c:pt idx="965">
                  <c:v>1.1753</c:v>
                </c:pt>
                <c:pt idx="966">
                  <c:v>1.1097999999999999</c:v>
                </c:pt>
                <c:pt idx="967">
                  <c:v>1.0960000000000001</c:v>
                </c:pt>
                <c:pt idx="968">
                  <c:v>0.88500000000000001</c:v>
                </c:pt>
                <c:pt idx="969">
                  <c:v>0.9</c:v>
                </c:pt>
                <c:pt idx="970">
                  <c:v>1.0155000000000001</c:v>
                </c:pt>
                <c:pt idx="971">
                  <c:v>0.95599999999999996</c:v>
                </c:pt>
                <c:pt idx="972">
                  <c:v>1.0188999999999999</c:v>
                </c:pt>
                <c:pt idx="973">
                  <c:v>1.0023</c:v>
                </c:pt>
                <c:pt idx="974">
                  <c:v>1.1725000000000001</c:v>
                </c:pt>
                <c:pt idx="975">
                  <c:v>1.2787999999999999</c:v>
                </c:pt>
                <c:pt idx="976">
                  <c:v>1.2119</c:v>
                </c:pt>
                <c:pt idx="977">
                  <c:v>1.0828</c:v>
                </c:pt>
                <c:pt idx="978">
                  <c:v>1.113</c:v>
                </c:pt>
                <c:pt idx="979">
                  <c:v>1.3313999999999999</c:v>
                </c:pt>
                <c:pt idx="980">
                  <c:v>1.3391999999999999</c:v>
                </c:pt>
                <c:pt idx="981">
                  <c:v>1.2204999999999999</c:v>
                </c:pt>
                <c:pt idx="982">
                  <c:v>1.1798</c:v>
                </c:pt>
                <c:pt idx="983">
                  <c:v>1.117</c:v>
                </c:pt>
                <c:pt idx="984">
                  <c:v>0.99339999999999995</c:v>
                </c:pt>
                <c:pt idx="985">
                  <c:v>0.93589999999999995</c:v>
                </c:pt>
                <c:pt idx="986">
                  <c:v>0.8911</c:v>
                </c:pt>
                <c:pt idx="987">
                  <c:v>0.92800000000000005</c:v>
                </c:pt>
                <c:pt idx="988">
                  <c:v>0.8427</c:v>
                </c:pt>
                <c:pt idx="989">
                  <c:v>0.82799999999999996</c:v>
                </c:pt>
                <c:pt idx="990">
                  <c:v>0.64739999999999998</c:v>
                </c:pt>
                <c:pt idx="991">
                  <c:v>0.65859999999999996</c:v>
                </c:pt>
                <c:pt idx="992">
                  <c:v>0.67520000000000002</c:v>
                </c:pt>
                <c:pt idx="993">
                  <c:v>0.67030000000000001</c:v>
                </c:pt>
                <c:pt idx="994">
                  <c:v>0.64029999999999998</c:v>
                </c:pt>
                <c:pt idx="995">
                  <c:v>0.59399999999999997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7B-4633-AAA2-1D3AC378D1A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7.8969955032815538</c:v>
                </c:pt>
                <c:pt idx="1">
                  <c:v>7.9016163765717184</c:v>
                </c:pt>
                <c:pt idx="2">
                  <c:v>7.94874204610002</c:v>
                </c:pt>
                <c:pt idx="3">
                  <c:v>7.9295070147750204</c:v>
                </c:pt>
                <c:pt idx="4">
                  <c:v>7.8816020039580801</c:v>
                </c:pt>
                <c:pt idx="5">
                  <c:v>7.8127173278020106</c:v>
                </c:pt>
                <c:pt idx="6">
                  <c:v>7.8317572400452509</c:v>
                </c:pt>
                <c:pt idx="7">
                  <c:v>7.9505276126197382</c:v>
                </c:pt>
                <c:pt idx="8">
                  <c:v>8.001605059611574</c:v>
                </c:pt>
                <c:pt idx="9">
                  <c:v>8.0390383192846304</c:v>
                </c:pt>
                <c:pt idx="10">
                  <c:v>8.0488600054246309</c:v>
                </c:pt>
                <c:pt idx="11">
                  <c:v>8.0737883428254822</c:v>
                </c:pt>
                <c:pt idx="12">
                  <c:v>8.0735270439272568</c:v>
                </c:pt>
                <c:pt idx="13">
                  <c:v>8.110464587962392</c:v>
                </c:pt>
                <c:pt idx="14">
                  <c:v>8.0567206619118874</c:v>
                </c:pt>
                <c:pt idx="15">
                  <c:v>8.1065012068230473</c:v>
                </c:pt>
                <c:pt idx="16">
                  <c:v>8.0662289631937796</c:v>
                </c:pt>
                <c:pt idx="17">
                  <c:v>8.1306631037822807</c:v>
                </c:pt>
                <c:pt idx="18">
                  <c:v>8.0025547083160014</c:v>
                </c:pt>
                <c:pt idx="19">
                  <c:v>7.9342430706726681</c:v>
                </c:pt>
                <c:pt idx="20">
                  <c:v>7.9424290146883747</c:v>
                </c:pt>
                <c:pt idx="21">
                  <c:v>7.8492110985191434</c:v>
                </c:pt>
                <c:pt idx="22">
                  <c:v>7.7560095711191446</c:v>
                </c:pt>
                <c:pt idx="23">
                  <c:v>7.7227813552463109</c:v>
                </c:pt>
                <c:pt idx="24">
                  <c:v>7.7445932197361991</c:v>
                </c:pt>
                <c:pt idx="25">
                  <c:v>7.6666803400210002</c:v>
                </c:pt>
                <c:pt idx="26">
                  <c:v>7.6362783569854162</c:v>
                </c:pt>
                <c:pt idx="27">
                  <c:v>7.6032926710365798</c:v>
                </c:pt>
                <c:pt idx="28">
                  <c:v>7.6260999699265168</c:v>
                </c:pt>
                <c:pt idx="29">
                  <c:v>7.6142705897493519</c:v>
                </c:pt>
                <c:pt idx="30">
                  <c:v>7.6635128032076842</c:v>
                </c:pt>
                <c:pt idx="31">
                  <c:v>7.7504006480224987</c:v>
                </c:pt>
                <c:pt idx="32">
                  <c:v>7.7953812532638782</c:v>
                </c:pt>
                <c:pt idx="33">
                  <c:v>7.7617496586614401</c:v>
                </c:pt>
                <c:pt idx="34">
                  <c:v>7.7465115822541666</c:v>
                </c:pt>
                <c:pt idx="35">
                  <c:v>7.78098925191855</c:v>
                </c:pt>
                <c:pt idx="36">
                  <c:v>7.7080506923864736</c:v>
                </c:pt>
                <c:pt idx="37">
                  <c:v>7.7132993051245107</c:v>
                </c:pt>
                <c:pt idx="38">
                  <c:v>7.690731014539895</c:v>
                </c:pt>
                <c:pt idx="39">
                  <c:v>7.6767935259881712</c:v>
                </c:pt>
                <c:pt idx="40">
                  <c:v>7.7222455063780453</c:v>
                </c:pt>
                <c:pt idx="41">
                  <c:v>7.6911478479670858</c:v>
                </c:pt>
                <c:pt idx="42">
                  <c:v>7.7083665799039984</c:v>
                </c:pt>
                <c:pt idx="43">
                  <c:v>7.7536109336585444</c:v>
                </c:pt>
                <c:pt idx="44">
                  <c:v>7.6992479513052592</c:v>
                </c:pt>
                <c:pt idx="45">
                  <c:v>7.6589588773223536</c:v>
                </c:pt>
                <c:pt idx="46">
                  <c:v>7.7085034993929051</c:v>
                </c:pt>
                <c:pt idx="47">
                  <c:v>7.6920443667329046</c:v>
                </c:pt>
                <c:pt idx="48">
                  <c:v>7.6876361198303078</c:v>
                </c:pt>
                <c:pt idx="49">
                  <c:v>7.7588929806220444</c:v>
                </c:pt>
                <c:pt idx="50">
                  <c:v>7.8409843230220444</c:v>
                </c:pt>
                <c:pt idx="51">
                  <c:v>7.7561486229497998</c:v>
                </c:pt>
                <c:pt idx="52">
                  <c:v>7.6904194300241233</c:v>
                </c:pt>
                <c:pt idx="53">
                  <c:v>7.6180551892591239</c:v>
                </c:pt>
                <c:pt idx="54">
                  <c:v>7.6310330934384769</c:v>
                </c:pt>
                <c:pt idx="55">
                  <c:v>7.5638275760907145</c:v>
                </c:pt>
                <c:pt idx="56">
                  <c:v>7.5918673197915947</c:v>
                </c:pt>
                <c:pt idx="57">
                  <c:v>7.6049032616582606</c:v>
                </c:pt>
                <c:pt idx="58">
                  <c:v>7.6340960883190858</c:v>
                </c:pt>
                <c:pt idx="59">
                  <c:v>7.634337013680911</c:v>
                </c:pt>
                <c:pt idx="60">
                  <c:v>7.6418573667874528</c:v>
                </c:pt>
                <c:pt idx="61">
                  <c:v>7.6058080477403935</c:v>
                </c:pt>
                <c:pt idx="62">
                  <c:v>7.6245394658916332</c:v>
                </c:pt>
                <c:pt idx="63">
                  <c:v>7.67003623796914</c:v>
                </c:pt>
                <c:pt idx="64">
                  <c:v>7.6740722230834253</c:v>
                </c:pt>
                <c:pt idx="65">
                  <c:v>7.679622870588477</c:v>
                </c:pt>
                <c:pt idx="66">
                  <c:v>7.6749723162684758</c:v>
                </c:pt>
                <c:pt idx="67">
                  <c:v>7.7069123097986925</c:v>
                </c:pt>
                <c:pt idx="68">
                  <c:v>7.6822240698044251</c:v>
                </c:pt>
                <c:pt idx="69">
                  <c:v>7.6592338194962055</c:v>
                </c:pt>
                <c:pt idx="70">
                  <c:v>7.6301395490777946</c:v>
                </c:pt>
                <c:pt idx="71">
                  <c:v>7.6743216584449749</c:v>
                </c:pt>
                <c:pt idx="72">
                  <c:v>7.6568055967414654</c:v>
                </c:pt>
                <c:pt idx="73">
                  <c:v>7.7008927486843231</c:v>
                </c:pt>
                <c:pt idx="74">
                  <c:v>7.7410137562081323</c:v>
                </c:pt>
                <c:pt idx="75">
                  <c:v>7.732775275083922</c:v>
                </c:pt>
                <c:pt idx="76">
                  <c:v>7.7271919660119792</c:v>
                </c:pt>
                <c:pt idx="77">
                  <c:v>7.7188089758539151</c:v>
                </c:pt>
                <c:pt idx="78">
                  <c:v>7.7379895295907577</c:v>
                </c:pt>
                <c:pt idx="79">
                  <c:v>7.7759255570459072</c:v>
                </c:pt>
                <c:pt idx="80">
                  <c:v>7.8090412818887636</c:v>
                </c:pt>
                <c:pt idx="81">
                  <c:v>7.7634765917069464</c:v>
                </c:pt>
                <c:pt idx="82">
                  <c:v>7.751149558129673</c:v>
                </c:pt>
                <c:pt idx="83">
                  <c:v>7.7478984397038664</c:v>
                </c:pt>
                <c:pt idx="84">
                  <c:v>7.7182622294169807</c:v>
                </c:pt>
                <c:pt idx="85">
                  <c:v>7.7244017269604361</c:v>
                </c:pt>
                <c:pt idx="86">
                  <c:v>7.7112526370675791</c:v>
                </c:pt>
                <c:pt idx="87">
                  <c:v>7.6786864336189309</c:v>
                </c:pt>
                <c:pt idx="88">
                  <c:v>7.6367027458881624</c:v>
                </c:pt>
                <c:pt idx="89">
                  <c:v>7.622245065834468</c:v>
                </c:pt>
                <c:pt idx="90">
                  <c:v>7.6357054110130393</c:v>
                </c:pt>
                <c:pt idx="91">
                  <c:v>7.6351704947179906</c:v>
                </c:pt>
                <c:pt idx="92">
                  <c:v>7.605654226841204</c:v>
                </c:pt>
                <c:pt idx="93">
                  <c:v>7.6869996274182046</c:v>
                </c:pt>
                <c:pt idx="94">
                  <c:v>7.6893495916803563</c:v>
                </c:pt>
                <c:pt idx="95">
                  <c:v>7.6379068658898523</c:v>
                </c:pt>
                <c:pt idx="96">
                  <c:v>7.6552802583364707</c:v>
                </c:pt>
                <c:pt idx="97">
                  <c:v>7.5790100583288771</c:v>
                </c:pt>
                <c:pt idx="98">
                  <c:v>7.6064530384358067</c:v>
                </c:pt>
                <c:pt idx="99">
                  <c:v>7.6069050947837145</c:v>
                </c:pt>
                <c:pt idx="100">
                  <c:v>7.570544521254984</c:v>
                </c:pt>
                <c:pt idx="101">
                  <c:v>7.564020959680791</c:v>
                </c:pt>
                <c:pt idx="102">
                  <c:v>7.5813412826902518</c:v>
                </c:pt>
                <c:pt idx="103">
                  <c:v>7.5842520525351285</c:v>
                </c:pt>
                <c:pt idx="104">
                  <c:v>7.6248074900272629</c:v>
                </c:pt>
                <c:pt idx="105">
                  <c:v>7.5896975087710583</c:v>
                </c:pt>
                <c:pt idx="106">
                  <c:v>7.5841146515446578</c:v>
                </c:pt>
                <c:pt idx="107">
                  <c:v>7.522863947347969</c:v>
                </c:pt>
                <c:pt idx="108">
                  <c:v>7.5074302326353255</c:v>
                </c:pt>
                <c:pt idx="109">
                  <c:v>7.5265785032386114</c:v>
                </c:pt>
                <c:pt idx="110">
                  <c:v>7.5611398137347088</c:v>
                </c:pt>
                <c:pt idx="111">
                  <c:v>7.5364554204477523</c:v>
                </c:pt>
                <c:pt idx="112">
                  <c:v>7.5661434098805884</c:v>
                </c:pt>
                <c:pt idx="113">
                  <c:v>7.5644788167673287</c:v>
                </c:pt>
                <c:pt idx="114">
                  <c:v>7.5595790994853891</c:v>
                </c:pt>
                <c:pt idx="115">
                  <c:v>7.5288591091453885</c:v>
                </c:pt>
                <c:pt idx="116">
                  <c:v>7.5304310599136581</c:v>
                </c:pt>
                <c:pt idx="117">
                  <c:v>7.5180540040726935</c:v>
                </c:pt>
                <c:pt idx="118">
                  <c:v>7.5141075871003311</c:v>
                </c:pt>
                <c:pt idx="119">
                  <c:v>7.4584774579800754</c:v>
                </c:pt>
                <c:pt idx="120">
                  <c:v>7.4292247956086461</c:v>
                </c:pt>
                <c:pt idx="121">
                  <c:v>7.4359154114086463</c:v>
                </c:pt>
                <c:pt idx="122">
                  <c:v>7.4915132750229319</c:v>
                </c:pt>
                <c:pt idx="123">
                  <c:v>7.5459928213352825</c:v>
                </c:pt>
                <c:pt idx="124">
                  <c:v>7.4879969104664079</c:v>
                </c:pt>
                <c:pt idx="125">
                  <c:v>7.4281409514473067</c:v>
                </c:pt>
                <c:pt idx="126">
                  <c:v>7.4365146499991139</c:v>
                </c:pt>
                <c:pt idx="127">
                  <c:v>7.3729439503409804</c:v>
                </c:pt>
                <c:pt idx="128">
                  <c:v>7.297462782991702</c:v>
                </c:pt>
                <c:pt idx="129">
                  <c:v>7.3722377716438023</c:v>
                </c:pt>
                <c:pt idx="130">
                  <c:v>7.4023358855813015</c:v>
                </c:pt>
                <c:pt idx="131">
                  <c:v>7.423360857848146</c:v>
                </c:pt>
                <c:pt idx="132">
                  <c:v>7.424905530152011</c:v>
                </c:pt>
                <c:pt idx="133">
                  <c:v>7.4783632112301142</c:v>
                </c:pt>
                <c:pt idx="134">
                  <c:v>7.5271339465884193</c:v>
                </c:pt>
                <c:pt idx="135">
                  <c:v>7.5111053288640806</c:v>
                </c:pt>
                <c:pt idx="136">
                  <c:v>7.411253550058742</c:v>
                </c:pt>
                <c:pt idx="137">
                  <c:v>7.4452404944771517</c:v>
                </c:pt>
                <c:pt idx="138">
                  <c:v>7.3896837669117561</c:v>
                </c:pt>
                <c:pt idx="139">
                  <c:v>7.3889996874610704</c:v>
                </c:pt>
                <c:pt idx="140">
                  <c:v>7.448905600212341</c:v>
                </c:pt>
                <c:pt idx="141">
                  <c:v>7.4662045475456731</c:v>
                </c:pt>
                <c:pt idx="142">
                  <c:v>7.4679091254957983</c:v>
                </c:pt>
                <c:pt idx="143">
                  <c:v>7.5192423530986296</c:v>
                </c:pt>
                <c:pt idx="144">
                  <c:v>7.4966151493018423</c:v>
                </c:pt>
                <c:pt idx="145">
                  <c:v>7.4394324629660931</c:v>
                </c:pt>
                <c:pt idx="146">
                  <c:v>7.4584991249436214</c:v>
                </c:pt>
                <c:pt idx="147">
                  <c:v>7.4406960851021395</c:v>
                </c:pt>
                <c:pt idx="148">
                  <c:v>7.431716129667632</c:v>
                </c:pt>
                <c:pt idx="149">
                  <c:v>7.353049204130536</c:v>
                </c:pt>
                <c:pt idx="150">
                  <c:v>7.3214329964190608</c:v>
                </c:pt>
                <c:pt idx="151">
                  <c:v>7.3360693895546785</c:v>
                </c:pt>
                <c:pt idx="152">
                  <c:v>7.3405669188820211</c:v>
                </c:pt>
                <c:pt idx="153">
                  <c:v>7.3440665360724973</c:v>
                </c:pt>
                <c:pt idx="154">
                  <c:v>7.2976806640541794</c:v>
                </c:pt>
                <c:pt idx="155">
                  <c:v>7.3364114024341784</c:v>
                </c:pt>
                <c:pt idx="156">
                  <c:v>7.2977004242264911</c:v>
                </c:pt>
                <c:pt idx="157">
                  <c:v>7.3610040819539755</c:v>
                </c:pt>
                <c:pt idx="158">
                  <c:v>7.3600399210311851</c:v>
                </c:pt>
                <c:pt idx="159">
                  <c:v>7.3563537183322323</c:v>
                </c:pt>
                <c:pt idx="160">
                  <c:v>7.394582856805866</c:v>
                </c:pt>
                <c:pt idx="161">
                  <c:v>7.3477822502793977</c:v>
                </c:pt>
                <c:pt idx="162">
                  <c:v>7.2701597447453983</c:v>
                </c:pt>
                <c:pt idx="163">
                  <c:v>7.3143620766338522</c:v>
                </c:pt>
                <c:pt idx="164">
                  <c:v>7.4012230911403973</c:v>
                </c:pt>
                <c:pt idx="165">
                  <c:v>7.4749106335002171</c:v>
                </c:pt>
                <c:pt idx="166">
                  <c:v>7.4335241747228489</c:v>
                </c:pt>
                <c:pt idx="167">
                  <c:v>7.43493237655992</c:v>
                </c:pt>
                <c:pt idx="168">
                  <c:v>7.3867110184486311</c:v>
                </c:pt>
                <c:pt idx="169">
                  <c:v>7.4116220316221559</c:v>
                </c:pt>
                <c:pt idx="170">
                  <c:v>7.4105227193759049</c:v>
                </c:pt>
                <c:pt idx="171">
                  <c:v>7.4171814086011576</c:v>
                </c:pt>
                <c:pt idx="172">
                  <c:v>7.3798479061233948</c:v>
                </c:pt>
                <c:pt idx="173">
                  <c:v>7.4114550753243398</c:v>
                </c:pt>
                <c:pt idx="174">
                  <c:v>7.3868827606242098</c:v>
                </c:pt>
                <c:pt idx="175">
                  <c:v>7.3659404965451776</c:v>
                </c:pt>
                <c:pt idx="176">
                  <c:v>7.315770124272885</c:v>
                </c:pt>
                <c:pt idx="177">
                  <c:v>7.2958139223126048</c:v>
                </c:pt>
                <c:pt idx="178">
                  <c:v>7.2398600010655807</c:v>
                </c:pt>
                <c:pt idx="179">
                  <c:v>7.195846809176226</c:v>
                </c:pt>
                <c:pt idx="180">
                  <c:v>7.2609768610631846</c:v>
                </c:pt>
                <c:pt idx="181">
                  <c:v>7.2325506453567359</c:v>
                </c:pt>
                <c:pt idx="182">
                  <c:v>7.1302305231310843</c:v>
                </c:pt>
                <c:pt idx="183">
                  <c:v>7.0984386838699738</c:v>
                </c:pt>
                <c:pt idx="184">
                  <c:v>7.1194181920073278</c:v>
                </c:pt>
                <c:pt idx="185">
                  <c:v>7.0438053787811805</c:v>
                </c:pt>
                <c:pt idx="186">
                  <c:v>7.0681224675177452</c:v>
                </c:pt>
                <c:pt idx="187">
                  <c:v>7.0538811801608796</c:v>
                </c:pt>
                <c:pt idx="188">
                  <c:v>7.0586690350073162</c:v>
                </c:pt>
                <c:pt idx="189">
                  <c:v>7.0120214619900292</c:v>
                </c:pt>
                <c:pt idx="190">
                  <c:v>6.9635104331681772</c:v>
                </c:pt>
                <c:pt idx="191">
                  <c:v>6.9149193257383397</c:v>
                </c:pt>
                <c:pt idx="192">
                  <c:v>6.9525136782613917</c:v>
                </c:pt>
                <c:pt idx="193">
                  <c:v>6.9991229560839949</c:v>
                </c:pt>
                <c:pt idx="194">
                  <c:v>7.0116514682232474</c:v>
                </c:pt>
                <c:pt idx="195">
                  <c:v>7.0111793501330961</c:v>
                </c:pt>
                <c:pt idx="196">
                  <c:v>7.0538840671381671</c:v>
                </c:pt>
                <c:pt idx="197">
                  <c:v>7.098406874245053</c:v>
                </c:pt>
                <c:pt idx="198">
                  <c:v>7.0813739259654644</c:v>
                </c:pt>
                <c:pt idx="199">
                  <c:v>7.1042034201114488</c:v>
                </c:pt>
                <c:pt idx="200">
                  <c:v>7.1176922939245992</c:v>
                </c:pt>
                <c:pt idx="201">
                  <c:v>7.1053128007781003</c:v>
                </c:pt>
                <c:pt idx="202">
                  <c:v>7.1155308044445755</c:v>
                </c:pt>
                <c:pt idx="203">
                  <c:v>7.0812870159706707</c:v>
                </c:pt>
                <c:pt idx="204">
                  <c:v>7.1400357180651381</c:v>
                </c:pt>
                <c:pt idx="205">
                  <c:v>7.198862110468899</c:v>
                </c:pt>
                <c:pt idx="206">
                  <c:v>7.1321569756130341</c:v>
                </c:pt>
                <c:pt idx="207">
                  <c:v>7.1423846820215084</c:v>
                </c:pt>
                <c:pt idx="208">
                  <c:v>7.1287144444860377</c:v>
                </c:pt>
                <c:pt idx="209">
                  <c:v>7.1177027291752806</c:v>
                </c:pt>
                <c:pt idx="210">
                  <c:v>7.0845976693198738</c:v>
                </c:pt>
                <c:pt idx="211">
                  <c:v>7.1086701904715639</c:v>
                </c:pt>
                <c:pt idx="212">
                  <c:v>7.0582730352560628</c:v>
                </c:pt>
                <c:pt idx="213">
                  <c:v>7.06833893341914</c:v>
                </c:pt>
                <c:pt idx="214">
                  <c:v>7.0519888415231087</c:v>
                </c:pt>
                <c:pt idx="215">
                  <c:v>6.9857062368363376</c:v>
                </c:pt>
                <c:pt idx="216">
                  <c:v>6.959633825184909</c:v>
                </c:pt>
                <c:pt idx="217">
                  <c:v>7.0560109411005509</c:v>
                </c:pt>
                <c:pt idx="218">
                  <c:v>7.0164618656001956</c:v>
                </c:pt>
                <c:pt idx="219">
                  <c:v>6.9646653420381499</c:v>
                </c:pt>
                <c:pt idx="220">
                  <c:v>6.9697276722962451</c:v>
                </c:pt>
                <c:pt idx="221">
                  <c:v>7.1074690552096991</c:v>
                </c:pt>
                <c:pt idx="222">
                  <c:v>7.0591505941476269</c:v>
                </c:pt>
                <c:pt idx="223">
                  <c:v>7.0969231487290427</c:v>
                </c:pt>
                <c:pt idx="224">
                  <c:v>7.1327392895785602</c:v>
                </c:pt>
                <c:pt idx="225">
                  <c:v>7.1476129935234223</c:v>
                </c:pt>
                <c:pt idx="226">
                  <c:v>7.2116792986746425</c:v>
                </c:pt>
                <c:pt idx="227">
                  <c:v>7.2798610085963515</c:v>
                </c:pt>
                <c:pt idx="228">
                  <c:v>7.2154646369335653</c:v>
                </c:pt>
                <c:pt idx="229">
                  <c:v>7.1582985122652669</c:v>
                </c:pt>
                <c:pt idx="230">
                  <c:v>7.1174741846562153</c:v>
                </c:pt>
                <c:pt idx="231">
                  <c:v>7.1635170216208248</c:v>
                </c:pt>
                <c:pt idx="232">
                  <c:v>7.2268889169120856</c:v>
                </c:pt>
                <c:pt idx="233">
                  <c:v>7.1219186011436788</c:v>
                </c:pt>
                <c:pt idx="234">
                  <c:v>7.0646094349603628</c:v>
                </c:pt>
                <c:pt idx="235">
                  <c:v>7.1286528539691547</c:v>
                </c:pt>
                <c:pt idx="236">
                  <c:v>7.1269781108295627</c:v>
                </c:pt>
                <c:pt idx="237">
                  <c:v>7.1653600818156091</c:v>
                </c:pt>
                <c:pt idx="238">
                  <c:v>7.2067972962098468</c:v>
                </c:pt>
                <c:pt idx="239">
                  <c:v>7.1682236443671998</c:v>
                </c:pt>
                <c:pt idx="240">
                  <c:v>7.1825807781635325</c:v>
                </c:pt>
                <c:pt idx="241">
                  <c:v>7.1884167752468686</c:v>
                </c:pt>
                <c:pt idx="242">
                  <c:v>7.0752450840591754</c:v>
                </c:pt>
                <c:pt idx="243">
                  <c:v>7.0589777693985161</c:v>
                </c:pt>
                <c:pt idx="244">
                  <c:v>7.1249350004569134</c:v>
                </c:pt>
                <c:pt idx="245">
                  <c:v>7.2359897241682303</c:v>
                </c:pt>
                <c:pt idx="246">
                  <c:v>7.2895827472118695</c:v>
                </c:pt>
                <c:pt idx="247">
                  <c:v>7.1445403536198402</c:v>
                </c:pt>
                <c:pt idx="248">
                  <c:v>7.0182514767510362</c:v>
                </c:pt>
                <c:pt idx="249">
                  <c:v>6.8314956903984392</c:v>
                </c:pt>
                <c:pt idx="250">
                  <c:v>6.8216447984267914</c:v>
                </c:pt>
                <c:pt idx="251">
                  <c:v>6.882405291540965</c:v>
                </c:pt>
                <c:pt idx="252">
                  <c:v>6.9298411416563548</c:v>
                </c:pt>
                <c:pt idx="253">
                  <c:v>6.8186285000922044</c:v>
                </c:pt>
                <c:pt idx="254">
                  <c:v>6.9797106635528019</c:v>
                </c:pt>
                <c:pt idx="255">
                  <c:v>6.9267448294613052</c:v>
                </c:pt>
                <c:pt idx="256">
                  <c:v>6.9531679343660144</c:v>
                </c:pt>
                <c:pt idx="257">
                  <c:v>6.9744122428711091</c:v>
                </c:pt>
                <c:pt idx="258">
                  <c:v>7.0580600803039646</c:v>
                </c:pt>
                <c:pt idx="259">
                  <c:v>7.0283737135867099</c:v>
                </c:pt>
                <c:pt idx="260">
                  <c:v>6.98260829968142</c:v>
                </c:pt>
                <c:pt idx="261">
                  <c:v>7.052473919775637</c:v>
                </c:pt>
                <c:pt idx="262">
                  <c:v>6.9830743001267948</c:v>
                </c:pt>
                <c:pt idx="263">
                  <c:v>6.99268881789577</c:v>
                </c:pt>
                <c:pt idx="264">
                  <c:v>6.9107697142014546</c:v>
                </c:pt>
                <c:pt idx="265">
                  <c:v>6.9040442901301242</c:v>
                </c:pt>
                <c:pt idx="266">
                  <c:v>6.8935677300695932</c:v>
                </c:pt>
                <c:pt idx="267">
                  <c:v>6.9138701854497002</c:v>
                </c:pt>
                <c:pt idx="268">
                  <c:v>6.8316986859554856</c:v>
                </c:pt>
                <c:pt idx="269">
                  <c:v>6.7547814472367289</c:v>
                </c:pt>
                <c:pt idx="270">
                  <c:v>6.7173709148619114</c:v>
                </c:pt>
                <c:pt idx="271">
                  <c:v>6.7404593156817674</c:v>
                </c:pt>
                <c:pt idx="272">
                  <c:v>6.6885352339031732</c:v>
                </c:pt>
                <c:pt idx="273">
                  <c:v>6.6602447121354915</c:v>
                </c:pt>
                <c:pt idx="274">
                  <c:v>6.6500737981540059</c:v>
                </c:pt>
                <c:pt idx="275">
                  <c:v>6.6544364937246252</c:v>
                </c:pt>
                <c:pt idx="276">
                  <c:v>6.6299193112697044</c:v>
                </c:pt>
                <c:pt idx="277">
                  <c:v>6.5682535646857101</c:v>
                </c:pt>
                <c:pt idx="278">
                  <c:v>6.566344553426573</c:v>
                </c:pt>
                <c:pt idx="279">
                  <c:v>6.6253424219984751</c:v>
                </c:pt>
                <c:pt idx="280">
                  <c:v>6.5101518614070244</c:v>
                </c:pt>
                <c:pt idx="281">
                  <c:v>6.5967427984925511</c:v>
                </c:pt>
                <c:pt idx="282">
                  <c:v>6.6617456654499039</c:v>
                </c:pt>
                <c:pt idx="283">
                  <c:v>6.5556740485849225</c:v>
                </c:pt>
                <c:pt idx="284">
                  <c:v>6.6528876403550292</c:v>
                </c:pt>
                <c:pt idx="285">
                  <c:v>6.5263436645355304</c:v>
                </c:pt>
                <c:pt idx="286">
                  <c:v>6.5913864854510642</c:v>
                </c:pt>
                <c:pt idx="287">
                  <c:v>6.5476851696232181</c:v>
                </c:pt>
                <c:pt idx="288">
                  <c:v>6.5172913487704118</c:v>
                </c:pt>
                <c:pt idx="289">
                  <c:v>6.4020208264143204</c:v>
                </c:pt>
                <c:pt idx="290">
                  <c:v>6.3530294076274805</c:v>
                </c:pt>
                <c:pt idx="291">
                  <c:v>6.3492674650576513</c:v>
                </c:pt>
                <c:pt idx="292">
                  <c:v>6.3201622326806657</c:v>
                </c:pt>
                <c:pt idx="293">
                  <c:v>6.3239089403011448</c:v>
                </c:pt>
                <c:pt idx="294">
                  <c:v>6.3445038391466344</c:v>
                </c:pt>
                <c:pt idx="295">
                  <c:v>6.3130688485984141</c:v>
                </c:pt>
                <c:pt idx="296">
                  <c:v>6.3601390569008052</c:v>
                </c:pt>
                <c:pt idx="297">
                  <c:v>6.2798683888407814</c:v>
                </c:pt>
                <c:pt idx="298">
                  <c:v>6.237536473452522</c:v>
                </c:pt>
                <c:pt idx="299">
                  <c:v>6.2228141890478099</c:v>
                </c:pt>
                <c:pt idx="300">
                  <c:v>6.2719093992693722</c:v>
                </c:pt>
                <c:pt idx="301">
                  <c:v>6.228461067936907</c:v>
                </c:pt>
                <c:pt idx="302">
                  <c:v>6.2375520915157709</c:v>
                </c:pt>
                <c:pt idx="303">
                  <c:v>6.1946318109022069</c:v>
                </c:pt>
                <c:pt idx="304">
                  <c:v>6.2026702487978609</c:v>
                </c:pt>
                <c:pt idx="305">
                  <c:v>6.1853813469209289</c:v>
                </c:pt>
                <c:pt idx="306">
                  <c:v>6.1914722323393905</c:v>
                </c:pt>
                <c:pt idx="307">
                  <c:v>6.1880444279573679</c:v>
                </c:pt>
                <c:pt idx="308">
                  <c:v>6.1461984337469069</c:v>
                </c:pt>
                <c:pt idx="309">
                  <c:v>6.1447579996728221</c:v>
                </c:pt>
                <c:pt idx="310">
                  <c:v>6.1658317016369368</c:v>
                </c:pt>
                <c:pt idx="311">
                  <c:v>6.1941524066650357</c:v>
                </c:pt>
                <c:pt idx="312">
                  <c:v>6.2265429954448637</c:v>
                </c:pt>
                <c:pt idx="313">
                  <c:v>6.2307298469591332</c:v>
                </c:pt>
                <c:pt idx="314">
                  <c:v>6.2616727195717194</c:v>
                </c:pt>
                <c:pt idx="315">
                  <c:v>6.255502304758954</c:v>
                </c:pt>
                <c:pt idx="316">
                  <c:v>6.2887150408345009</c:v>
                </c:pt>
                <c:pt idx="317">
                  <c:v>6.2129662707488214</c:v>
                </c:pt>
                <c:pt idx="318">
                  <c:v>6.1869529956968892</c:v>
                </c:pt>
                <c:pt idx="319">
                  <c:v>6.211135111612192</c:v>
                </c:pt>
                <c:pt idx="320">
                  <c:v>6.2412717129566753</c:v>
                </c:pt>
                <c:pt idx="321">
                  <c:v>6.2103883021763933</c:v>
                </c:pt>
                <c:pt idx="322">
                  <c:v>6.2273730112752848</c:v>
                </c:pt>
                <c:pt idx="323">
                  <c:v>6.1977437142231571</c:v>
                </c:pt>
                <c:pt idx="324">
                  <c:v>6.2217703185722462</c:v>
                </c:pt>
                <c:pt idx="325">
                  <c:v>6.2020626402897943</c:v>
                </c:pt>
                <c:pt idx="326">
                  <c:v>6.1302476732897944</c:v>
                </c:pt>
                <c:pt idx="327">
                  <c:v>6.1124126288269283</c:v>
                </c:pt>
                <c:pt idx="328">
                  <c:v>6.0833712851584227</c:v>
                </c:pt>
                <c:pt idx="329">
                  <c:v>6.0430479269444408</c:v>
                </c:pt>
                <c:pt idx="330">
                  <c:v>6.0908089975459294</c:v>
                </c:pt>
                <c:pt idx="331">
                  <c:v>6.0878413409643013</c:v>
                </c:pt>
                <c:pt idx="332">
                  <c:v>6.1095115547754624</c:v>
                </c:pt>
                <c:pt idx="333">
                  <c:v>5.9881390852879939</c:v>
                </c:pt>
                <c:pt idx="334">
                  <c:v>5.9925368193367579</c:v>
                </c:pt>
                <c:pt idx="335">
                  <c:v>5.9902563606406103</c:v>
                </c:pt>
                <c:pt idx="336">
                  <c:v>5.997815182912217</c:v>
                </c:pt>
                <c:pt idx="337">
                  <c:v>6.0604821814044421</c:v>
                </c:pt>
                <c:pt idx="338">
                  <c:v>6.0053558900211179</c:v>
                </c:pt>
                <c:pt idx="339">
                  <c:v>6.0197053783974823</c:v>
                </c:pt>
                <c:pt idx="340">
                  <c:v>5.9683568994468166</c:v>
                </c:pt>
                <c:pt idx="341">
                  <c:v>5.9780972123796081</c:v>
                </c:pt>
                <c:pt idx="342">
                  <c:v>5.9996266603208133</c:v>
                </c:pt>
                <c:pt idx="343">
                  <c:v>5.9490371729960634</c:v>
                </c:pt>
                <c:pt idx="344">
                  <c:v>5.9614696075506419</c:v>
                </c:pt>
                <c:pt idx="345">
                  <c:v>5.9233023694020774</c:v>
                </c:pt>
                <c:pt idx="346">
                  <c:v>5.9309054590857384</c:v>
                </c:pt>
                <c:pt idx="347">
                  <c:v>5.8906740357986935</c:v>
                </c:pt>
                <c:pt idx="348">
                  <c:v>5.9378034079536812</c:v>
                </c:pt>
                <c:pt idx="349">
                  <c:v>5.8493610124435058</c:v>
                </c:pt>
                <c:pt idx="350">
                  <c:v>5.7853567192439765</c:v>
                </c:pt>
                <c:pt idx="351">
                  <c:v>5.7596771216175373</c:v>
                </c:pt>
                <c:pt idx="352">
                  <c:v>5.7643309151956474</c:v>
                </c:pt>
                <c:pt idx="353">
                  <c:v>5.6946484811217273</c:v>
                </c:pt>
                <c:pt idx="354">
                  <c:v>5.6639064299644426</c:v>
                </c:pt>
                <c:pt idx="355">
                  <c:v>5.6281642842999853</c:v>
                </c:pt>
                <c:pt idx="356">
                  <c:v>5.6543788701826552</c:v>
                </c:pt>
                <c:pt idx="357">
                  <c:v>5.608129433586158</c:v>
                </c:pt>
                <c:pt idx="358">
                  <c:v>5.6028279348434191</c:v>
                </c:pt>
                <c:pt idx="359">
                  <c:v>5.5581253590689235</c:v>
                </c:pt>
                <c:pt idx="360">
                  <c:v>5.5395060585468583</c:v>
                </c:pt>
                <c:pt idx="361">
                  <c:v>5.5020591346454228</c:v>
                </c:pt>
                <c:pt idx="362">
                  <c:v>5.5492469989345805</c:v>
                </c:pt>
                <c:pt idx="363">
                  <c:v>5.5028454486013283</c:v>
                </c:pt>
                <c:pt idx="364">
                  <c:v>5.5446806045517159</c:v>
                </c:pt>
                <c:pt idx="365">
                  <c:v>5.5148681019932813</c:v>
                </c:pt>
                <c:pt idx="366">
                  <c:v>5.5731892516505548</c:v>
                </c:pt>
                <c:pt idx="367">
                  <c:v>5.5511694251196362</c:v>
                </c:pt>
                <c:pt idx="368">
                  <c:v>5.6183306820295282</c:v>
                </c:pt>
                <c:pt idx="369">
                  <c:v>5.5204288319609489</c:v>
                </c:pt>
                <c:pt idx="370">
                  <c:v>5.3908676423862598</c:v>
                </c:pt>
                <c:pt idx="371">
                  <c:v>5.2804527049061383</c:v>
                </c:pt>
                <c:pt idx="372">
                  <c:v>5.4009558107732278</c:v>
                </c:pt>
                <c:pt idx="373">
                  <c:v>5.2875758477379922</c:v>
                </c:pt>
                <c:pt idx="374">
                  <c:v>5.3814861890920866</c:v>
                </c:pt>
                <c:pt idx="375">
                  <c:v>5.4171191923567648</c:v>
                </c:pt>
                <c:pt idx="376">
                  <c:v>5.2472947171670752</c:v>
                </c:pt>
                <c:pt idx="377">
                  <c:v>5.4462330634537137</c:v>
                </c:pt>
                <c:pt idx="378">
                  <c:v>5.200968934665311</c:v>
                </c:pt>
                <c:pt idx="379">
                  <c:v>5.0670950963310863</c:v>
                </c:pt>
                <c:pt idx="380">
                  <c:v>4.9764289924771168</c:v>
                </c:pt>
                <c:pt idx="381">
                  <c:v>5.0566431167907497</c:v>
                </c:pt>
                <c:pt idx="382">
                  <c:v>5.0263746940900624</c:v>
                </c:pt>
                <c:pt idx="383">
                  <c:v>5.1072060437977651</c:v>
                </c:pt>
                <c:pt idx="384">
                  <c:v>5.0091060317395852</c:v>
                </c:pt>
                <c:pt idx="385">
                  <c:v>4.9972063280789447</c:v>
                </c:pt>
                <c:pt idx="386">
                  <c:v>5.0368199304329186</c:v>
                </c:pt>
                <c:pt idx="387">
                  <c:v>4.8321512978430547</c:v>
                </c:pt>
                <c:pt idx="388">
                  <c:v>4.745469137892198</c:v>
                </c:pt>
                <c:pt idx="389">
                  <c:v>4.8044118026455296</c:v>
                </c:pt>
                <c:pt idx="390">
                  <c:v>4.691938026848506</c:v>
                </c:pt>
                <c:pt idx="391">
                  <c:v>4.6341508580472004</c:v>
                </c:pt>
                <c:pt idx="392">
                  <c:v>4.6239536415254126</c:v>
                </c:pt>
                <c:pt idx="393">
                  <c:v>4.6383506348639951</c:v>
                </c:pt>
                <c:pt idx="394">
                  <c:v>4.6860444452606576</c:v>
                </c:pt>
                <c:pt idx="395">
                  <c:v>4.7031302723123929</c:v>
                </c:pt>
                <c:pt idx="396">
                  <c:v>4.6731900468379104</c:v>
                </c:pt>
                <c:pt idx="397">
                  <c:v>4.6329717548167189</c:v>
                </c:pt>
                <c:pt idx="398">
                  <c:v>4.6694061053370914</c:v>
                </c:pt>
                <c:pt idx="399">
                  <c:v>4.6587024923733358</c:v>
                </c:pt>
                <c:pt idx="400">
                  <c:v>4.529588521713805</c:v>
                </c:pt>
                <c:pt idx="401">
                  <c:v>4.4968225765881398</c:v>
                </c:pt>
                <c:pt idx="402">
                  <c:v>4.4417720784065979</c:v>
                </c:pt>
                <c:pt idx="403">
                  <c:v>4.4818770211928474</c:v>
                </c:pt>
                <c:pt idx="404">
                  <c:v>4.4983477265972578</c:v>
                </c:pt>
                <c:pt idx="405">
                  <c:v>4.5201872516161972</c:v>
                </c:pt>
                <c:pt idx="406">
                  <c:v>4.5328894419385479</c:v>
                </c:pt>
                <c:pt idx="407">
                  <c:v>4.5868241622272707</c:v>
                </c:pt>
                <c:pt idx="408">
                  <c:v>4.5214908292140565</c:v>
                </c:pt>
                <c:pt idx="409">
                  <c:v>4.5286484407958936</c:v>
                </c:pt>
                <c:pt idx="410">
                  <c:v>4.501274052807597</c:v>
                </c:pt>
                <c:pt idx="411">
                  <c:v>4.472861654796314</c:v>
                </c:pt>
                <c:pt idx="412">
                  <c:v>4.4437618053969521</c:v>
                </c:pt>
                <c:pt idx="413">
                  <c:v>4.4574522364077573</c:v>
                </c:pt>
                <c:pt idx="414">
                  <c:v>4.4877112360932481</c:v>
                </c:pt>
                <c:pt idx="415">
                  <c:v>4.4423332036116179</c:v>
                </c:pt>
                <c:pt idx="416">
                  <c:v>4.4823271910008797</c:v>
                </c:pt>
                <c:pt idx="417">
                  <c:v>4.495473717022672</c:v>
                </c:pt>
                <c:pt idx="418">
                  <c:v>4.459049794455348</c:v>
                </c:pt>
                <c:pt idx="419">
                  <c:v>4.4390987152574297</c:v>
                </c:pt>
                <c:pt idx="420">
                  <c:v>4.48412147403711</c:v>
                </c:pt>
                <c:pt idx="421">
                  <c:v>4.4777909720667237</c:v>
                </c:pt>
                <c:pt idx="422">
                  <c:v>4.4349797308927297</c:v>
                </c:pt>
                <c:pt idx="423">
                  <c:v>4.5092257549847066</c:v>
                </c:pt>
                <c:pt idx="424">
                  <c:v>4.4393751063899565</c:v>
                </c:pt>
                <c:pt idx="425">
                  <c:v>4.3937534783160537</c:v>
                </c:pt>
                <c:pt idx="426">
                  <c:v>4.3673541646834941</c:v>
                </c:pt>
                <c:pt idx="427">
                  <c:v>4.3583482795967923</c:v>
                </c:pt>
                <c:pt idx="428">
                  <c:v>4.4018276294659344</c:v>
                </c:pt>
                <c:pt idx="429">
                  <c:v>4.4591778039581085</c:v>
                </c:pt>
                <c:pt idx="430">
                  <c:v>4.4583565380224348</c:v>
                </c:pt>
                <c:pt idx="431">
                  <c:v>4.3656168173481813</c:v>
                </c:pt>
                <c:pt idx="432">
                  <c:v>4.4064667680821641</c:v>
                </c:pt>
                <c:pt idx="433">
                  <c:v>4.2739904320166042</c:v>
                </c:pt>
                <c:pt idx="434">
                  <c:v>4.246644811650115</c:v>
                </c:pt>
                <c:pt idx="435">
                  <c:v>4.2242054737595192</c:v>
                </c:pt>
                <c:pt idx="436">
                  <c:v>4.1947320082903543</c:v>
                </c:pt>
                <c:pt idx="437">
                  <c:v>4.0904102517288612</c:v>
                </c:pt>
                <c:pt idx="438">
                  <c:v>4.0585718556017447</c:v>
                </c:pt>
                <c:pt idx="439">
                  <c:v>4.0740570613815725</c:v>
                </c:pt>
                <c:pt idx="440">
                  <c:v>4.0834451242206722</c:v>
                </c:pt>
                <c:pt idx="441">
                  <c:v>4.0344653089946929</c:v>
                </c:pt>
                <c:pt idx="442">
                  <c:v>4.0947554012396052</c:v>
                </c:pt>
                <c:pt idx="443">
                  <c:v>4.1880891622853289</c:v>
                </c:pt>
                <c:pt idx="444">
                  <c:v>4.1354762302781598</c:v>
                </c:pt>
                <c:pt idx="445">
                  <c:v>4.1382645080225604</c:v>
                </c:pt>
                <c:pt idx="446">
                  <c:v>4.0710035768567563</c:v>
                </c:pt>
                <c:pt idx="447">
                  <c:v>4.221699360061276</c:v>
                </c:pt>
                <c:pt idx="448">
                  <c:v>4.1302516773298876</c:v>
                </c:pt>
                <c:pt idx="449">
                  <c:v>4.0763460137078598</c:v>
                </c:pt>
                <c:pt idx="450">
                  <c:v>4.0282949784610702</c:v>
                </c:pt>
                <c:pt idx="451">
                  <c:v>4.0216918419509753</c:v>
                </c:pt>
                <c:pt idx="452">
                  <c:v>4.080130711777513</c:v>
                </c:pt>
                <c:pt idx="453">
                  <c:v>4.043617259838137</c:v>
                </c:pt>
                <c:pt idx="454">
                  <c:v>4.0282829421141111</c:v>
                </c:pt>
                <c:pt idx="455">
                  <c:v>4.030489764791092</c:v>
                </c:pt>
                <c:pt idx="456">
                  <c:v>4.0700324605996583</c:v>
                </c:pt>
                <c:pt idx="457">
                  <c:v>4.1041306479991633</c:v>
                </c:pt>
                <c:pt idx="458">
                  <c:v>4.1135935110325645</c:v>
                </c:pt>
                <c:pt idx="459">
                  <c:v>4.1350267273271255</c:v>
                </c:pt>
                <c:pt idx="460">
                  <c:v>4.1696258632828034</c:v>
                </c:pt>
                <c:pt idx="461">
                  <c:v>4.1332418490014238</c:v>
                </c:pt>
                <c:pt idx="462">
                  <c:v>4.072368498562275</c:v>
                </c:pt>
                <c:pt idx="463">
                  <c:v>4.0253821949828668</c:v>
                </c:pt>
                <c:pt idx="464">
                  <c:v>3.9856165917434532</c:v>
                </c:pt>
                <c:pt idx="465">
                  <c:v>4.0453507324651579</c:v>
                </c:pt>
                <c:pt idx="466">
                  <c:v>4.0488109903290841</c:v>
                </c:pt>
                <c:pt idx="467">
                  <c:v>4.0228880396717841</c:v>
                </c:pt>
                <c:pt idx="468">
                  <c:v>4.0087739451587421</c:v>
                </c:pt>
                <c:pt idx="469">
                  <c:v>4.0074394901715609</c:v>
                </c:pt>
                <c:pt idx="470">
                  <c:v>3.9913398300493874</c:v>
                </c:pt>
                <c:pt idx="471">
                  <c:v>4.0119126707534774</c:v>
                </c:pt>
                <c:pt idx="472">
                  <c:v>4.0212497614190443</c:v>
                </c:pt>
                <c:pt idx="473">
                  <c:v>3.9822494091028431</c:v>
                </c:pt>
                <c:pt idx="474">
                  <c:v>3.9330396000072501</c:v>
                </c:pt>
                <c:pt idx="475">
                  <c:v>3.9763089338488502</c:v>
                </c:pt>
                <c:pt idx="476">
                  <c:v>3.8888267996894541</c:v>
                </c:pt>
                <c:pt idx="477">
                  <c:v>3.8019569935514026</c:v>
                </c:pt>
                <c:pt idx="478">
                  <c:v>3.7337514755609842</c:v>
                </c:pt>
                <c:pt idx="479">
                  <c:v>3.7800763202549015</c:v>
                </c:pt>
                <c:pt idx="480">
                  <c:v>3.7457590677753352</c:v>
                </c:pt>
                <c:pt idx="481">
                  <c:v>3.7186721813653607</c:v>
                </c:pt>
                <c:pt idx="482">
                  <c:v>3.7316030954225035</c:v>
                </c:pt>
                <c:pt idx="483">
                  <c:v>3.753913106479597</c:v>
                </c:pt>
                <c:pt idx="484">
                  <c:v>3.7854332939336874</c:v>
                </c:pt>
                <c:pt idx="485">
                  <c:v>3.7925001665693729</c:v>
                </c:pt>
                <c:pt idx="486">
                  <c:v>3.7309434199919318</c:v>
                </c:pt>
                <c:pt idx="487">
                  <c:v>3.7930129421949754</c:v>
                </c:pt>
                <c:pt idx="488">
                  <c:v>3.7292165181787911</c:v>
                </c:pt>
                <c:pt idx="489">
                  <c:v>3.7764615824894552</c:v>
                </c:pt>
                <c:pt idx="490">
                  <c:v>3.6788291164980231</c:v>
                </c:pt>
                <c:pt idx="491">
                  <c:v>3.5258267559527892</c:v>
                </c:pt>
                <c:pt idx="492">
                  <c:v>3.6239554364417574</c:v>
                </c:pt>
                <c:pt idx="493">
                  <c:v>3.645660971799646</c:v>
                </c:pt>
                <c:pt idx="494">
                  <c:v>3.7566879178737165</c:v>
                </c:pt>
                <c:pt idx="495">
                  <c:v>3.8001189780405618</c:v>
                </c:pt>
                <c:pt idx="496">
                  <c:v>3.8118927131533256</c:v>
                </c:pt>
                <c:pt idx="497">
                  <c:v>3.8601239976454904</c:v>
                </c:pt>
                <c:pt idx="498">
                  <c:v>3.870262562973557</c:v>
                </c:pt>
                <c:pt idx="499">
                  <c:v>3.9085221554873706</c:v>
                </c:pt>
                <c:pt idx="500">
                  <c:v>3.9948674429218403</c:v>
                </c:pt>
                <c:pt idx="501">
                  <c:v>3.9650627260656255</c:v>
                </c:pt>
                <c:pt idx="502">
                  <c:v>4.0304369804834916</c:v>
                </c:pt>
                <c:pt idx="503">
                  <c:v>3.9731594755928863</c:v>
                </c:pt>
                <c:pt idx="504">
                  <c:v>3.9547501493064465</c:v>
                </c:pt>
                <c:pt idx="505">
                  <c:v>4.0189623861342465</c:v>
                </c:pt>
                <c:pt idx="506">
                  <c:v>3.9669258131028133</c:v>
                </c:pt>
                <c:pt idx="507">
                  <c:v>3.990600942428296</c:v>
                </c:pt>
                <c:pt idx="508">
                  <c:v>3.9275430163679128</c:v>
                </c:pt>
                <c:pt idx="509">
                  <c:v>3.7626730853767167</c:v>
                </c:pt>
                <c:pt idx="510">
                  <c:v>3.8087882426849915</c:v>
                </c:pt>
                <c:pt idx="511">
                  <c:v>3.7267462037926808</c:v>
                </c:pt>
                <c:pt idx="512">
                  <c:v>3.8123652038904088</c:v>
                </c:pt>
                <c:pt idx="513">
                  <c:v>3.8460805742021655</c:v>
                </c:pt>
                <c:pt idx="514">
                  <c:v>3.8141299636055486</c:v>
                </c:pt>
                <c:pt idx="515">
                  <c:v>3.8934022159816055</c:v>
                </c:pt>
                <c:pt idx="516">
                  <c:v>3.9930306508151125</c:v>
                </c:pt>
                <c:pt idx="517">
                  <c:v>3.9487897180310623</c:v>
                </c:pt>
                <c:pt idx="518">
                  <c:v>3.9196572128282354</c:v>
                </c:pt>
                <c:pt idx="519">
                  <c:v>3.9529759137735243</c:v>
                </c:pt>
                <c:pt idx="520">
                  <c:v>3.9048420774174564</c:v>
                </c:pt>
                <c:pt idx="521">
                  <c:v>3.9449098150829927</c:v>
                </c:pt>
                <c:pt idx="522">
                  <c:v>3.966131797195394</c:v>
                </c:pt>
                <c:pt idx="523">
                  <c:v>3.9958008965106759</c:v>
                </c:pt>
                <c:pt idx="524">
                  <c:v>3.894040509030706</c:v>
                </c:pt>
                <c:pt idx="525">
                  <c:v>4.0041003261161583</c:v>
                </c:pt>
                <c:pt idx="526">
                  <c:v>4.0471168110233267</c:v>
                </c:pt>
                <c:pt idx="527">
                  <c:v>4.0277224322864749</c:v>
                </c:pt>
                <c:pt idx="528">
                  <c:v>4.0257615031102034</c:v>
                </c:pt>
                <c:pt idx="529">
                  <c:v>4.0763118369253606</c:v>
                </c:pt>
                <c:pt idx="530">
                  <c:v>4.1445834203185266</c:v>
                </c:pt>
                <c:pt idx="531">
                  <c:v>4.0311099545445712</c:v>
                </c:pt>
                <c:pt idx="532">
                  <c:v>4.0297998928754684</c:v>
                </c:pt>
                <c:pt idx="533">
                  <c:v>4.0157626747461217</c:v>
                </c:pt>
                <c:pt idx="534">
                  <c:v>3.8215806715069096</c:v>
                </c:pt>
                <c:pt idx="535">
                  <c:v>3.77767934865253</c:v>
                </c:pt>
                <c:pt idx="536">
                  <c:v>3.7345870032608546</c:v>
                </c:pt>
                <c:pt idx="537">
                  <c:v>3.600077741231309</c:v>
                </c:pt>
                <c:pt idx="538">
                  <c:v>3.4832093606504726</c:v>
                </c:pt>
                <c:pt idx="539">
                  <c:v>3.391582258681558</c:v>
                </c:pt>
                <c:pt idx="540">
                  <c:v>3.3135205798427099</c:v>
                </c:pt>
                <c:pt idx="541">
                  <c:v>3.3380306311732268</c:v>
                </c:pt>
                <c:pt idx="542">
                  <c:v>3.1932471846682025</c:v>
                </c:pt>
                <c:pt idx="543">
                  <c:v>3.0697518642794774</c:v>
                </c:pt>
                <c:pt idx="544">
                  <c:v>2.9645048561697647</c:v>
                </c:pt>
                <c:pt idx="545">
                  <c:v>2.9040143232966362</c:v>
                </c:pt>
                <c:pt idx="546">
                  <c:v>2.8498477553862065</c:v>
                </c:pt>
                <c:pt idx="547">
                  <c:v>2.8195109214350436</c:v>
                </c:pt>
                <c:pt idx="548">
                  <c:v>2.8616330568805668</c:v>
                </c:pt>
                <c:pt idx="549">
                  <c:v>2.8398392915795934</c:v>
                </c:pt>
                <c:pt idx="550">
                  <c:v>2.8087381538217899</c:v>
                </c:pt>
                <c:pt idx="551">
                  <c:v>2.8268917816778645</c:v>
                </c:pt>
                <c:pt idx="552">
                  <c:v>2.7971975165986147</c:v>
                </c:pt>
                <c:pt idx="553">
                  <c:v>2.8584569735479559</c:v>
                </c:pt>
                <c:pt idx="554">
                  <c:v>2.812238636406482</c:v>
                </c:pt>
                <c:pt idx="555">
                  <c:v>2.7743990899825888</c:v>
                </c:pt>
                <c:pt idx="556">
                  <c:v>2.7717646777338594</c:v>
                </c:pt>
                <c:pt idx="557">
                  <c:v>2.8585259220601715</c:v>
                </c:pt>
                <c:pt idx="558">
                  <c:v>2.8315990678668874</c:v>
                </c:pt>
                <c:pt idx="559">
                  <c:v>2.8269031840029522</c:v>
                </c:pt>
                <c:pt idx="560">
                  <c:v>2.8904183242014665</c:v>
                </c:pt>
                <c:pt idx="561">
                  <c:v>2.9161821781051493</c:v>
                </c:pt>
                <c:pt idx="562">
                  <c:v>2.8095205615897094</c:v>
                </c:pt>
                <c:pt idx="563">
                  <c:v>2.6354743384860129</c:v>
                </c:pt>
                <c:pt idx="564">
                  <c:v>2.8255655522570726</c:v>
                </c:pt>
                <c:pt idx="565">
                  <c:v>2.6522899211090891</c:v>
                </c:pt>
                <c:pt idx="566">
                  <c:v>2.6579616210017747</c:v>
                </c:pt>
                <c:pt idx="567">
                  <c:v>2.5795887743123798</c:v>
                </c:pt>
                <c:pt idx="568">
                  <c:v>2.5860040208500505</c:v>
                </c:pt>
                <c:pt idx="569">
                  <c:v>2.4449479611716081</c:v>
                </c:pt>
                <c:pt idx="570">
                  <c:v>2.3880774972937187</c:v>
                </c:pt>
                <c:pt idx="571">
                  <c:v>2.3113237301009457</c:v>
                </c:pt>
                <c:pt idx="572">
                  <c:v>2.3041276546351552</c:v>
                </c:pt>
                <c:pt idx="573">
                  <c:v>2.2897382549788352</c:v>
                </c:pt>
                <c:pt idx="574">
                  <c:v>2.3226664163713862</c:v>
                </c:pt>
                <c:pt idx="575">
                  <c:v>2.3036430562411581</c:v>
                </c:pt>
                <c:pt idx="576">
                  <c:v>2.271840871372699</c:v>
                </c:pt>
                <c:pt idx="577">
                  <c:v>2.2883909524487303</c:v>
                </c:pt>
                <c:pt idx="578">
                  <c:v>2.2537144658021697</c:v>
                </c:pt>
                <c:pt idx="579">
                  <c:v>2.2259995172676614</c:v>
                </c:pt>
                <c:pt idx="580">
                  <c:v>2.2546847493754449</c:v>
                </c:pt>
                <c:pt idx="581">
                  <c:v>2.2901099471163144</c:v>
                </c:pt>
                <c:pt idx="582">
                  <c:v>2.2311792369793846</c:v>
                </c:pt>
                <c:pt idx="583">
                  <c:v>2.2369025246129897</c:v>
                </c:pt>
                <c:pt idx="584">
                  <c:v>2.1858080974452645</c:v>
                </c:pt>
                <c:pt idx="585">
                  <c:v>2.139753297444781</c:v>
                </c:pt>
                <c:pt idx="586">
                  <c:v>2.1363052887796226</c:v>
                </c:pt>
                <c:pt idx="587">
                  <c:v>2.1226140497776482</c:v>
                </c:pt>
                <c:pt idx="588">
                  <c:v>2.129971824284477</c:v>
                </c:pt>
                <c:pt idx="589">
                  <c:v>2.1434614029118566</c:v>
                </c:pt>
                <c:pt idx="590">
                  <c:v>2.1125205010474941</c:v>
                </c:pt>
                <c:pt idx="591">
                  <c:v>2.0914869789788608</c:v>
                </c:pt>
                <c:pt idx="592">
                  <c:v>2.0482262082182854</c:v>
                </c:pt>
                <c:pt idx="593">
                  <c:v>2.0614114292509327</c:v>
                </c:pt>
                <c:pt idx="594">
                  <c:v>2.0514754494366914</c:v>
                </c:pt>
                <c:pt idx="595">
                  <c:v>2.0340216502505659</c:v>
                </c:pt>
                <c:pt idx="596">
                  <c:v>2.0887479181014266</c:v>
                </c:pt>
                <c:pt idx="597">
                  <c:v>2.074569837598359</c:v>
                </c:pt>
                <c:pt idx="598">
                  <c:v>2.0740497389670618</c:v>
                </c:pt>
                <c:pt idx="599">
                  <c:v>2.0544611119444638</c:v>
                </c:pt>
                <c:pt idx="600">
                  <c:v>2.046411171969464</c:v>
                </c:pt>
                <c:pt idx="601">
                  <c:v>2.0462508676005751</c:v>
                </c:pt>
                <c:pt idx="602">
                  <c:v>2.0638402643596816</c:v>
                </c:pt>
                <c:pt idx="603">
                  <c:v>2.0559536630173723</c:v>
                </c:pt>
                <c:pt idx="604">
                  <c:v>2.0281172847102944</c:v>
                </c:pt>
                <c:pt idx="605">
                  <c:v>2.0170365351083377</c:v>
                </c:pt>
                <c:pt idx="606">
                  <c:v>1.9787414630403377</c:v>
                </c:pt>
                <c:pt idx="607">
                  <c:v>1.9948383807409968</c:v>
                </c:pt>
                <c:pt idx="608">
                  <c:v>1.9489759421391399</c:v>
                </c:pt>
                <c:pt idx="609">
                  <c:v>1.9833524865682788</c:v>
                </c:pt>
                <c:pt idx="610">
                  <c:v>1.9460248620977085</c:v>
                </c:pt>
                <c:pt idx="611">
                  <c:v>1.9515172498394528</c:v>
                </c:pt>
                <c:pt idx="612">
                  <c:v>1.9389589063501007</c:v>
                </c:pt>
                <c:pt idx="613">
                  <c:v>1.9242318967940191</c:v>
                </c:pt>
                <c:pt idx="614">
                  <c:v>1.9828326496039446</c:v>
                </c:pt>
                <c:pt idx="615">
                  <c:v>2.0325802207045531</c:v>
                </c:pt>
                <c:pt idx="616">
                  <c:v>1.9948553745245539</c:v>
                </c:pt>
                <c:pt idx="617">
                  <c:v>2.0520642532362445</c:v>
                </c:pt>
                <c:pt idx="618">
                  <c:v>1.9959944359436426</c:v>
                </c:pt>
                <c:pt idx="619">
                  <c:v>1.959049793292331</c:v>
                </c:pt>
                <c:pt idx="620">
                  <c:v>1.9421569050435565</c:v>
                </c:pt>
                <c:pt idx="621">
                  <c:v>1.9574625040535767</c:v>
                </c:pt>
                <c:pt idx="622">
                  <c:v>1.9303687336609667</c:v>
                </c:pt>
                <c:pt idx="623">
                  <c:v>1.9621574987106247</c:v>
                </c:pt>
                <c:pt idx="624">
                  <c:v>1.9324821921933872</c:v>
                </c:pt>
                <c:pt idx="625">
                  <c:v>1.9058249367160329</c:v>
                </c:pt>
                <c:pt idx="626">
                  <c:v>1.8887640856804087</c:v>
                </c:pt>
                <c:pt idx="627">
                  <c:v>1.8768650495664216</c:v>
                </c:pt>
                <c:pt idx="628">
                  <c:v>1.8639361632635623</c:v>
                </c:pt>
                <c:pt idx="629">
                  <c:v>1.8447506258759743</c:v>
                </c:pt>
                <c:pt idx="630">
                  <c:v>1.8208266701016154</c:v>
                </c:pt>
                <c:pt idx="631">
                  <c:v>1.7916288498737463</c:v>
                </c:pt>
                <c:pt idx="632">
                  <c:v>1.8352966194228764</c:v>
                </c:pt>
                <c:pt idx="633">
                  <c:v>1.8652761921986263</c:v>
                </c:pt>
                <c:pt idx="634">
                  <c:v>1.8079174030565761</c:v>
                </c:pt>
                <c:pt idx="635">
                  <c:v>1.8278576381220872</c:v>
                </c:pt>
                <c:pt idx="636">
                  <c:v>1.8119130490402413</c:v>
                </c:pt>
                <c:pt idx="637">
                  <c:v>1.8502190606765543</c:v>
                </c:pt>
                <c:pt idx="638">
                  <c:v>1.9225541417661336</c:v>
                </c:pt>
                <c:pt idx="639">
                  <c:v>1.8581734434477255</c:v>
                </c:pt>
                <c:pt idx="640">
                  <c:v>1.8615351324080587</c:v>
                </c:pt>
                <c:pt idx="641">
                  <c:v>1.8302664395947448</c:v>
                </c:pt>
                <c:pt idx="642">
                  <c:v>1.8384749187519207</c:v>
                </c:pt>
                <c:pt idx="643">
                  <c:v>1.8663890001999108</c:v>
                </c:pt>
                <c:pt idx="644">
                  <c:v>1.9068303837188518</c:v>
                </c:pt>
                <c:pt idx="645">
                  <c:v>1.9069666735502275</c:v>
                </c:pt>
                <c:pt idx="646">
                  <c:v>1.7983796854220941</c:v>
                </c:pt>
                <c:pt idx="647">
                  <c:v>1.8341694040557945</c:v>
                </c:pt>
                <c:pt idx="648">
                  <c:v>1.9808741566337942</c:v>
                </c:pt>
                <c:pt idx="649">
                  <c:v>2.0595172357740839</c:v>
                </c:pt>
                <c:pt idx="650">
                  <c:v>1.9378583151871389</c:v>
                </c:pt>
                <c:pt idx="651">
                  <c:v>1.9363066625738237</c:v>
                </c:pt>
                <c:pt idx="652">
                  <c:v>1.7484371772495226</c:v>
                </c:pt>
                <c:pt idx="653">
                  <c:v>1.8846971645745223</c:v>
                </c:pt>
                <c:pt idx="654">
                  <c:v>1.9940981232136756</c:v>
                </c:pt>
                <c:pt idx="655">
                  <c:v>1.9032066048702472</c:v>
                </c:pt>
                <c:pt idx="656">
                  <c:v>1.8828640849001084</c:v>
                </c:pt>
                <c:pt idx="657">
                  <c:v>1.8169916440119152</c:v>
                </c:pt>
                <c:pt idx="658">
                  <c:v>1.613254033874278</c:v>
                </c:pt>
                <c:pt idx="659">
                  <c:v>1.5887337964708663</c:v>
                </c:pt>
                <c:pt idx="660">
                  <c:v>1.4194507626064283</c:v>
                </c:pt>
                <c:pt idx="661">
                  <c:v>1.4215210026750966</c:v>
                </c:pt>
                <c:pt idx="662">
                  <c:v>1.3090508869103061</c:v>
                </c:pt>
                <c:pt idx="663">
                  <c:v>1.3249877470481577</c:v>
                </c:pt>
                <c:pt idx="664">
                  <c:v>1.3010586798299342</c:v>
                </c:pt>
                <c:pt idx="665">
                  <c:v>1.334082846204196</c:v>
                </c:pt>
                <c:pt idx="666">
                  <c:v>1.4231856082193455</c:v>
                </c:pt>
                <c:pt idx="667">
                  <c:v>1.3301837736270379</c:v>
                </c:pt>
                <c:pt idx="668">
                  <c:v>1.2765695260753174</c:v>
                </c:pt>
                <c:pt idx="669">
                  <c:v>1.2471464079780257</c:v>
                </c:pt>
                <c:pt idx="670">
                  <c:v>1.3147059160343015</c:v>
                </c:pt>
                <c:pt idx="671">
                  <c:v>1.2382298566332772</c:v>
                </c:pt>
                <c:pt idx="672">
                  <c:v>1.2993665656332771</c:v>
                </c:pt>
                <c:pt idx="673">
                  <c:v>1.2311785485332774</c:v>
                </c:pt>
                <c:pt idx="674">
                  <c:v>1.2421258041063905</c:v>
                </c:pt>
                <c:pt idx="675">
                  <c:v>1.1846976534260034</c:v>
                </c:pt>
                <c:pt idx="676">
                  <c:v>1.0169016229593368</c:v>
                </c:pt>
                <c:pt idx="677">
                  <c:v>1.1717109571404261</c:v>
                </c:pt>
                <c:pt idx="678">
                  <c:v>1.1158437139957591</c:v>
                </c:pt>
                <c:pt idx="679">
                  <c:v>1.1927412989499682</c:v>
                </c:pt>
                <c:pt idx="680">
                  <c:v>1.0376944679627287</c:v>
                </c:pt>
                <c:pt idx="681">
                  <c:v>0.82848388989252575</c:v>
                </c:pt>
                <c:pt idx="682">
                  <c:v>0.89706816041004778</c:v>
                </c:pt>
                <c:pt idx="683">
                  <c:v>0.96835787882069169</c:v>
                </c:pt>
                <c:pt idx="684">
                  <c:v>1.1171962919193932</c:v>
                </c:pt>
                <c:pt idx="685">
                  <c:v>1.259931529555476</c:v>
                </c:pt>
                <c:pt idx="686">
                  <c:v>0.86076145973794715</c:v>
                </c:pt>
                <c:pt idx="687">
                  <c:v>0.83544030279310577</c:v>
                </c:pt>
                <c:pt idx="688">
                  <c:v>0.84512129754885246</c:v>
                </c:pt>
                <c:pt idx="689">
                  <c:v>0.81928783530268579</c:v>
                </c:pt>
                <c:pt idx="690">
                  <c:v>0.71484191335009384</c:v>
                </c:pt>
                <c:pt idx="691">
                  <c:v>0.77661983486444452</c:v>
                </c:pt>
                <c:pt idx="692">
                  <c:v>0.84684201442546636</c:v>
                </c:pt>
                <c:pt idx="693">
                  <c:v>0.83393870591905583</c:v>
                </c:pt>
                <c:pt idx="694">
                  <c:v>0.87392825625406145</c:v>
                </c:pt>
                <c:pt idx="695">
                  <c:v>0.96992507897099511</c:v>
                </c:pt>
                <c:pt idx="696">
                  <c:v>0.85711530831886018</c:v>
                </c:pt>
                <c:pt idx="697">
                  <c:v>0.77923497139392661</c:v>
                </c:pt>
                <c:pt idx="698">
                  <c:v>0.86603456719308936</c:v>
                </c:pt>
                <c:pt idx="699">
                  <c:v>0.99056478651789515</c:v>
                </c:pt>
                <c:pt idx="700">
                  <c:v>0.86648528214077547</c:v>
                </c:pt>
                <c:pt idx="701">
                  <c:v>0.76807178404088772</c:v>
                </c:pt>
                <c:pt idx="702">
                  <c:v>0.78449160131929474</c:v>
                </c:pt>
                <c:pt idx="703">
                  <c:v>0.90629090388280842</c:v>
                </c:pt>
                <c:pt idx="704">
                  <c:v>0.94948140559899386</c:v>
                </c:pt>
                <c:pt idx="705">
                  <c:v>0.94453677598416463</c:v>
                </c:pt>
                <c:pt idx="706">
                  <c:v>0.98057835374300284</c:v>
                </c:pt>
                <c:pt idx="707">
                  <c:v>1.0137610223228628</c:v>
                </c:pt>
                <c:pt idx="708">
                  <c:v>1.0206066572524908</c:v>
                </c:pt>
                <c:pt idx="709">
                  <c:v>1.0605579130637282</c:v>
                </c:pt>
                <c:pt idx="710">
                  <c:v>0.98164398611409232</c:v>
                </c:pt>
                <c:pt idx="711">
                  <c:v>0.92024803764632734</c:v>
                </c:pt>
                <c:pt idx="712">
                  <c:v>0.91818794992323105</c:v>
                </c:pt>
                <c:pt idx="713">
                  <c:v>0.92879980910790771</c:v>
                </c:pt>
                <c:pt idx="714">
                  <c:v>0.84318639510740745</c:v>
                </c:pt>
                <c:pt idx="715">
                  <c:v>0.85832585960691044</c:v>
                </c:pt>
                <c:pt idx="716">
                  <c:v>0.88026180455435954</c:v>
                </c:pt>
                <c:pt idx="717">
                  <c:v>0.7636635393379918</c:v>
                </c:pt>
                <c:pt idx="718">
                  <c:v>0.76534845261084505</c:v>
                </c:pt>
                <c:pt idx="719">
                  <c:v>0.70564595885590919</c:v>
                </c:pt>
                <c:pt idx="720">
                  <c:v>0.64432528062285699</c:v>
                </c:pt>
                <c:pt idx="721">
                  <c:v>0.5336423927286903</c:v>
                </c:pt>
                <c:pt idx="722">
                  <c:v>0.52040147467244025</c:v>
                </c:pt>
                <c:pt idx="723">
                  <c:v>0.50224224150148067</c:v>
                </c:pt>
                <c:pt idx="724">
                  <c:v>0.5022073198550937</c:v>
                </c:pt>
                <c:pt idx="725">
                  <c:v>0.52125622966883522</c:v>
                </c:pt>
                <c:pt idx="726">
                  <c:v>0.51348481972613413</c:v>
                </c:pt>
                <c:pt idx="727">
                  <c:v>0.50307331725285942</c:v>
                </c:pt>
                <c:pt idx="728">
                  <c:v>0.50981720845436762</c:v>
                </c:pt>
                <c:pt idx="729">
                  <c:v>0.46829069751155983</c:v>
                </c:pt>
                <c:pt idx="730">
                  <c:v>0.44541743506549686</c:v>
                </c:pt>
                <c:pt idx="731">
                  <c:v>0.4249096668304006</c:v>
                </c:pt>
                <c:pt idx="732">
                  <c:v>0.4344952911219167</c:v>
                </c:pt>
                <c:pt idx="733">
                  <c:v>0.41512692642191673</c:v>
                </c:pt>
                <c:pt idx="734">
                  <c:v>0.42303526761337729</c:v>
                </c:pt>
                <c:pt idx="735">
                  <c:v>0.39647153163465371</c:v>
                </c:pt>
                <c:pt idx="736">
                  <c:v>0.42534708840655977</c:v>
                </c:pt>
                <c:pt idx="737">
                  <c:v>0.43182553557798836</c:v>
                </c:pt>
                <c:pt idx="738">
                  <c:v>0.426380483886724</c:v>
                </c:pt>
                <c:pt idx="739">
                  <c:v>0.40806889290178827</c:v>
                </c:pt>
                <c:pt idx="740">
                  <c:v>0.43897721181466859</c:v>
                </c:pt>
                <c:pt idx="741">
                  <c:v>0.40389461556303752</c:v>
                </c:pt>
                <c:pt idx="742">
                  <c:v>0.37881699692603915</c:v>
                </c:pt>
                <c:pt idx="743">
                  <c:v>0.33735263975094676</c:v>
                </c:pt>
                <c:pt idx="744">
                  <c:v>0.36643229998774246</c:v>
                </c:pt>
                <c:pt idx="745">
                  <c:v>0.3419363625282717</c:v>
                </c:pt>
                <c:pt idx="746">
                  <c:v>0.34533227321560406</c:v>
                </c:pt>
                <c:pt idx="747">
                  <c:v>0.35830375045168467</c:v>
                </c:pt>
                <c:pt idx="748">
                  <c:v>0.36384887659121223</c:v>
                </c:pt>
                <c:pt idx="749">
                  <c:v>0.34050023213183134</c:v>
                </c:pt>
                <c:pt idx="750">
                  <c:v>0.32367484748318465</c:v>
                </c:pt>
                <c:pt idx="751">
                  <c:v>0.3586683124847917</c:v>
                </c:pt>
                <c:pt idx="752">
                  <c:v>0.31079671922803498</c:v>
                </c:pt>
                <c:pt idx="753">
                  <c:v>0.27832640433809669</c:v>
                </c:pt>
                <c:pt idx="754">
                  <c:v>0.287778027297244</c:v>
                </c:pt>
                <c:pt idx="755">
                  <c:v>0.28372222009625392</c:v>
                </c:pt>
                <c:pt idx="756">
                  <c:v>0.27287819474637115</c:v>
                </c:pt>
                <c:pt idx="757">
                  <c:v>0.27931338280942852</c:v>
                </c:pt>
                <c:pt idx="758">
                  <c:v>0.2784769190540145</c:v>
                </c:pt>
                <c:pt idx="759">
                  <c:v>0.28906066307103573</c:v>
                </c:pt>
                <c:pt idx="760">
                  <c:v>0.29591149459460397</c:v>
                </c:pt>
                <c:pt idx="761">
                  <c:v>0.29016127698349287</c:v>
                </c:pt>
                <c:pt idx="762">
                  <c:v>0.29180942704955204</c:v>
                </c:pt>
                <c:pt idx="763">
                  <c:v>0.29830068213936684</c:v>
                </c:pt>
                <c:pt idx="764">
                  <c:v>0.3015064141046665</c:v>
                </c:pt>
                <c:pt idx="765">
                  <c:v>0.30902195858262471</c:v>
                </c:pt>
                <c:pt idx="766">
                  <c:v>0.31351651890719617</c:v>
                </c:pt>
                <c:pt idx="767">
                  <c:v>0.33291365179749477</c:v>
                </c:pt>
                <c:pt idx="768">
                  <c:v>0.31821710554646027</c:v>
                </c:pt>
                <c:pt idx="769">
                  <c:v>0.33856911063979372</c:v>
                </c:pt>
                <c:pt idx="770">
                  <c:v>0.30836351547593488</c:v>
                </c:pt>
                <c:pt idx="771">
                  <c:v>0.31876898784149132</c:v>
                </c:pt>
                <c:pt idx="772">
                  <c:v>0.24953588774595939</c:v>
                </c:pt>
                <c:pt idx="773">
                  <c:v>0.29419277992162873</c:v>
                </c:pt>
                <c:pt idx="774">
                  <c:v>0.31642832851988312</c:v>
                </c:pt>
                <c:pt idx="775">
                  <c:v>0.30584032543358347</c:v>
                </c:pt>
                <c:pt idx="776">
                  <c:v>0.31637529124696545</c:v>
                </c:pt>
                <c:pt idx="777">
                  <c:v>0.32772614489546947</c:v>
                </c:pt>
                <c:pt idx="778">
                  <c:v>0.32870824096206014</c:v>
                </c:pt>
                <c:pt idx="779">
                  <c:v>0.35749555965926111</c:v>
                </c:pt>
                <c:pt idx="780">
                  <c:v>0.26904790717081167</c:v>
                </c:pt>
                <c:pt idx="781">
                  <c:v>0.24133702935786222</c:v>
                </c:pt>
                <c:pt idx="782">
                  <c:v>0.23665897637313668</c:v>
                </c:pt>
                <c:pt idx="783">
                  <c:v>0.25482477136792842</c:v>
                </c:pt>
                <c:pt idx="784">
                  <c:v>0.22185923016896011</c:v>
                </c:pt>
                <c:pt idx="785">
                  <c:v>0.23053027630664358</c:v>
                </c:pt>
                <c:pt idx="786">
                  <c:v>0.27399288898429069</c:v>
                </c:pt>
                <c:pt idx="787">
                  <c:v>0.27477120147330669</c:v>
                </c:pt>
                <c:pt idx="788">
                  <c:v>0.28642141614883487</c:v>
                </c:pt>
                <c:pt idx="789">
                  <c:v>0.29854739412984299</c:v>
                </c:pt>
                <c:pt idx="790">
                  <c:v>0.31094640185005729</c:v>
                </c:pt>
                <c:pt idx="791">
                  <c:v>0.29543662606255727</c:v>
                </c:pt>
                <c:pt idx="792">
                  <c:v>0.28161319490543302</c:v>
                </c:pt>
                <c:pt idx="793">
                  <c:v>0.25647187835224133</c:v>
                </c:pt>
                <c:pt idx="794">
                  <c:v>0.26319811624218953</c:v>
                </c:pt>
                <c:pt idx="795">
                  <c:v>0.24437550406184003</c:v>
                </c:pt>
                <c:pt idx="796">
                  <c:v>0.28162797035212828</c:v>
                </c:pt>
                <c:pt idx="797">
                  <c:v>0.25025467547934688</c:v>
                </c:pt>
                <c:pt idx="798">
                  <c:v>0.250690609620704</c:v>
                </c:pt>
                <c:pt idx="799">
                  <c:v>0.26846722251022515</c:v>
                </c:pt>
                <c:pt idx="800">
                  <c:v>0.27481307972537306</c:v>
                </c:pt>
                <c:pt idx="801">
                  <c:v>0.26199127260822908</c:v>
                </c:pt>
                <c:pt idx="802">
                  <c:v>0.27283706601582497</c:v>
                </c:pt>
                <c:pt idx="803">
                  <c:v>0.2772675426513449</c:v>
                </c:pt>
                <c:pt idx="804">
                  <c:v>0.27370990455164795</c:v>
                </c:pt>
                <c:pt idx="805">
                  <c:v>0.23007740369772853</c:v>
                </c:pt>
                <c:pt idx="806">
                  <c:v>0.24664831063857648</c:v>
                </c:pt>
                <c:pt idx="807">
                  <c:v>0.21107360561787319</c:v>
                </c:pt>
                <c:pt idx="808">
                  <c:v>0.20518661138439925</c:v>
                </c:pt>
                <c:pt idx="809">
                  <c:v>0.19663482742717989</c:v>
                </c:pt>
                <c:pt idx="810">
                  <c:v>0.2016244466271799</c:v>
                </c:pt>
                <c:pt idx="811">
                  <c:v>0.18605877960398753</c:v>
                </c:pt>
                <c:pt idx="812">
                  <c:v>0.16890025829330185</c:v>
                </c:pt>
                <c:pt idx="813">
                  <c:v>0.17020631970057098</c:v>
                </c:pt>
                <c:pt idx="814">
                  <c:v>0.16620392601835127</c:v>
                </c:pt>
                <c:pt idx="815">
                  <c:v>0.15912065488571142</c:v>
                </c:pt>
                <c:pt idx="816">
                  <c:v>0.16080215469694092</c:v>
                </c:pt>
                <c:pt idx="817">
                  <c:v>0.16258672748629796</c:v>
                </c:pt>
                <c:pt idx="818">
                  <c:v>0.17216190568367104</c:v>
                </c:pt>
                <c:pt idx="819">
                  <c:v>0.17708178138682065</c:v>
                </c:pt>
                <c:pt idx="820">
                  <c:v>0.14897832316671186</c:v>
                </c:pt>
                <c:pt idx="821">
                  <c:v>0.14153476573408086</c:v>
                </c:pt>
                <c:pt idx="822">
                  <c:v>0.16157984577169957</c:v>
                </c:pt>
                <c:pt idx="823">
                  <c:v>0.2392078728832093</c:v>
                </c:pt>
                <c:pt idx="824">
                  <c:v>0.28440494783577913</c:v>
                </c:pt>
                <c:pt idx="825">
                  <c:v>0.36122242826997164</c:v>
                </c:pt>
                <c:pt idx="826">
                  <c:v>0.34254016499547174</c:v>
                </c:pt>
                <c:pt idx="827">
                  <c:v>0.30687474610519366</c:v>
                </c:pt>
                <c:pt idx="828">
                  <c:v>0.23675080504592372</c:v>
                </c:pt>
                <c:pt idx="829">
                  <c:v>0.30898416282716629</c:v>
                </c:pt>
                <c:pt idx="830">
                  <c:v>0.25573751277178036</c:v>
                </c:pt>
                <c:pt idx="831">
                  <c:v>0.214251074844266</c:v>
                </c:pt>
                <c:pt idx="832">
                  <c:v>0.20437162056956712</c:v>
                </c:pt>
                <c:pt idx="833">
                  <c:v>0.24677293826918545</c:v>
                </c:pt>
                <c:pt idx="834">
                  <c:v>0.21703265004844499</c:v>
                </c:pt>
                <c:pt idx="835">
                  <c:v>0.14190080231469526</c:v>
                </c:pt>
                <c:pt idx="836">
                  <c:v>0.17348141842880832</c:v>
                </c:pt>
                <c:pt idx="837">
                  <c:v>0.18981753177840194</c:v>
                </c:pt>
                <c:pt idx="838">
                  <c:v>0.21822854447113596</c:v>
                </c:pt>
                <c:pt idx="839">
                  <c:v>0.25258854794366381</c:v>
                </c:pt>
                <c:pt idx="840">
                  <c:v>0.1832544692877727</c:v>
                </c:pt>
                <c:pt idx="841">
                  <c:v>0.19000708860995585</c:v>
                </c:pt>
                <c:pt idx="842">
                  <c:v>0.11662159923588027</c:v>
                </c:pt>
                <c:pt idx="843">
                  <c:v>1.7598879703157842E-2</c:v>
                </c:pt>
                <c:pt idx="844">
                  <c:v>-4.9377009221282103E-2</c:v>
                </c:pt>
                <c:pt idx="845">
                  <c:v>-8.5263748548903687E-2</c:v>
                </c:pt>
                <c:pt idx="846">
                  <c:v>-9.7410541177302412E-2</c:v>
                </c:pt>
                <c:pt idx="847">
                  <c:v>-0.11332076000022105</c:v>
                </c:pt>
                <c:pt idx="848">
                  <c:v>-0.10173819447083229</c:v>
                </c:pt>
                <c:pt idx="849">
                  <c:v>-0.15289899625321876</c:v>
                </c:pt>
                <c:pt idx="850">
                  <c:v>-0.16013587544582281</c:v>
                </c:pt>
                <c:pt idx="851">
                  <c:v>-0.19514889290927548</c:v>
                </c:pt>
                <c:pt idx="852">
                  <c:v>-0.19738321904600234</c:v>
                </c:pt>
                <c:pt idx="853">
                  <c:v>-0.20332202889279632</c:v>
                </c:pt>
                <c:pt idx="854">
                  <c:v>-0.23267659664432142</c:v>
                </c:pt>
                <c:pt idx="855">
                  <c:v>-0.23761521772161776</c:v>
                </c:pt>
                <c:pt idx="856">
                  <c:v>-0.21857385501789697</c:v>
                </c:pt>
                <c:pt idx="857">
                  <c:v>-0.19267777043252055</c:v>
                </c:pt>
                <c:pt idx="858">
                  <c:v>-0.17926007629186119</c:v>
                </c:pt>
                <c:pt idx="859">
                  <c:v>-0.17396500375728907</c:v>
                </c:pt>
                <c:pt idx="860">
                  <c:v>-0.19988490164765649</c:v>
                </c:pt>
                <c:pt idx="861">
                  <c:v>-0.20565927706699091</c:v>
                </c:pt>
                <c:pt idx="862">
                  <c:v>-0.26306998223572847</c:v>
                </c:pt>
                <c:pt idx="863">
                  <c:v>-0.31212312905904072</c:v>
                </c:pt>
                <c:pt idx="864">
                  <c:v>-0.32012880154784851</c:v>
                </c:pt>
                <c:pt idx="865">
                  <c:v>-0.31255893085237896</c:v>
                </c:pt>
                <c:pt idx="866">
                  <c:v>-0.31963778184888253</c:v>
                </c:pt>
                <c:pt idx="867">
                  <c:v>-0.30221848863286127</c:v>
                </c:pt>
                <c:pt idx="868">
                  <c:v>-0.27960105003181079</c:v>
                </c:pt>
                <c:pt idx="869">
                  <c:v>-0.27010686759477381</c:v>
                </c:pt>
                <c:pt idx="870">
                  <c:v>-0.25436761775947964</c:v>
                </c:pt>
                <c:pt idx="871">
                  <c:v>-0.25163603849102334</c:v>
                </c:pt>
                <c:pt idx="872">
                  <c:v>-0.23308594819200462</c:v>
                </c:pt>
                <c:pt idx="873">
                  <c:v>-0.23031906674463618</c:v>
                </c:pt>
                <c:pt idx="874">
                  <c:v>-0.23522606381150807</c:v>
                </c:pt>
                <c:pt idx="875">
                  <c:v>-0.21933187790397934</c:v>
                </c:pt>
                <c:pt idx="876">
                  <c:v>-0.20590149909402172</c:v>
                </c:pt>
                <c:pt idx="877">
                  <c:v>-0.19892016287823569</c:v>
                </c:pt>
                <c:pt idx="878">
                  <c:v>-0.1840699370012584</c:v>
                </c:pt>
                <c:pt idx="879">
                  <c:v>-0.19158740537582844</c:v>
                </c:pt>
                <c:pt idx="880">
                  <c:v>-0.19483084801871997</c:v>
                </c:pt>
                <c:pt idx="881">
                  <c:v>-0.18913318182065825</c:v>
                </c:pt>
                <c:pt idx="882">
                  <c:v>-0.18298029479352651</c:v>
                </c:pt>
                <c:pt idx="883">
                  <c:v>-0.16515183532916944</c:v>
                </c:pt>
                <c:pt idx="884">
                  <c:v>-0.13856653716599829</c:v>
                </c:pt>
                <c:pt idx="885">
                  <c:v>-0.14580353644194771</c:v>
                </c:pt>
                <c:pt idx="886">
                  <c:v>-0.13497414663008647</c:v>
                </c:pt>
                <c:pt idx="887">
                  <c:v>-0.12604216585532849</c:v>
                </c:pt>
                <c:pt idx="888">
                  <c:v>-0.11436968871247126</c:v>
                </c:pt>
                <c:pt idx="889">
                  <c:v>-0.11413161278785834</c:v>
                </c:pt>
                <c:pt idx="890">
                  <c:v>-0.11814245787142892</c:v>
                </c:pt>
                <c:pt idx="891">
                  <c:v>-9.3446206296315823E-2</c:v>
                </c:pt>
                <c:pt idx="892">
                  <c:v>-6.7845678788694963E-2</c:v>
                </c:pt>
                <c:pt idx="893">
                  <c:v>-5.0828772385477762E-2</c:v>
                </c:pt>
                <c:pt idx="894">
                  <c:v>-6.423731110726201E-2</c:v>
                </c:pt>
                <c:pt idx="895">
                  <c:v>-8.0015486889597753E-2</c:v>
                </c:pt>
                <c:pt idx="896">
                  <c:v>-6.6772642440459787E-2</c:v>
                </c:pt>
                <c:pt idx="897">
                  <c:v>-8.6927312029176931E-2</c:v>
                </c:pt>
                <c:pt idx="898">
                  <c:v>-5.5748904783846309E-2</c:v>
                </c:pt>
                <c:pt idx="899">
                  <c:v>-6.9750373755371811E-2</c:v>
                </c:pt>
                <c:pt idx="900">
                  <c:v>-6.3671289237316298E-2</c:v>
                </c:pt>
                <c:pt idx="901">
                  <c:v>-7.2930079969182215E-2</c:v>
                </c:pt>
                <c:pt idx="902">
                  <c:v>-9.7022225610115836E-2</c:v>
                </c:pt>
                <c:pt idx="903">
                  <c:v>-7.8678939855680155E-2</c:v>
                </c:pt>
                <c:pt idx="904">
                  <c:v>-5.1909126517158746E-2</c:v>
                </c:pt>
                <c:pt idx="905">
                  <c:v>-3.2647685629308275E-2</c:v>
                </c:pt>
                <c:pt idx="906">
                  <c:v>-7.0189359758044398E-2</c:v>
                </c:pt>
                <c:pt idx="907">
                  <c:v>-1.6177473458044409E-2</c:v>
                </c:pt>
                <c:pt idx="908">
                  <c:v>-2.5789527644878261E-2</c:v>
                </c:pt>
                <c:pt idx="909">
                  <c:v>4.8950821469592953E-2</c:v>
                </c:pt>
                <c:pt idx="910">
                  <c:v>7.64554830360687E-3</c:v>
                </c:pt>
                <c:pt idx="911">
                  <c:v>1.0959544755836112E-2</c:v>
                </c:pt>
                <c:pt idx="912">
                  <c:v>-1.5833260691311957E-2</c:v>
                </c:pt>
                <c:pt idx="913">
                  <c:v>-1.1728717925756409E-2</c:v>
                </c:pt>
                <c:pt idx="914">
                  <c:v>5.6838053419714235E-3</c:v>
                </c:pt>
                <c:pt idx="915">
                  <c:v>-7.3531360632629139E-4</c:v>
                </c:pt>
                <c:pt idx="916">
                  <c:v>1.6298864428405425E-2</c:v>
                </c:pt>
                <c:pt idx="917">
                  <c:v>7.7082297158486725E-3</c:v>
                </c:pt>
                <c:pt idx="918">
                  <c:v>4.6968303650726517E-2</c:v>
                </c:pt>
                <c:pt idx="919">
                  <c:v>4.3311599602351328E-2</c:v>
                </c:pt>
                <c:pt idx="920">
                  <c:v>5.6259143372177967E-2</c:v>
                </c:pt>
                <c:pt idx="921">
                  <c:v>7.931575495358982E-2</c:v>
                </c:pt>
                <c:pt idx="922">
                  <c:v>8.9315035592028885E-2</c:v>
                </c:pt>
                <c:pt idx="923">
                  <c:v>9.8896293970147819E-2</c:v>
                </c:pt>
                <c:pt idx="924">
                  <c:v>0.10551976487309359</c:v>
                </c:pt>
                <c:pt idx="925">
                  <c:v>5.3634921344183316E-2</c:v>
                </c:pt>
                <c:pt idx="926">
                  <c:v>1.9068574898745388E-2</c:v>
                </c:pt>
                <c:pt idx="927">
                  <c:v>8.8521699872765952E-2</c:v>
                </c:pt>
                <c:pt idx="928">
                  <c:v>0.10137522746412668</c:v>
                </c:pt>
                <c:pt idx="929">
                  <c:v>0.1756440012763715</c:v>
                </c:pt>
                <c:pt idx="930">
                  <c:v>0.17738481532086822</c:v>
                </c:pt>
                <c:pt idx="931">
                  <c:v>0.11232504419139828</c:v>
                </c:pt>
                <c:pt idx="932">
                  <c:v>0.16066212953712222</c:v>
                </c:pt>
                <c:pt idx="933">
                  <c:v>0.13222758341611976</c:v>
                </c:pt>
                <c:pt idx="934">
                  <c:v>0.17028387671635015</c:v>
                </c:pt>
                <c:pt idx="935">
                  <c:v>0.19492862602984448</c:v>
                </c:pt>
                <c:pt idx="936">
                  <c:v>0.23952429556238983</c:v>
                </c:pt>
                <c:pt idx="937">
                  <c:v>0.27952333121524114</c:v>
                </c:pt>
                <c:pt idx="938">
                  <c:v>0.24917742501653556</c:v>
                </c:pt>
                <c:pt idx="939">
                  <c:v>0.22678825799683119</c:v>
                </c:pt>
                <c:pt idx="940">
                  <c:v>0.3307736516964887</c:v>
                </c:pt>
                <c:pt idx="941">
                  <c:v>0.23006216521660522</c:v>
                </c:pt>
                <c:pt idx="942">
                  <c:v>9.8731603208394983E-2</c:v>
                </c:pt>
                <c:pt idx="943">
                  <c:v>0.27002752384738482</c:v>
                </c:pt>
                <c:pt idx="944">
                  <c:v>0.30658462439126932</c:v>
                </c:pt>
                <c:pt idx="945">
                  <c:v>0.16624686170559386</c:v>
                </c:pt>
                <c:pt idx="946">
                  <c:v>0.19524995846129745</c:v>
                </c:pt>
                <c:pt idx="947">
                  <c:v>0.18262638100466094</c:v>
                </c:pt>
                <c:pt idx="948">
                  <c:v>0.14491528590112718</c:v>
                </c:pt>
                <c:pt idx="949">
                  <c:v>0.13052112162185894</c:v>
                </c:pt>
                <c:pt idx="950">
                  <c:v>0.14579981880183032</c:v>
                </c:pt>
                <c:pt idx="951">
                  <c:v>0.12793270772025642</c:v>
                </c:pt>
                <c:pt idx="952">
                  <c:v>0.13695527830325654</c:v>
                </c:pt>
                <c:pt idx="953">
                  <c:v>0.14799882534213987</c:v>
                </c:pt>
                <c:pt idx="954">
                  <c:v>0.15557986304022181</c:v>
                </c:pt>
                <c:pt idx="955">
                  <c:v>0.2307188658053283</c:v>
                </c:pt>
                <c:pt idx="956">
                  <c:v>0.15199065494593039</c:v>
                </c:pt>
                <c:pt idx="957">
                  <c:v>0.18136618200570187</c:v>
                </c:pt>
                <c:pt idx="958">
                  <c:v>0.16712689064050365</c:v>
                </c:pt>
                <c:pt idx="959">
                  <c:v>0.25322135582786742</c:v>
                </c:pt>
                <c:pt idx="960">
                  <c:v>-6.2490002458905312E-3</c:v>
                </c:pt>
                <c:pt idx="961">
                  <c:v>-1.881147459120313E-2</c:v>
                </c:pt>
                <c:pt idx="962">
                  <c:v>-6.9755421004159233E-3</c:v>
                </c:pt>
                <c:pt idx="963">
                  <c:v>-4.0847505019162476E-2</c:v>
                </c:pt>
                <c:pt idx="964">
                  <c:v>-3.1206976001817779E-2</c:v>
                </c:pt>
                <c:pt idx="965">
                  <c:v>-1.5726509710292356E-2</c:v>
                </c:pt>
                <c:pt idx="966">
                  <c:v>-2.2711098202043343E-2</c:v>
                </c:pt>
                <c:pt idx="967">
                  <c:v>3.2307229455606101E-2</c:v>
                </c:pt>
                <c:pt idx="968">
                  <c:v>-6.6120339637566319E-2</c:v>
                </c:pt>
                <c:pt idx="969">
                  <c:v>-6.7742841138103416E-2</c:v>
                </c:pt>
                <c:pt idx="970">
                  <c:v>-4.1879102589551111E-2</c:v>
                </c:pt>
                <c:pt idx="971">
                  <c:v>-5.401123081912064E-2</c:v>
                </c:pt>
                <c:pt idx="972">
                  <c:v>-1.9456246105045209E-2</c:v>
                </c:pt>
                <c:pt idx="973">
                  <c:v>-6.1468153548133057E-2</c:v>
                </c:pt>
                <c:pt idx="974">
                  <c:v>-2.2679542173133019E-2</c:v>
                </c:pt>
                <c:pt idx="975">
                  <c:v>4.2358496703084137E-3</c:v>
                </c:pt>
                <c:pt idx="976">
                  <c:v>-1.297370839574302E-2</c:v>
                </c:pt>
                <c:pt idx="977">
                  <c:v>-3.8819115059398064E-2</c:v>
                </c:pt>
                <c:pt idx="978">
                  <c:v>-2.2200924546729606E-2</c:v>
                </c:pt>
                <c:pt idx="979">
                  <c:v>3.151268206817727E-2</c:v>
                </c:pt>
                <c:pt idx="980">
                  <c:v>2.9957702700509566E-2</c:v>
                </c:pt>
                <c:pt idx="981">
                  <c:v>-2.2623754900250381E-2</c:v>
                </c:pt>
                <c:pt idx="982">
                  <c:v>4.7668869158458686E-2</c:v>
                </c:pt>
                <c:pt idx="983">
                  <c:v>3.4493557983721869E-2</c:v>
                </c:pt>
                <c:pt idx="984">
                  <c:v>1.2879966181691418E-2</c:v>
                </c:pt>
                <c:pt idx="985">
                  <c:v>9.3916869009379768E-3</c:v>
                </c:pt>
                <c:pt idx="986">
                  <c:v>-4.691906823819693E-3</c:v>
                </c:pt>
                <c:pt idx="987">
                  <c:v>6.5978514959295282E-5</c:v>
                </c:pt>
                <c:pt idx="988">
                  <c:v>-4.0086155042168066E-2</c:v>
                </c:pt>
                <c:pt idx="989">
                  <c:v>-4.6609218753080404E-2</c:v>
                </c:pt>
                <c:pt idx="990">
                  <c:v>-6.2832547947048831E-2</c:v>
                </c:pt>
                <c:pt idx="991">
                  <c:v>-5.6614547536601043E-2</c:v>
                </c:pt>
                <c:pt idx="992">
                  <c:v>-5.385250819542458E-2</c:v>
                </c:pt>
                <c:pt idx="993">
                  <c:v>-3.8360037095838267E-2</c:v>
                </c:pt>
                <c:pt idx="994">
                  <c:v>-3.136911976533769E-2</c:v>
                </c:pt>
                <c:pt idx="995">
                  <c:v>-2.8116000571593035E-2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7B-4633-AAA2-1D3AC378D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615280"/>
        <c:axId val="520616944"/>
      </c:lineChart>
      <c:dateAx>
        <c:axId val="520615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6944"/>
        <c:crosses val="autoZero"/>
        <c:auto val="1"/>
        <c:lblOffset val="100"/>
        <c:baseTimeUnit val="days"/>
      </c:dateAx>
      <c:valAx>
        <c:axId val="52061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5EEBFFE-4778-4C3D-ABEC-1CC1BAEA2CDA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A23B72-56DB-4FE4-88E7-EFBB3B38E6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53</v>
      </c>
      <c r="D2" s="4">
        <f>MIN(D3:D1912)</f>
        <v>1E-4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15.23</v>
      </c>
      <c r="C5">
        <v>15.38</v>
      </c>
      <c r="D5">
        <v>14.77</v>
      </c>
      <c r="E5">
        <v>14.79</v>
      </c>
      <c r="F5">
        <v>494514.51</v>
      </c>
      <c r="G5">
        <v>14.79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-0.9344262295081982</v>
      </c>
      <c r="Q5">
        <f t="shared" ref="Q5" si="1">F5*P5</f>
        <v>-462087.32901639416</v>
      </c>
      <c r="R5">
        <f t="shared" ref="R5" si="2">R6+Q5</f>
        <v>789699550.3281554</v>
      </c>
      <c r="S5">
        <f t="shared" ref="S5" si="3">R5/100000</f>
        <v>7896.9955032815542</v>
      </c>
      <c r="T5">
        <f t="shared" ref="T5" si="4">S5/1000</f>
        <v>7.8969955032815538</v>
      </c>
    </row>
    <row r="6" spans="1:20" x14ac:dyDescent="0.25">
      <c r="A6" s="5">
        <v>44587</v>
      </c>
      <c r="B6">
        <v>15.5</v>
      </c>
      <c r="C6">
        <v>16.8</v>
      </c>
      <c r="D6">
        <v>14.68</v>
      </c>
      <c r="E6">
        <v>15.23</v>
      </c>
      <c r="F6">
        <v>9794747</v>
      </c>
      <c r="G6">
        <v>15.23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-0.48113207547169767</v>
      </c>
      <c r="Q6">
        <f t="shared" ref="Q6" si="6">F6*P6</f>
        <v>-4712566.9528301843</v>
      </c>
      <c r="R6">
        <f t="shared" ref="R6" si="7">R7+Q6</f>
        <v>790161637.65717185</v>
      </c>
      <c r="S6">
        <f t="shared" ref="S6" si="8">R6/100000</f>
        <v>7901.6163765717183</v>
      </c>
      <c r="T6">
        <f t="shared" ref="T6" si="9">S6/1000</f>
        <v>7.9016163765717184</v>
      </c>
    </row>
    <row r="7" spans="1:20" x14ac:dyDescent="0.25">
      <c r="A7" s="5">
        <v>44586</v>
      </c>
      <c r="B7">
        <v>15.58</v>
      </c>
      <c r="C7">
        <v>16.03</v>
      </c>
      <c r="D7">
        <v>14.59</v>
      </c>
      <c r="E7">
        <v>15.49</v>
      </c>
      <c r="F7">
        <v>7694012.5300000003</v>
      </c>
      <c r="G7">
        <v>15.49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0.24999999999999939</v>
      </c>
      <c r="Q7">
        <f t="shared" ref="Q7" si="11">F7*P7</f>
        <v>1923503.1324999954</v>
      </c>
      <c r="R7">
        <f t="shared" ref="R7" si="12">R8+Q7</f>
        <v>794874204.61000204</v>
      </c>
      <c r="S7">
        <f t="shared" ref="S7" si="13">R7/100000</f>
        <v>7948.7420461000202</v>
      </c>
      <c r="T7">
        <f t="shared" ref="T7" si="14">S7/1000</f>
        <v>7.94874204610002</v>
      </c>
    </row>
    <row r="8" spans="1:20" x14ac:dyDescent="0.25">
      <c r="A8" s="5">
        <v>44585</v>
      </c>
      <c r="B8">
        <v>16.63</v>
      </c>
      <c r="C8">
        <v>16.649999999999999</v>
      </c>
      <c r="D8">
        <v>13.48</v>
      </c>
      <c r="E8">
        <v>15.58</v>
      </c>
      <c r="F8">
        <v>14743580.999</v>
      </c>
      <c r="G8">
        <v>15.58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0.32492113564668823</v>
      </c>
      <c r="Q8">
        <f t="shared" ref="Q8" si="16">F8*P8</f>
        <v>4790501.0816940144</v>
      </c>
      <c r="R8">
        <f t="shared" ref="R8" si="17">R9+Q8</f>
        <v>792950701.47750199</v>
      </c>
      <c r="S8">
        <f t="shared" ref="S8" si="18">R8/100000</f>
        <v>7929.5070147750203</v>
      </c>
      <c r="T8">
        <f t="shared" ref="T8" si="19">S8/1000</f>
        <v>7.9295070147750204</v>
      </c>
    </row>
    <row r="9" spans="1:20" x14ac:dyDescent="0.25">
      <c r="A9" s="5">
        <v>44584</v>
      </c>
      <c r="B9">
        <v>15.86</v>
      </c>
      <c r="C9">
        <v>16.88</v>
      </c>
      <c r="D9">
        <v>15.15</v>
      </c>
      <c r="E9">
        <v>16.64</v>
      </c>
      <c r="F9">
        <v>9533639.1799999997</v>
      </c>
      <c r="G9">
        <v>16.64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0.72254335260115765</v>
      </c>
      <c r="Q9">
        <f t="shared" ref="Q9" si="21">F9*P9</f>
        <v>6888467.6156069515</v>
      </c>
      <c r="R9">
        <f t="shared" ref="R9" si="22">R10+Q9</f>
        <v>788160200.39580798</v>
      </c>
      <c r="S9">
        <f t="shared" ref="S9" si="23">R9/100000</f>
        <v>7881.6020039580799</v>
      </c>
      <c r="T9">
        <f t="shared" ref="T9" si="24">S9/1000</f>
        <v>7.8816020039580801</v>
      </c>
    </row>
    <row r="10" spans="1:20" x14ac:dyDescent="0.25">
      <c r="A10" s="5">
        <v>44583</v>
      </c>
      <c r="B10">
        <v>17.41</v>
      </c>
      <c r="C10">
        <v>17.82</v>
      </c>
      <c r="D10">
        <v>14.24</v>
      </c>
      <c r="E10">
        <v>15.85</v>
      </c>
      <c r="F10">
        <v>18934134.953000002</v>
      </c>
      <c r="G10">
        <v>15.85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-0.10055865921787743</v>
      </c>
      <c r="Q10">
        <f t="shared" ref="Q10" si="26">F10*P10</f>
        <v>-1903991.2243240289</v>
      </c>
      <c r="R10">
        <f t="shared" ref="R10" si="27">R11+Q10</f>
        <v>781271732.78020108</v>
      </c>
      <c r="S10">
        <f t="shared" ref="S10" si="28">R10/100000</f>
        <v>7812.7173278020109</v>
      </c>
      <c r="T10">
        <f t="shared" ref="T10" si="29">S10/1000</f>
        <v>7.8127173278020106</v>
      </c>
    </row>
    <row r="11" spans="1:20" x14ac:dyDescent="0.25">
      <c r="A11" s="5">
        <v>44582</v>
      </c>
      <c r="B11">
        <v>20.18</v>
      </c>
      <c r="C11">
        <v>20.51</v>
      </c>
      <c r="D11">
        <v>17.100000000000001</v>
      </c>
      <c r="E11">
        <v>17.420000000000002</v>
      </c>
      <c r="F11">
        <v>14621190.27</v>
      </c>
      <c r="G11">
        <v>17.420000000000002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-0.81231671554252183</v>
      </c>
      <c r="Q11">
        <f t="shared" ref="Q11" si="31">F11*P11</f>
        <v>-11877037.257448677</v>
      </c>
      <c r="R11">
        <f t="shared" ref="R11" si="32">R12+Q11</f>
        <v>783175724.00452507</v>
      </c>
      <c r="S11">
        <f t="shared" ref="S11" si="33">R11/100000</f>
        <v>7831.7572400452509</v>
      </c>
      <c r="T11">
        <f t="shared" ref="T11" si="34">S11/1000</f>
        <v>7.8317572400452509</v>
      </c>
    </row>
    <row r="12" spans="1:20" x14ac:dyDescent="0.25">
      <c r="A12" s="5">
        <v>44581</v>
      </c>
      <c r="B12">
        <v>21.54</v>
      </c>
      <c r="C12">
        <v>22.98</v>
      </c>
      <c r="D12">
        <v>20.04</v>
      </c>
      <c r="E12">
        <v>20.170000000000002</v>
      </c>
      <c r="F12">
        <v>5603272.1699999999</v>
      </c>
      <c r="G12">
        <v>20.170000000000002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-0.91156462585033848</v>
      </c>
      <c r="Q12">
        <f t="shared" ref="Q12" si="36">F12*P12</f>
        <v>-5107744.6991836643</v>
      </c>
      <c r="R12">
        <f t="shared" ref="R12" si="37">R13+Q12</f>
        <v>795052761.26197374</v>
      </c>
      <c r="S12">
        <f t="shared" ref="S12" si="38">R12/100000</f>
        <v>7950.5276126197377</v>
      </c>
      <c r="T12">
        <f t="shared" ref="T12" si="39">S12/1000</f>
        <v>7.9505276126197382</v>
      </c>
    </row>
    <row r="13" spans="1:20" x14ac:dyDescent="0.25">
      <c r="A13" s="5">
        <v>44580</v>
      </c>
      <c r="B13">
        <v>22.96</v>
      </c>
      <c r="C13">
        <v>23.15</v>
      </c>
      <c r="D13">
        <v>21.22</v>
      </c>
      <c r="E13">
        <v>21.55</v>
      </c>
      <c r="F13">
        <v>5688676.4699999997</v>
      </c>
      <c r="G13">
        <v>21.55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-0.65803108808289956</v>
      </c>
      <c r="Q13">
        <f t="shared" ref="Q13" si="41">F13*P13</f>
        <v>-3743325.9673056882</v>
      </c>
      <c r="R13">
        <f t="shared" ref="R13" si="42">R14+Q13</f>
        <v>800160505.96115744</v>
      </c>
      <c r="S13">
        <f t="shared" ref="S13" si="43">R13/100000</f>
        <v>8001.6050596115747</v>
      </c>
      <c r="T13">
        <f t="shared" ref="T13" si="44">S13/1000</f>
        <v>8.001605059611574</v>
      </c>
    </row>
    <row r="14" spans="1:20" x14ac:dyDescent="0.25">
      <c r="A14" s="5">
        <v>44579</v>
      </c>
      <c r="B14">
        <v>23.79</v>
      </c>
      <c r="C14">
        <v>24.34</v>
      </c>
      <c r="D14">
        <v>22.04</v>
      </c>
      <c r="E14">
        <v>22.96</v>
      </c>
      <c r="F14">
        <v>4910843.07</v>
      </c>
      <c r="G14">
        <v>22.96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-0.19999999999999876</v>
      </c>
      <c r="Q14">
        <f t="shared" ref="Q14" si="46">F14*P14</f>
        <v>-982168.61399999401</v>
      </c>
      <c r="R14">
        <f t="shared" ref="R14" si="47">R15+Q14</f>
        <v>803903831.9284631</v>
      </c>
      <c r="S14">
        <f t="shared" ref="S14" si="48">R14/100000</f>
        <v>8039.0383192846311</v>
      </c>
      <c r="T14">
        <f t="shared" ref="T14" si="49">S14/1000</f>
        <v>8.0390383192846304</v>
      </c>
    </row>
    <row r="15" spans="1:20" x14ac:dyDescent="0.25">
      <c r="A15" s="5">
        <v>44578</v>
      </c>
      <c r="B15">
        <v>25.51</v>
      </c>
      <c r="C15">
        <v>25.62</v>
      </c>
      <c r="D15">
        <v>23.27</v>
      </c>
      <c r="E15">
        <v>23.79</v>
      </c>
      <c r="F15">
        <v>4471877.32</v>
      </c>
      <c r="G15">
        <v>23.79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-0.55744680851063888</v>
      </c>
      <c r="Q15">
        <f t="shared" ref="Q15" si="51">F15*P15</f>
        <v>-2492833.7400851091</v>
      </c>
      <c r="R15">
        <f t="shared" ref="R15" si="52">R16+Q15</f>
        <v>804886000.54246306</v>
      </c>
      <c r="S15">
        <f t="shared" ref="S15" si="53">R15/100000</f>
        <v>8048.8600054246308</v>
      </c>
      <c r="T15">
        <f t="shared" ref="T15" si="54">S15/1000</f>
        <v>8.0488600054246309</v>
      </c>
    </row>
    <row r="16" spans="1:20" x14ac:dyDescent="0.25">
      <c r="A16" s="5">
        <v>44577</v>
      </c>
      <c r="B16">
        <v>25.17</v>
      </c>
      <c r="C16">
        <v>26.34</v>
      </c>
      <c r="D16">
        <v>24.65</v>
      </c>
      <c r="E16">
        <v>25.5</v>
      </c>
      <c r="F16">
        <v>4415951.38</v>
      </c>
      <c r="G16">
        <v>25.5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5.9171597633145296E-3</v>
      </c>
      <c r="Q16">
        <f t="shared" ref="Q16" si="56">F16*P16</f>
        <v>26129.889822489269</v>
      </c>
      <c r="R16">
        <f t="shared" ref="R16" si="57">R17+Q16</f>
        <v>807378834.28254819</v>
      </c>
      <c r="S16">
        <f t="shared" ref="S16" si="58">R16/100000</f>
        <v>8073.7883428254818</v>
      </c>
      <c r="T16">
        <f t="shared" ref="T16" si="59">S16/1000</f>
        <v>8.0737883428254822</v>
      </c>
    </row>
    <row r="17" spans="1:20" x14ac:dyDescent="0.25">
      <c r="A17" s="5">
        <v>44576</v>
      </c>
      <c r="B17">
        <v>25.72</v>
      </c>
      <c r="C17">
        <v>26.22</v>
      </c>
      <c r="D17">
        <v>25.11</v>
      </c>
      <c r="E17">
        <v>25.17</v>
      </c>
      <c r="F17">
        <v>4141482.21</v>
      </c>
      <c r="G17">
        <v>25.17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-0.89189189189188778</v>
      </c>
      <c r="Q17">
        <f t="shared" ref="Q17" si="61">F17*P17</f>
        <v>-3693754.4035134963</v>
      </c>
      <c r="R17">
        <f t="shared" ref="R17" si="62">R18+Q17</f>
        <v>807352704.39272571</v>
      </c>
      <c r="S17">
        <f t="shared" ref="S17" si="63">R17/100000</f>
        <v>8073.5270439272572</v>
      </c>
      <c r="T17">
        <f t="shared" ref="T17" si="64">S17/1000</f>
        <v>8.0735270439272568</v>
      </c>
    </row>
    <row r="18" spans="1:20" x14ac:dyDescent="0.25">
      <c r="A18" s="5">
        <v>44575</v>
      </c>
      <c r="B18">
        <v>24.86</v>
      </c>
      <c r="C18">
        <v>25.89</v>
      </c>
      <c r="D18">
        <v>23.91</v>
      </c>
      <c r="E18">
        <v>25.72</v>
      </c>
      <c r="F18">
        <v>6488595.9500000002</v>
      </c>
      <c r="G18">
        <v>25.72</v>
      </c>
      <c r="L18" t="s">
        <v>7</v>
      </c>
      <c r="M18" t="s">
        <v>8</v>
      </c>
      <c r="N18" t="s">
        <v>8</v>
      </c>
      <c r="P18">
        <f t="shared" ref="P18" si="65">IF(C18=D18,0,((E18-D18)-(C18-E18))/(C18-D18))</f>
        <v>0.82828282828282662</v>
      </c>
      <c r="Q18">
        <f t="shared" ref="Q18" si="66">F18*P18</f>
        <v>5374392.605050494</v>
      </c>
      <c r="R18">
        <f t="shared" ref="R18" si="67">R19+Q18</f>
        <v>811046458.79623926</v>
      </c>
      <c r="S18">
        <f t="shared" ref="S18" si="68">R18/100000</f>
        <v>8110.4645879623922</v>
      </c>
      <c r="T18">
        <f t="shared" ref="T18" si="69">S18/1000</f>
        <v>8.110464587962392</v>
      </c>
    </row>
    <row r="19" spans="1:20" x14ac:dyDescent="0.25">
      <c r="A19" s="5">
        <v>44574</v>
      </c>
      <c r="B19">
        <v>26.76</v>
      </c>
      <c r="C19">
        <v>26.76</v>
      </c>
      <c r="D19">
        <v>24.43</v>
      </c>
      <c r="E19">
        <v>24.86</v>
      </c>
      <c r="F19">
        <v>7890385.6900000004</v>
      </c>
      <c r="G19">
        <v>24.86</v>
      </c>
      <c r="L19" t="s">
        <v>7</v>
      </c>
      <c r="M19" t="s">
        <v>8</v>
      </c>
      <c r="N19" t="s">
        <v>8</v>
      </c>
      <c r="P19">
        <f t="shared" ref="P19" si="70">IF(C19=D19,0,((E19-D19)-(C19-E19))/(C19-D19))</f>
        <v>-0.6309012875536486</v>
      </c>
      <c r="Q19">
        <f t="shared" ref="Q19" si="71">F19*P19</f>
        <v>-4978054.4911158839</v>
      </c>
      <c r="R19">
        <f t="shared" ref="R19" si="72">R20+Q19</f>
        <v>805672066.19118881</v>
      </c>
      <c r="S19">
        <f t="shared" ref="S19" si="73">R19/100000</f>
        <v>8056.7206619118879</v>
      </c>
      <c r="T19">
        <f t="shared" ref="T19" si="74">S19/1000</f>
        <v>8.0567206619118874</v>
      </c>
    </row>
    <row r="20" spans="1:20" x14ac:dyDescent="0.25">
      <c r="A20" s="5">
        <v>44573</v>
      </c>
      <c r="B20">
        <v>26.6</v>
      </c>
      <c r="C20">
        <v>27.25</v>
      </c>
      <c r="D20">
        <v>25.61</v>
      </c>
      <c r="E20">
        <v>26.75</v>
      </c>
      <c r="F20">
        <v>10319762.43</v>
      </c>
      <c r="G20">
        <v>26.75</v>
      </c>
      <c r="L20" t="s">
        <v>7</v>
      </c>
      <c r="M20" t="s">
        <v>8</v>
      </c>
      <c r="N20" t="s">
        <v>8</v>
      </c>
      <c r="P20">
        <f t="shared" ref="P20" si="75">IF(C20=D20,0,((E20-D20)-(C20-E20))/(C20-D20))</f>
        <v>0.39024390243902463</v>
      </c>
      <c r="Q20">
        <f t="shared" ref="Q20" si="76">F20*P20</f>
        <v>4027224.3629268315</v>
      </c>
      <c r="R20">
        <f t="shared" ref="R20" si="77">R21+Q20</f>
        <v>810650120.68230474</v>
      </c>
      <c r="S20">
        <f t="shared" ref="S20" si="78">R20/100000</f>
        <v>8106.5012068230471</v>
      </c>
      <c r="T20">
        <f t="shared" ref="T20" si="79">S20/1000</f>
        <v>8.1065012068230473</v>
      </c>
    </row>
    <row r="21" spans="1:20" x14ac:dyDescent="0.25">
      <c r="A21" s="5">
        <v>44572</v>
      </c>
      <c r="B21">
        <v>27.98</v>
      </c>
      <c r="C21">
        <v>28.71</v>
      </c>
      <c r="D21">
        <v>25.84</v>
      </c>
      <c r="E21">
        <v>26.59</v>
      </c>
      <c r="F21">
        <v>13498246.970000001</v>
      </c>
      <c r="G21">
        <v>26.59</v>
      </c>
      <c r="L21" t="s">
        <v>8</v>
      </c>
      <c r="M21" t="s">
        <v>8</v>
      </c>
      <c r="N21" t="s">
        <v>8</v>
      </c>
      <c r="P21">
        <f t="shared" ref="P21" si="80">IF(C21=D21,0,((E21-D21)-(C21-E21))/(C21-D21))</f>
        <v>-0.47735191637630681</v>
      </c>
      <c r="Q21">
        <f t="shared" ref="Q21" si="81">F21*P21</f>
        <v>-6443414.0588501766</v>
      </c>
      <c r="R21">
        <f t="shared" ref="R21" si="82">R22+Q21</f>
        <v>806622896.3193779</v>
      </c>
      <c r="S21">
        <f t="shared" ref="S21" si="83">R21/100000</f>
        <v>8066.2289631937792</v>
      </c>
      <c r="T21">
        <f t="shared" ref="T21" si="84">S21/1000</f>
        <v>8.0662289631937796</v>
      </c>
    </row>
    <row r="22" spans="1:20" x14ac:dyDescent="0.25">
      <c r="A22" s="5">
        <v>44571</v>
      </c>
      <c r="B22">
        <v>27.54</v>
      </c>
      <c r="C22">
        <v>28.51</v>
      </c>
      <c r="D22">
        <v>25.07</v>
      </c>
      <c r="E22">
        <v>27.98</v>
      </c>
      <c r="F22">
        <v>18516507.579999998</v>
      </c>
      <c r="G22">
        <v>27.98</v>
      </c>
      <c r="L22" t="s">
        <v>7</v>
      </c>
      <c r="M22" t="s">
        <v>8</v>
      </c>
      <c r="N22" t="s">
        <v>8</v>
      </c>
      <c r="P22">
        <f t="shared" ref="P22" si="85">IF(C22=D22,0,((E22-D22)-(C22-E22))/(C22-D22))</f>
        <v>0.69186046511627852</v>
      </c>
      <c r="Q22">
        <f t="shared" ref="Q22" si="86">F22*P22</f>
        <v>12810839.546627896</v>
      </c>
      <c r="R22">
        <f t="shared" ref="R22" si="87">R23+Q22</f>
        <v>813066310.37822807</v>
      </c>
      <c r="S22">
        <f t="shared" ref="S22" si="88">R22/100000</f>
        <v>8130.6631037822808</v>
      </c>
      <c r="T22">
        <f t="shared" ref="T22" si="89">S22/1000</f>
        <v>8.1306631037822807</v>
      </c>
    </row>
    <row r="23" spans="1:20" x14ac:dyDescent="0.25">
      <c r="A23" s="5">
        <v>44570</v>
      </c>
      <c r="B23">
        <v>25.31</v>
      </c>
      <c r="C23">
        <v>28.68</v>
      </c>
      <c r="D23">
        <v>25.08</v>
      </c>
      <c r="E23">
        <v>27.54</v>
      </c>
      <c r="F23">
        <v>18630446.629999999</v>
      </c>
      <c r="G23">
        <v>27.54</v>
      </c>
      <c r="L23" t="s">
        <v>8</v>
      </c>
      <c r="M23" t="s">
        <v>8</v>
      </c>
      <c r="N23" t="s">
        <v>8</v>
      </c>
      <c r="P23">
        <f t="shared" ref="P23" si="90">IF(C23=D23,0,((E23-D23)-(C23-E23))/(C23-D23))</f>
        <v>0.36666666666666659</v>
      </c>
      <c r="Q23">
        <f t="shared" ref="Q23" si="91">F23*P23</f>
        <v>6831163.764333331</v>
      </c>
      <c r="R23">
        <f t="shared" ref="R23" si="92">R24+Q23</f>
        <v>800255470.83160019</v>
      </c>
      <c r="S23">
        <f t="shared" ref="S23" si="93">R23/100000</f>
        <v>8002.5547083160018</v>
      </c>
      <c r="T23">
        <f t="shared" ref="T23" si="94">S23/1000</f>
        <v>8.0025547083160014</v>
      </c>
    </row>
    <row r="24" spans="1:20" x14ac:dyDescent="0.25">
      <c r="A24" s="5">
        <v>44569</v>
      </c>
      <c r="B24">
        <v>25.98</v>
      </c>
      <c r="C24">
        <v>27.33</v>
      </c>
      <c r="D24">
        <v>23.51</v>
      </c>
      <c r="E24">
        <v>25.32</v>
      </c>
      <c r="F24">
        <v>15635153.07</v>
      </c>
      <c r="G24">
        <v>25.32</v>
      </c>
      <c r="L24" t="s">
        <v>8</v>
      </c>
      <c r="M24" t="s">
        <v>8</v>
      </c>
      <c r="N24" t="s">
        <v>8</v>
      </c>
      <c r="P24">
        <f t="shared" ref="P24" si="95">IF(C24=D24,0,((E24-D24)-(C24-E24))/(C24-D24))</f>
        <v>-5.2356020942408238E-2</v>
      </c>
      <c r="Q24">
        <f t="shared" ref="Q24" si="96">F24*P24</f>
        <v>-818594.40157067846</v>
      </c>
      <c r="R24">
        <f t="shared" ref="R24" si="97">R25+Q24</f>
        <v>793424307.06726682</v>
      </c>
      <c r="S24">
        <f t="shared" ref="S24" si="98">R24/100000</f>
        <v>7934.2430706726682</v>
      </c>
      <c r="T24">
        <f t="shared" ref="T24" si="99">S24/1000</f>
        <v>7.9342430706726681</v>
      </c>
    </row>
    <row r="25" spans="1:20" x14ac:dyDescent="0.25">
      <c r="A25" s="5">
        <v>44568</v>
      </c>
      <c r="B25">
        <v>25.39</v>
      </c>
      <c r="C25">
        <v>27.33</v>
      </c>
      <c r="D25">
        <v>22.65</v>
      </c>
      <c r="E25">
        <v>25.98</v>
      </c>
      <c r="F25">
        <v>22033325.640000001</v>
      </c>
      <c r="G25">
        <v>25.98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0.42307692307692396</v>
      </c>
      <c r="Q25">
        <f t="shared" ref="Q25" si="101">F25*P25</f>
        <v>9321791.6169230975</v>
      </c>
      <c r="R25">
        <f t="shared" ref="R25" si="102">R26+Q25</f>
        <v>794242901.4688375</v>
      </c>
      <c r="S25">
        <f t="shared" ref="S25" si="103">R25/100000</f>
        <v>7942.429014688375</v>
      </c>
      <c r="T25">
        <f t="shared" ref="T25" si="104">S25/1000</f>
        <v>7.9424290146883747</v>
      </c>
    </row>
    <row r="26" spans="1:20" x14ac:dyDescent="0.25">
      <c r="A26" s="5">
        <v>44567</v>
      </c>
      <c r="B26">
        <v>25.24</v>
      </c>
      <c r="C26">
        <v>25.98</v>
      </c>
      <c r="D26">
        <v>23.34</v>
      </c>
      <c r="E26">
        <v>25.38</v>
      </c>
      <c r="F26">
        <v>17086946.690000001</v>
      </c>
      <c r="G26">
        <v>25.38</v>
      </c>
      <c r="L26" t="s">
        <v>7</v>
      </c>
      <c r="M26" t="s">
        <v>8</v>
      </c>
      <c r="N26" t="s">
        <v>8</v>
      </c>
      <c r="P26">
        <f t="shared" ref="P26" si="105">IF(C26=D26,0,((E26-D26)-(C26-E26))/(C26-D26))</f>
        <v>0.54545454545454453</v>
      </c>
      <c r="Q26">
        <f t="shared" ref="Q26" si="106">F26*P26</f>
        <v>9320152.7399999853</v>
      </c>
      <c r="R26">
        <f t="shared" ref="R26" si="107">R27+Q26</f>
        <v>784921109.85191441</v>
      </c>
      <c r="S26">
        <f t="shared" ref="S26" si="108">R26/100000</f>
        <v>7849.2110985191439</v>
      </c>
      <c r="T26">
        <f t="shared" ref="T26" si="109">S26/1000</f>
        <v>7.8492110985191434</v>
      </c>
    </row>
    <row r="27" spans="1:20" x14ac:dyDescent="0.25">
      <c r="A27" s="5">
        <v>44566</v>
      </c>
      <c r="B27">
        <v>23.43</v>
      </c>
      <c r="C27">
        <v>27.48</v>
      </c>
      <c r="D27">
        <v>22.29</v>
      </c>
      <c r="E27">
        <v>25.24</v>
      </c>
      <c r="F27">
        <v>24289357.800000001</v>
      </c>
      <c r="G27">
        <v>25.24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0.13680154142581832</v>
      </c>
      <c r="Q27">
        <f t="shared" ref="Q27" si="111">F27*P27</f>
        <v>3322821.5872832234</v>
      </c>
      <c r="R27">
        <f t="shared" ref="R27" si="112">R28+Q27</f>
        <v>775600957.1119144</v>
      </c>
      <c r="S27">
        <f t="shared" ref="S27" si="113">R27/100000</f>
        <v>7756.0095711191443</v>
      </c>
      <c r="T27">
        <f t="shared" ref="T27" si="114">S27/1000</f>
        <v>7.7560095711191446</v>
      </c>
    </row>
    <row r="28" spans="1:20" x14ac:dyDescent="0.25">
      <c r="A28" s="5">
        <v>44565</v>
      </c>
      <c r="B28">
        <v>23.72</v>
      </c>
      <c r="C28">
        <v>24.49</v>
      </c>
      <c r="D28">
        <v>22.71</v>
      </c>
      <c r="E28">
        <v>23.42</v>
      </c>
      <c r="F28">
        <v>10784755.220000001</v>
      </c>
      <c r="G28">
        <v>23.42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-0.20224719101123392</v>
      </c>
      <c r="Q28">
        <f t="shared" ref="Q28" si="116">F28*P28</f>
        <v>-2181186.4489887422</v>
      </c>
      <c r="R28">
        <f t="shared" ref="R28" si="117">R29+Q28</f>
        <v>772278135.52463114</v>
      </c>
      <c r="S28">
        <f t="shared" ref="S28" si="118">R28/100000</f>
        <v>7722.7813552463113</v>
      </c>
      <c r="T28">
        <f t="shared" ref="T28" si="119">S28/1000</f>
        <v>7.7227813552463109</v>
      </c>
    </row>
    <row r="29" spans="1:20" x14ac:dyDescent="0.25">
      <c r="A29" s="5">
        <v>44564</v>
      </c>
      <c r="B29">
        <v>21.86</v>
      </c>
      <c r="C29">
        <v>23.75</v>
      </c>
      <c r="D29">
        <v>21.25</v>
      </c>
      <c r="E29">
        <v>23.72</v>
      </c>
      <c r="F29">
        <v>7982877.0199999996</v>
      </c>
      <c r="G29">
        <v>23.72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0.97599999999999909</v>
      </c>
      <c r="Q29">
        <f t="shared" ref="Q29" si="121">F29*P29</f>
        <v>7791287.9715199927</v>
      </c>
      <c r="R29">
        <f t="shared" ref="R29" si="122">R30+Q29</f>
        <v>774459321.97361994</v>
      </c>
      <c r="S29">
        <f t="shared" ref="S29" si="123">R29/100000</f>
        <v>7744.593219736199</v>
      </c>
      <c r="T29">
        <f t="shared" ref="T29" si="124">S29/1000</f>
        <v>7.7445932197361991</v>
      </c>
    </row>
    <row r="30" spans="1:20" x14ac:dyDescent="0.25">
      <c r="A30" s="5">
        <v>44563</v>
      </c>
      <c r="B30">
        <v>20.75</v>
      </c>
      <c r="C30">
        <v>22.2</v>
      </c>
      <c r="D30">
        <v>20.57</v>
      </c>
      <c r="E30">
        <v>21.87</v>
      </c>
      <c r="F30">
        <v>5108786.84</v>
      </c>
      <c r="G30">
        <v>21.87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0.59509202453987919</v>
      </c>
      <c r="Q30">
        <f t="shared" ref="Q30" si="126">F30*P30</f>
        <v>3040198.3035582919</v>
      </c>
      <c r="R30">
        <f t="shared" ref="R30" si="127">R31+Q30</f>
        <v>766668034.00209999</v>
      </c>
      <c r="S30">
        <f t="shared" ref="S30" si="128">R30/100000</f>
        <v>7666.6803400210001</v>
      </c>
      <c r="T30">
        <f t="shared" ref="T30" si="129">S30/1000</f>
        <v>7.6666803400210002</v>
      </c>
    </row>
    <row r="31" spans="1:20" x14ac:dyDescent="0.25">
      <c r="A31" s="5">
        <v>44562</v>
      </c>
      <c r="B31">
        <v>19.52</v>
      </c>
      <c r="C31">
        <v>20.79</v>
      </c>
      <c r="D31">
        <v>19.5</v>
      </c>
      <c r="E31">
        <v>20.76</v>
      </c>
      <c r="F31">
        <v>3459474.38</v>
      </c>
      <c r="G31">
        <v>20.76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0.95348837209302695</v>
      </c>
      <c r="Q31">
        <f t="shared" ref="Q31" si="131">F31*P31</f>
        <v>3298568.5948837334</v>
      </c>
      <c r="R31">
        <f t="shared" ref="R31" si="132">R32+Q31</f>
        <v>763627835.69854164</v>
      </c>
      <c r="S31">
        <f t="shared" ref="S31" si="133">R31/100000</f>
        <v>7636.2783569854164</v>
      </c>
      <c r="T31">
        <f t="shared" ref="T31" si="134">S31/1000</f>
        <v>7.6362783569854162</v>
      </c>
    </row>
    <row r="32" spans="1:20" x14ac:dyDescent="0.25">
      <c r="A32" s="5">
        <v>44561</v>
      </c>
      <c r="B32">
        <v>19.940000000000001</v>
      </c>
      <c r="C32">
        <v>20.63</v>
      </c>
      <c r="D32">
        <v>19.04</v>
      </c>
      <c r="E32">
        <v>19.510000000000002</v>
      </c>
      <c r="F32">
        <v>5579016.1900000004</v>
      </c>
      <c r="G32">
        <v>19.510000000000002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-0.40880503144653779</v>
      </c>
      <c r="Q32">
        <f t="shared" ref="Q32" si="136">F32*P32</f>
        <v>-2280729.8889936935</v>
      </c>
      <c r="R32">
        <f t="shared" ref="R32" si="137">R33+Q32</f>
        <v>760329267.10365796</v>
      </c>
      <c r="S32">
        <f t="shared" ref="S32" si="138">R32/100000</f>
        <v>7603.29267103658</v>
      </c>
      <c r="T32">
        <f t="shared" ref="T32" si="139">S32/1000</f>
        <v>7.6032926710365798</v>
      </c>
    </row>
    <row r="33" spans="1:20" x14ac:dyDescent="0.25">
      <c r="A33" s="5">
        <v>44560</v>
      </c>
      <c r="B33">
        <v>19.739999999999998</v>
      </c>
      <c r="C33">
        <v>20.440000000000001</v>
      </c>
      <c r="D33">
        <v>19.170000000000002</v>
      </c>
      <c r="E33">
        <v>19.93</v>
      </c>
      <c r="F33">
        <v>6009325.1299999999</v>
      </c>
      <c r="G33">
        <v>19.93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0.19685039370078466</v>
      </c>
      <c r="Q33">
        <f t="shared" ref="Q33" si="141">F33*P33</f>
        <v>1182938.0177165191</v>
      </c>
      <c r="R33">
        <f t="shared" ref="R33" si="142">R34+Q33</f>
        <v>762609996.9926517</v>
      </c>
      <c r="S33">
        <f t="shared" ref="S33" si="143">R33/100000</f>
        <v>7626.0999699265167</v>
      </c>
      <c r="T33">
        <f t="shared" ref="T33" si="144">S33/1000</f>
        <v>7.6260999699265168</v>
      </c>
    </row>
    <row r="34" spans="1:20" x14ac:dyDescent="0.25">
      <c r="A34" s="5">
        <v>44559</v>
      </c>
      <c r="B34">
        <v>20.38</v>
      </c>
      <c r="C34">
        <v>20.97</v>
      </c>
      <c r="D34">
        <v>19.53</v>
      </c>
      <c r="E34">
        <v>19.739999999999998</v>
      </c>
      <c r="F34">
        <v>6951841.9000000004</v>
      </c>
      <c r="G34">
        <v>19.739999999999998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-0.70833333333333659</v>
      </c>
      <c r="Q34">
        <f t="shared" ref="Q34" si="146">F34*P34</f>
        <v>-4924221.3458333565</v>
      </c>
      <c r="R34">
        <f t="shared" ref="R34" si="147">R35+Q34</f>
        <v>761427058.97493517</v>
      </c>
      <c r="S34">
        <f t="shared" ref="S34" si="148">R34/100000</f>
        <v>7614.2705897493515</v>
      </c>
      <c r="T34">
        <f t="shared" ref="T34" si="149">S34/1000</f>
        <v>7.6142705897493519</v>
      </c>
    </row>
    <row r="35" spans="1:20" x14ac:dyDescent="0.25">
      <c r="A35" s="5">
        <v>44558</v>
      </c>
      <c r="B35">
        <v>23.02</v>
      </c>
      <c r="C35">
        <v>23.02</v>
      </c>
      <c r="D35">
        <v>20.32</v>
      </c>
      <c r="E35">
        <v>20.37</v>
      </c>
      <c r="F35">
        <v>9022968.5</v>
      </c>
      <c r="G35">
        <v>20.37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-0.96296296296296247</v>
      </c>
      <c r="Q35">
        <f t="shared" ref="Q35" si="151">F35*P35</f>
        <v>-8688784.4814814776</v>
      </c>
      <c r="R35">
        <f t="shared" ref="R35" si="152">R36+Q35</f>
        <v>766351280.32076848</v>
      </c>
      <c r="S35">
        <f t="shared" ref="S35" si="153">R35/100000</f>
        <v>7663.5128032076846</v>
      </c>
      <c r="T35">
        <f t="shared" ref="T35" si="154">S35/1000</f>
        <v>7.6635128032076842</v>
      </c>
    </row>
    <row r="36" spans="1:20" x14ac:dyDescent="0.25">
      <c r="A36" s="5">
        <v>44557</v>
      </c>
      <c r="B36">
        <v>22.99</v>
      </c>
      <c r="C36">
        <v>24.49</v>
      </c>
      <c r="D36">
        <v>22.75</v>
      </c>
      <c r="E36">
        <v>23.02</v>
      </c>
      <c r="F36">
        <v>6522187.7599999998</v>
      </c>
      <c r="G36">
        <v>23.02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-0.68965517241379326</v>
      </c>
      <c r="Q36">
        <f t="shared" ref="Q36" si="156">F36*P36</f>
        <v>-4498060.5241379319</v>
      </c>
      <c r="R36">
        <f t="shared" ref="R36" si="157">R37+Q36</f>
        <v>775040064.80224991</v>
      </c>
      <c r="S36">
        <f t="shared" ref="S36" si="158">R36/100000</f>
        <v>7750.4006480224989</v>
      </c>
      <c r="T36">
        <f t="shared" ref="T36" si="159">S36/1000</f>
        <v>7.7504006480224987</v>
      </c>
    </row>
    <row r="37" spans="1:20" x14ac:dyDescent="0.25">
      <c r="A37" s="5">
        <v>44556</v>
      </c>
      <c r="B37">
        <v>22.11</v>
      </c>
      <c r="C37">
        <v>23.58</v>
      </c>
      <c r="D37">
        <v>21.12</v>
      </c>
      <c r="E37">
        <v>22.98</v>
      </c>
      <c r="F37">
        <v>6566168.4699999997</v>
      </c>
      <c r="G37">
        <v>22.98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0.51219512195122074</v>
      </c>
      <c r="Q37">
        <f t="shared" ref="Q37" si="161">F37*P37</f>
        <v>3363159.4602439106</v>
      </c>
      <c r="R37">
        <f t="shared" ref="R37" si="162">R38+Q37</f>
        <v>779538125.32638788</v>
      </c>
      <c r="S37">
        <f t="shared" ref="S37" si="163">R37/100000</f>
        <v>7795.3812532638785</v>
      </c>
      <c r="T37">
        <f t="shared" ref="T37" si="164">S37/1000</f>
        <v>7.7953812532638782</v>
      </c>
    </row>
    <row r="38" spans="1:20" x14ac:dyDescent="0.25">
      <c r="A38" s="5">
        <v>44555</v>
      </c>
      <c r="B38">
        <v>21.48</v>
      </c>
      <c r="C38">
        <v>22.39</v>
      </c>
      <c r="D38">
        <v>21.29</v>
      </c>
      <c r="E38">
        <v>22.1</v>
      </c>
      <c r="F38">
        <v>3223439.24</v>
      </c>
      <c r="G38">
        <v>22.1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0.47272727272727494</v>
      </c>
      <c r="Q38">
        <f t="shared" ref="Q38" si="166">F38*P38</f>
        <v>1523807.6407272799</v>
      </c>
      <c r="R38">
        <f t="shared" ref="R38" si="167">R39+Q38</f>
        <v>776174965.86614394</v>
      </c>
      <c r="S38">
        <f t="shared" ref="S38" si="168">R38/100000</f>
        <v>7761.7496586614398</v>
      </c>
      <c r="T38">
        <f t="shared" ref="T38" si="169">S38/1000</f>
        <v>7.7617496586614401</v>
      </c>
    </row>
    <row r="39" spans="1:20" x14ac:dyDescent="0.25">
      <c r="A39" s="5">
        <v>44554</v>
      </c>
      <c r="B39">
        <v>22.18</v>
      </c>
      <c r="C39">
        <v>22.66</v>
      </c>
      <c r="D39">
        <v>21.2</v>
      </c>
      <c r="E39">
        <v>21.48</v>
      </c>
      <c r="F39">
        <v>5593044.1900000004</v>
      </c>
      <c r="G39">
        <v>21.48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-0.61643835616438225</v>
      </c>
      <c r="Q39">
        <f t="shared" ref="Q39" si="171">F39*P39</f>
        <v>-3447766.9664383489</v>
      </c>
      <c r="R39">
        <f t="shared" ref="R39" si="172">R40+Q39</f>
        <v>774651158.22541666</v>
      </c>
      <c r="S39">
        <f t="shared" ref="S39" si="173">R39/100000</f>
        <v>7746.5115822541666</v>
      </c>
      <c r="T39">
        <f t="shared" ref="T39" si="174">S39/1000</f>
        <v>7.7465115822541666</v>
      </c>
    </row>
    <row r="40" spans="1:20" x14ac:dyDescent="0.25">
      <c r="A40" s="5">
        <v>44553</v>
      </c>
      <c r="B40">
        <v>19.920000000000002</v>
      </c>
      <c r="C40">
        <v>22.22</v>
      </c>
      <c r="D40">
        <v>19.57</v>
      </c>
      <c r="E40">
        <v>22.17</v>
      </c>
      <c r="F40">
        <v>7579889.5199999996</v>
      </c>
      <c r="G40">
        <v>22.17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0.96226415094339834</v>
      </c>
      <c r="Q40">
        <f t="shared" ref="Q40" si="176">F40*P40</f>
        <v>7293855.9532075627</v>
      </c>
      <c r="R40">
        <f t="shared" ref="R40" si="177">R41+Q40</f>
        <v>778098925.19185495</v>
      </c>
      <c r="S40">
        <f t="shared" ref="S40" si="178">R40/100000</f>
        <v>7780.9892519185496</v>
      </c>
      <c r="T40">
        <f t="shared" ref="T40" si="179">S40/1000</f>
        <v>7.78098925191855</v>
      </c>
    </row>
    <row r="41" spans="1:20" x14ac:dyDescent="0.25">
      <c r="A41" s="5">
        <v>44552</v>
      </c>
      <c r="B41">
        <v>19.41</v>
      </c>
      <c r="C41">
        <v>20.83</v>
      </c>
      <c r="D41">
        <v>19.2</v>
      </c>
      <c r="E41">
        <v>19.93</v>
      </c>
      <c r="F41">
        <v>5032493.3899999997</v>
      </c>
      <c r="G41">
        <v>19.93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-0.10429447852760629</v>
      </c>
      <c r="Q41">
        <f t="shared" ref="Q41" si="181">F41*P41</f>
        <v>-524861.27380367555</v>
      </c>
      <c r="R41">
        <f t="shared" ref="R41" si="182">R42+Q41</f>
        <v>770805069.23864734</v>
      </c>
      <c r="S41">
        <f t="shared" ref="S41" si="183">R41/100000</f>
        <v>7708.0506923864732</v>
      </c>
      <c r="T41">
        <f t="shared" ref="T41" si="184">S41/1000</f>
        <v>7.7080506923864736</v>
      </c>
    </row>
    <row r="42" spans="1:20" x14ac:dyDescent="0.25">
      <c r="A42" s="5">
        <v>44551</v>
      </c>
      <c r="B42">
        <v>18.79</v>
      </c>
      <c r="C42">
        <v>19.670000000000002</v>
      </c>
      <c r="D42">
        <v>18.37</v>
      </c>
      <c r="E42">
        <v>19.420000000000002</v>
      </c>
      <c r="F42">
        <v>3667347.22</v>
      </c>
      <c r="G42">
        <v>19.420000000000002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0.61538461538461564</v>
      </c>
      <c r="Q42">
        <f t="shared" ref="Q42" si="186">F42*P42</f>
        <v>2256829.0584615394</v>
      </c>
      <c r="R42">
        <f t="shared" ref="R42" si="187">R43+Q42</f>
        <v>771329930.51245105</v>
      </c>
      <c r="S42">
        <f t="shared" ref="S42" si="188">R42/100000</f>
        <v>7713.2993051245103</v>
      </c>
      <c r="T42">
        <f t="shared" ref="T42" si="189">S42/1000</f>
        <v>7.7132993051245107</v>
      </c>
    </row>
    <row r="43" spans="1:20" x14ac:dyDescent="0.25">
      <c r="A43" s="5">
        <v>44550</v>
      </c>
      <c r="B43">
        <v>18.86</v>
      </c>
      <c r="C43">
        <v>19.2</v>
      </c>
      <c r="D43">
        <v>18.04</v>
      </c>
      <c r="E43">
        <v>18.78</v>
      </c>
      <c r="F43">
        <v>5052339.5999999996</v>
      </c>
      <c r="G43">
        <v>18.78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0.27586206896552051</v>
      </c>
      <c r="Q43">
        <f t="shared" ref="Q43" si="191">F43*P43</f>
        <v>1393748.8551724302</v>
      </c>
      <c r="R43">
        <f t="shared" ref="R43" si="192">R44+Q43</f>
        <v>769073101.45398951</v>
      </c>
      <c r="S43">
        <f t="shared" ref="S43" si="193">R43/100000</f>
        <v>7690.7310145398951</v>
      </c>
      <c r="T43">
        <f t="shared" ref="T43" si="194">S43/1000</f>
        <v>7.690731014539895</v>
      </c>
    </row>
    <row r="44" spans="1:20" x14ac:dyDescent="0.25">
      <c r="A44" s="5">
        <v>44549</v>
      </c>
      <c r="B44">
        <v>19.53</v>
      </c>
      <c r="C44">
        <v>20.38</v>
      </c>
      <c r="D44">
        <v>18.8</v>
      </c>
      <c r="E44">
        <v>18.86</v>
      </c>
      <c r="F44">
        <v>4918775.96</v>
      </c>
      <c r="G44">
        <v>18.86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-0.92405063291139389</v>
      </c>
      <c r="Q44">
        <f t="shared" ref="Q44" si="196">F44*P44</f>
        <v>-4545198.0389873488</v>
      </c>
      <c r="R44">
        <f t="shared" ref="R44" si="197">R45+Q44</f>
        <v>767679352.59881711</v>
      </c>
      <c r="S44">
        <f t="shared" ref="S44" si="198">R44/100000</f>
        <v>7676.7935259881715</v>
      </c>
      <c r="T44">
        <f t="shared" ref="T44" si="199">S44/1000</f>
        <v>7.6767935259881712</v>
      </c>
    </row>
    <row r="45" spans="1:20" x14ac:dyDescent="0.25">
      <c r="A45" s="5">
        <v>44548</v>
      </c>
      <c r="B45">
        <v>18.260000000000002</v>
      </c>
      <c r="C45">
        <v>20</v>
      </c>
      <c r="D45">
        <v>17.809999999999999</v>
      </c>
      <c r="E45">
        <v>19.54</v>
      </c>
      <c r="F45">
        <v>5362509.5999999996</v>
      </c>
      <c r="G45">
        <v>19.54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0.57990867579908623</v>
      </c>
      <c r="Q45">
        <f t="shared" ref="Q45" si="201">F45*P45</f>
        <v>3109765.8410958871</v>
      </c>
      <c r="R45">
        <f t="shared" ref="R45" si="202">R46+Q45</f>
        <v>772224550.63780451</v>
      </c>
      <c r="S45">
        <f t="shared" ref="S45" si="203">R45/100000</f>
        <v>7722.2455063780453</v>
      </c>
      <c r="T45">
        <f t="shared" ref="T45" si="204">S45/1000</f>
        <v>7.7222455063780453</v>
      </c>
    </row>
    <row r="46" spans="1:20" x14ac:dyDescent="0.25">
      <c r="A46" s="5">
        <v>44547</v>
      </c>
      <c r="B46">
        <v>18.77</v>
      </c>
      <c r="C46">
        <v>19.23</v>
      </c>
      <c r="D46">
        <v>17.739999999999998</v>
      </c>
      <c r="E46">
        <v>18.25</v>
      </c>
      <c r="F46">
        <v>5458704.3799999999</v>
      </c>
      <c r="G46">
        <v>18.25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-0.31543624161073708</v>
      </c>
      <c r="Q46">
        <f t="shared" ref="Q46" si="206">F46*P46</f>
        <v>-1721873.1936912688</v>
      </c>
      <c r="R46">
        <f t="shared" ref="R46" si="207">R47+Q46</f>
        <v>769114784.79670858</v>
      </c>
      <c r="S46">
        <f t="shared" ref="S46" si="208">R46/100000</f>
        <v>7691.1478479670859</v>
      </c>
      <c r="T46">
        <f t="shared" ref="T46" si="209">S46/1000</f>
        <v>7.6911478479670858</v>
      </c>
    </row>
    <row r="47" spans="1:20" x14ac:dyDescent="0.25">
      <c r="A47" s="5">
        <v>44546</v>
      </c>
      <c r="B47">
        <v>19.7</v>
      </c>
      <c r="C47">
        <v>20.34</v>
      </c>
      <c r="D47">
        <v>18.690000000000001</v>
      </c>
      <c r="E47">
        <v>18.760000000000002</v>
      </c>
      <c r="F47">
        <v>4943919.45</v>
      </c>
      <c r="G47">
        <v>18.760000000000002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-0.91515151515151472</v>
      </c>
      <c r="Q47">
        <f t="shared" ref="Q47" si="211">F47*P47</f>
        <v>-4524435.3754545432</v>
      </c>
      <c r="R47">
        <f t="shared" ref="R47" si="212">R48+Q47</f>
        <v>770836657.99039984</v>
      </c>
      <c r="S47">
        <f t="shared" ref="S47" si="213">R47/100000</f>
        <v>7708.3665799039982</v>
      </c>
      <c r="T47">
        <f t="shared" ref="T47" si="214">S47/1000</f>
        <v>7.7083665799039984</v>
      </c>
    </row>
    <row r="48" spans="1:20" x14ac:dyDescent="0.25">
      <c r="A48" s="5">
        <v>44545</v>
      </c>
      <c r="B48">
        <v>18.43</v>
      </c>
      <c r="C48">
        <v>20</v>
      </c>
      <c r="D48">
        <v>17.260000000000002</v>
      </c>
      <c r="E48">
        <v>19.690000000000001</v>
      </c>
      <c r="F48">
        <v>7026159.04</v>
      </c>
      <c r="G48">
        <v>19.690000000000001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0.77372262773722711</v>
      </c>
      <c r="Q48">
        <f t="shared" ref="Q48" si="216">F48*P48</f>
        <v>5436298.2353284732</v>
      </c>
      <c r="R48">
        <f t="shared" ref="R48" si="217">R49+Q48</f>
        <v>775361093.36585438</v>
      </c>
      <c r="S48">
        <f t="shared" ref="S48" si="218">R48/100000</f>
        <v>7753.6109336585441</v>
      </c>
      <c r="T48">
        <f t="shared" ref="T48" si="219">S48/1000</f>
        <v>7.7536109336585444</v>
      </c>
    </row>
    <row r="49" spans="1:20" x14ac:dyDescent="0.25">
      <c r="A49" s="5">
        <v>44544</v>
      </c>
      <c r="B49">
        <v>17.78</v>
      </c>
      <c r="C49">
        <v>18.61</v>
      </c>
      <c r="D49">
        <v>17.440000000000001</v>
      </c>
      <c r="E49">
        <v>18.440000000000001</v>
      </c>
      <c r="F49">
        <v>5679303.2000000002</v>
      </c>
      <c r="G49">
        <v>18.440000000000001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0.7094017094017121</v>
      </c>
      <c r="Q49">
        <f t="shared" ref="Q49" si="221">F49*P49</f>
        <v>4028907.3982906137</v>
      </c>
      <c r="R49">
        <f t="shared" ref="R49" si="222">R50+Q49</f>
        <v>769924795.13052595</v>
      </c>
      <c r="S49">
        <f t="shared" ref="S49" si="223">R49/100000</f>
        <v>7699.2479513052594</v>
      </c>
      <c r="T49">
        <f t="shared" ref="T49" si="224">S49/1000</f>
        <v>7.6992479513052592</v>
      </c>
    </row>
    <row r="50" spans="1:20" x14ac:dyDescent="0.25">
      <c r="A50" s="5">
        <v>44543</v>
      </c>
      <c r="B50">
        <v>20.41</v>
      </c>
      <c r="C50">
        <v>20.56</v>
      </c>
      <c r="D50">
        <v>17.3</v>
      </c>
      <c r="E50">
        <v>17.78</v>
      </c>
      <c r="F50">
        <v>7022411.6500000004</v>
      </c>
      <c r="G50">
        <v>17.78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-0.70552147239263763</v>
      </c>
      <c r="Q50">
        <f t="shared" ref="Q50" si="226">F50*P50</f>
        <v>-4954462.207055212</v>
      </c>
      <c r="R50">
        <f t="shared" ref="R50" si="227">R51+Q50</f>
        <v>765895887.73223531</v>
      </c>
      <c r="S50">
        <f t="shared" ref="S50" si="228">R50/100000</f>
        <v>7658.9588773223531</v>
      </c>
      <c r="T50">
        <f t="shared" ref="T50" si="229">S50/1000</f>
        <v>7.6589588773223536</v>
      </c>
    </row>
    <row r="51" spans="1:20" x14ac:dyDescent="0.25">
      <c r="A51" s="5">
        <v>44542</v>
      </c>
      <c r="B51">
        <v>19.97</v>
      </c>
      <c r="C51">
        <v>20.8</v>
      </c>
      <c r="D51">
        <v>19.2</v>
      </c>
      <c r="E51">
        <v>20.41</v>
      </c>
      <c r="F51">
        <v>3211538.08</v>
      </c>
      <c r="G51">
        <v>20.41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0.51249999999999973</v>
      </c>
      <c r="Q51">
        <f t="shared" ref="Q51" si="231">F51*P51</f>
        <v>1645913.2659999991</v>
      </c>
      <c r="R51">
        <f t="shared" ref="R51" si="232">R52+Q51</f>
        <v>770850349.93929052</v>
      </c>
      <c r="S51">
        <f t="shared" ref="S51" si="233">R51/100000</f>
        <v>7708.5034993929048</v>
      </c>
      <c r="T51">
        <f t="shared" ref="T51" si="234">S51/1000</f>
        <v>7.7085034993929051</v>
      </c>
    </row>
    <row r="52" spans="1:20" x14ac:dyDescent="0.25">
      <c r="A52" s="5">
        <v>44541</v>
      </c>
      <c r="B52">
        <v>18.55</v>
      </c>
      <c r="C52">
        <v>18.93</v>
      </c>
      <c r="D52">
        <v>18.16</v>
      </c>
      <c r="E52">
        <v>18.87</v>
      </c>
      <c r="F52">
        <v>522207.71</v>
      </c>
      <c r="G52">
        <v>18.87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0.84415584415584743</v>
      </c>
      <c r="Q52">
        <f t="shared" ref="Q52" si="236">F52*P52</f>
        <v>440824.69025974197</v>
      </c>
      <c r="R52">
        <f t="shared" ref="R52" si="237">R53+Q52</f>
        <v>769204436.67329049</v>
      </c>
      <c r="S52">
        <f t="shared" ref="S52" si="238">R52/100000</f>
        <v>7692.0443667329046</v>
      </c>
      <c r="T52">
        <f t="shared" ref="T52" si="239">S52/1000</f>
        <v>7.6920443667329046</v>
      </c>
    </row>
    <row r="53" spans="1:20" x14ac:dyDescent="0.25">
      <c r="A53" s="5">
        <v>44540</v>
      </c>
      <c r="B53">
        <v>20.25</v>
      </c>
      <c r="C53">
        <v>20.88</v>
      </c>
      <c r="D53">
        <v>18.46</v>
      </c>
      <c r="E53">
        <v>18.559999999999999</v>
      </c>
      <c r="F53">
        <v>7767639.7800000003</v>
      </c>
      <c r="G53">
        <v>18.559999999999999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-0.91735537190082816</v>
      </c>
      <c r="Q53">
        <f t="shared" ref="Q53" si="241">F53*P53</f>
        <v>-7125686.0791735677</v>
      </c>
      <c r="R53">
        <f t="shared" ref="R53" si="242">R54+Q53</f>
        <v>768763611.9830308</v>
      </c>
      <c r="S53">
        <f t="shared" ref="S53" si="243">R53/100000</f>
        <v>7687.6361198303075</v>
      </c>
      <c r="T53">
        <f t="shared" ref="T53" si="244">S53/1000</f>
        <v>7.6876361198303078</v>
      </c>
    </row>
    <row r="54" spans="1:20" x14ac:dyDescent="0.25">
      <c r="A54" s="5">
        <v>44539</v>
      </c>
      <c r="B54">
        <v>22.91</v>
      </c>
      <c r="C54">
        <v>23.05</v>
      </c>
      <c r="D54">
        <v>20.25</v>
      </c>
      <c r="E54">
        <v>20.25</v>
      </c>
      <c r="F54">
        <v>8209134.2400000002</v>
      </c>
      <c r="G54">
        <v>20.25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-1</v>
      </c>
      <c r="Q54">
        <f t="shared" ref="Q54" si="246">F54*P54</f>
        <v>-8209134.2400000002</v>
      </c>
      <c r="R54">
        <f t="shared" ref="R54" si="247">R55+Q54</f>
        <v>775889298.06220436</v>
      </c>
      <c r="S54">
        <f t="shared" ref="S54" si="248">R54/100000</f>
        <v>7758.892980622044</v>
      </c>
      <c r="T54">
        <f t="shared" ref="T54" si="249">S54/1000</f>
        <v>7.7588929806220444</v>
      </c>
    </row>
    <row r="55" spans="1:20" x14ac:dyDescent="0.25">
      <c r="A55" s="5">
        <v>44538</v>
      </c>
      <c r="B55">
        <v>21.08</v>
      </c>
      <c r="C55">
        <v>23.2</v>
      </c>
      <c r="D55">
        <v>20.75</v>
      </c>
      <c r="E55">
        <v>22.91</v>
      </c>
      <c r="F55">
        <v>11114837.710000001</v>
      </c>
      <c r="G55">
        <v>22.91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0.76326530612244958</v>
      </c>
      <c r="Q55">
        <f t="shared" ref="Q55" si="251">F55*P55</f>
        <v>8483570.0072244965</v>
      </c>
      <c r="R55">
        <f t="shared" ref="R55" si="252">R56+Q55</f>
        <v>784098432.30220437</v>
      </c>
      <c r="S55">
        <f t="shared" ref="S55" si="253">R55/100000</f>
        <v>7840.984323022044</v>
      </c>
      <c r="T55">
        <f t="shared" ref="T55" si="254">S55/1000</f>
        <v>7.8409843230220444</v>
      </c>
    </row>
    <row r="56" spans="1:20" x14ac:dyDescent="0.25">
      <c r="A56" s="5">
        <v>44537</v>
      </c>
      <c r="B56">
        <v>19.79</v>
      </c>
      <c r="C56">
        <v>21.18</v>
      </c>
      <c r="D56">
        <v>19.7</v>
      </c>
      <c r="E56">
        <v>21.09</v>
      </c>
      <c r="F56">
        <v>7483015.8099999996</v>
      </c>
      <c r="G56">
        <v>21.09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0.87837837837837862</v>
      </c>
      <c r="Q56">
        <f t="shared" ref="Q56" si="256">F56*P56</f>
        <v>6572919.2925675688</v>
      </c>
      <c r="R56">
        <f t="shared" ref="R56" si="257">R57+Q56</f>
        <v>775614862.29497993</v>
      </c>
      <c r="S56">
        <f t="shared" ref="S56" si="258">R56/100000</f>
        <v>7756.1486229497996</v>
      </c>
      <c r="T56">
        <f t="shared" ref="T56" si="259">S56/1000</f>
        <v>7.7561486229497998</v>
      </c>
    </row>
    <row r="57" spans="1:20" x14ac:dyDescent="0.25">
      <c r="A57" s="5">
        <v>44536</v>
      </c>
      <c r="B57">
        <v>19.489999999999998</v>
      </c>
      <c r="C57">
        <v>20.010000000000002</v>
      </c>
      <c r="D57">
        <v>17.21</v>
      </c>
      <c r="E57">
        <v>19.8</v>
      </c>
      <c r="F57">
        <v>8513440.0899999999</v>
      </c>
      <c r="G57">
        <v>19.8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0.84999999999999942</v>
      </c>
      <c r="Q57">
        <f t="shared" ref="Q57" si="261">F57*P57</f>
        <v>7236424.0764999948</v>
      </c>
      <c r="R57">
        <f t="shared" ref="R57" si="262">R58+Q57</f>
        <v>769041943.00241232</v>
      </c>
      <c r="S57">
        <f t="shared" ref="S57" si="263">R57/100000</f>
        <v>7690.4194300241234</v>
      </c>
      <c r="T57">
        <f t="shared" ref="T57" si="264">S57/1000</f>
        <v>7.6904194300241233</v>
      </c>
    </row>
    <row r="58" spans="1:20" x14ac:dyDescent="0.25">
      <c r="A58" s="5">
        <v>44535</v>
      </c>
      <c r="B58">
        <v>20.65</v>
      </c>
      <c r="C58">
        <v>20.93</v>
      </c>
      <c r="D58">
        <v>18.46</v>
      </c>
      <c r="E58">
        <v>19.48</v>
      </c>
      <c r="F58">
        <v>7454749.6100000003</v>
      </c>
      <c r="G58">
        <v>19.48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-0.17408906882591091</v>
      </c>
      <c r="Q58">
        <f t="shared" ref="Q58" si="266">F58*P58</f>
        <v>-1297790.4179352226</v>
      </c>
      <c r="R58">
        <f t="shared" ref="R58" si="267">R59+Q58</f>
        <v>761805518.92591238</v>
      </c>
      <c r="S58">
        <f t="shared" ref="S58" si="268">R58/100000</f>
        <v>7618.0551892591238</v>
      </c>
      <c r="T58">
        <f t="shared" ref="T58" si="269">S58/1000</f>
        <v>7.6180551892591239</v>
      </c>
    </row>
    <row r="59" spans="1:20" x14ac:dyDescent="0.25">
      <c r="A59" s="5">
        <v>44534</v>
      </c>
      <c r="B59">
        <v>23.31</v>
      </c>
      <c r="C59">
        <v>23.36</v>
      </c>
      <c r="D59">
        <v>15.32</v>
      </c>
      <c r="E59">
        <v>20.64</v>
      </c>
      <c r="F59">
        <v>20782013.826000001</v>
      </c>
      <c r="G59">
        <v>20.64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0.32338308457711462</v>
      </c>
      <c r="Q59">
        <f t="shared" ref="Q59" si="271">F59*P59</f>
        <v>6720551.7347761234</v>
      </c>
      <c r="R59">
        <f t="shared" ref="R59" si="272">R60+Q59</f>
        <v>763103309.34384763</v>
      </c>
      <c r="S59">
        <f t="shared" ref="S59" si="273">R59/100000</f>
        <v>7631.0330934384765</v>
      </c>
      <c r="T59">
        <f t="shared" ref="T59" si="274">S59/1000</f>
        <v>7.6310330934384769</v>
      </c>
    </row>
    <row r="60" spans="1:20" x14ac:dyDescent="0.25">
      <c r="A60" s="5">
        <v>44533</v>
      </c>
      <c r="B60">
        <v>24.54</v>
      </c>
      <c r="C60">
        <v>25.85</v>
      </c>
      <c r="D60">
        <v>22.44</v>
      </c>
      <c r="E60">
        <v>23.31</v>
      </c>
      <c r="F60">
        <v>5725480.5999999996</v>
      </c>
      <c r="G60">
        <v>23.31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-0.48973607038123318</v>
      </c>
      <c r="Q60">
        <f t="shared" ref="Q60" si="276">F60*P60</f>
        <v>-2803974.3700879849</v>
      </c>
      <c r="R60">
        <f t="shared" ref="R60" si="277">R61+Q60</f>
        <v>756382757.60907149</v>
      </c>
      <c r="S60">
        <f t="shared" ref="S60" si="278">R60/100000</f>
        <v>7563.8275760907145</v>
      </c>
      <c r="T60">
        <f t="shared" ref="T60" si="279">S60/1000</f>
        <v>7.5638275760907145</v>
      </c>
    </row>
    <row r="61" spans="1:20" x14ac:dyDescent="0.25">
      <c r="A61" s="5">
        <v>44532</v>
      </c>
      <c r="B61">
        <v>25.32</v>
      </c>
      <c r="C61">
        <v>25.33</v>
      </c>
      <c r="D61">
        <v>24.16</v>
      </c>
      <c r="E61">
        <v>24.55</v>
      </c>
      <c r="F61">
        <v>3910782.56</v>
      </c>
      <c r="G61">
        <v>24.55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-0.33333333333333132</v>
      </c>
      <c r="Q61">
        <f t="shared" ref="Q61" si="281">F61*P61</f>
        <v>-1303594.1866666588</v>
      </c>
      <c r="R61">
        <f t="shared" ref="R61" si="282">R62+Q61</f>
        <v>759186731.97915947</v>
      </c>
      <c r="S61">
        <f t="shared" ref="S61" si="283">R61/100000</f>
        <v>7591.867319791595</v>
      </c>
      <c r="T61">
        <f t="shared" ref="T61" si="284">S61/1000</f>
        <v>7.5918673197915947</v>
      </c>
    </row>
    <row r="62" spans="1:20" x14ac:dyDescent="0.25">
      <c r="A62" s="5">
        <v>44531</v>
      </c>
      <c r="B62">
        <v>25.31</v>
      </c>
      <c r="C62">
        <v>26.9</v>
      </c>
      <c r="D62">
        <v>24.96</v>
      </c>
      <c r="E62">
        <v>25.32</v>
      </c>
      <c r="F62">
        <v>4642138.01</v>
      </c>
      <c r="G62">
        <v>25.32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-0.6288659793814434</v>
      </c>
      <c r="Q62">
        <f t="shared" ref="Q62" si="286">F62*P62</f>
        <v>-2919282.6660824744</v>
      </c>
      <c r="R62">
        <f t="shared" ref="R62" si="287">R63+Q62</f>
        <v>760490326.16582608</v>
      </c>
      <c r="S62">
        <f t="shared" ref="S62" si="288">R62/100000</f>
        <v>7604.9032616582608</v>
      </c>
      <c r="T62">
        <f t="shared" ref="T62" si="289">S62/1000</f>
        <v>7.6049032616582606</v>
      </c>
    </row>
    <row r="63" spans="1:20" x14ac:dyDescent="0.25">
      <c r="A63" s="5">
        <v>44530</v>
      </c>
      <c r="B63">
        <v>24.99</v>
      </c>
      <c r="C63">
        <v>26.52</v>
      </c>
      <c r="D63">
        <v>24.11</v>
      </c>
      <c r="E63">
        <v>25.31</v>
      </c>
      <c r="F63">
        <v>5806301.2199999997</v>
      </c>
      <c r="G63">
        <v>25.31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-4.1493775933616446E-3</v>
      </c>
      <c r="Q63">
        <f t="shared" ref="Q63" si="291">F63*P63</f>
        <v>-24092.536182576379</v>
      </c>
      <c r="R63">
        <f t="shared" ref="R63" si="292">R64+Q63</f>
        <v>763409608.83190858</v>
      </c>
      <c r="S63">
        <f t="shared" ref="S63" si="293">R63/100000</f>
        <v>7634.0960883190855</v>
      </c>
      <c r="T63">
        <f t="shared" ref="T63" si="294">S63/1000</f>
        <v>7.6340960883190858</v>
      </c>
    </row>
    <row r="64" spans="1:20" x14ac:dyDescent="0.25">
      <c r="A64" s="5">
        <v>44529</v>
      </c>
      <c r="B64">
        <v>24.76</v>
      </c>
      <c r="C64">
        <v>25.61</v>
      </c>
      <c r="D64">
        <v>24.54</v>
      </c>
      <c r="E64">
        <v>24.99</v>
      </c>
      <c r="F64">
        <v>4733398.72</v>
      </c>
      <c r="G64">
        <v>24.99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-0.15887850467289874</v>
      </c>
      <c r="Q64">
        <f t="shared" ref="Q64" si="296">F64*P64</f>
        <v>-752035.31065421284</v>
      </c>
      <c r="R64">
        <f t="shared" ref="R64" si="297">R65+Q64</f>
        <v>763433701.36809111</v>
      </c>
      <c r="S64">
        <f t="shared" ref="S64" si="298">R64/100000</f>
        <v>7634.3370136809108</v>
      </c>
      <c r="T64">
        <f t="shared" ref="T64" si="299">S64/1000</f>
        <v>7.634337013680911</v>
      </c>
    </row>
    <row r="65" spans="1:20" x14ac:dyDescent="0.25">
      <c r="A65" s="5">
        <v>44528</v>
      </c>
      <c r="B65">
        <v>24.09</v>
      </c>
      <c r="C65">
        <v>25.01</v>
      </c>
      <c r="D65">
        <v>22.63</v>
      </c>
      <c r="E65">
        <v>24.76</v>
      </c>
      <c r="F65">
        <v>4563690.3899999997</v>
      </c>
      <c r="G65">
        <v>24.76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0.78991596638655481</v>
      </c>
      <c r="Q65">
        <f t="shared" ref="Q65" si="301">F65*P65</f>
        <v>3604931.904705883</v>
      </c>
      <c r="R65">
        <f t="shared" ref="R65" si="302">R66+Q65</f>
        <v>764185736.67874527</v>
      </c>
      <c r="S65">
        <f t="shared" ref="S65" si="303">R65/100000</f>
        <v>7641.8573667874525</v>
      </c>
      <c r="T65">
        <f t="shared" ref="T65" si="304">S65/1000</f>
        <v>7.6418573667874528</v>
      </c>
    </row>
    <row r="66" spans="1:20" x14ac:dyDescent="0.25">
      <c r="A66" s="5">
        <v>44527</v>
      </c>
      <c r="B66">
        <v>23.96</v>
      </c>
      <c r="C66">
        <v>24.99</v>
      </c>
      <c r="D66">
        <v>23.78</v>
      </c>
      <c r="E66">
        <v>24.1</v>
      </c>
      <c r="F66">
        <v>3976318.59</v>
      </c>
      <c r="G66">
        <v>24.1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-0.47107438016528763</v>
      </c>
      <c r="Q66">
        <f t="shared" ref="Q66" si="306">F66*P66</f>
        <v>-1873141.8151239604</v>
      </c>
      <c r="R66">
        <f t="shared" ref="R66" si="307">R67+Q66</f>
        <v>760580804.77403939</v>
      </c>
      <c r="S66">
        <f t="shared" ref="S66" si="308">R66/100000</f>
        <v>7605.8080477403937</v>
      </c>
      <c r="T66">
        <f t="shared" ref="T66" si="309">S66/1000</f>
        <v>7.6058080477403935</v>
      </c>
    </row>
    <row r="67" spans="1:20" x14ac:dyDescent="0.25">
      <c r="A67" s="5">
        <v>44526</v>
      </c>
      <c r="B67">
        <v>26.41</v>
      </c>
      <c r="C67">
        <v>26.59</v>
      </c>
      <c r="D67">
        <v>22.9</v>
      </c>
      <c r="E67">
        <v>23.96</v>
      </c>
      <c r="F67">
        <v>10693190.380000001</v>
      </c>
      <c r="G67">
        <v>23.96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-0.42547425474254641</v>
      </c>
      <c r="Q67">
        <f t="shared" ref="Q67" si="311">F67*P67</f>
        <v>-4549677.2077506669</v>
      </c>
      <c r="R67">
        <f t="shared" ref="R67" si="312">R68+Q67</f>
        <v>762453946.5891633</v>
      </c>
      <c r="S67">
        <f t="shared" ref="S67" si="313">R67/100000</f>
        <v>7624.539465891633</v>
      </c>
      <c r="T67">
        <f t="shared" ref="T67" si="314">S67/1000</f>
        <v>7.6245394658916332</v>
      </c>
    </row>
    <row r="68" spans="1:20" x14ac:dyDescent="0.25">
      <c r="A68" s="5">
        <v>44525</v>
      </c>
      <c r="B68">
        <v>25.58</v>
      </c>
      <c r="C68">
        <v>27.61</v>
      </c>
      <c r="D68">
        <v>25.37</v>
      </c>
      <c r="E68">
        <v>26.41</v>
      </c>
      <c r="F68">
        <v>5650379.1600000001</v>
      </c>
      <c r="G68">
        <v>26.41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-7.1428571428571536E-2</v>
      </c>
      <c r="Q68">
        <f t="shared" ref="Q68" si="316">F68*P68</f>
        <v>-403598.51142857206</v>
      </c>
      <c r="R68">
        <f t="shared" ref="R68" si="317">R69+Q68</f>
        <v>767003623.79691398</v>
      </c>
      <c r="S68">
        <f t="shared" ref="S68" si="318">R68/100000</f>
        <v>7670.0362379691396</v>
      </c>
      <c r="T68">
        <f t="shared" ref="T68" si="319">S68/1000</f>
        <v>7.67003623796914</v>
      </c>
    </row>
    <row r="69" spans="1:20" x14ac:dyDescent="0.25">
      <c r="A69" s="5">
        <v>44524</v>
      </c>
      <c r="B69">
        <v>26.94</v>
      </c>
      <c r="C69">
        <v>27.15</v>
      </c>
      <c r="D69">
        <v>26.16</v>
      </c>
      <c r="E69">
        <v>26.45</v>
      </c>
      <c r="F69">
        <v>1340278.3</v>
      </c>
      <c r="G69">
        <v>26.45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-0.41414141414141492</v>
      </c>
      <c r="Q69">
        <f t="shared" ref="Q69" si="321">F69*P69</f>
        <v>-555064.75050505158</v>
      </c>
      <c r="R69">
        <f t="shared" ref="R69" si="322">R70+Q69</f>
        <v>767407222.30834258</v>
      </c>
      <c r="S69">
        <f t="shared" ref="S69" si="323">R69/100000</f>
        <v>7674.0722230834253</v>
      </c>
      <c r="T69">
        <f t="shared" ref="T69" si="324">S69/1000</f>
        <v>7.6740722230834253</v>
      </c>
    </row>
    <row r="70" spans="1:20" x14ac:dyDescent="0.25">
      <c r="A70" s="5">
        <v>44523</v>
      </c>
      <c r="B70">
        <v>26.77</v>
      </c>
      <c r="C70">
        <v>27.57</v>
      </c>
      <c r="D70">
        <v>26.17</v>
      </c>
      <c r="E70">
        <v>26.94</v>
      </c>
      <c r="F70">
        <v>4650554.32</v>
      </c>
      <c r="G70">
        <v>26.94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0.10000000000000051</v>
      </c>
      <c r="Q70">
        <f t="shared" ref="Q70" si="326">F70*P70</f>
        <v>465055.43200000236</v>
      </c>
      <c r="R70">
        <f t="shared" ref="R70" si="327">R71+Q70</f>
        <v>767962287.05884767</v>
      </c>
      <c r="S70">
        <f t="shared" ref="S70" si="328">R70/100000</f>
        <v>7679.6228705884769</v>
      </c>
      <c r="T70">
        <f t="shared" ref="T70" si="329">S70/1000</f>
        <v>7.679622870588477</v>
      </c>
    </row>
    <row r="71" spans="1:20" x14ac:dyDescent="0.25">
      <c r="A71" s="5">
        <v>44522</v>
      </c>
      <c r="B71">
        <v>29</v>
      </c>
      <c r="C71">
        <v>29.09</v>
      </c>
      <c r="D71">
        <v>26.31</v>
      </c>
      <c r="E71">
        <v>26.77</v>
      </c>
      <c r="F71">
        <v>4773826.99</v>
      </c>
      <c r="G71">
        <v>26.77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-0.66906474820143835</v>
      </c>
      <c r="Q71">
        <f t="shared" ref="Q71" si="331">F71*P71</f>
        <v>-3193999.3530215807</v>
      </c>
      <c r="R71">
        <f t="shared" ref="R71" si="332">R72+Q71</f>
        <v>767497231.62684762</v>
      </c>
      <c r="S71">
        <f t="shared" ref="S71" si="333">R71/100000</f>
        <v>7674.9723162684759</v>
      </c>
      <c r="T71">
        <f t="shared" ref="T71" si="334">S71/1000</f>
        <v>7.6749723162684758</v>
      </c>
    </row>
    <row r="72" spans="1:20" x14ac:dyDescent="0.25">
      <c r="A72" s="5">
        <v>44521</v>
      </c>
      <c r="B72">
        <v>28.37</v>
      </c>
      <c r="C72">
        <v>29.26</v>
      </c>
      <c r="D72">
        <v>27.69</v>
      </c>
      <c r="E72">
        <v>28.98</v>
      </c>
      <c r="F72">
        <v>3837676.91</v>
      </c>
      <c r="G72">
        <v>28.98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0.64331210191082666</v>
      </c>
      <c r="Q72">
        <f t="shared" ref="Q72" si="336">F72*P72</f>
        <v>2468823.9994267463</v>
      </c>
      <c r="R72">
        <f t="shared" ref="R72" si="337">R73+Q72</f>
        <v>770691230.97986925</v>
      </c>
      <c r="S72">
        <f t="shared" ref="S72" si="338">R72/100000</f>
        <v>7706.9123097986921</v>
      </c>
      <c r="T72">
        <f t="shared" ref="T72" si="339">S72/1000</f>
        <v>7.7069123097986925</v>
      </c>
    </row>
    <row r="73" spans="1:20" x14ac:dyDescent="0.25">
      <c r="A73" s="5">
        <v>44520</v>
      </c>
      <c r="B73">
        <v>28.27</v>
      </c>
      <c r="C73">
        <v>28.72</v>
      </c>
      <c r="D73">
        <v>27.26</v>
      </c>
      <c r="E73">
        <v>28.36</v>
      </c>
      <c r="F73">
        <v>4535914.25</v>
      </c>
      <c r="G73">
        <v>28.36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0.50684931506849307</v>
      </c>
      <c r="Q73">
        <f t="shared" ref="Q73" si="341">F73*P73</f>
        <v>2299025.0308219176</v>
      </c>
      <c r="R73">
        <f t="shared" ref="R73" si="342">R74+Q73</f>
        <v>768222406.98044252</v>
      </c>
      <c r="S73">
        <f t="shared" ref="S73" si="343">R73/100000</f>
        <v>7682.2240698044252</v>
      </c>
      <c r="T73">
        <f t="shared" ref="T73" si="344">S73/1000</f>
        <v>7.6822240698044251</v>
      </c>
    </row>
    <row r="74" spans="1:20" x14ac:dyDescent="0.25">
      <c r="A74" s="5">
        <v>44519</v>
      </c>
      <c r="B74">
        <v>26.55</v>
      </c>
      <c r="C74">
        <v>28.85</v>
      </c>
      <c r="D74">
        <v>26.08</v>
      </c>
      <c r="E74">
        <v>28.27</v>
      </c>
      <c r="F74">
        <v>5005660.1900000004</v>
      </c>
      <c r="G74">
        <v>28.27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0.58122743682310385</v>
      </c>
      <c r="Q74">
        <f t="shared" ref="Q74" si="346">F74*P74</f>
        <v>2909427.0418411512</v>
      </c>
      <c r="R74">
        <f t="shared" ref="R74" si="347">R75+Q74</f>
        <v>765923381.9496206</v>
      </c>
      <c r="S74">
        <f t="shared" ref="S74" si="348">R74/100000</f>
        <v>7659.2338194962058</v>
      </c>
      <c r="T74">
        <f t="shared" ref="T74" si="349">S74/1000</f>
        <v>7.6592338194962055</v>
      </c>
    </row>
    <row r="75" spans="1:20" x14ac:dyDescent="0.25">
      <c r="A75" s="5">
        <v>44518</v>
      </c>
      <c r="B75">
        <v>29.19</v>
      </c>
      <c r="C75">
        <v>29.72</v>
      </c>
      <c r="D75">
        <v>25.82</v>
      </c>
      <c r="E75">
        <v>26.55</v>
      </c>
      <c r="F75">
        <v>7061894.5300000003</v>
      </c>
      <c r="G75">
        <v>26.55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-0.62564102564102531</v>
      </c>
      <c r="Q75">
        <f t="shared" ref="Q75" si="351">F75*P75</f>
        <v>-4418210.9367179461</v>
      </c>
      <c r="R75">
        <f t="shared" ref="R75" si="352">R76+Q75</f>
        <v>763013954.90777946</v>
      </c>
      <c r="S75">
        <f t="shared" ref="S75" si="353">R75/100000</f>
        <v>7630.139549077795</v>
      </c>
      <c r="T75">
        <f t="shared" ref="T75" si="354">S75/1000</f>
        <v>7.6301395490777946</v>
      </c>
    </row>
    <row r="76" spans="1:20" x14ac:dyDescent="0.25">
      <c r="A76" s="5">
        <v>44517</v>
      </c>
      <c r="B76">
        <v>29.16</v>
      </c>
      <c r="C76">
        <v>29.74</v>
      </c>
      <c r="D76">
        <v>28.03</v>
      </c>
      <c r="E76">
        <v>29.18</v>
      </c>
      <c r="F76">
        <v>5076689.07</v>
      </c>
      <c r="G76">
        <v>29.18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0.34502923976608235</v>
      </c>
      <c r="Q76">
        <f t="shared" ref="Q76" si="356">F76*P76</f>
        <v>1751606.1703508797</v>
      </c>
      <c r="R76">
        <f t="shared" ref="R76" si="357">R77+Q76</f>
        <v>767432165.84449744</v>
      </c>
      <c r="S76">
        <f t="shared" ref="S76" si="358">R76/100000</f>
        <v>7674.3216584449747</v>
      </c>
      <c r="T76">
        <f t="shared" ref="T76" si="359">S76/1000</f>
        <v>7.6743216584449749</v>
      </c>
    </row>
    <row r="77" spans="1:20" x14ac:dyDescent="0.25">
      <c r="A77" s="5">
        <v>44516</v>
      </c>
      <c r="B77">
        <v>32.049999999999997</v>
      </c>
      <c r="C77">
        <v>32.06</v>
      </c>
      <c r="D77">
        <v>28</v>
      </c>
      <c r="E77">
        <v>29.16</v>
      </c>
      <c r="F77">
        <v>10287002.119999999</v>
      </c>
      <c r="G77">
        <v>29.16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-0.42857142857142883</v>
      </c>
      <c r="Q77">
        <f t="shared" ref="Q77" si="361">F77*P77</f>
        <v>-4408715.1942857169</v>
      </c>
      <c r="R77">
        <f t="shared" ref="R77" si="362">R78+Q77</f>
        <v>765680559.67414653</v>
      </c>
      <c r="S77">
        <f t="shared" ref="S77" si="363">R77/100000</f>
        <v>7656.8055967414657</v>
      </c>
      <c r="T77">
        <f t="shared" ref="T77" si="364">S77/1000</f>
        <v>7.6568055967414654</v>
      </c>
    </row>
    <row r="78" spans="1:20" x14ac:dyDescent="0.25">
      <c r="A78" s="5">
        <v>44515</v>
      </c>
      <c r="B78">
        <v>33.75</v>
      </c>
      <c r="C78">
        <v>34.5</v>
      </c>
      <c r="D78">
        <v>31.98</v>
      </c>
      <c r="E78">
        <v>32.04</v>
      </c>
      <c r="F78">
        <v>4212705.79</v>
      </c>
      <c r="G78">
        <v>32.04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-0.95238095238095344</v>
      </c>
      <c r="Q78">
        <f t="shared" ref="Q78" si="366">F78*P78</f>
        <v>-4012100.7523809569</v>
      </c>
      <c r="R78">
        <f t="shared" ref="R78" si="367">R79+Q78</f>
        <v>770089274.86843228</v>
      </c>
      <c r="S78">
        <f t="shared" ref="S78" si="368">R78/100000</f>
        <v>7700.8927486843231</v>
      </c>
      <c r="T78">
        <f t="shared" ref="T78" si="369">S78/1000</f>
        <v>7.7008927486843231</v>
      </c>
    </row>
    <row r="79" spans="1:20" x14ac:dyDescent="0.25">
      <c r="A79" s="5">
        <v>44514</v>
      </c>
      <c r="B79">
        <v>34</v>
      </c>
      <c r="C79">
        <v>34.43</v>
      </c>
      <c r="D79">
        <v>32.53</v>
      </c>
      <c r="E79">
        <v>33.75</v>
      </c>
      <c r="F79">
        <v>2898724.84</v>
      </c>
      <c r="G79">
        <v>33.75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0.28421052631578925</v>
      </c>
      <c r="Q79">
        <f t="shared" ref="Q79" si="371">F79*P79</f>
        <v>823848.11242105195</v>
      </c>
      <c r="R79">
        <f t="shared" ref="R79" si="372">R80+Q79</f>
        <v>774101375.62081325</v>
      </c>
      <c r="S79">
        <f t="shared" ref="S79" si="373">R79/100000</f>
        <v>7741.0137562081327</v>
      </c>
      <c r="T79">
        <f t="shared" ref="T79" si="374">S79/1000</f>
        <v>7.7410137562081323</v>
      </c>
    </row>
    <row r="80" spans="1:20" x14ac:dyDescent="0.25">
      <c r="A80" s="5">
        <v>44513</v>
      </c>
      <c r="B80">
        <v>34.26</v>
      </c>
      <c r="C80">
        <v>34.58</v>
      </c>
      <c r="D80">
        <v>33.19</v>
      </c>
      <c r="E80">
        <v>34</v>
      </c>
      <c r="F80">
        <v>3374260.7</v>
      </c>
      <c r="G80">
        <v>34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0.16546762589928338</v>
      </c>
      <c r="Q80">
        <f t="shared" ref="Q80" si="376">F80*P80</f>
        <v>558330.9071942541</v>
      </c>
      <c r="R80">
        <f t="shared" ref="R80" si="377">R81+Q80</f>
        <v>773277527.50839221</v>
      </c>
      <c r="S80">
        <f t="shared" ref="S80" si="378">R80/100000</f>
        <v>7732.7752750839218</v>
      </c>
      <c r="T80">
        <f t="shared" ref="T80" si="379">S80/1000</f>
        <v>7.732775275083922</v>
      </c>
    </row>
    <row r="81" spans="1:20" x14ac:dyDescent="0.25">
      <c r="A81" s="5">
        <v>44512</v>
      </c>
      <c r="B81">
        <v>34.68</v>
      </c>
      <c r="C81">
        <v>35.46</v>
      </c>
      <c r="D81">
        <v>32.67</v>
      </c>
      <c r="E81">
        <v>34.26</v>
      </c>
      <c r="F81">
        <v>5997062.1900000004</v>
      </c>
      <c r="G81">
        <v>34.26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0.13978494623655685</v>
      </c>
      <c r="Q81">
        <f t="shared" ref="Q81" si="381">F81*P81</f>
        <v>838299.01580643794</v>
      </c>
      <c r="R81">
        <f t="shared" ref="R81" si="382">R82+Q81</f>
        <v>772719196.60119796</v>
      </c>
      <c r="S81">
        <f t="shared" ref="S81" si="383">R81/100000</f>
        <v>7727.1919660119793</v>
      </c>
      <c r="T81">
        <f t="shared" ref="T81" si="384">S81/1000</f>
        <v>7.7271919660119792</v>
      </c>
    </row>
    <row r="82" spans="1:20" x14ac:dyDescent="0.25">
      <c r="A82" s="5">
        <v>44511</v>
      </c>
      <c r="B82">
        <v>34.21</v>
      </c>
      <c r="C82">
        <v>36.950000000000003</v>
      </c>
      <c r="D82">
        <v>33.340000000000003</v>
      </c>
      <c r="E82">
        <v>34.69</v>
      </c>
      <c r="F82">
        <v>7608988.9000000004</v>
      </c>
      <c r="G82">
        <v>34.69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-0.25207756232687284</v>
      </c>
      <c r="Q82">
        <f t="shared" ref="Q82" si="386">F82*P82</f>
        <v>-1918055.3736842338</v>
      </c>
      <c r="R82">
        <f t="shared" ref="R82" si="387">R83+Q82</f>
        <v>771880897.58539152</v>
      </c>
      <c r="S82">
        <f t="shared" ref="S82" si="388">R82/100000</f>
        <v>7718.8089758539154</v>
      </c>
      <c r="T82">
        <f t="shared" ref="T82" si="389">S82/1000</f>
        <v>7.7188089758539151</v>
      </c>
    </row>
    <row r="83" spans="1:20" x14ac:dyDescent="0.25">
      <c r="A83" s="5">
        <v>44510</v>
      </c>
      <c r="B83">
        <v>33.82</v>
      </c>
      <c r="C83">
        <v>38.31</v>
      </c>
      <c r="D83">
        <v>31.9</v>
      </c>
      <c r="E83">
        <v>34.21</v>
      </c>
      <c r="F83">
        <v>13584912.625</v>
      </c>
      <c r="G83">
        <v>34.21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-0.27925117004680156</v>
      </c>
      <c r="Q83">
        <f t="shared" ref="Q83" si="391">F83*P83</f>
        <v>-3793602.7455148161</v>
      </c>
      <c r="R83">
        <f t="shared" ref="R83" si="392">R84+Q83</f>
        <v>773798952.95907581</v>
      </c>
      <c r="S83">
        <f t="shared" ref="S83" si="393">R83/100000</f>
        <v>7737.9895295907581</v>
      </c>
      <c r="T83">
        <f t="shared" ref="T83" si="394">S83/1000</f>
        <v>7.7379895295907577</v>
      </c>
    </row>
    <row r="84" spans="1:20" x14ac:dyDescent="0.25">
      <c r="A84" s="5">
        <v>44509</v>
      </c>
      <c r="B84">
        <v>34.46</v>
      </c>
      <c r="C84">
        <v>35.619999999999997</v>
      </c>
      <c r="D84">
        <v>33.380000000000003</v>
      </c>
      <c r="E84">
        <v>33.82</v>
      </c>
      <c r="F84">
        <v>5454354.6799999997</v>
      </c>
      <c r="G84">
        <v>33.82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-0.60714285714285832</v>
      </c>
      <c r="Q84">
        <f t="shared" ref="Q84" si="396">F84*P84</f>
        <v>-3311572.4842857206</v>
      </c>
      <c r="R84">
        <f t="shared" ref="R84" si="397">R85+Q84</f>
        <v>777592555.70459068</v>
      </c>
      <c r="S84">
        <f t="shared" ref="S84" si="398">R84/100000</f>
        <v>7775.9255570459072</v>
      </c>
      <c r="T84">
        <f t="shared" ref="T84" si="399">S84/1000</f>
        <v>7.7759255570459072</v>
      </c>
    </row>
    <row r="85" spans="1:20" x14ac:dyDescent="0.25">
      <c r="A85" s="5">
        <v>44508</v>
      </c>
      <c r="B85">
        <v>32.340000000000003</v>
      </c>
      <c r="C85">
        <v>34.82</v>
      </c>
      <c r="D85">
        <v>32.18</v>
      </c>
      <c r="E85">
        <v>34.46</v>
      </c>
      <c r="F85">
        <v>6265144.9000000004</v>
      </c>
      <c r="G85">
        <v>34.46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0.72727272727272774</v>
      </c>
      <c r="Q85">
        <f t="shared" ref="Q85" si="401">F85*P85</f>
        <v>4556469.0181818213</v>
      </c>
      <c r="R85">
        <f t="shared" ref="R85" si="402">R86+Q85</f>
        <v>780904128.18887639</v>
      </c>
      <c r="S85">
        <f t="shared" ref="S85" si="403">R85/100000</f>
        <v>7809.0412818887635</v>
      </c>
      <c r="T85">
        <f t="shared" ref="T85" si="404">S85/1000</f>
        <v>7.8090412818887636</v>
      </c>
    </row>
    <row r="86" spans="1:20" x14ac:dyDescent="0.25">
      <c r="A86" s="5">
        <v>44507</v>
      </c>
      <c r="B86">
        <v>32.049999999999997</v>
      </c>
      <c r="C86">
        <v>32.590000000000003</v>
      </c>
      <c r="D86">
        <v>31.71</v>
      </c>
      <c r="E86">
        <v>32.340000000000003</v>
      </c>
      <c r="F86">
        <v>2854681.46</v>
      </c>
      <c r="G86">
        <v>32.340000000000003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0.43181818181818349</v>
      </c>
      <c r="Q86">
        <f t="shared" ref="Q86" si="406">F86*P86</f>
        <v>1232703.3577272776</v>
      </c>
      <c r="R86">
        <f t="shared" ref="R86" si="407">R87+Q86</f>
        <v>776347659.17069459</v>
      </c>
      <c r="S86">
        <f t="shared" ref="S86" si="408">R86/100000</f>
        <v>7763.4765917069462</v>
      </c>
      <c r="T86">
        <f t="shared" ref="T86" si="409">S86/1000</f>
        <v>7.7634765917069464</v>
      </c>
    </row>
    <row r="87" spans="1:20" x14ac:dyDescent="0.25">
      <c r="A87" s="5">
        <v>44506</v>
      </c>
      <c r="B87">
        <v>32.86</v>
      </c>
      <c r="C87">
        <v>33.200000000000003</v>
      </c>
      <c r="D87">
        <v>30.72</v>
      </c>
      <c r="E87">
        <v>32.049999999999997</v>
      </c>
      <c r="F87">
        <v>4479318.72</v>
      </c>
      <c r="G87">
        <v>32.049999999999997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7.2580645161287233E-2</v>
      </c>
      <c r="Q87">
        <f t="shared" ref="Q87" si="411">F87*P87</f>
        <v>325111.84258063132</v>
      </c>
      <c r="R87">
        <f t="shared" ref="R87" si="412">R88+Q87</f>
        <v>775114955.8129673</v>
      </c>
      <c r="S87">
        <f t="shared" ref="S87" si="413">R87/100000</f>
        <v>7751.1495581296731</v>
      </c>
      <c r="T87">
        <f t="shared" ref="T87" si="414">S87/1000</f>
        <v>7.751149558129673</v>
      </c>
    </row>
    <row r="88" spans="1:20" x14ac:dyDescent="0.25">
      <c r="A88" s="5">
        <v>44505</v>
      </c>
      <c r="B88">
        <v>30.99</v>
      </c>
      <c r="C88">
        <v>33.71</v>
      </c>
      <c r="D88">
        <v>30.66</v>
      </c>
      <c r="E88">
        <v>32.86</v>
      </c>
      <c r="F88">
        <v>6695588.25</v>
      </c>
      <c r="G88">
        <v>32.86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0.44262295081967135</v>
      </c>
      <c r="Q88">
        <f t="shared" ref="Q88" si="416">F88*P88</f>
        <v>2963621.0286885193</v>
      </c>
      <c r="R88">
        <f t="shared" ref="R88" si="417">R89+Q88</f>
        <v>774789843.97038662</v>
      </c>
      <c r="S88">
        <f t="shared" ref="S88" si="418">R88/100000</f>
        <v>7747.8984397038666</v>
      </c>
      <c r="T88">
        <f t="shared" ref="T88" si="419">S88/1000</f>
        <v>7.7478984397038664</v>
      </c>
    </row>
    <row r="89" spans="1:20" x14ac:dyDescent="0.25">
      <c r="A89" s="5">
        <v>44504</v>
      </c>
      <c r="B89">
        <v>31.97</v>
      </c>
      <c r="C89">
        <v>32.11</v>
      </c>
      <c r="D89">
        <v>30.2</v>
      </c>
      <c r="E89">
        <v>31</v>
      </c>
      <c r="F89">
        <v>3782722.68</v>
      </c>
      <c r="G89">
        <v>31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-0.16230366492146528</v>
      </c>
      <c r="Q89">
        <f t="shared" ref="Q89" si="421">F89*P89</f>
        <v>-613949.75434554718</v>
      </c>
      <c r="R89">
        <f t="shared" ref="R89" si="422">R90+Q89</f>
        <v>771826222.94169807</v>
      </c>
      <c r="S89">
        <f t="shared" ref="S89" si="423">R89/100000</f>
        <v>7718.2622294169805</v>
      </c>
      <c r="T89">
        <f t="shared" ref="T89" si="424">S89/1000</f>
        <v>7.7182622294169807</v>
      </c>
    </row>
    <row r="90" spans="1:20" x14ac:dyDescent="0.25">
      <c r="A90" s="5">
        <v>44503</v>
      </c>
      <c r="B90">
        <v>32.270000000000003</v>
      </c>
      <c r="C90">
        <v>32.78</v>
      </c>
      <c r="D90">
        <v>30.54</v>
      </c>
      <c r="E90">
        <v>31.96</v>
      </c>
      <c r="F90">
        <v>4908993.5599999996</v>
      </c>
      <c r="G90">
        <v>31.96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0.26785714285714324</v>
      </c>
      <c r="Q90">
        <f t="shared" ref="Q90" si="426">F90*P90</f>
        <v>1314908.9892857161</v>
      </c>
      <c r="R90">
        <f t="shared" ref="R90" si="427">R91+Q90</f>
        <v>772440172.69604361</v>
      </c>
      <c r="S90">
        <f t="shared" ref="S90" si="428">R90/100000</f>
        <v>7724.4017269604365</v>
      </c>
      <c r="T90">
        <f t="shared" ref="T90" si="429">S90/1000</f>
        <v>7.7244017269604361</v>
      </c>
    </row>
    <row r="91" spans="1:20" x14ac:dyDescent="0.25">
      <c r="A91" s="5">
        <v>44502</v>
      </c>
      <c r="B91">
        <v>31.67</v>
      </c>
      <c r="C91">
        <v>32.479999999999997</v>
      </c>
      <c r="D91">
        <v>31</v>
      </c>
      <c r="E91">
        <v>32.26</v>
      </c>
      <c r="F91">
        <v>4634421.26</v>
      </c>
      <c r="G91">
        <v>32.26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0.70270270270270363</v>
      </c>
      <c r="Q91">
        <f t="shared" ref="Q91" si="431">F91*P91</f>
        <v>3256620.344864869</v>
      </c>
      <c r="R91">
        <f t="shared" ref="R91" si="432">R92+Q91</f>
        <v>771125263.7067579</v>
      </c>
      <c r="S91">
        <f t="shared" ref="S91" si="433">R91/100000</f>
        <v>7711.2526370675787</v>
      </c>
      <c r="T91">
        <f t="shared" ref="T91" si="434">S91/1000</f>
        <v>7.7112526370675791</v>
      </c>
    </row>
    <row r="92" spans="1:20" x14ac:dyDescent="0.25">
      <c r="A92" s="5">
        <v>44501</v>
      </c>
      <c r="B92">
        <v>30</v>
      </c>
      <c r="C92">
        <v>31.87</v>
      </c>
      <c r="D92">
        <v>29.14</v>
      </c>
      <c r="E92">
        <v>31.66</v>
      </c>
      <c r="F92">
        <v>4961708.55</v>
      </c>
      <c r="G92">
        <v>31.66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0.84615384615384559</v>
      </c>
      <c r="Q92">
        <f t="shared" ref="Q92" si="436">F92*P92</f>
        <v>4198368.7730769198</v>
      </c>
      <c r="R92">
        <f t="shared" ref="R92" si="437">R93+Q92</f>
        <v>767868643.36189306</v>
      </c>
      <c r="S92">
        <f t="shared" ref="S92" si="438">R92/100000</f>
        <v>7678.686433618931</v>
      </c>
      <c r="T92">
        <f t="shared" ref="T92" si="439">S92/1000</f>
        <v>7.6786864336189309</v>
      </c>
    </row>
    <row r="93" spans="1:20" x14ac:dyDescent="0.25">
      <c r="A93" s="5">
        <v>44500</v>
      </c>
      <c r="B93">
        <v>29.78</v>
      </c>
      <c r="C93">
        <v>30.68</v>
      </c>
      <c r="D93">
        <v>28.65</v>
      </c>
      <c r="E93">
        <v>30</v>
      </c>
      <c r="F93">
        <v>4380461.2699999996</v>
      </c>
      <c r="G93">
        <v>30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0.33004926108374449</v>
      </c>
      <c r="Q93">
        <f t="shared" ref="Q93" si="441">F93*P93</f>
        <v>1445768.0053694609</v>
      </c>
      <c r="R93">
        <f t="shared" ref="R93" si="442">R94+Q93</f>
        <v>763670274.58881617</v>
      </c>
      <c r="S93">
        <f t="shared" ref="S93" si="443">R93/100000</f>
        <v>7636.7027458881621</v>
      </c>
      <c r="T93">
        <f t="shared" ref="T93" si="444">S93/1000</f>
        <v>7.6367027458881624</v>
      </c>
    </row>
    <row r="94" spans="1:20" x14ac:dyDescent="0.25">
      <c r="A94" s="5">
        <v>44499</v>
      </c>
      <c r="B94">
        <v>30.96</v>
      </c>
      <c r="C94">
        <v>31.12</v>
      </c>
      <c r="D94">
        <v>29.16</v>
      </c>
      <c r="E94">
        <v>29.79</v>
      </c>
      <c r="F94">
        <v>3768896.65</v>
      </c>
      <c r="G94">
        <v>29.79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-0.35714285714285843</v>
      </c>
      <c r="Q94">
        <f t="shared" ref="Q94" si="446">F94*P94</f>
        <v>-1346034.5178571476</v>
      </c>
      <c r="R94">
        <f t="shared" ref="R94" si="447">R95+Q94</f>
        <v>762224506.58344674</v>
      </c>
      <c r="S94">
        <f t="shared" ref="S94" si="448">R94/100000</f>
        <v>7622.2450658344678</v>
      </c>
      <c r="T94">
        <f t="shared" ref="T94" si="449">S94/1000</f>
        <v>7.622245065834468</v>
      </c>
    </row>
    <row r="95" spans="1:20" x14ac:dyDescent="0.25">
      <c r="A95" s="5">
        <v>44498</v>
      </c>
      <c r="B95">
        <v>30.19</v>
      </c>
      <c r="C95">
        <v>31.96</v>
      </c>
      <c r="D95">
        <v>29.94</v>
      </c>
      <c r="E95">
        <v>30.96</v>
      </c>
      <c r="F95">
        <v>5402654.5800000001</v>
      </c>
      <c r="G95">
        <v>30.96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9.9009900990096912E-3</v>
      </c>
      <c r="Q95">
        <f t="shared" ref="Q95" si="451">F95*P95</f>
        <v>53491.629504949364</v>
      </c>
      <c r="R95">
        <f t="shared" ref="R95" si="452">R96+Q95</f>
        <v>763570541.10130394</v>
      </c>
      <c r="S95">
        <f t="shared" ref="S95" si="453">R95/100000</f>
        <v>7635.7054110130393</v>
      </c>
      <c r="T95">
        <f t="shared" ref="T95" si="454">S95/1000</f>
        <v>7.6357054110130393</v>
      </c>
    </row>
    <row r="96" spans="1:20" x14ac:dyDescent="0.25">
      <c r="A96" s="5">
        <v>44497</v>
      </c>
      <c r="B96">
        <v>28.89</v>
      </c>
      <c r="C96">
        <v>30.85</v>
      </c>
      <c r="D96">
        <v>28.61</v>
      </c>
      <c r="E96">
        <v>30.19</v>
      </c>
      <c r="F96">
        <v>7186569.5700000003</v>
      </c>
      <c r="G96">
        <v>30.19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0.41071428571428609</v>
      </c>
      <c r="Q96">
        <f t="shared" ref="Q96" si="456">F96*P96</f>
        <v>2951626.7876785742</v>
      </c>
      <c r="R96">
        <f t="shared" ref="R96" si="457">R97+Q96</f>
        <v>763517049.47179902</v>
      </c>
      <c r="S96">
        <f t="shared" ref="S96" si="458">R96/100000</f>
        <v>7635.1704947179906</v>
      </c>
      <c r="T96">
        <f t="shared" ref="T96" si="459">S96/1000</f>
        <v>7.6351704947179906</v>
      </c>
    </row>
    <row r="97" spans="1:20" x14ac:dyDescent="0.25">
      <c r="A97" s="5">
        <v>44496</v>
      </c>
      <c r="B97">
        <v>32.520000000000003</v>
      </c>
      <c r="C97">
        <v>33.909999999999997</v>
      </c>
      <c r="D97">
        <v>27.91</v>
      </c>
      <c r="E97">
        <v>28.88</v>
      </c>
      <c r="F97">
        <v>12021487.77</v>
      </c>
      <c r="G97">
        <v>28.88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-0.67666666666666686</v>
      </c>
      <c r="Q97">
        <f t="shared" ref="Q97" si="461">F97*P97</f>
        <v>-8134540.0577000016</v>
      </c>
      <c r="R97">
        <f t="shared" ref="R97" si="462">R98+Q97</f>
        <v>760565422.68412042</v>
      </c>
      <c r="S97">
        <f t="shared" ref="S97" si="463">R97/100000</f>
        <v>7605.654226841204</v>
      </c>
      <c r="T97">
        <f t="shared" ref="T97" si="464">S97/1000</f>
        <v>7.605654226841204</v>
      </c>
    </row>
    <row r="98" spans="1:20" x14ac:dyDescent="0.25">
      <c r="A98" s="5">
        <v>44495</v>
      </c>
      <c r="B98">
        <v>32.380000000000003</v>
      </c>
      <c r="C98">
        <v>33.82</v>
      </c>
      <c r="D98">
        <v>31.31</v>
      </c>
      <c r="E98">
        <v>32.520000000000003</v>
      </c>
      <c r="F98">
        <v>6553789.2199999997</v>
      </c>
      <c r="G98">
        <v>32.520000000000003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-3.5856573705176371E-2</v>
      </c>
      <c r="Q98">
        <f t="shared" ref="Q98" si="466">F98*P98</f>
        <v>-234996.42621512036</v>
      </c>
      <c r="R98">
        <f t="shared" ref="R98" si="467">R99+Q98</f>
        <v>768699962.74182045</v>
      </c>
      <c r="S98">
        <f t="shared" ref="S98" si="468">R98/100000</f>
        <v>7686.9996274182049</v>
      </c>
      <c r="T98">
        <f t="shared" ref="T98" si="469">S98/1000</f>
        <v>7.6869996274182046</v>
      </c>
    </row>
    <row r="99" spans="1:20" x14ac:dyDescent="0.25">
      <c r="A99" s="5">
        <v>44494</v>
      </c>
      <c r="B99">
        <v>29.71</v>
      </c>
      <c r="C99">
        <v>32.9</v>
      </c>
      <c r="D99">
        <v>29.53</v>
      </c>
      <c r="E99">
        <v>32.380000000000003</v>
      </c>
      <c r="F99">
        <v>7440428.5800000001</v>
      </c>
      <c r="G99">
        <v>32.380000000000003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0.69139465875371131</v>
      </c>
      <c r="Q99">
        <f t="shared" ref="Q99" si="471">F99*P99</f>
        <v>5144272.5790504608</v>
      </c>
      <c r="R99">
        <f t="shared" ref="R99" si="472">R100+Q99</f>
        <v>768934959.16803563</v>
      </c>
      <c r="S99">
        <f t="shared" ref="S99" si="473">R99/100000</f>
        <v>7689.3495916803558</v>
      </c>
      <c r="T99">
        <f t="shared" ref="T99" si="474">S99/1000</f>
        <v>7.6893495916803563</v>
      </c>
    </row>
    <row r="100" spans="1:20" x14ac:dyDescent="0.25">
      <c r="A100" s="5">
        <v>44493</v>
      </c>
      <c r="B100">
        <v>31.37</v>
      </c>
      <c r="C100">
        <v>31.53</v>
      </c>
      <c r="D100">
        <v>28.72</v>
      </c>
      <c r="E100">
        <v>29.7</v>
      </c>
      <c r="F100">
        <v>5743439.1500000004</v>
      </c>
      <c r="G100">
        <v>29.7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-0.30249110320284722</v>
      </c>
      <c r="Q100">
        <f t="shared" ref="Q100" si="476">F100*P100</f>
        <v>-1737339.2446619233</v>
      </c>
      <c r="R100">
        <f t="shared" ref="R100" si="477">R101+Q100</f>
        <v>763790686.5889852</v>
      </c>
      <c r="S100">
        <f t="shared" ref="S100" si="478">R100/100000</f>
        <v>7637.9068658898523</v>
      </c>
      <c r="T100">
        <f t="shared" ref="T100" si="479">S100/1000</f>
        <v>7.6379068658898523</v>
      </c>
    </row>
    <row r="101" spans="1:20" x14ac:dyDescent="0.25">
      <c r="A101" s="5">
        <v>44492</v>
      </c>
      <c r="B101">
        <v>28.68</v>
      </c>
      <c r="C101">
        <v>31.46</v>
      </c>
      <c r="D101">
        <v>28.3</v>
      </c>
      <c r="E101">
        <v>31.36</v>
      </c>
      <c r="F101">
        <v>8142359.1900000004</v>
      </c>
      <c r="G101">
        <v>31.36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0.93670886075949278</v>
      </c>
      <c r="Q101">
        <f t="shared" ref="Q101" si="481">F101*P101</f>
        <v>7627020.000759487</v>
      </c>
      <c r="R101">
        <f t="shared" ref="R101" si="482">R102+Q101</f>
        <v>765528025.83364713</v>
      </c>
      <c r="S101">
        <f t="shared" ref="S101" si="483">R101/100000</f>
        <v>7655.280258336471</v>
      </c>
      <c r="T101">
        <f t="shared" ref="T101" si="484">S101/1000</f>
        <v>7.6552802583364707</v>
      </c>
    </row>
    <row r="102" spans="1:20" x14ac:dyDescent="0.25">
      <c r="A102" s="5">
        <v>44491</v>
      </c>
      <c r="B102">
        <v>28.27</v>
      </c>
      <c r="C102">
        <v>30.04</v>
      </c>
      <c r="D102">
        <v>28.02</v>
      </c>
      <c r="E102">
        <v>28.67</v>
      </c>
      <c r="F102">
        <v>7699280.5300000003</v>
      </c>
      <c r="G102">
        <v>28.67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-0.3564356435643542</v>
      </c>
      <c r="Q102">
        <f t="shared" ref="Q102" si="486">F102*P102</f>
        <v>-2744298.0106930523</v>
      </c>
      <c r="R102">
        <f t="shared" ref="R102" si="487">R103+Q102</f>
        <v>757901005.83288765</v>
      </c>
      <c r="S102">
        <f t="shared" ref="S102" si="488">R102/100000</f>
        <v>7579.0100583288768</v>
      </c>
      <c r="T102">
        <f t="shared" ref="T102" si="489">S102/1000</f>
        <v>7.5790100583288771</v>
      </c>
    </row>
    <row r="103" spans="1:20" x14ac:dyDescent="0.25">
      <c r="A103" s="5">
        <v>44490</v>
      </c>
      <c r="B103">
        <v>27.48</v>
      </c>
      <c r="C103">
        <v>29.34</v>
      </c>
      <c r="D103">
        <v>27.19</v>
      </c>
      <c r="E103">
        <v>28.26</v>
      </c>
      <c r="F103">
        <v>9719211.4800000004</v>
      </c>
      <c r="G103">
        <v>28.26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-4.6511627906967523E-3</v>
      </c>
      <c r="Q103">
        <f t="shared" ref="Q103" si="491">F103*P103</f>
        <v>-45205.634790688717</v>
      </c>
      <c r="R103">
        <f t="shared" ref="R103" si="492">R104+Q103</f>
        <v>760645303.84358072</v>
      </c>
      <c r="S103">
        <f t="shared" ref="S103" si="493">R103/100000</f>
        <v>7606.4530384358068</v>
      </c>
      <c r="T103">
        <f t="shared" ref="T103" si="494">S103/1000</f>
        <v>7.6064530384358067</v>
      </c>
    </row>
    <row r="104" spans="1:20" x14ac:dyDescent="0.25">
      <c r="A104" s="5">
        <v>44489</v>
      </c>
      <c r="B104">
        <v>25.9</v>
      </c>
      <c r="C104">
        <v>27.66</v>
      </c>
      <c r="D104">
        <v>25.85</v>
      </c>
      <c r="E104">
        <v>27.49</v>
      </c>
      <c r="F104">
        <v>4477050.21</v>
      </c>
      <c r="G104">
        <v>27.49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0.81215469613259472</v>
      </c>
      <c r="Q104">
        <f t="shared" ref="Q104" si="496">F104*P104</f>
        <v>3636057.3528729193</v>
      </c>
      <c r="R104">
        <f t="shared" ref="R104" si="497">R105+Q104</f>
        <v>760690509.47837138</v>
      </c>
      <c r="S104">
        <f t="shared" ref="S104" si="498">R104/100000</f>
        <v>7606.905094783714</v>
      </c>
      <c r="T104">
        <f t="shared" ref="T104" si="499">S104/1000</f>
        <v>7.6069050947837145</v>
      </c>
    </row>
    <row r="105" spans="1:20" x14ac:dyDescent="0.25">
      <c r="A105" s="5">
        <v>44488</v>
      </c>
      <c r="B105">
        <v>25.71</v>
      </c>
      <c r="C105">
        <v>26.29</v>
      </c>
      <c r="D105">
        <v>25.36</v>
      </c>
      <c r="E105">
        <v>25.91</v>
      </c>
      <c r="F105">
        <v>3568771.92</v>
      </c>
      <c r="G105">
        <v>25.91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0.18279569892473307</v>
      </c>
      <c r="Q105">
        <f t="shared" ref="Q105" si="501">F105*P105</f>
        <v>652356.15741936152</v>
      </c>
      <c r="R105">
        <f t="shared" ref="R105" si="502">R106+Q105</f>
        <v>757054452.12549841</v>
      </c>
      <c r="S105">
        <f t="shared" ref="S105" si="503">R105/100000</f>
        <v>7570.5445212549839</v>
      </c>
      <c r="T105">
        <f t="shared" ref="T105" si="504">S105/1000</f>
        <v>7.570544521254984</v>
      </c>
    </row>
    <row r="106" spans="1:20" x14ac:dyDescent="0.25">
      <c r="A106" s="5">
        <v>44487</v>
      </c>
      <c r="B106">
        <v>26.54</v>
      </c>
      <c r="C106">
        <v>26.74</v>
      </c>
      <c r="D106">
        <v>25.26</v>
      </c>
      <c r="E106">
        <v>25.71</v>
      </c>
      <c r="F106">
        <v>4419668.63</v>
      </c>
      <c r="G106">
        <v>25.71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-0.39189189189189155</v>
      </c>
      <c r="Q106">
        <f t="shared" ref="Q106" si="506">F106*P106</f>
        <v>-1732032.3009459444</v>
      </c>
      <c r="R106">
        <f t="shared" ref="R106" si="507">R107+Q106</f>
        <v>756402095.96807909</v>
      </c>
      <c r="S106">
        <f t="shared" ref="S106" si="508">R106/100000</f>
        <v>7564.0209596807908</v>
      </c>
      <c r="T106">
        <f t="shared" ref="T106" si="509">S106/1000</f>
        <v>7.564020959680791</v>
      </c>
    </row>
    <row r="107" spans="1:20" x14ac:dyDescent="0.25">
      <c r="A107" s="5">
        <v>44486</v>
      </c>
      <c r="B107">
        <v>27.22</v>
      </c>
      <c r="C107">
        <v>27.63</v>
      </c>
      <c r="D107">
        <v>25.58</v>
      </c>
      <c r="E107">
        <v>26.54</v>
      </c>
      <c r="F107">
        <v>4590060.1399999997</v>
      </c>
      <c r="G107">
        <v>26.54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-6.3414634146340951E-2</v>
      </c>
      <c r="Q107">
        <f t="shared" ref="Q107" si="511">F107*P107</f>
        <v>-291076.98448780249</v>
      </c>
      <c r="R107">
        <f t="shared" ref="R107" si="512">R108+Q107</f>
        <v>758134128.26902509</v>
      </c>
      <c r="S107">
        <f t="shared" ref="S107" si="513">R107/100000</f>
        <v>7581.3412826902513</v>
      </c>
      <c r="T107">
        <f t="shared" ref="T107" si="514">S107/1000</f>
        <v>7.5813412826902518</v>
      </c>
    </row>
    <row r="108" spans="1:20" x14ac:dyDescent="0.25">
      <c r="A108" s="5">
        <v>44485</v>
      </c>
      <c r="B108">
        <v>27.01</v>
      </c>
      <c r="C108">
        <v>28.7</v>
      </c>
      <c r="D108">
        <v>26.92</v>
      </c>
      <c r="E108">
        <v>27.23</v>
      </c>
      <c r="F108">
        <v>6223161.96</v>
      </c>
      <c r="G108">
        <v>27.23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-0.65168539325842789</v>
      </c>
      <c r="Q108">
        <f t="shared" ref="Q108" si="516">F108*P108</f>
        <v>-4055543.7492134888</v>
      </c>
      <c r="R108">
        <f t="shared" ref="R108" si="517">R109+Q108</f>
        <v>758425205.25351286</v>
      </c>
      <c r="S108">
        <f t="shared" ref="S108" si="518">R108/100000</f>
        <v>7584.2520525351283</v>
      </c>
      <c r="T108">
        <f t="shared" ref="T108" si="519">S108/1000</f>
        <v>7.5842520525351285</v>
      </c>
    </row>
    <row r="109" spans="1:20" x14ac:dyDescent="0.25">
      <c r="A109" s="5">
        <v>44484</v>
      </c>
      <c r="B109">
        <v>26.71</v>
      </c>
      <c r="C109">
        <v>27.38</v>
      </c>
      <c r="D109">
        <v>26.01</v>
      </c>
      <c r="E109">
        <v>27.01</v>
      </c>
      <c r="F109">
        <v>7635027.6699999999</v>
      </c>
      <c r="G109">
        <v>27.01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0.45985401459854286</v>
      </c>
      <c r="Q109">
        <f t="shared" ref="Q109" si="521">F109*P109</f>
        <v>3510998.1256204587</v>
      </c>
      <c r="R109">
        <f t="shared" ref="R109" si="522">R110+Q109</f>
        <v>762480749.00272632</v>
      </c>
      <c r="S109">
        <f t="shared" ref="S109" si="523">R109/100000</f>
        <v>7624.8074900272632</v>
      </c>
      <c r="T109">
        <f t="shared" ref="T109" si="524">S109/1000</f>
        <v>7.6248074900272629</v>
      </c>
    </row>
    <row r="110" spans="1:20" x14ac:dyDescent="0.25">
      <c r="A110" s="5">
        <v>44483</v>
      </c>
      <c r="B110">
        <v>25.67</v>
      </c>
      <c r="C110">
        <v>27.88</v>
      </c>
      <c r="D110">
        <v>25.38</v>
      </c>
      <c r="E110">
        <v>26.72</v>
      </c>
      <c r="F110">
        <v>7753968.3700000001</v>
      </c>
      <c r="G110">
        <v>26.72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7.1999999999999884E-2</v>
      </c>
      <c r="Q110">
        <f t="shared" ref="Q110" si="526">F110*P110</f>
        <v>558285.72263999912</v>
      </c>
      <c r="R110">
        <f t="shared" ref="R110" si="527">R111+Q110</f>
        <v>758969750.87710583</v>
      </c>
      <c r="S110">
        <f t="shared" ref="S110" si="528">R110/100000</f>
        <v>7589.697508771058</v>
      </c>
      <c r="T110">
        <f t="shared" ref="T110" si="529">S110/1000</f>
        <v>7.5896975087710583</v>
      </c>
    </row>
    <row r="111" spans="1:20" x14ac:dyDescent="0.25">
      <c r="A111" s="5">
        <v>44482</v>
      </c>
      <c r="B111">
        <v>24.63</v>
      </c>
      <c r="C111">
        <v>25.67</v>
      </c>
      <c r="D111">
        <v>24.16</v>
      </c>
      <c r="E111">
        <v>25.66</v>
      </c>
      <c r="F111">
        <v>6207286.1299999999</v>
      </c>
      <c r="G111">
        <v>25.66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0.98675496688741515</v>
      </c>
      <c r="Q111">
        <f t="shared" ref="Q111" si="531">F111*P111</f>
        <v>6125070.4196688617</v>
      </c>
      <c r="R111">
        <f t="shared" ref="R111" si="532">R112+Q111</f>
        <v>758411465.15446579</v>
      </c>
      <c r="S111">
        <f t="shared" ref="S111" si="533">R111/100000</f>
        <v>7584.114651544658</v>
      </c>
      <c r="T111">
        <f t="shared" ref="T111" si="534">S111/1000</f>
        <v>7.5841146515446578</v>
      </c>
    </row>
    <row r="112" spans="1:20" x14ac:dyDescent="0.25">
      <c r="A112" s="5">
        <v>44481</v>
      </c>
      <c r="B112">
        <v>25.22</v>
      </c>
      <c r="C112">
        <v>25.27</v>
      </c>
      <c r="D112">
        <v>23.53</v>
      </c>
      <c r="E112">
        <v>24.65</v>
      </c>
      <c r="F112">
        <v>5370932.7199999997</v>
      </c>
      <c r="G112">
        <v>24.65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0.28735632183907867</v>
      </c>
      <c r="Q112">
        <f t="shared" ref="Q112" si="536">F112*P112</f>
        <v>1543371.4712643581</v>
      </c>
      <c r="R112">
        <f t="shared" ref="R112" si="537">R113+Q112</f>
        <v>752286394.73479688</v>
      </c>
      <c r="S112">
        <f t="shared" ref="S112" si="538">R112/100000</f>
        <v>7522.8639473479689</v>
      </c>
      <c r="T112">
        <f t="shared" ref="T112" si="539">S112/1000</f>
        <v>7.522863947347969</v>
      </c>
    </row>
    <row r="113" spans="1:20" x14ac:dyDescent="0.25">
      <c r="A113" s="5">
        <v>44480</v>
      </c>
      <c r="B113">
        <v>25.55</v>
      </c>
      <c r="C113">
        <v>26.76</v>
      </c>
      <c r="D113">
        <v>24.63</v>
      </c>
      <c r="E113">
        <v>25.22</v>
      </c>
      <c r="F113">
        <v>4293243.83</v>
      </c>
      <c r="G113">
        <v>25.22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-0.44600938967136228</v>
      </c>
      <c r="Q113">
        <f t="shared" ref="Q113" si="541">F113*P113</f>
        <v>-1914827.0603286419</v>
      </c>
      <c r="R113">
        <f t="shared" ref="R113" si="542">R114+Q113</f>
        <v>750743023.26353252</v>
      </c>
      <c r="S113">
        <f t="shared" ref="S113" si="543">R113/100000</f>
        <v>7507.4302326353254</v>
      </c>
      <c r="T113">
        <f t="shared" ref="T113" si="544">S113/1000</f>
        <v>7.5074302326353255</v>
      </c>
    </row>
    <row r="114" spans="1:20" x14ac:dyDescent="0.25">
      <c r="A114" s="5">
        <v>44479</v>
      </c>
      <c r="B114">
        <v>27.45</v>
      </c>
      <c r="C114">
        <v>27.49</v>
      </c>
      <c r="D114">
        <v>25.44</v>
      </c>
      <c r="E114">
        <v>25.56</v>
      </c>
      <c r="F114">
        <v>3914402.57</v>
      </c>
      <c r="G114">
        <v>25.56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-0.88292682926829502</v>
      </c>
      <c r="Q114">
        <f t="shared" ref="Q114" si="546">F114*P114</f>
        <v>-3456131.0496097649</v>
      </c>
      <c r="R114">
        <f t="shared" ref="R114" si="547">R115+Q114</f>
        <v>752657850.32386112</v>
      </c>
      <c r="S114">
        <f t="shared" ref="S114" si="548">R114/100000</f>
        <v>7526.5785032386111</v>
      </c>
      <c r="T114">
        <f t="shared" ref="T114" si="549">S114/1000</f>
        <v>7.5265785032386114</v>
      </c>
    </row>
    <row r="115" spans="1:20" x14ac:dyDescent="0.25">
      <c r="A115" s="5">
        <v>44478</v>
      </c>
      <c r="B115">
        <v>26.4</v>
      </c>
      <c r="C115">
        <v>27.89</v>
      </c>
      <c r="D115">
        <v>26.05</v>
      </c>
      <c r="E115">
        <v>27.45</v>
      </c>
      <c r="F115">
        <v>4731175.38</v>
      </c>
      <c r="G115">
        <v>27.45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0.52173913043478115</v>
      </c>
      <c r="Q115">
        <f t="shared" ref="Q115" si="551">F115*P115</f>
        <v>2468439.3286956451</v>
      </c>
      <c r="R115">
        <f t="shared" ref="R115" si="552">R116+Q115</f>
        <v>756113981.3734709</v>
      </c>
      <c r="S115">
        <f t="shared" ref="S115" si="553">R115/100000</f>
        <v>7561.1398137347087</v>
      </c>
      <c r="T115">
        <f t="shared" ref="T115" si="554">S115/1000</f>
        <v>7.5611398137347088</v>
      </c>
    </row>
    <row r="116" spans="1:20" x14ac:dyDescent="0.25">
      <c r="A116" s="5">
        <v>44477</v>
      </c>
      <c r="B116">
        <v>26.84</v>
      </c>
      <c r="C116">
        <v>27.46</v>
      </c>
      <c r="D116">
        <v>26.12</v>
      </c>
      <c r="E116">
        <v>26.39</v>
      </c>
      <c r="F116">
        <v>4972738.2300000004</v>
      </c>
      <c r="G116">
        <v>26.39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-0.59701492537313494</v>
      </c>
      <c r="Q116">
        <f t="shared" ref="Q116" si="556">F116*P116</f>
        <v>-2968798.9432835854</v>
      </c>
      <c r="R116">
        <f t="shared" ref="R116" si="557">R117+Q116</f>
        <v>753645542.04477525</v>
      </c>
      <c r="S116">
        <f t="shared" ref="S116" si="558">R116/100000</f>
        <v>7536.4554204477527</v>
      </c>
      <c r="T116">
        <f t="shared" ref="T116" si="559">S116/1000</f>
        <v>7.5364554204477523</v>
      </c>
    </row>
    <row r="117" spans="1:20" x14ac:dyDescent="0.25">
      <c r="A117" s="5">
        <v>44476</v>
      </c>
      <c r="B117">
        <v>26.8</v>
      </c>
      <c r="C117">
        <v>27.71</v>
      </c>
      <c r="D117">
        <v>25.9</v>
      </c>
      <c r="E117">
        <v>26.83</v>
      </c>
      <c r="F117">
        <v>6025827.0700000003</v>
      </c>
      <c r="G117">
        <v>26.83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2.7624309392263589E-2</v>
      </c>
      <c r="Q117">
        <f t="shared" ref="Q117" si="561">F117*P117</f>
        <v>166459.31132595718</v>
      </c>
      <c r="R117">
        <f t="shared" ref="R117" si="562">R118+Q117</f>
        <v>756614340.98805881</v>
      </c>
      <c r="S117">
        <f t="shared" ref="S117" si="563">R117/100000</f>
        <v>7566.1434098805885</v>
      </c>
      <c r="T117">
        <f t="shared" ref="T117" si="564">S117/1000</f>
        <v>7.5661434098805884</v>
      </c>
    </row>
    <row r="118" spans="1:20" x14ac:dyDescent="0.25">
      <c r="A118" s="5">
        <v>44475</v>
      </c>
      <c r="B118">
        <v>27.23</v>
      </c>
      <c r="C118">
        <v>28.19</v>
      </c>
      <c r="D118">
        <v>25.2</v>
      </c>
      <c r="E118">
        <v>26.8</v>
      </c>
      <c r="F118">
        <v>6976264.1299999999</v>
      </c>
      <c r="G118">
        <v>26.8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7.0234113712374827E-2</v>
      </c>
      <c r="Q118">
        <f t="shared" ref="Q118" si="566">F118*P118</f>
        <v>489971.72819398163</v>
      </c>
      <c r="R118">
        <f t="shared" ref="R118" si="567">R119+Q118</f>
        <v>756447881.6767329</v>
      </c>
      <c r="S118">
        <f t="shared" ref="S118" si="568">R118/100000</f>
        <v>7564.4788167673287</v>
      </c>
      <c r="T118">
        <f t="shared" ref="T118" si="569">S118/1000</f>
        <v>7.5644788167673287</v>
      </c>
    </row>
    <row r="119" spans="1:20" x14ac:dyDescent="0.25">
      <c r="A119" s="5">
        <v>44474</v>
      </c>
      <c r="B119">
        <v>26.62</v>
      </c>
      <c r="C119">
        <v>27.49</v>
      </c>
      <c r="D119">
        <v>26.19</v>
      </c>
      <c r="E119">
        <v>27.23</v>
      </c>
      <c r="F119">
        <v>5119998.3899999997</v>
      </c>
      <c r="G119">
        <v>27.23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0.6000000000000022</v>
      </c>
      <c r="Q119">
        <f t="shared" ref="Q119" si="571">F119*P119</f>
        <v>3071999.0340000112</v>
      </c>
      <c r="R119">
        <f t="shared" ref="R119" si="572">R120+Q119</f>
        <v>755957909.9485389</v>
      </c>
      <c r="S119">
        <f t="shared" ref="S119" si="573">R119/100000</f>
        <v>7559.5790994853887</v>
      </c>
      <c r="T119">
        <f t="shared" ref="T119" si="574">S119/1000</f>
        <v>7.5595790994853891</v>
      </c>
    </row>
    <row r="120" spans="1:20" x14ac:dyDescent="0.25">
      <c r="A120" s="5">
        <v>44473</v>
      </c>
      <c r="B120">
        <v>27.56</v>
      </c>
      <c r="C120">
        <v>27.67</v>
      </c>
      <c r="D120">
        <v>25.59</v>
      </c>
      <c r="E120">
        <v>26.6</v>
      </c>
      <c r="F120">
        <v>5449429.3300000001</v>
      </c>
      <c r="G120">
        <v>26.6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-2.8846153846153206E-2</v>
      </c>
      <c r="Q120">
        <f t="shared" ref="Q120" si="576">F120*P120</f>
        <v>-157195.0768269196</v>
      </c>
      <c r="R120">
        <f t="shared" ref="R120" si="577">R121+Q120</f>
        <v>752885910.91453886</v>
      </c>
      <c r="S120">
        <f t="shared" ref="S120" si="578">R120/100000</f>
        <v>7528.8591091453882</v>
      </c>
      <c r="T120">
        <f t="shared" ref="T120" si="579">S120/1000</f>
        <v>7.5288591091453885</v>
      </c>
    </row>
    <row r="121" spans="1:20" x14ac:dyDescent="0.25">
      <c r="A121" s="5">
        <v>44472</v>
      </c>
      <c r="B121">
        <v>26.88</v>
      </c>
      <c r="C121">
        <v>28.16</v>
      </c>
      <c r="D121">
        <v>26.5</v>
      </c>
      <c r="E121">
        <v>27.56</v>
      </c>
      <c r="F121">
        <v>4466502.76</v>
      </c>
      <c r="G121">
        <v>27.56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0.2771084337349381</v>
      </c>
      <c r="Q121">
        <f t="shared" ref="Q121" si="581">F121*P121</f>
        <v>1237705.5840963779</v>
      </c>
      <c r="R121">
        <f t="shared" ref="R121" si="582">R122+Q121</f>
        <v>753043105.99136579</v>
      </c>
      <c r="S121">
        <f t="shared" ref="S121" si="583">R121/100000</f>
        <v>7530.4310599136579</v>
      </c>
      <c r="T121">
        <f t="shared" ref="T121" si="584">S121/1000</f>
        <v>7.5304310599136581</v>
      </c>
    </row>
    <row r="122" spans="1:20" x14ac:dyDescent="0.25">
      <c r="A122" s="5">
        <v>44471</v>
      </c>
      <c r="B122">
        <v>26.32</v>
      </c>
      <c r="C122">
        <v>27.81</v>
      </c>
      <c r="D122">
        <v>25.82</v>
      </c>
      <c r="E122">
        <v>26.89</v>
      </c>
      <c r="F122">
        <v>5235579.8499999996</v>
      </c>
      <c r="G122">
        <v>26.89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7.5376884422111684E-2</v>
      </c>
      <c r="Q122">
        <f t="shared" ref="Q122" si="586">F122*P122</f>
        <v>394641.69723618682</v>
      </c>
      <c r="R122">
        <f t="shared" ref="R122" si="587">R123+Q122</f>
        <v>751805400.40726936</v>
      </c>
      <c r="S122">
        <f t="shared" ref="S122" si="588">R122/100000</f>
        <v>7518.0540040726937</v>
      </c>
      <c r="T122">
        <f t="shared" ref="T122" si="589">S122/1000</f>
        <v>7.5180540040726935</v>
      </c>
    </row>
    <row r="123" spans="1:20" x14ac:dyDescent="0.25">
      <c r="A123" s="5">
        <v>44470</v>
      </c>
      <c r="B123">
        <v>24</v>
      </c>
      <c r="C123">
        <v>26.7</v>
      </c>
      <c r="D123">
        <v>23.59</v>
      </c>
      <c r="E123">
        <v>26.31</v>
      </c>
      <c r="F123">
        <v>7425309.0800000001</v>
      </c>
      <c r="G123">
        <v>26.31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0.7491961414790993</v>
      </c>
      <c r="Q123">
        <f t="shared" ref="Q123" si="591">F123*P123</f>
        <v>5563012.9120257208</v>
      </c>
      <c r="R123">
        <f t="shared" ref="R123" si="592">R124+Q123</f>
        <v>751410758.71003318</v>
      </c>
      <c r="S123">
        <f t="shared" ref="S123" si="593">R123/100000</f>
        <v>7514.1075871003313</v>
      </c>
      <c r="T123">
        <f t="shared" ref="T123" si="594">S123/1000</f>
        <v>7.5141075871003311</v>
      </c>
    </row>
    <row r="124" spans="1:20" x14ac:dyDescent="0.25">
      <c r="A124" s="5">
        <v>44469</v>
      </c>
      <c r="B124">
        <v>22.85</v>
      </c>
      <c r="C124">
        <v>24.4</v>
      </c>
      <c r="D124">
        <v>22.72</v>
      </c>
      <c r="E124">
        <v>24</v>
      </c>
      <c r="F124">
        <v>5584599.1799999997</v>
      </c>
      <c r="G124">
        <v>24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0.52380952380952539</v>
      </c>
      <c r="Q124">
        <f t="shared" ref="Q124" si="596">F124*P124</f>
        <v>2925266.237142866</v>
      </c>
      <c r="R124">
        <f t="shared" ref="R124" si="597">R125+Q124</f>
        <v>745847745.79800749</v>
      </c>
      <c r="S124">
        <f t="shared" ref="S124" si="598">R124/100000</f>
        <v>7458.4774579800751</v>
      </c>
      <c r="T124">
        <f t="shared" ref="T124" si="599">S124/1000</f>
        <v>7.4584774579800754</v>
      </c>
    </row>
    <row r="125" spans="1:20" x14ac:dyDescent="0.25">
      <c r="A125" s="5">
        <v>44468</v>
      </c>
      <c r="B125">
        <v>22.09</v>
      </c>
      <c r="C125">
        <v>23.93</v>
      </c>
      <c r="D125">
        <v>22.01</v>
      </c>
      <c r="E125">
        <v>22.85</v>
      </c>
      <c r="F125">
        <v>5352492.6399999997</v>
      </c>
      <c r="G125">
        <v>22.85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-0.12499999999999931</v>
      </c>
      <c r="Q125">
        <f t="shared" ref="Q125" si="601">F125*P125</f>
        <v>-669061.57999999623</v>
      </c>
      <c r="R125">
        <f t="shared" ref="R125" si="602">R126+Q125</f>
        <v>742922479.56086457</v>
      </c>
      <c r="S125">
        <f t="shared" ref="S125" si="603">R125/100000</f>
        <v>7429.2247956086458</v>
      </c>
      <c r="T125">
        <f t="shared" ref="T125" si="604">S125/1000</f>
        <v>7.4292247956086461</v>
      </c>
    </row>
    <row r="126" spans="1:20" x14ac:dyDescent="0.25">
      <c r="A126" s="5">
        <v>44467</v>
      </c>
      <c r="B126">
        <v>23.02</v>
      </c>
      <c r="C126">
        <v>23.75</v>
      </c>
      <c r="D126">
        <v>22</v>
      </c>
      <c r="E126">
        <v>22.1</v>
      </c>
      <c r="F126">
        <v>6277178.1500000004</v>
      </c>
      <c r="G126">
        <v>22.1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-0.88571428571428412</v>
      </c>
      <c r="Q126">
        <f t="shared" ref="Q126" si="606">F126*P126</f>
        <v>-5559786.3614285616</v>
      </c>
      <c r="R126">
        <f t="shared" ref="R126" si="607">R127+Q126</f>
        <v>743591541.14086461</v>
      </c>
      <c r="S126">
        <f t="shared" ref="S126" si="608">R126/100000</f>
        <v>7435.9154114086459</v>
      </c>
      <c r="T126">
        <f t="shared" ref="T126" si="609">S126/1000</f>
        <v>7.4359154114086463</v>
      </c>
    </row>
    <row r="127" spans="1:20" x14ac:dyDescent="0.25">
      <c r="A127" s="5">
        <v>44466</v>
      </c>
      <c r="B127">
        <v>24.59</v>
      </c>
      <c r="C127">
        <v>25.47</v>
      </c>
      <c r="D127">
        <v>22.96</v>
      </c>
      <c r="E127">
        <v>23.01</v>
      </c>
      <c r="F127">
        <v>5674010.8399999999</v>
      </c>
      <c r="G127">
        <v>23.01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-0.96015936254980017</v>
      </c>
      <c r="Q127">
        <f t="shared" ref="Q127" si="611">F127*P127</f>
        <v>-5447954.6312350556</v>
      </c>
      <c r="R127">
        <f t="shared" ref="R127" si="612">R128+Q127</f>
        <v>749151327.50229323</v>
      </c>
      <c r="S127">
        <f t="shared" ref="S127" si="613">R127/100000</f>
        <v>7491.5132750229322</v>
      </c>
      <c r="T127">
        <f t="shared" ref="T127" si="614">S127/1000</f>
        <v>7.4915132750229319</v>
      </c>
    </row>
    <row r="128" spans="1:20" x14ac:dyDescent="0.25">
      <c r="A128" s="5">
        <v>44465</v>
      </c>
      <c r="B128">
        <v>24.5</v>
      </c>
      <c r="C128">
        <v>25.38</v>
      </c>
      <c r="D128">
        <v>22.36</v>
      </c>
      <c r="E128">
        <v>24.6</v>
      </c>
      <c r="F128">
        <v>11996414.439999999</v>
      </c>
      <c r="G128">
        <v>24.6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0.48344370860927305</v>
      </c>
      <c r="Q128">
        <f t="shared" ref="Q128" si="616">F128*P128</f>
        <v>5799591.0868874351</v>
      </c>
      <c r="R128">
        <f t="shared" ref="R128" si="617">R129+Q128</f>
        <v>754599282.13352823</v>
      </c>
      <c r="S128">
        <f t="shared" ref="S128" si="618">R128/100000</f>
        <v>7545.9928213352823</v>
      </c>
      <c r="T128">
        <f t="shared" ref="T128" si="619">S128/1000</f>
        <v>7.5459928213352825</v>
      </c>
    </row>
    <row r="129" spans="1:20" x14ac:dyDescent="0.25">
      <c r="A129" s="5">
        <v>44464</v>
      </c>
      <c r="B129">
        <v>23.26</v>
      </c>
      <c r="C129">
        <v>24.7</v>
      </c>
      <c r="D129">
        <v>22.03</v>
      </c>
      <c r="E129">
        <v>24.51</v>
      </c>
      <c r="F129">
        <v>6978838.8899999997</v>
      </c>
      <c r="G129">
        <v>24.51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0.8576779026217245</v>
      </c>
      <c r="Q129">
        <f t="shared" ref="Q129" si="621">F129*P129</f>
        <v>5985595.9019101234</v>
      </c>
      <c r="R129">
        <f t="shared" ref="R129" si="622">R130+Q129</f>
        <v>748799691.04664075</v>
      </c>
      <c r="S129">
        <f t="shared" ref="S129" si="623">R129/100000</f>
        <v>7487.9969104664078</v>
      </c>
      <c r="T129">
        <f t="shared" ref="T129" si="624">S129/1000</f>
        <v>7.4879969104664079</v>
      </c>
    </row>
    <row r="130" spans="1:20" x14ac:dyDescent="0.25">
      <c r="A130" s="5">
        <v>44463</v>
      </c>
      <c r="B130">
        <v>25.42</v>
      </c>
      <c r="C130">
        <v>25.5</v>
      </c>
      <c r="D130">
        <v>21.35</v>
      </c>
      <c r="E130">
        <v>23.26</v>
      </c>
      <c r="F130">
        <v>10530560.300000001</v>
      </c>
      <c r="G130">
        <v>23.26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-7.951807228915625E-2</v>
      </c>
      <c r="Q130">
        <f t="shared" ref="Q130" si="626">F130*P130</f>
        <v>-837369.85518071894</v>
      </c>
      <c r="R130">
        <f t="shared" ref="R130" si="627">R131+Q130</f>
        <v>742814095.14473069</v>
      </c>
      <c r="S130">
        <f t="shared" ref="S130" si="628">R130/100000</f>
        <v>7428.1409514473071</v>
      </c>
      <c r="T130">
        <f t="shared" ref="T130" si="629">S130/1000</f>
        <v>7.4281409514473067</v>
      </c>
    </row>
    <row r="131" spans="1:20" x14ac:dyDescent="0.25">
      <c r="A131" s="5">
        <v>44462</v>
      </c>
      <c r="B131">
        <v>24.45</v>
      </c>
      <c r="C131">
        <v>25.48</v>
      </c>
      <c r="D131">
        <v>23.39</v>
      </c>
      <c r="E131">
        <v>25.41</v>
      </c>
      <c r="F131">
        <v>6813474.9890000001</v>
      </c>
      <c r="G131">
        <v>25.41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0.93301435406698541</v>
      </c>
      <c r="Q131">
        <f t="shared" ref="Q131" si="631">F131*P131</f>
        <v>6357069.9658133956</v>
      </c>
      <c r="R131">
        <f t="shared" ref="R131" si="632">R132+Q131</f>
        <v>743651464.99991143</v>
      </c>
      <c r="S131">
        <f t="shared" ref="S131" si="633">R131/100000</f>
        <v>7436.5146499991142</v>
      </c>
      <c r="T131">
        <f t="shared" ref="T131" si="634">S131/1000</f>
        <v>7.4365146499991139</v>
      </c>
    </row>
    <row r="132" spans="1:20" x14ac:dyDescent="0.25">
      <c r="A132" s="5">
        <v>44461</v>
      </c>
      <c r="B132">
        <v>21.42</v>
      </c>
      <c r="C132">
        <v>24.5</v>
      </c>
      <c r="D132">
        <v>21.03</v>
      </c>
      <c r="E132">
        <v>24.45</v>
      </c>
      <c r="F132">
        <v>7772096.46</v>
      </c>
      <c r="G132">
        <v>24.45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0.97118155619596502</v>
      </c>
      <c r="Q132">
        <f t="shared" ref="Q132" si="636">F132*P132</f>
        <v>7548116.7349279504</v>
      </c>
      <c r="R132">
        <f t="shared" ref="R132" si="637">R133+Q132</f>
        <v>737294395.03409803</v>
      </c>
      <c r="S132">
        <f t="shared" ref="S132" si="638">R132/100000</f>
        <v>7372.9439503409803</v>
      </c>
      <c r="T132">
        <f t="shared" ref="T132" si="639">S132/1000</f>
        <v>7.3729439503409804</v>
      </c>
    </row>
    <row r="133" spans="1:20" x14ac:dyDescent="0.25">
      <c r="A133" s="5">
        <v>44460</v>
      </c>
      <c r="B133">
        <v>23.57</v>
      </c>
      <c r="C133">
        <v>24.39</v>
      </c>
      <c r="D133">
        <v>20.82</v>
      </c>
      <c r="E133">
        <v>21.42</v>
      </c>
      <c r="F133">
        <v>11263574.24</v>
      </c>
      <c r="G133">
        <v>21.42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-0.66386554621848659</v>
      </c>
      <c r="Q133">
        <f t="shared" ref="Q133" si="641">F133*P133</f>
        <v>-7477498.8652100749</v>
      </c>
      <c r="R133">
        <f t="shared" ref="R133" si="642">R134+Q133</f>
        <v>729746278.29917014</v>
      </c>
      <c r="S133">
        <f t="shared" ref="S133" si="643">R133/100000</f>
        <v>7297.4627829917017</v>
      </c>
      <c r="T133">
        <f t="shared" ref="T133" si="644">S133/1000</f>
        <v>7.297462782991702</v>
      </c>
    </row>
    <row r="134" spans="1:20" x14ac:dyDescent="0.25">
      <c r="A134" s="5">
        <v>44459</v>
      </c>
      <c r="B134">
        <v>27.37</v>
      </c>
      <c r="C134">
        <v>27.43</v>
      </c>
      <c r="D134">
        <v>24.71</v>
      </c>
      <c r="E134">
        <v>25.22</v>
      </c>
      <c r="F134">
        <v>4815698.2300000004</v>
      </c>
      <c r="G134">
        <v>25.22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-0.62500000000000133</v>
      </c>
      <c r="Q134">
        <f t="shared" ref="Q134" si="646">F134*P134</f>
        <v>-3009811.3937500068</v>
      </c>
      <c r="R134">
        <f t="shared" ref="R134" si="647">R135+Q134</f>
        <v>737223777.16438019</v>
      </c>
      <c r="S134">
        <f t="shared" ref="S134" si="648">R134/100000</f>
        <v>7372.2377716438023</v>
      </c>
      <c r="T134">
        <f t="shared" ref="T134" si="649">S134/1000</f>
        <v>7.3722377716438023</v>
      </c>
    </row>
    <row r="135" spans="1:20" x14ac:dyDescent="0.25">
      <c r="A135" s="5">
        <v>44458</v>
      </c>
      <c r="B135">
        <v>28.39</v>
      </c>
      <c r="C135">
        <v>28.8</v>
      </c>
      <c r="D135">
        <v>26.93</v>
      </c>
      <c r="E135">
        <v>27.36</v>
      </c>
      <c r="F135">
        <v>3892742.39</v>
      </c>
      <c r="G135">
        <v>27.36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-0.54010695187165825</v>
      </c>
      <c r="Q135">
        <f t="shared" ref="Q135" si="651">F135*P135</f>
        <v>-2102497.2266844939</v>
      </c>
      <c r="R135">
        <f t="shared" ref="R135" si="652">R136+Q135</f>
        <v>740233588.55813015</v>
      </c>
      <c r="S135">
        <f t="shared" ref="S135" si="653">R135/100000</f>
        <v>7402.3358855813012</v>
      </c>
      <c r="T135">
        <f t="shared" ref="T135" si="654">S135/1000</f>
        <v>7.4023358855813015</v>
      </c>
    </row>
    <row r="136" spans="1:20" x14ac:dyDescent="0.25">
      <c r="A136" s="5">
        <v>44457</v>
      </c>
      <c r="B136">
        <v>27.73</v>
      </c>
      <c r="C136">
        <v>29.46</v>
      </c>
      <c r="D136">
        <v>27.39</v>
      </c>
      <c r="E136">
        <v>28.39</v>
      </c>
      <c r="F136">
        <v>4567816.67</v>
      </c>
      <c r="G136">
        <v>28.39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-3.3816425120773076E-2</v>
      </c>
      <c r="Q136">
        <f t="shared" ref="Q136" si="656">F136*P136</f>
        <v>-154467.23038647402</v>
      </c>
      <c r="R136">
        <f t="shared" ref="R136" si="657">R137+Q136</f>
        <v>742336085.7848146</v>
      </c>
      <c r="S136">
        <f t="shared" ref="S136" si="658">R136/100000</f>
        <v>7423.3608578481462</v>
      </c>
      <c r="T136">
        <f t="shared" ref="T136" si="659">S136/1000</f>
        <v>7.423360857848146</v>
      </c>
    </row>
    <row r="137" spans="1:20" x14ac:dyDescent="0.25">
      <c r="A137" s="5">
        <v>44456</v>
      </c>
      <c r="B137">
        <v>29.81</v>
      </c>
      <c r="C137">
        <v>30.12</v>
      </c>
      <c r="D137">
        <v>27.38</v>
      </c>
      <c r="E137">
        <v>27.72</v>
      </c>
      <c r="F137">
        <v>7110390.5899999999</v>
      </c>
      <c r="G137">
        <v>27.72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-0.75182481751824848</v>
      </c>
      <c r="Q137">
        <f t="shared" ref="Q137" si="661">F137*P137</f>
        <v>-5345768.1078102207</v>
      </c>
      <c r="R137">
        <f t="shared" ref="R137" si="662">R138+Q137</f>
        <v>742490553.01520109</v>
      </c>
      <c r="S137">
        <f t="shared" ref="S137" si="663">R137/100000</f>
        <v>7424.9055301520111</v>
      </c>
      <c r="T137">
        <f t="shared" ref="T137" si="664">S137/1000</f>
        <v>7.424905530152011</v>
      </c>
    </row>
    <row r="138" spans="1:20" x14ac:dyDescent="0.25">
      <c r="A138" s="5">
        <v>44455</v>
      </c>
      <c r="B138">
        <v>30.68</v>
      </c>
      <c r="C138">
        <v>32.11</v>
      </c>
      <c r="D138">
        <v>29.04</v>
      </c>
      <c r="E138">
        <v>29.8</v>
      </c>
      <c r="F138">
        <v>9659752.0999999996</v>
      </c>
      <c r="G138">
        <v>29.8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-0.50488599348534102</v>
      </c>
      <c r="Q138">
        <f t="shared" ref="Q138" si="666">F138*P138</f>
        <v>-4877073.5358306095</v>
      </c>
      <c r="R138">
        <f t="shared" ref="R138" si="667">R139+Q138</f>
        <v>747836321.12301135</v>
      </c>
      <c r="S138">
        <f t="shared" ref="S138" si="668">R138/100000</f>
        <v>7478.3632112301138</v>
      </c>
      <c r="T138">
        <f t="shared" ref="T138" si="669">S138/1000</f>
        <v>7.4783632112301142</v>
      </c>
    </row>
    <row r="139" spans="1:20" x14ac:dyDescent="0.25">
      <c r="A139" s="5">
        <v>44454</v>
      </c>
      <c r="B139">
        <v>30.78</v>
      </c>
      <c r="C139">
        <v>31.46</v>
      </c>
      <c r="D139">
        <v>29.57</v>
      </c>
      <c r="E139">
        <v>30.67</v>
      </c>
      <c r="F139">
        <v>9772286.2899999991</v>
      </c>
      <c r="G139">
        <v>30.67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0.16402116402116518</v>
      </c>
      <c r="Q139">
        <f t="shared" ref="Q139" si="671">F139*P139</f>
        <v>1602861.7724338735</v>
      </c>
      <c r="R139">
        <f t="shared" ref="R139" si="672">R140+Q139</f>
        <v>752713394.65884197</v>
      </c>
      <c r="S139">
        <f t="shared" ref="S139" si="673">R139/100000</f>
        <v>7527.1339465884193</v>
      </c>
      <c r="T139">
        <f t="shared" ref="T139" si="674">S139/1000</f>
        <v>7.5271339465884193</v>
      </c>
    </row>
    <row r="140" spans="1:20" x14ac:dyDescent="0.25">
      <c r="A140" s="5">
        <v>44453</v>
      </c>
      <c r="B140">
        <v>26.96</v>
      </c>
      <c r="C140">
        <v>30.85</v>
      </c>
      <c r="D140">
        <v>26.73</v>
      </c>
      <c r="E140">
        <v>30.8</v>
      </c>
      <c r="F140">
        <v>10233565.390000001</v>
      </c>
      <c r="G140">
        <v>30.8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0.9757281553398055</v>
      </c>
      <c r="Q140">
        <f t="shared" ref="Q140" si="676">F140*P140</f>
        <v>9985177.8805339783</v>
      </c>
      <c r="R140">
        <f t="shared" ref="R140" si="677">R141+Q140</f>
        <v>751110532.88640809</v>
      </c>
      <c r="S140">
        <f t="shared" ref="S140" si="678">R140/100000</f>
        <v>7511.1053288640805</v>
      </c>
      <c r="T140">
        <f t="shared" ref="T140" si="679">S140/1000</f>
        <v>7.5111053288640806</v>
      </c>
    </row>
    <row r="141" spans="1:20" x14ac:dyDescent="0.25">
      <c r="A141" s="5">
        <v>44452</v>
      </c>
      <c r="B141">
        <v>29.42</v>
      </c>
      <c r="C141">
        <v>29.95</v>
      </c>
      <c r="D141">
        <v>25.17</v>
      </c>
      <c r="E141">
        <v>26.96</v>
      </c>
      <c r="F141">
        <v>13538132.859999999</v>
      </c>
      <c r="G141">
        <v>26.96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-0.2510460251046025</v>
      </c>
      <c r="Q141">
        <f t="shared" ref="Q141" si="681">F141*P141</f>
        <v>-3398694.441841004</v>
      </c>
      <c r="R141">
        <f t="shared" ref="R141" si="682">R142+Q141</f>
        <v>741125355.00587416</v>
      </c>
      <c r="S141">
        <f t="shared" ref="S141" si="683">R141/100000</f>
        <v>7411.2535500587419</v>
      </c>
      <c r="T141">
        <f t="shared" ref="T141" si="684">S141/1000</f>
        <v>7.411253550058742</v>
      </c>
    </row>
    <row r="142" spans="1:20" x14ac:dyDescent="0.25">
      <c r="A142" s="5">
        <v>44451</v>
      </c>
      <c r="B142">
        <v>27</v>
      </c>
      <c r="C142">
        <v>29.77</v>
      </c>
      <c r="D142">
        <v>26.36</v>
      </c>
      <c r="E142">
        <v>29.42</v>
      </c>
      <c r="F142">
        <v>6990717.3799999999</v>
      </c>
      <c r="G142">
        <v>29.42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0.79472140762463472</v>
      </c>
      <c r="Q142">
        <f t="shared" ref="Q142" si="686">F142*P142</f>
        <v>5555672.7565395981</v>
      </c>
      <c r="R142">
        <f t="shared" ref="R142" si="687">R143+Q142</f>
        <v>744524049.44771516</v>
      </c>
      <c r="S142">
        <f t="shared" ref="S142" si="688">R142/100000</f>
        <v>7445.2404944771515</v>
      </c>
      <c r="T142">
        <f t="shared" ref="T142" si="689">S142/1000</f>
        <v>7.4452404944771517</v>
      </c>
    </row>
    <row r="143" spans="1:20" x14ac:dyDescent="0.25">
      <c r="A143" s="5">
        <v>44450</v>
      </c>
      <c r="B143">
        <v>26.39</v>
      </c>
      <c r="C143">
        <v>27.71</v>
      </c>
      <c r="D143">
        <v>26.25</v>
      </c>
      <c r="E143">
        <v>26.99</v>
      </c>
      <c r="F143">
        <v>4993779.99</v>
      </c>
      <c r="G143">
        <v>26.99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1.3698630136983568E-2</v>
      </c>
      <c r="Q143">
        <f t="shared" ref="Q143" si="691">F143*P143</f>
        <v>68407.945068479501</v>
      </c>
      <c r="R143">
        <f t="shared" ref="R143" si="692">R144+Q143</f>
        <v>738968376.69117558</v>
      </c>
      <c r="S143">
        <f t="shared" ref="S143" si="693">R143/100000</f>
        <v>7389.6837669117558</v>
      </c>
      <c r="T143">
        <f t="shared" ref="T143" si="694">S143/1000</f>
        <v>7.3896837669117561</v>
      </c>
    </row>
    <row r="144" spans="1:20" x14ac:dyDescent="0.25">
      <c r="A144" s="5">
        <v>44449</v>
      </c>
      <c r="B144">
        <v>28.01</v>
      </c>
      <c r="C144">
        <v>29.56</v>
      </c>
      <c r="D144">
        <v>25.62</v>
      </c>
      <c r="E144">
        <v>26.39</v>
      </c>
      <c r="F144">
        <v>9834554.0099999998</v>
      </c>
      <c r="G144">
        <v>26.39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-0.60913705583756339</v>
      </c>
      <c r="Q144">
        <f t="shared" ref="Q144" si="696">F144*P144</f>
        <v>-5990591.2751269024</v>
      </c>
      <c r="R144">
        <f t="shared" ref="R144" si="697">R145+Q144</f>
        <v>738899968.7461071</v>
      </c>
      <c r="S144">
        <f t="shared" ref="S144" si="698">R144/100000</f>
        <v>7388.9996874610706</v>
      </c>
      <c r="T144">
        <f t="shared" ref="T144" si="699">S144/1000</f>
        <v>7.3889996874610704</v>
      </c>
    </row>
    <row r="145" spans="1:20" x14ac:dyDescent="0.25">
      <c r="A145" s="5">
        <v>44448</v>
      </c>
      <c r="B145">
        <v>27.17</v>
      </c>
      <c r="C145">
        <v>30.18</v>
      </c>
      <c r="D145">
        <v>26.46</v>
      </c>
      <c r="E145">
        <v>28.01</v>
      </c>
      <c r="F145">
        <v>10379368.4</v>
      </c>
      <c r="G145">
        <v>28.01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-0.16666666666666602</v>
      </c>
      <c r="Q145">
        <f t="shared" ref="Q145" si="701">F145*P145</f>
        <v>-1729894.7333333266</v>
      </c>
      <c r="R145">
        <f t="shared" ref="R145" si="702">R146+Q145</f>
        <v>744890560.02123404</v>
      </c>
      <c r="S145">
        <f t="shared" ref="S145" si="703">R145/100000</f>
        <v>7448.9056002123407</v>
      </c>
      <c r="T145">
        <f t="shared" ref="T145" si="704">S145/1000</f>
        <v>7.448905600212341</v>
      </c>
    </row>
    <row r="146" spans="1:20" x14ac:dyDescent="0.25">
      <c r="A146" s="5">
        <v>44447</v>
      </c>
      <c r="B146">
        <v>28.25</v>
      </c>
      <c r="C146">
        <v>29.19</v>
      </c>
      <c r="D146">
        <v>25.18</v>
      </c>
      <c r="E146">
        <v>27.16</v>
      </c>
      <c r="F146">
        <v>13670715.16</v>
      </c>
      <c r="G146">
        <v>27.16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-1.2468827930174736E-2</v>
      </c>
      <c r="Q146">
        <f t="shared" ref="Q146" si="706">F146*P146</f>
        <v>-170457.79501247118</v>
      </c>
      <c r="R146">
        <f t="shared" ref="R146" si="707">R147+Q146</f>
        <v>746620454.75456738</v>
      </c>
      <c r="S146">
        <f t="shared" ref="S146" si="708">R146/100000</f>
        <v>7466.2045475456734</v>
      </c>
      <c r="T146">
        <f t="shared" ref="T146" si="709">S146/1000</f>
        <v>7.4662045475456731</v>
      </c>
    </row>
    <row r="147" spans="1:20" x14ac:dyDescent="0.25">
      <c r="A147" s="5">
        <v>44446</v>
      </c>
      <c r="B147">
        <v>34.799999999999997</v>
      </c>
      <c r="C147">
        <v>35.340000000000003</v>
      </c>
      <c r="D147">
        <v>23.79</v>
      </c>
      <c r="E147">
        <v>28.26</v>
      </c>
      <c r="F147">
        <v>22716428.307</v>
      </c>
      <c r="G147">
        <v>28.26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-0.22597402597402586</v>
      </c>
      <c r="Q147">
        <f t="shared" ref="Q147" si="711">F147*P147</f>
        <v>-5133322.7602831144</v>
      </c>
      <c r="R147">
        <f t="shared" ref="R147" si="712">R148+Q147</f>
        <v>746790912.54957986</v>
      </c>
      <c r="S147">
        <f t="shared" ref="S147" si="713">R147/100000</f>
        <v>7467.9091254957984</v>
      </c>
      <c r="T147">
        <f t="shared" ref="T147" si="714">S147/1000</f>
        <v>7.4679091254957983</v>
      </c>
    </row>
    <row r="148" spans="1:20" x14ac:dyDescent="0.25">
      <c r="A148" s="5">
        <v>44445</v>
      </c>
      <c r="B148">
        <v>33.54</v>
      </c>
      <c r="C148">
        <v>36.33</v>
      </c>
      <c r="D148">
        <v>32.44</v>
      </c>
      <c r="E148">
        <v>34.81</v>
      </c>
      <c r="F148">
        <v>10355273.267000001</v>
      </c>
      <c r="G148">
        <v>34.81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0.21850899742930807</v>
      </c>
      <c r="Q148">
        <f t="shared" ref="Q148" si="716">F148*P148</f>
        <v>2262720.3796786857</v>
      </c>
      <c r="R148">
        <f t="shared" ref="R148" si="717">R149+Q148</f>
        <v>751924235.30986297</v>
      </c>
      <c r="S148">
        <f t="shared" ref="S148" si="718">R148/100000</f>
        <v>7519.2423530986298</v>
      </c>
      <c r="T148">
        <f t="shared" ref="T148" si="719">S148/1000</f>
        <v>7.5192423530986296</v>
      </c>
    </row>
    <row r="149" spans="1:20" x14ac:dyDescent="0.25">
      <c r="A149" s="5">
        <v>44444</v>
      </c>
      <c r="B149">
        <v>29.89</v>
      </c>
      <c r="C149">
        <v>33.61</v>
      </c>
      <c r="D149">
        <v>29.54</v>
      </c>
      <c r="E149">
        <v>33.549999999999997</v>
      </c>
      <c r="F149">
        <v>5891988.1869999999</v>
      </c>
      <c r="G149">
        <v>33.549999999999997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0.97051597051596938</v>
      </c>
      <c r="Q149">
        <f t="shared" ref="Q149" si="721">F149*P149</f>
        <v>5718268.6335749319</v>
      </c>
      <c r="R149">
        <f t="shared" ref="R149" si="722">R150+Q149</f>
        <v>749661514.93018425</v>
      </c>
      <c r="S149">
        <f t="shared" ref="S149" si="723">R149/100000</f>
        <v>7496.6151493018424</v>
      </c>
      <c r="T149">
        <f t="shared" ref="T149" si="724">S149/1000</f>
        <v>7.4966151493018423</v>
      </c>
    </row>
    <row r="150" spans="1:20" x14ac:dyDescent="0.25">
      <c r="A150" s="5">
        <v>44443</v>
      </c>
      <c r="B150">
        <v>30.75</v>
      </c>
      <c r="C150">
        <v>31.17</v>
      </c>
      <c r="D150">
        <v>29.39</v>
      </c>
      <c r="E150">
        <v>29.88</v>
      </c>
      <c r="F150">
        <v>4242332.29</v>
      </c>
      <c r="G150">
        <v>29.88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-0.44943820224719311</v>
      </c>
      <c r="Q150">
        <f t="shared" ref="Q150" si="726">F150*P150</f>
        <v>-1906666.197752818</v>
      </c>
      <c r="R150">
        <f t="shared" ref="R150" si="727">R151+Q150</f>
        <v>743943246.29660928</v>
      </c>
      <c r="S150">
        <f t="shared" ref="S150" si="728">R150/100000</f>
        <v>7439.4324629660932</v>
      </c>
      <c r="T150">
        <f t="shared" ref="T150" si="729">S150/1000</f>
        <v>7.4394324629660931</v>
      </c>
    </row>
    <row r="151" spans="1:20" x14ac:dyDescent="0.25">
      <c r="A151" s="5">
        <v>44442</v>
      </c>
      <c r="B151">
        <v>29.95</v>
      </c>
      <c r="C151">
        <v>31.75</v>
      </c>
      <c r="D151">
        <v>29.05</v>
      </c>
      <c r="E151">
        <v>30.75</v>
      </c>
      <c r="F151">
        <v>6866886.7960000001</v>
      </c>
      <c r="G151">
        <v>30.75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0.25925925925925908</v>
      </c>
      <c r="Q151">
        <f t="shared" ref="Q151" si="731">F151*P151</f>
        <v>1780303.9841481468</v>
      </c>
      <c r="R151">
        <f t="shared" ref="R151" si="732">R152+Q151</f>
        <v>745849912.49436212</v>
      </c>
      <c r="S151">
        <f t="shared" ref="S151" si="733">R151/100000</f>
        <v>7458.4991249436216</v>
      </c>
      <c r="T151">
        <f t="shared" ref="T151" si="734">S151/1000</f>
        <v>7.4584991249436214</v>
      </c>
    </row>
    <row r="152" spans="1:20" x14ac:dyDescent="0.25">
      <c r="A152" s="5">
        <v>44441</v>
      </c>
      <c r="B152">
        <v>29.72</v>
      </c>
      <c r="C152">
        <v>30.88</v>
      </c>
      <c r="D152">
        <v>28.75</v>
      </c>
      <c r="E152">
        <v>29.95</v>
      </c>
      <c r="F152">
        <v>7084187.0650000004</v>
      </c>
      <c r="G152">
        <v>29.95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0.12676056338028155</v>
      </c>
      <c r="Q152">
        <f t="shared" ref="Q152" si="736">F152*P152</f>
        <v>897995.54345070326</v>
      </c>
      <c r="R152">
        <f t="shared" ref="R152" si="737">R153+Q152</f>
        <v>744069608.51021397</v>
      </c>
      <c r="S152">
        <f t="shared" ref="S152" si="738">R152/100000</f>
        <v>7440.6960851021395</v>
      </c>
      <c r="T152">
        <f t="shared" ref="T152" si="739">S152/1000</f>
        <v>7.4406960851021395</v>
      </c>
    </row>
    <row r="153" spans="1:20" x14ac:dyDescent="0.25">
      <c r="A153" s="5">
        <v>44440</v>
      </c>
      <c r="B153">
        <v>26.7</v>
      </c>
      <c r="C153">
        <v>29.81</v>
      </c>
      <c r="D153">
        <v>26.09</v>
      </c>
      <c r="E153">
        <v>29.72</v>
      </c>
      <c r="F153">
        <v>8266693.8700000001</v>
      </c>
      <c r="G153">
        <v>29.72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0.95161290322580649</v>
      </c>
      <c r="Q153">
        <f t="shared" ref="Q153" si="741">F153*P153</f>
        <v>7866692.5537096774</v>
      </c>
      <c r="R153">
        <f t="shared" ref="R153" si="742">R154+Q153</f>
        <v>743171612.96676326</v>
      </c>
      <c r="S153">
        <f t="shared" ref="S153" si="743">R153/100000</f>
        <v>7431.7161296676322</v>
      </c>
      <c r="T153">
        <f t="shared" ref="T153" si="744">S153/1000</f>
        <v>7.431716129667632</v>
      </c>
    </row>
    <row r="154" spans="1:20" x14ac:dyDescent="0.25">
      <c r="A154" s="5">
        <v>44439</v>
      </c>
      <c r="B154">
        <v>25.03</v>
      </c>
      <c r="C154">
        <v>27.536999999999999</v>
      </c>
      <c r="D154">
        <v>24.69</v>
      </c>
      <c r="E154">
        <v>26.7</v>
      </c>
      <c r="F154">
        <v>7673601.3090000004</v>
      </c>
      <c r="G154">
        <v>26.7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0.41201264488935696</v>
      </c>
      <c r="Q154">
        <f t="shared" ref="Q154" si="746">F154*P154</f>
        <v>3161620.7711475217</v>
      </c>
      <c r="R154">
        <f t="shared" ref="R154" si="747">R155+Q154</f>
        <v>735304920.41305363</v>
      </c>
      <c r="S154">
        <f t="shared" ref="S154" si="748">R154/100000</f>
        <v>7353.0492041305361</v>
      </c>
      <c r="T154">
        <f t="shared" ref="T154" si="749">S154/1000</f>
        <v>7.353049204130536</v>
      </c>
    </row>
    <row r="155" spans="1:20" x14ac:dyDescent="0.25">
      <c r="A155" s="5">
        <v>44438</v>
      </c>
      <c r="B155">
        <v>25.77</v>
      </c>
      <c r="C155">
        <v>26.49</v>
      </c>
      <c r="D155">
        <v>24.3</v>
      </c>
      <c r="E155">
        <v>25.04</v>
      </c>
      <c r="F155">
        <v>4514605.7699999996</v>
      </c>
      <c r="G155">
        <v>25.04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-0.32420091324200984</v>
      </c>
      <c r="Q155">
        <f t="shared" ref="Q155" si="751">F155*P155</f>
        <v>-1463639.313561647</v>
      </c>
      <c r="R155">
        <f t="shared" ref="R155" si="752">R156+Q155</f>
        <v>732143299.64190614</v>
      </c>
      <c r="S155">
        <f t="shared" ref="S155" si="753">R155/100000</f>
        <v>7321.4329964190611</v>
      </c>
      <c r="T155">
        <f t="shared" ref="T155" si="754">S155/1000</f>
        <v>7.3214329964190608</v>
      </c>
    </row>
    <row r="156" spans="1:20" x14ac:dyDescent="0.25">
      <c r="A156" s="5">
        <v>44437</v>
      </c>
      <c r="B156">
        <v>25.74</v>
      </c>
      <c r="C156">
        <v>26.57</v>
      </c>
      <c r="D156">
        <v>25.14</v>
      </c>
      <c r="E156">
        <v>25.76</v>
      </c>
      <c r="F156">
        <v>3384982.5989999999</v>
      </c>
      <c r="G156">
        <v>25.76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-0.13286713286713131</v>
      </c>
      <c r="Q156">
        <f t="shared" ref="Q156" si="756">F156*P156</f>
        <v>-449752.93273426045</v>
      </c>
      <c r="R156">
        <f t="shared" ref="R156" si="757">R157+Q156</f>
        <v>733606938.95546782</v>
      </c>
      <c r="S156">
        <f t="shared" ref="S156" si="758">R156/100000</f>
        <v>7336.0693895546783</v>
      </c>
      <c r="T156">
        <f t="shared" ref="T156" si="759">S156/1000</f>
        <v>7.3360693895546785</v>
      </c>
    </row>
    <row r="157" spans="1:20" x14ac:dyDescent="0.25">
      <c r="A157" s="5">
        <v>44436</v>
      </c>
      <c r="B157">
        <v>26.05</v>
      </c>
      <c r="C157">
        <v>26.2</v>
      </c>
      <c r="D157">
        <v>25.36</v>
      </c>
      <c r="E157">
        <v>25.73</v>
      </c>
      <c r="F157">
        <v>2939678.44</v>
      </c>
      <c r="G157">
        <v>25.73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-0.11904761904761653</v>
      </c>
      <c r="Q157">
        <f t="shared" ref="Q157" si="761">F157*P157</f>
        <v>-349961.71904761164</v>
      </c>
      <c r="R157">
        <f t="shared" ref="R157" si="762">R158+Q157</f>
        <v>734056691.88820207</v>
      </c>
      <c r="S157">
        <f t="shared" ref="S157" si="763">R157/100000</f>
        <v>7340.5669188820211</v>
      </c>
      <c r="T157">
        <f t="shared" ref="T157" si="764">S157/1000</f>
        <v>7.3405669188820211</v>
      </c>
    </row>
    <row r="158" spans="1:20" x14ac:dyDescent="0.25">
      <c r="A158" s="5">
        <v>44435</v>
      </c>
      <c r="B158">
        <v>24.38</v>
      </c>
      <c r="C158">
        <v>26.14</v>
      </c>
      <c r="D158">
        <v>24</v>
      </c>
      <c r="E158">
        <v>26.04</v>
      </c>
      <c r="F158">
        <v>5116792.068</v>
      </c>
      <c r="G158">
        <v>26.04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0.90654205607476501</v>
      </c>
      <c r="Q158">
        <f t="shared" ref="Q158" si="766">F158*P158</f>
        <v>4638587.2018317692</v>
      </c>
      <c r="R158">
        <f t="shared" ref="R158" si="767">R159+Q158</f>
        <v>734406653.60724974</v>
      </c>
      <c r="S158">
        <f t="shared" ref="S158" si="768">R158/100000</f>
        <v>7344.066536072497</v>
      </c>
      <c r="T158">
        <f t="shared" ref="T158" si="769">S158/1000</f>
        <v>7.3440665360724973</v>
      </c>
    </row>
    <row r="159" spans="1:20" x14ac:dyDescent="0.25">
      <c r="A159" s="5">
        <v>44434</v>
      </c>
      <c r="B159">
        <v>26.611999999999998</v>
      </c>
      <c r="C159">
        <v>26.94</v>
      </c>
      <c r="D159">
        <v>23.88</v>
      </c>
      <c r="E159">
        <v>24.39</v>
      </c>
      <c r="F159">
        <v>5809610.7570000002</v>
      </c>
      <c r="G159">
        <v>24.39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-0.66666666666666585</v>
      </c>
      <c r="Q159">
        <f t="shared" ref="Q159" si="771">F159*P159</f>
        <v>-3873073.8379999953</v>
      </c>
      <c r="R159">
        <f t="shared" ref="R159" si="772">R160+Q159</f>
        <v>729768066.40541792</v>
      </c>
      <c r="S159">
        <f t="shared" ref="S159" si="773">R159/100000</f>
        <v>7297.680664054179</v>
      </c>
      <c r="T159">
        <f t="shared" ref="T159" si="774">S159/1000</f>
        <v>7.2976806640541794</v>
      </c>
    </row>
    <row r="160" spans="1:20" x14ac:dyDescent="0.25">
      <c r="A160" s="5">
        <v>44433</v>
      </c>
      <c r="B160">
        <v>25.728000000000002</v>
      </c>
      <c r="C160">
        <v>26.879000000000001</v>
      </c>
      <c r="D160">
        <v>25.279</v>
      </c>
      <c r="E160">
        <v>26.611999999999998</v>
      </c>
      <c r="F160">
        <v>5810278.1550000003</v>
      </c>
      <c r="G160">
        <v>26.611999999999998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0.66624999999999657</v>
      </c>
      <c r="Q160">
        <f t="shared" ref="Q160" si="776">F160*P160</f>
        <v>3871097.8207687302</v>
      </c>
      <c r="R160">
        <f t="shared" ref="R160" si="777">R161+Q160</f>
        <v>733641140.24341786</v>
      </c>
      <c r="S160">
        <f t="shared" ref="S160" si="778">R160/100000</f>
        <v>7336.4114024341789</v>
      </c>
      <c r="T160">
        <f t="shared" ref="T160" si="779">S160/1000</f>
        <v>7.3364114024341784</v>
      </c>
    </row>
    <row r="161" spans="1:20" x14ac:dyDescent="0.25">
      <c r="A161" s="5">
        <v>44432</v>
      </c>
      <c r="B161">
        <v>28.556000000000001</v>
      </c>
      <c r="C161">
        <v>28.922999999999998</v>
      </c>
      <c r="D161">
        <v>25.712</v>
      </c>
      <c r="E161">
        <v>25.728000000000002</v>
      </c>
      <c r="F161">
        <v>6394087.6050000004</v>
      </c>
      <c r="G161">
        <v>25.728000000000002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-0.99003425724073391</v>
      </c>
      <c r="Q161">
        <f t="shared" ref="Q161" si="781">F161*P161</f>
        <v>-6330365.7727483585</v>
      </c>
      <c r="R161">
        <f t="shared" ref="R161" si="782">R162+Q161</f>
        <v>729770042.42264915</v>
      </c>
      <c r="S161">
        <f t="shared" ref="S161" si="783">R161/100000</f>
        <v>7297.7004242264911</v>
      </c>
      <c r="T161">
        <f t="shared" ref="T161" si="784">S161/1000</f>
        <v>7.2977004242264911</v>
      </c>
    </row>
    <row r="162" spans="1:20" x14ac:dyDescent="0.25">
      <c r="A162" s="5">
        <v>44431</v>
      </c>
      <c r="B162">
        <v>27.981000000000002</v>
      </c>
      <c r="C162">
        <v>29.3</v>
      </c>
      <c r="D162">
        <v>27.78</v>
      </c>
      <c r="E162">
        <v>28.552</v>
      </c>
      <c r="F162">
        <v>6106352.5109999999</v>
      </c>
      <c r="G162">
        <v>28.552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1.5789473684208792E-2</v>
      </c>
      <c r="Q162">
        <f t="shared" ref="Q162" si="786">F162*P162</f>
        <v>96416.092278936776</v>
      </c>
      <c r="R162">
        <f t="shared" ref="R162" si="787">R163+Q162</f>
        <v>736100408.1953975</v>
      </c>
      <c r="S162">
        <f t="shared" ref="S162" si="788">R162/100000</f>
        <v>7361.0040819539754</v>
      </c>
      <c r="T162">
        <f t="shared" ref="T162" si="789">S162/1000</f>
        <v>7.3610040819539755</v>
      </c>
    </row>
    <row r="163" spans="1:20" x14ac:dyDescent="0.25">
      <c r="A163" s="5">
        <v>44430</v>
      </c>
      <c r="B163">
        <v>27.85</v>
      </c>
      <c r="C163">
        <v>28.466000000000001</v>
      </c>
      <c r="D163">
        <v>27.797000000000001</v>
      </c>
      <c r="E163">
        <v>28.263999999999999</v>
      </c>
      <c r="F163">
        <v>930592.304</v>
      </c>
      <c r="G163">
        <v>28.263999999999999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0.39611360239162458</v>
      </c>
      <c r="Q163">
        <f t="shared" ref="Q163" si="791">F163*P163</f>
        <v>368620.26989536185</v>
      </c>
      <c r="R163">
        <f t="shared" ref="R163" si="792">R164+Q163</f>
        <v>736003992.10311854</v>
      </c>
      <c r="S163">
        <f t="shared" ref="S163" si="793">R163/100000</f>
        <v>7360.0399210311853</v>
      </c>
      <c r="T163">
        <f t="shared" ref="T163" si="794">S163/1000</f>
        <v>7.3600399210311851</v>
      </c>
    </row>
    <row r="164" spans="1:20" x14ac:dyDescent="0.25">
      <c r="A164" s="5">
        <v>44429</v>
      </c>
      <c r="B164">
        <v>28.681000000000001</v>
      </c>
      <c r="C164">
        <v>29.155999999999999</v>
      </c>
      <c r="D164">
        <v>27.648</v>
      </c>
      <c r="E164">
        <v>27.844000000000001</v>
      </c>
      <c r="F164">
        <v>5165729.4639999997</v>
      </c>
      <c r="G164">
        <v>27.844000000000001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-0.74005305039787583</v>
      </c>
      <c r="Q164">
        <f t="shared" ref="Q164" si="796">F164*P164</f>
        <v>-3822913.847363384</v>
      </c>
      <c r="R164">
        <f t="shared" ref="R164" si="797">R165+Q164</f>
        <v>735635371.83322322</v>
      </c>
      <c r="S164">
        <f t="shared" ref="S164" si="798">R164/100000</f>
        <v>7356.3537183322323</v>
      </c>
      <c r="T164">
        <f t="shared" ref="T164" si="799">S164/1000</f>
        <v>7.3563537183322323</v>
      </c>
    </row>
    <row r="165" spans="1:20" x14ac:dyDescent="0.25">
      <c r="A165" s="5">
        <v>44428</v>
      </c>
      <c r="B165">
        <v>27.100999999999999</v>
      </c>
      <c r="C165">
        <v>29.047999999999998</v>
      </c>
      <c r="D165">
        <v>26.646999999999998</v>
      </c>
      <c r="E165">
        <v>28.678000000000001</v>
      </c>
      <c r="F165">
        <v>6765096.7050000001</v>
      </c>
      <c r="G165">
        <v>28.678000000000001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0.69179508538109336</v>
      </c>
      <c r="Q165">
        <f t="shared" ref="Q165" si="801">F165*P165</f>
        <v>4680060.6526468284</v>
      </c>
      <c r="R165">
        <f t="shared" ref="R165" si="802">R166+Q165</f>
        <v>739458285.68058658</v>
      </c>
      <c r="S165">
        <f t="shared" ref="S165" si="803">R165/100000</f>
        <v>7394.582856805866</v>
      </c>
      <c r="T165">
        <f t="shared" ref="T165" si="804">S165/1000</f>
        <v>7.394582856805866</v>
      </c>
    </row>
    <row r="166" spans="1:20" x14ac:dyDescent="0.25">
      <c r="A166" s="5">
        <v>44427</v>
      </c>
      <c r="B166">
        <v>25.341000000000001</v>
      </c>
      <c r="C166">
        <v>27.132000000000001</v>
      </c>
      <c r="D166">
        <v>24.478999999999999</v>
      </c>
      <c r="E166">
        <v>27.096</v>
      </c>
      <c r="F166">
        <v>7978787.5700000003</v>
      </c>
      <c r="G166">
        <v>27.096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0.97286091217489534</v>
      </c>
      <c r="Q166">
        <f t="shared" ref="Q166" si="806">F166*P166</f>
        <v>7762250.5533999167</v>
      </c>
      <c r="R166">
        <f t="shared" ref="R166" si="807">R167+Q166</f>
        <v>734778225.0279398</v>
      </c>
      <c r="S166">
        <f t="shared" ref="S166" si="808">R166/100000</f>
        <v>7347.7822502793979</v>
      </c>
      <c r="T166">
        <f t="shared" ref="T166" si="809">S166/1000</f>
        <v>7.3477822502793977</v>
      </c>
    </row>
    <row r="167" spans="1:20" x14ac:dyDescent="0.25">
      <c r="A167" s="5">
        <v>44426</v>
      </c>
      <c r="B167">
        <v>26.145</v>
      </c>
      <c r="C167">
        <v>26.922000000000001</v>
      </c>
      <c r="D167">
        <v>24.847000000000001</v>
      </c>
      <c r="E167">
        <v>25.341000000000001</v>
      </c>
      <c r="F167">
        <v>8437887.6420000009</v>
      </c>
      <c r="G167">
        <v>25.341000000000001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-0.52385542168674704</v>
      </c>
      <c r="Q167">
        <f t="shared" ref="Q167" si="811">F167*P167</f>
        <v>-4420233.188845302</v>
      </c>
      <c r="R167">
        <f t="shared" ref="R167" si="812">R168+Q167</f>
        <v>727015974.47453988</v>
      </c>
      <c r="S167">
        <f t="shared" ref="S167" si="813">R167/100000</f>
        <v>7270.1597447453987</v>
      </c>
      <c r="T167">
        <f t="shared" ref="T167" si="814">S167/1000</f>
        <v>7.2701597447453983</v>
      </c>
    </row>
    <row r="168" spans="1:20" x14ac:dyDescent="0.25">
      <c r="A168" s="5">
        <v>44425</v>
      </c>
      <c r="B168">
        <v>27.95</v>
      </c>
      <c r="C168">
        <v>30.298999999999999</v>
      </c>
      <c r="D168">
        <v>25.881</v>
      </c>
      <c r="E168">
        <v>26.146000000000001</v>
      </c>
      <c r="F168">
        <v>9870163.6339999996</v>
      </c>
      <c r="G168">
        <v>26.146000000000001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-0.8800362154821183</v>
      </c>
      <c r="Q168">
        <f t="shared" ref="Q168" si="816">F168*P168</f>
        <v>-8686101.4506545924</v>
      </c>
      <c r="R168">
        <f t="shared" ref="R168" si="817">R169+Q168</f>
        <v>731436207.66338515</v>
      </c>
      <c r="S168">
        <f t="shared" ref="S168" si="818">R168/100000</f>
        <v>7314.3620766338518</v>
      </c>
      <c r="T168">
        <f t="shared" ref="T168" si="819">S168/1000</f>
        <v>7.3143620766338522</v>
      </c>
    </row>
    <row r="169" spans="1:20" x14ac:dyDescent="0.25">
      <c r="A169" s="5">
        <v>44424</v>
      </c>
      <c r="B169">
        <v>27.901</v>
      </c>
      <c r="C169">
        <v>30.51</v>
      </c>
      <c r="D169">
        <v>27.638000000000002</v>
      </c>
      <c r="E169">
        <v>27.943999999999999</v>
      </c>
      <c r="F169">
        <v>9364186.7990000006</v>
      </c>
      <c r="G169">
        <v>27.943999999999999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-0.78690807799443074</v>
      </c>
      <c r="Q169">
        <f t="shared" ref="Q169" si="821">F169*P169</f>
        <v>-7368754.2359819114</v>
      </c>
      <c r="R169">
        <f t="shared" ref="R169" si="822">R170+Q169</f>
        <v>740122309.11403978</v>
      </c>
      <c r="S169">
        <f t="shared" ref="S169" si="823">R169/100000</f>
        <v>7401.2230911403976</v>
      </c>
      <c r="T169">
        <f t="shared" ref="T169" si="824">S169/1000</f>
        <v>7.4012230911403973</v>
      </c>
    </row>
    <row r="170" spans="1:20" x14ac:dyDescent="0.25">
      <c r="A170" s="5">
        <v>44423</v>
      </c>
      <c r="B170">
        <v>27.138999999999999</v>
      </c>
      <c r="C170">
        <v>27.983000000000001</v>
      </c>
      <c r="D170">
        <v>25.901</v>
      </c>
      <c r="E170">
        <v>27.901</v>
      </c>
      <c r="F170">
        <v>4492523.8360000001</v>
      </c>
      <c r="G170">
        <v>27.901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0.92122958693563817</v>
      </c>
      <c r="Q170">
        <f t="shared" ref="Q170" si="826">F170*P170</f>
        <v>4138645.8777367887</v>
      </c>
      <c r="R170">
        <f t="shared" ref="R170" si="827">R171+Q170</f>
        <v>747491063.35002172</v>
      </c>
      <c r="S170">
        <f t="shared" ref="S170" si="828">R170/100000</f>
        <v>7474.910633500217</v>
      </c>
      <c r="T170">
        <f t="shared" ref="T170" si="829">S170/1000</f>
        <v>7.4749106335002171</v>
      </c>
    </row>
    <row r="171" spans="1:20" x14ac:dyDescent="0.25">
      <c r="A171" s="5">
        <v>44422</v>
      </c>
      <c r="B171">
        <v>27.748000000000001</v>
      </c>
      <c r="C171">
        <v>27.954999999999998</v>
      </c>
      <c r="D171">
        <v>26.370999999999999</v>
      </c>
      <c r="E171">
        <v>27.143999999999998</v>
      </c>
      <c r="F171">
        <v>5869978.1840000004</v>
      </c>
      <c r="G171">
        <v>27.143999999999998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-2.3989898989899158E-2</v>
      </c>
      <c r="Q171">
        <f t="shared" ref="Q171" si="831">F171*P171</f>
        <v>-140820.1837070717</v>
      </c>
      <c r="R171">
        <f t="shared" ref="R171" si="832">R172+Q171</f>
        <v>743352417.47228491</v>
      </c>
      <c r="S171">
        <f t="shared" ref="S171" si="833">R171/100000</f>
        <v>7433.5241747228492</v>
      </c>
      <c r="T171">
        <f t="shared" ref="T171" si="834">S171/1000</f>
        <v>7.4335241747228489</v>
      </c>
    </row>
    <row r="172" spans="1:20" x14ac:dyDescent="0.25">
      <c r="A172" s="5">
        <v>44421</v>
      </c>
      <c r="B172">
        <v>24.940999999999999</v>
      </c>
      <c r="C172">
        <v>27.771000000000001</v>
      </c>
      <c r="D172">
        <v>24.715</v>
      </c>
      <c r="E172">
        <v>27.748000000000001</v>
      </c>
      <c r="F172">
        <v>4895829.5810000002</v>
      </c>
      <c r="G172">
        <v>27.748000000000001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0.98494764397905776</v>
      </c>
      <c r="Q172">
        <f t="shared" ref="Q172" si="836">F172*P172</f>
        <v>4822135.8111289274</v>
      </c>
      <c r="R172">
        <f t="shared" ref="R172" si="837">R173+Q172</f>
        <v>743493237.65599203</v>
      </c>
      <c r="S172">
        <f t="shared" ref="S172" si="838">R172/100000</f>
        <v>7434.9323765599202</v>
      </c>
      <c r="T172">
        <f t="shared" ref="T172" si="839">S172/1000</f>
        <v>7.43493237655992</v>
      </c>
    </row>
    <row r="173" spans="1:20" x14ac:dyDescent="0.25">
      <c r="A173" s="5">
        <v>44420</v>
      </c>
      <c r="B173">
        <v>25.902000000000001</v>
      </c>
      <c r="C173">
        <v>26.902000000000001</v>
      </c>
      <c r="D173">
        <v>24.085000000000001</v>
      </c>
      <c r="E173">
        <v>24.943999999999999</v>
      </c>
      <c r="F173">
        <v>6385288.818</v>
      </c>
      <c r="G173">
        <v>24.943999999999999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-0.39013134540291222</v>
      </c>
      <c r="Q173">
        <f t="shared" ref="Q173" si="841">F173*P173</f>
        <v>-2491101.317352511</v>
      </c>
      <c r="R173">
        <f t="shared" ref="R173" si="842">R174+Q173</f>
        <v>738671101.84486306</v>
      </c>
      <c r="S173">
        <f t="shared" ref="S173" si="843">R173/100000</f>
        <v>7386.711018448631</v>
      </c>
      <c r="T173">
        <f t="shared" ref="T173" si="844">S173/1000</f>
        <v>7.3867110184486311</v>
      </c>
    </row>
    <row r="174" spans="1:20" x14ac:dyDescent="0.25">
      <c r="A174" s="5">
        <v>44419</v>
      </c>
      <c r="B174">
        <v>24.536000000000001</v>
      </c>
      <c r="C174">
        <v>27.312999999999999</v>
      </c>
      <c r="D174">
        <v>24.459</v>
      </c>
      <c r="E174">
        <v>25.905999999999999</v>
      </c>
      <c r="F174">
        <v>7843592.8770000003</v>
      </c>
      <c r="G174">
        <v>25.905999999999999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1.4015416958654225E-2</v>
      </c>
      <c r="Q174">
        <f t="shared" ref="Q174" si="846">F174*P174</f>
        <v>109931.22462508529</v>
      </c>
      <c r="R174">
        <f t="shared" ref="R174" si="847">R175+Q174</f>
        <v>741162203.16221559</v>
      </c>
      <c r="S174">
        <f t="shared" ref="S174" si="848">R174/100000</f>
        <v>7411.6220316221561</v>
      </c>
      <c r="T174">
        <f t="shared" ref="T174" si="849">S174/1000</f>
        <v>7.4116220316221559</v>
      </c>
    </row>
    <row r="175" spans="1:20" x14ac:dyDescent="0.25">
      <c r="A175" s="5">
        <v>44418</v>
      </c>
      <c r="B175">
        <v>24.198</v>
      </c>
      <c r="C175">
        <v>25.518000000000001</v>
      </c>
      <c r="D175">
        <v>23.736000000000001</v>
      </c>
      <c r="E175">
        <v>24.536999999999999</v>
      </c>
      <c r="F175">
        <v>6592102.3329999996</v>
      </c>
      <c r="G175">
        <v>24.536999999999999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-0.10101010101010284</v>
      </c>
      <c r="Q175">
        <f t="shared" ref="Q175" si="851">F175*P175</f>
        <v>-665868.92252526456</v>
      </c>
      <c r="R175">
        <f t="shared" ref="R175" si="852">R176+Q175</f>
        <v>741052271.93759048</v>
      </c>
      <c r="S175">
        <f t="shared" ref="S175" si="853">R175/100000</f>
        <v>7410.5227193759047</v>
      </c>
      <c r="T175">
        <f t="shared" ref="T175" si="854">S175/1000</f>
        <v>7.4105227193759049</v>
      </c>
    </row>
    <row r="176" spans="1:20" x14ac:dyDescent="0.25">
      <c r="A176" s="5">
        <v>44417</v>
      </c>
      <c r="B176">
        <v>23.026</v>
      </c>
      <c r="C176">
        <v>24.690999999999999</v>
      </c>
      <c r="D176">
        <v>22.071999999999999</v>
      </c>
      <c r="E176">
        <v>24.196999999999999</v>
      </c>
      <c r="F176">
        <v>5994876.9460000005</v>
      </c>
      <c r="G176">
        <v>24.196999999999999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0.62275677739595281</v>
      </c>
      <c r="Q176">
        <f t="shared" ref="Q176" si="856">F176*P176</f>
        <v>3733350.2477762518</v>
      </c>
      <c r="R176">
        <f t="shared" ref="R176" si="857">R177+Q176</f>
        <v>741718140.86011577</v>
      </c>
      <c r="S176">
        <f t="shared" ref="S176" si="858">R176/100000</f>
        <v>7417.1814086011573</v>
      </c>
      <c r="T176">
        <f t="shared" ref="T176" si="859">S176/1000</f>
        <v>7.4171814086011576</v>
      </c>
    </row>
    <row r="177" spans="1:20" x14ac:dyDescent="0.25">
      <c r="A177" s="5">
        <v>44416</v>
      </c>
      <c r="B177">
        <v>24.687999999999999</v>
      </c>
      <c r="C177">
        <v>24.946000000000002</v>
      </c>
      <c r="D177">
        <v>22.565000000000001</v>
      </c>
      <c r="E177">
        <v>23.029</v>
      </c>
      <c r="F177">
        <v>5179399.165</v>
      </c>
      <c r="G177">
        <v>23.029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-0.61024779504410032</v>
      </c>
      <c r="Q177">
        <f t="shared" ref="Q177" si="861">F177*P177</f>
        <v>-3160716.9200945045</v>
      </c>
      <c r="R177">
        <f t="shared" ref="R177" si="862">R178+Q177</f>
        <v>737984790.6123395</v>
      </c>
      <c r="S177">
        <f t="shared" ref="S177" si="863">R177/100000</f>
        <v>7379.8479061233948</v>
      </c>
      <c r="T177">
        <f t="shared" ref="T177" si="864">S177/1000</f>
        <v>7.3798479061233948</v>
      </c>
    </row>
    <row r="178" spans="1:20" x14ac:dyDescent="0.25">
      <c r="A178" s="5">
        <v>44415</v>
      </c>
      <c r="B178">
        <v>23.888999999999999</v>
      </c>
      <c r="C178">
        <v>25.157</v>
      </c>
      <c r="D178">
        <v>23.626000000000001</v>
      </c>
      <c r="E178">
        <v>24.693999999999999</v>
      </c>
      <c r="F178">
        <v>6218217.1579999998</v>
      </c>
      <c r="G178">
        <v>24.693999999999999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0.39516655780535426</v>
      </c>
      <c r="Q178">
        <f t="shared" ref="Q178" si="866">F178*P178</f>
        <v>2457231.4700130527</v>
      </c>
      <c r="R178">
        <f t="shared" ref="R178" si="867">R179+Q178</f>
        <v>741145507.53243399</v>
      </c>
      <c r="S178">
        <f t="shared" ref="S178" si="868">R178/100000</f>
        <v>7411.4550753243402</v>
      </c>
      <c r="T178">
        <f t="shared" ref="T178" si="869">S178/1000</f>
        <v>7.4114550753243398</v>
      </c>
    </row>
    <row r="179" spans="1:20" x14ac:dyDescent="0.25">
      <c r="A179" s="5">
        <v>44414</v>
      </c>
      <c r="B179">
        <v>24.050999999999998</v>
      </c>
      <c r="C179">
        <v>24.390999999999998</v>
      </c>
      <c r="D179">
        <v>22.995999999999999</v>
      </c>
      <c r="E179">
        <v>23.89</v>
      </c>
      <c r="F179">
        <v>7433704.4249999998</v>
      </c>
      <c r="G179">
        <v>23.89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0.28172043010753001</v>
      </c>
      <c r="Q179">
        <f t="shared" ref="Q179" si="871">F179*P179</f>
        <v>2094226.4079032489</v>
      </c>
      <c r="R179">
        <f t="shared" ref="R179" si="872">R180+Q179</f>
        <v>738688276.06242096</v>
      </c>
      <c r="S179">
        <f t="shared" ref="S179" si="873">R179/100000</f>
        <v>7386.8827606242094</v>
      </c>
      <c r="T179">
        <f t="shared" ref="T179" si="874">S179/1000</f>
        <v>7.3868827606242098</v>
      </c>
    </row>
    <row r="180" spans="1:20" x14ac:dyDescent="0.25">
      <c r="A180" s="5">
        <v>44413</v>
      </c>
      <c r="B180">
        <v>24.187999999999999</v>
      </c>
      <c r="C180">
        <v>24.335000000000001</v>
      </c>
      <c r="D180">
        <v>22.468</v>
      </c>
      <c r="E180">
        <v>24.056999999999999</v>
      </c>
      <c r="F180">
        <v>7144781.4670000002</v>
      </c>
      <c r="G180">
        <v>24.056999999999999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0.70219603642206518</v>
      </c>
      <c r="Q180">
        <f t="shared" ref="Q180" si="876">F180*P180</f>
        <v>5017037.2272292282</v>
      </c>
      <c r="R180">
        <f t="shared" ref="R180" si="877">R181+Q180</f>
        <v>736594049.65451777</v>
      </c>
      <c r="S180">
        <f t="shared" ref="S180" si="878">R180/100000</f>
        <v>7365.9404965451777</v>
      </c>
      <c r="T180">
        <f t="shared" ref="T180" si="879">S180/1000</f>
        <v>7.3659404965451776</v>
      </c>
    </row>
    <row r="181" spans="1:20" x14ac:dyDescent="0.25">
      <c r="A181" s="5">
        <v>44412</v>
      </c>
      <c r="B181">
        <v>23.942</v>
      </c>
      <c r="C181">
        <v>25</v>
      </c>
      <c r="D181">
        <v>22.869</v>
      </c>
      <c r="E181">
        <v>24.193000000000001</v>
      </c>
      <c r="F181">
        <v>8225660.8080000002</v>
      </c>
      <c r="G181">
        <v>24.193000000000001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0.24260910370718111</v>
      </c>
      <c r="Q181">
        <f t="shared" ref="Q181" si="881">F181*P181</f>
        <v>1995620.1960281671</v>
      </c>
      <c r="R181">
        <f t="shared" ref="R181" si="882">R182+Q181</f>
        <v>731577012.42728853</v>
      </c>
      <c r="S181">
        <f t="shared" ref="S181" si="883">R181/100000</f>
        <v>7315.7701242728854</v>
      </c>
      <c r="T181">
        <f t="shared" ref="T181" si="884">S181/1000</f>
        <v>7.315770124272885</v>
      </c>
    </row>
    <row r="182" spans="1:20" x14ac:dyDescent="0.25">
      <c r="A182" s="5">
        <v>44411</v>
      </c>
      <c r="B182">
        <v>23.474</v>
      </c>
      <c r="C182">
        <v>24.431000000000001</v>
      </c>
      <c r="D182">
        <v>22.039000000000001</v>
      </c>
      <c r="E182">
        <v>23.942</v>
      </c>
      <c r="F182">
        <v>9465472.3920000009</v>
      </c>
      <c r="G182">
        <v>23.942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0.59113712374581862</v>
      </c>
      <c r="Q182">
        <f t="shared" ref="Q182" si="886">F182*P182</f>
        <v>5595392.1247023344</v>
      </c>
      <c r="R182">
        <f t="shared" ref="R182" si="887">R183+Q182</f>
        <v>729581392.23126042</v>
      </c>
      <c r="S182">
        <f t="shared" ref="S182" si="888">R182/100000</f>
        <v>7295.8139223126045</v>
      </c>
      <c r="T182">
        <f t="shared" ref="T182" si="889">S182/1000</f>
        <v>7.2958139223126048</v>
      </c>
    </row>
    <row r="183" spans="1:20" x14ac:dyDescent="0.25">
      <c r="A183" s="5">
        <v>44410</v>
      </c>
      <c r="B183">
        <v>22.065000000000001</v>
      </c>
      <c r="C183">
        <v>23.975000000000001</v>
      </c>
      <c r="D183">
        <v>21.401</v>
      </c>
      <c r="E183">
        <v>23.472000000000001</v>
      </c>
      <c r="F183">
        <v>7225124.7400000002</v>
      </c>
      <c r="G183">
        <v>23.472000000000001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0.60916860916860938</v>
      </c>
      <c r="Q183">
        <f t="shared" ref="Q183" si="891">F183*P183</f>
        <v>4401319.1889355108</v>
      </c>
      <c r="R183">
        <f t="shared" ref="R183" si="892">R184+Q183</f>
        <v>723986000.10655808</v>
      </c>
      <c r="S183">
        <f t="shared" ref="S183" si="893">R183/100000</f>
        <v>7239.8600010655809</v>
      </c>
      <c r="T183">
        <f t="shared" ref="T183" si="894">S183/1000</f>
        <v>7.2398600010655807</v>
      </c>
    </row>
    <row r="184" spans="1:20" x14ac:dyDescent="0.25">
      <c r="A184" s="5">
        <v>44409</v>
      </c>
      <c r="B184">
        <v>22.722000000000001</v>
      </c>
      <c r="C184">
        <v>23.94</v>
      </c>
      <c r="D184">
        <v>21.789000000000001</v>
      </c>
      <c r="E184">
        <v>22.062000000000001</v>
      </c>
      <c r="F184">
        <v>8728644.3369999994</v>
      </c>
      <c r="G184">
        <v>22.062000000000001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-0.74616457461645769</v>
      </c>
      <c r="Q184">
        <f t="shared" ref="Q184" si="896">F184*P184</f>
        <v>-6513005.188695957</v>
      </c>
      <c r="R184">
        <f t="shared" ref="R184" si="897">R185+Q184</f>
        <v>719584680.91762257</v>
      </c>
      <c r="S184">
        <f t="shared" ref="S184" si="898">R184/100000</f>
        <v>7195.8468091762261</v>
      </c>
      <c r="T184">
        <f t="shared" ref="T184" si="899">S184/1000</f>
        <v>7.195846809176226</v>
      </c>
    </row>
    <row r="185" spans="1:20" x14ac:dyDescent="0.25">
      <c r="A185" s="5">
        <v>44408</v>
      </c>
      <c r="B185">
        <v>22.268999999999998</v>
      </c>
      <c r="C185">
        <v>23.375</v>
      </c>
      <c r="D185">
        <v>21.265999999999998</v>
      </c>
      <c r="E185">
        <v>22.713000000000001</v>
      </c>
      <c r="F185">
        <v>7637055.9139999999</v>
      </c>
      <c r="G185">
        <v>22.713000000000001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0.37221431958274209</v>
      </c>
      <c r="Q185">
        <f t="shared" ref="Q185" si="901">F185*P185</f>
        <v>2842621.5706448667</v>
      </c>
      <c r="R185">
        <f t="shared" ref="R185" si="902">R186+Q185</f>
        <v>726097686.10631847</v>
      </c>
      <c r="S185">
        <f t="shared" ref="S185" si="903">R185/100000</f>
        <v>7260.9768610631845</v>
      </c>
      <c r="T185">
        <f t="shared" ref="T185" si="904">S185/1000</f>
        <v>7.2609768610631846</v>
      </c>
    </row>
    <row r="186" spans="1:20" x14ac:dyDescent="0.25">
      <c r="A186" s="5">
        <v>44407</v>
      </c>
      <c r="B186">
        <v>19.372</v>
      </c>
      <c r="C186">
        <v>22.666</v>
      </c>
      <c r="D186">
        <v>18.823</v>
      </c>
      <c r="E186">
        <v>22.268999999999998</v>
      </c>
      <c r="F186">
        <v>12896563.782</v>
      </c>
      <c r="G186">
        <v>22.268999999999998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0.7933905802758251</v>
      </c>
      <c r="Q186">
        <f t="shared" ref="Q186" si="906">F186*P186</f>
        <v>10232012.222565169</v>
      </c>
      <c r="R186">
        <f t="shared" ref="R186" si="907">R187+Q186</f>
        <v>723255064.53567362</v>
      </c>
      <c r="S186">
        <f t="shared" ref="S186" si="908">R186/100000</f>
        <v>7232.5506453567359</v>
      </c>
      <c r="T186">
        <f t="shared" ref="T186" si="909">S186/1000</f>
        <v>7.2325506453567359</v>
      </c>
    </row>
    <row r="187" spans="1:20" x14ac:dyDescent="0.25">
      <c r="A187" s="5">
        <v>44406</v>
      </c>
      <c r="B187">
        <v>19.106000000000002</v>
      </c>
      <c r="C187">
        <v>19.472000000000001</v>
      </c>
      <c r="D187">
        <v>18.608000000000001</v>
      </c>
      <c r="E187">
        <v>19.37</v>
      </c>
      <c r="F187">
        <v>4161840.7760000001</v>
      </c>
      <c r="G187">
        <v>19.37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0.7638888888888884</v>
      </c>
      <c r="Q187">
        <f t="shared" ref="Q187" si="911">F187*P187</f>
        <v>3179183.9261111091</v>
      </c>
      <c r="R187">
        <f t="shared" ref="R187" si="912">R188+Q187</f>
        <v>713023052.31310844</v>
      </c>
      <c r="S187">
        <f t="shared" ref="S187" si="913">R187/100000</f>
        <v>7130.2305231310847</v>
      </c>
      <c r="T187">
        <f t="shared" ref="T187" si="914">S187/1000</f>
        <v>7.1302305231310843</v>
      </c>
    </row>
    <row r="188" spans="1:20" x14ac:dyDescent="0.25">
      <c r="A188" s="5">
        <v>44405</v>
      </c>
      <c r="B188">
        <v>19.483000000000001</v>
      </c>
      <c r="C188">
        <v>19.986999999999998</v>
      </c>
      <c r="D188">
        <v>18.611000000000001</v>
      </c>
      <c r="E188">
        <v>19.109000000000002</v>
      </c>
      <c r="F188">
        <v>7596790.3150000004</v>
      </c>
      <c r="G188">
        <v>19.109000000000002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-0.27616279069767158</v>
      </c>
      <c r="Q188">
        <f t="shared" ref="Q188" si="916">F188*P188</f>
        <v>-2097950.8137354436</v>
      </c>
      <c r="R188">
        <f t="shared" ref="R188" si="917">R189+Q188</f>
        <v>709843868.38699734</v>
      </c>
      <c r="S188">
        <f t="shared" ref="S188" si="918">R188/100000</f>
        <v>7098.4386838699738</v>
      </c>
      <c r="T188">
        <f t="shared" ref="T188" si="919">S188/1000</f>
        <v>7.0984386838699738</v>
      </c>
    </row>
    <row r="189" spans="1:20" x14ac:dyDescent="0.25">
      <c r="A189" s="5">
        <v>44404</v>
      </c>
      <c r="B189">
        <v>18.03</v>
      </c>
      <c r="C189">
        <v>19.579999999999998</v>
      </c>
      <c r="D189">
        <v>17.602</v>
      </c>
      <c r="E189">
        <v>19.489000000000001</v>
      </c>
      <c r="F189">
        <v>8327513.6169999996</v>
      </c>
      <c r="G189">
        <v>19.489000000000001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0.90798786653185271</v>
      </c>
      <c r="Q189">
        <f t="shared" ref="Q189" si="921">F189*P189</f>
        <v>7561281.3226147816</v>
      </c>
      <c r="R189">
        <f t="shared" ref="R189" si="922">R190+Q189</f>
        <v>711941819.20073283</v>
      </c>
      <c r="S189">
        <f t="shared" ref="S189" si="923">R189/100000</f>
        <v>7119.4181920073279</v>
      </c>
      <c r="T189">
        <f t="shared" ref="T189" si="924">S189/1000</f>
        <v>7.1194181920073278</v>
      </c>
    </row>
    <row r="190" spans="1:20" x14ac:dyDescent="0.25">
      <c r="A190" s="5">
        <v>44403</v>
      </c>
      <c r="B190">
        <v>16.745000000000001</v>
      </c>
      <c r="C190">
        <v>19.957999999999998</v>
      </c>
      <c r="D190">
        <v>16.661999999999999</v>
      </c>
      <c r="E190">
        <v>18.027999999999999</v>
      </c>
      <c r="F190">
        <v>14210837.673</v>
      </c>
      <c r="G190">
        <v>18.027999999999999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-0.17111650485436899</v>
      </c>
      <c r="Q190">
        <f t="shared" ref="Q190" si="926">F190*P190</f>
        <v>-2431708.8736565541</v>
      </c>
      <c r="R190">
        <f t="shared" ref="R190" si="927">R191+Q190</f>
        <v>704380537.87811804</v>
      </c>
      <c r="S190">
        <f t="shared" ref="S190" si="928">R190/100000</f>
        <v>7043.8053787811805</v>
      </c>
      <c r="T190">
        <f t="shared" ref="T190" si="929">S190/1000</f>
        <v>7.0438053787811805</v>
      </c>
    </row>
    <row r="191" spans="1:20" x14ac:dyDescent="0.25">
      <c r="A191" s="5">
        <v>44402</v>
      </c>
      <c r="B191">
        <v>16.687000000000001</v>
      </c>
      <c r="C191">
        <v>17.062000000000001</v>
      </c>
      <c r="D191">
        <v>16.155999999999999</v>
      </c>
      <c r="E191">
        <v>16.745999999999999</v>
      </c>
      <c r="F191">
        <v>4708980.4179999996</v>
      </c>
      <c r="G191">
        <v>16.745999999999999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0.30242825607063645</v>
      </c>
      <c r="Q191">
        <f t="shared" ref="Q191" si="931">F191*P191</f>
        <v>1424128.7356865166</v>
      </c>
      <c r="R191">
        <f t="shared" ref="R191" si="932">R192+Q191</f>
        <v>706812246.75177455</v>
      </c>
      <c r="S191">
        <f t="shared" ref="S191" si="933">R191/100000</f>
        <v>7068.1224675177455</v>
      </c>
      <c r="T191">
        <f t="shared" ref="T191:T197" si="934">S191/1000</f>
        <v>7.0681224675177452</v>
      </c>
    </row>
    <row r="192" spans="1:20" x14ac:dyDescent="0.25">
      <c r="A192" s="5">
        <v>44401</v>
      </c>
      <c r="B192">
        <v>16.507000000000001</v>
      </c>
      <c r="C192">
        <v>17.132000000000001</v>
      </c>
      <c r="D192">
        <v>16.306999999999999</v>
      </c>
      <c r="E192">
        <v>16.683</v>
      </c>
      <c r="F192">
        <v>5410931.8470000001</v>
      </c>
      <c r="G192">
        <v>16.683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-8.8484848484848666E-2</v>
      </c>
      <c r="Q192">
        <f t="shared" ref="Q192" si="936">F192*P192</f>
        <v>-478785.48464363738</v>
      </c>
      <c r="R192">
        <f t="shared" ref="R192" si="937">R193+Q192</f>
        <v>705388118.01608801</v>
      </c>
      <c r="S192">
        <f t="shared" ref="S192" si="938">R192/100000</f>
        <v>7053.8811801608799</v>
      </c>
      <c r="T192">
        <f t="shared" si="934"/>
        <v>7.0538811801608796</v>
      </c>
    </row>
    <row r="193" spans="1:20" x14ac:dyDescent="0.25">
      <c r="A193" s="5">
        <v>44400</v>
      </c>
      <c r="B193">
        <v>16.073</v>
      </c>
      <c r="C193">
        <v>16.571999999999999</v>
      </c>
      <c r="D193">
        <v>15.23</v>
      </c>
      <c r="E193">
        <v>16.501999999999999</v>
      </c>
      <c r="F193">
        <v>5208073.46</v>
      </c>
      <c r="G193">
        <v>16.501999999999999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0.89567809239940332</v>
      </c>
      <c r="Q193">
        <f t="shared" ref="Q193" si="940">F193*P193</f>
        <v>4664757.3017287599</v>
      </c>
      <c r="R193">
        <f t="shared" ref="R193" si="941">R194+Q193</f>
        <v>705866903.50073159</v>
      </c>
      <c r="S193">
        <f t="shared" ref="S193" si="942">R193/100000</f>
        <v>7058.6690350073159</v>
      </c>
      <c r="T193">
        <f t="shared" si="934"/>
        <v>7.0586690350073162</v>
      </c>
    </row>
    <row r="194" spans="1:20" x14ac:dyDescent="0.25">
      <c r="A194" s="5">
        <v>44399</v>
      </c>
      <c r="B194">
        <v>15.3</v>
      </c>
      <c r="C194">
        <v>16.175999999999998</v>
      </c>
      <c r="D194">
        <v>14.961</v>
      </c>
      <c r="E194">
        <v>16.071000000000002</v>
      </c>
      <c r="F194">
        <v>5864766.1710000001</v>
      </c>
      <c r="G194">
        <v>16.071000000000002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0.82716049382716539</v>
      </c>
      <c r="Q194">
        <f t="shared" ref="Q194" si="944">F194*P194</f>
        <v>4851102.8821852142</v>
      </c>
      <c r="R194">
        <f t="shared" ref="R194" si="945">R195+Q194</f>
        <v>701202146.19900286</v>
      </c>
      <c r="S194">
        <f t="shared" ref="S194" si="946">R194/100000</f>
        <v>7012.0214619900289</v>
      </c>
      <c r="T194">
        <f t="shared" si="934"/>
        <v>7.0120214619900292</v>
      </c>
    </row>
    <row r="195" spans="1:20" x14ac:dyDescent="0.25">
      <c r="A195" s="5">
        <v>44398</v>
      </c>
      <c r="B195">
        <v>13.744</v>
      </c>
      <c r="C195">
        <v>15.797000000000001</v>
      </c>
      <c r="D195">
        <v>13.46</v>
      </c>
      <c r="E195">
        <v>15.297000000000001</v>
      </c>
      <c r="F195">
        <v>8493449.3690000009</v>
      </c>
      <c r="G195">
        <v>15.297000000000001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0.57210098416773636</v>
      </c>
      <c r="Q195">
        <f t="shared" ref="Q195" si="948">F195*P195</f>
        <v>4859110.7429837398</v>
      </c>
      <c r="R195">
        <f t="shared" ref="R195" si="949">R196+Q195</f>
        <v>696351043.31681764</v>
      </c>
      <c r="S195">
        <f t="shared" ref="S195" si="950">R195/100000</f>
        <v>6963.5104331681769</v>
      </c>
      <c r="T195">
        <f t="shared" si="934"/>
        <v>6.9635104331681772</v>
      </c>
    </row>
    <row r="196" spans="1:20" x14ac:dyDescent="0.25">
      <c r="A196" s="5">
        <v>44397</v>
      </c>
      <c r="B196">
        <v>14.529</v>
      </c>
      <c r="C196">
        <v>14.782999999999999</v>
      </c>
      <c r="D196">
        <v>13.384</v>
      </c>
      <c r="E196">
        <v>13.742000000000001</v>
      </c>
      <c r="F196">
        <v>7700512.3250000002</v>
      </c>
      <c r="G196">
        <v>13.742000000000001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-0.48820586132951999</v>
      </c>
      <c r="Q196">
        <f t="shared" ref="Q196" si="952">F196*P196</f>
        <v>-3759435.2523052096</v>
      </c>
      <c r="R196">
        <f t="shared" ref="R196" si="953">R197+Q196</f>
        <v>691491932.57383394</v>
      </c>
      <c r="S196">
        <f t="shared" ref="S196" si="954">R196/100000</f>
        <v>6914.9193257383395</v>
      </c>
      <c r="T196">
        <f t="shared" si="934"/>
        <v>6.9149193257383397</v>
      </c>
    </row>
    <row r="197" spans="1:20" x14ac:dyDescent="0.25">
      <c r="A197" s="5">
        <v>44396</v>
      </c>
      <c r="B197">
        <v>15.475</v>
      </c>
      <c r="C197">
        <v>15.641</v>
      </c>
      <c r="D197">
        <v>14.404</v>
      </c>
      <c r="E197">
        <v>14.528</v>
      </c>
      <c r="F197">
        <v>5829694.3039999995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-0.79951495553759011</v>
      </c>
      <c r="Q197">
        <f t="shared" ref="Q197" si="956">F197*P197</f>
        <v>-4660927.7822603015</v>
      </c>
      <c r="R197">
        <f t="shared" ref="R197" si="957">R198+Q197</f>
        <v>695251367.82613921</v>
      </c>
      <c r="S197">
        <f t="shared" ref="S197" si="958">R197/100000</f>
        <v>6952.5136782613918</v>
      </c>
      <c r="T197">
        <f t="shared" si="934"/>
        <v>6.9525136782613917</v>
      </c>
    </row>
    <row r="198" spans="1:20" x14ac:dyDescent="0.25">
      <c r="A198" s="5">
        <v>44395</v>
      </c>
      <c r="B198">
        <v>15.352</v>
      </c>
      <c r="C198">
        <v>16.077999999999999</v>
      </c>
      <c r="D198">
        <v>15.154999999999999</v>
      </c>
      <c r="E198">
        <v>15.47</v>
      </c>
      <c r="F198">
        <v>3946695.1209999998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-0.31744312026001892</v>
      </c>
      <c r="Q198">
        <f t="shared" ref="Q198:Q261" si="960">F198*P198</f>
        <v>-1252851.2139252329</v>
      </c>
      <c r="R198">
        <f t="shared" ref="R198:R261" si="961">R199+Q198</f>
        <v>699912295.60839951</v>
      </c>
      <c r="S198">
        <f t="shared" ref="S198:S261" si="962">R198/100000</f>
        <v>6999.1229560839947</v>
      </c>
      <c r="T198">
        <f t="shared" ref="T198:T261" si="963">S198/1000</f>
        <v>6.9991229560839949</v>
      </c>
    </row>
    <row r="199" spans="1:20" x14ac:dyDescent="0.25">
      <c r="A199" s="5">
        <v>44394</v>
      </c>
      <c r="B199">
        <v>15.234</v>
      </c>
      <c r="C199">
        <v>15.678000000000001</v>
      </c>
      <c r="D199">
        <v>15.02</v>
      </c>
      <c r="E199">
        <v>15.352</v>
      </c>
      <c r="F199">
        <v>5177561.7220000001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9.1185410334349778E-3</v>
      </c>
      <c r="Q199">
        <f t="shared" si="960"/>
        <v>47211.809015199266</v>
      </c>
      <c r="R199">
        <f t="shared" si="961"/>
        <v>701165146.82232475</v>
      </c>
      <c r="S199">
        <f t="shared" si="962"/>
        <v>7011.6514682232473</v>
      </c>
      <c r="T199">
        <f t="shared" si="963"/>
        <v>7.0116514682232474</v>
      </c>
    </row>
    <row r="200" spans="1:20" x14ac:dyDescent="0.25">
      <c r="A200" s="5">
        <v>44393</v>
      </c>
      <c r="B200">
        <v>15.763999999999999</v>
      </c>
      <c r="C200">
        <v>16.329999999999998</v>
      </c>
      <c r="D200">
        <v>15.125</v>
      </c>
      <c r="E200">
        <v>15.234</v>
      </c>
      <c r="F200">
        <v>5213696.4529999997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-0.81908713692946034</v>
      </c>
      <c r="Q200">
        <f t="shared" si="960"/>
        <v>-4270471.7005070522</v>
      </c>
      <c r="R200">
        <f t="shared" si="961"/>
        <v>701117935.0133096</v>
      </c>
      <c r="S200">
        <f t="shared" si="962"/>
        <v>7011.1793501330958</v>
      </c>
      <c r="T200">
        <f t="shared" si="963"/>
        <v>7.0111793501330961</v>
      </c>
    </row>
    <row r="201" spans="1:20" x14ac:dyDescent="0.25">
      <c r="A201" s="5">
        <v>44392</v>
      </c>
      <c r="B201">
        <v>16.936</v>
      </c>
      <c r="C201">
        <v>17.238</v>
      </c>
      <c r="D201">
        <v>15.516999999999999</v>
      </c>
      <c r="E201">
        <v>15.763999999999999</v>
      </c>
      <c r="F201">
        <v>6244804.4850000003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-0.71295758280069743</v>
      </c>
      <c r="Q201">
        <f t="shared" si="960"/>
        <v>-4452280.7106885547</v>
      </c>
      <c r="R201">
        <f t="shared" si="961"/>
        <v>705388406.71381664</v>
      </c>
      <c r="S201">
        <f t="shared" si="962"/>
        <v>7053.8840671381668</v>
      </c>
      <c r="T201">
        <f t="shared" si="963"/>
        <v>7.0538840671381671</v>
      </c>
    </row>
    <row r="202" spans="1:20" x14ac:dyDescent="0.25">
      <c r="A202" s="5">
        <v>44391</v>
      </c>
      <c r="B202">
        <v>16.873000000000001</v>
      </c>
      <c r="C202">
        <v>17.419</v>
      </c>
      <c r="D202">
        <v>16.013999999999999</v>
      </c>
      <c r="E202">
        <v>16.936</v>
      </c>
      <c r="F202">
        <v>5451319.4380000001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0.31245551601423466</v>
      </c>
      <c r="Q202">
        <f t="shared" si="960"/>
        <v>1703294.8279587177</v>
      </c>
      <c r="R202">
        <f t="shared" si="961"/>
        <v>709840687.42450523</v>
      </c>
      <c r="S202">
        <f t="shared" si="962"/>
        <v>7098.4068742450527</v>
      </c>
      <c r="T202">
        <f t="shared" si="963"/>
        <v>7.098406874245053</v>
      </c>
    </row>
    <row r="203" spans="1:20" x14ac:dyDescent="0.25">
      <c r="A203" s="5">
        <v>44390</v>
      </c>
      <c r="B203">
        <v>17.513999999999999</v>
      </c>
      <c r="C203">
        <v>17.765999999999998</v>
      </c>
      <c r="D203">
        <v>16.663</v>
      </c>
      <c r="E203">
        <v>16.87</v>
      </c>
      <c r="F203">
        <v>3654707.1179999998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-0.62466001813236427</v>
      </c>
      <c r="Q203">
        <f t="shared" si="960"/>
        <v>-2282949.4145983607</v>
      </c>
      <c r="R203">
        <f t="shared" si="961"/>
        <v>708137392.59654653</v>
      </c>
      <c r="S203">
        <f t="shared" si="962"/>
        <v>7081.3739259654649</v>
      </c>
      <c r="T203">
        <f t="shared" si="963"/>
        <v>7.0813739259654644</v>
      </c>
    </row>
    <row r="204" spans="1:20" x14ac:dyDescent="0.25">
      <c r="A204" s="5">
        <v>44389</v>
      </c>
      <c r="B204">
        <v>18.382000000000001</v>
      </c>
      <c r="C204">
        <v>18.609000000000002</v>
      </c>
      <c r="D204">
        <v>17</v>
      </c>
      <c r="E204">
        <v>17.518000000000001</v>
      </c>
      <c r="F204">
        <v>3787713.432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-0.356121814791796</v>
      </c>
      <c r="Q204">
        <f t="shared" si="960"/>
        <v>-1348887.3813151021</v>
      </c>
      <c r="R204">
        <f t="shared" si="961"/>
        <v>710420342.01114488</v>
      </c>
      <c r="S204">
        <f t="shared" si="962"/>
        <v>7104.2034201114484</v>
      </c>
      <c r="T204">
        <f t="shared" si="963"/>
        <v>7.1042034201114488</v>
      </c>
    </row>
    <row r="205" spans="1:20" x14ac:dyDescent="0.25">
      <c r="A205" s="5">
        <v>44388</v>
      </c>
      <c r="B205">
        <v>18.209</v>
      </c>
      <c r="C205">
        <v>18.581</v>
      </c>
      <c r="D205">
        <v>17.861000000000001</v>
      </c>
      <c r="E205">
        <v>18.382999999999999</v>
      </c>
      <c r="F205">
        <v>2750998.477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0.44999999999999801</v>
      </c>
      <c r="Q205">
        <f t="shared" si="960"/>
        <v>1237949.3146499945</v>
      </c>
      <c r="R205">
        <f t="shared" si="961"/>
        <v>711769229.39245999</v>
      </c>
      <c r="S205">
        <f t="shared" si="962"/>
        <v>7117.6922939245997</v>
      </c>
      <c r="T205">
        <f t="shared" si="963"/>
        <v>7.1176922939245992</v>
      </c>
    </row>
    <row r="206" spans="1:20" x14ac:dyDescent="0.25">
      <c r="A206" s="5">
        <v>44387</v>
      </c>
      <c r="B206">
        <v>18.655999999999999</v>
      </c>
      <c r="C206">
        <v>18.988</v>
      </c>
      <c r="D206">
        <v>17.734000000000002</v>
      </c>
      <c r="E206">
        <v>18.204000000000001</v>
      </c>
      <c r="F206">
        <v>4080693.1839999999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-0.25039872408293512</v>
      </c>
      <c r="Q206">
        <f t="shared" si="960"/>
        <v>-1021800.36664753</v>
      </c>
      <c r="R206">
        <f t="shared" si="961"/>
        <v>710531280.07781005</v>
      </c>
      <c r="S206">
        <f t="shared" si="962"/>
        <v>7105.3128007781006</v>
      </c>
      <c r="T206">
        <f t="shared" si="963"/>
        <v>7.1053128007781003</v>
      </c>
    </row>
    <row r="207" spans="1:20" x14ac:dyDescent="0.25">
      <c r="A207" s="5">
        <v>44386</v>
      </c>
      <c r="B207">
        <v>18.364999999999998</v>
      </c>
      <c r="C207">
        <v>18.876999999999999</v>
      </c>
      <c r="D207">
        <v>17.617000000000001</v>
      </c>
      <c r="E207">
        <v>18.655999999999999</v>
      </c>
      <c r="F207">
        <v>5274715.5839999998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0.64920634920634857</v>
      </c>
      <c r="Q207">
        <f t="shared" si="960"/>
        <v>3424378.8473904729</v>
      </c>
      <c r="R207">
        <f t="shared" si="961"/>
        <v>711553080.44445753</v>
      </c>
      <c r="S207">
        <f t="shared" si="962"/>
        <v>7115.5308044445756</v>
      </c>
      <c r="T207">
        <f t="shared" si="963"/>
        <v>7.1155308044445755</v>
      </c>
    </row>
    <row r="208" spans="1:20" x14ac:dyDescent="0.25">
      <c r="A208" s="5">
        <v>44385</v>
      </c>
      <c r="B208">
        <v>19.786000000000001</v>
      </c>
      <c r="C208">
        <v>19.873000000000001</v>
      </c>
      <c r="D208">
        <v>18.138000000000002</v>
      </c>
      <c r="E208">
        <v>18.353000000000002</v>
      </c>
      <c r="F208">
        <v>7810651.1979999999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-0.75216138328530269</v>
      </c>
      <c r="Q208">
        <f t="shared" si="960"/>
        <v>-5874870.2094466863</v>
      </c>
      <c r="R208">
        <f t="shared" si="961"/>
        <v>708128701.59706712</v>
      </c>
      <c r="S208">
        <f t="shared" si="962"/>
        <v>7081.2870159706708</v>
      </c>
      <c r="T208">
        <f t="shared" si="963"/>
        <v>7.0812870159706707</v>
      </c>
    </row>
    <row r="209" spans="1:20" x14ac:dyDescent="0.25">
      <c r="A209" s="5">
        <v>44384</v>
      </c>
      <c r="B209">
        <v>20.073</v>
      </c>
      <c r="C209">
        <v>21.274000000000001</v>
      </c>
      <c r="D209">
        <v>19.62</v>
      </c>
      <c r="E209">
        <v>19.788</v>
      </c>
      <c r="F209">
        <v>7382310.5489999996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-0.79685610640870708</v>
      </c>
      <c r="Q209">
        <f t="shared" si="960"/>
        <v>-5882639.2403760646</v>
      </c>
      <c r="R209">
        <f t="shared" si="961"/>
        <v>714003571.80651379</v>
      </c>
      <c r="S209">
        <f t="shared" si="962"/>
        <v>7140.0357180651381</v>
      </c>
      <c r="T209">
        <f t="shared" si="963"/>
        <v>7.1400357180651381</v>
      </c>
    </row>
    <row r="210" spans="1:20" x14ac:dyDescent="0.25">
      <c r="A210" s="5">
        <v>44383</v>
      </c>
      <c r="B210">
        <v>18.364000000000001</v>
      </c>
      <c r="C210">
        <v>20.271000000000001</v>
      </c>
      <c r="D210">
        <v>18.317</v>
      </c>
      <c r="E210">
        <v>20.073</v>
      </c>
      <c r="F210">
        <v>8365971.3420000002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0.79733879222108461</v>
      </c>
      <c r="Q210">
        <f t="shared" si="960"/>
        <v>6670513.4855864868</v>
      </c>
      <c r="R210">
        <f t="shared" si="961"/>
        <v>719886211.0468899</v>
      </c>
      <c r="S210">
        <f t="shared" si="962"/>
        <v>7198.8621104688991</v>
      </c>
      <c r="T210">
        <f t="shared" si="963"/>
        <v>7.198862110468899</v>
      </c>
    </row>
    <row r="211" spans="1:20" x14ac:dyDescent="0.25">
      <c r="A211" s="5">
        <v>44382</v>
      </c>
      <c r="B211">
        <v>19.238</v>
      </c>
      <c r="C211">
        <v>19.242000000000001</v>
      </c>
      <c r="D211">
        <v>17.766999999999999</v>
      </c>
      <c r="E211">
        <v>18.361999999999998</v>
      </c>
      <c r="F211">
        <v>5293286.6500000004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-0.19322033898305316</v>
      </c>
      <c r="Q211">
        <f t="shared" si="960"/>
        <v>-1022770.6408474699</v>
      </c>
      <c r="R211">
        <f t="shared" si="961"/>
        <v>713215697.56130338</v>
      </c>
      <c r="S211">
        <f t="shared" si="962"/>
        <v>7132.1569756130339</v>
      </c>
      <c r="T211">
        <f t="shared" si="963"/>
        <v>7.1321569756130341</v>
      </c>
    </row>
    <row r="212" spans="1:20" x14ac:dyDescent="0.25">
      <c r="A212" s="5">
        <v>44381</v>
      </c>
      <c r="B212">
        <v>18.542999999999999</v>
      </c>
      <c r="C212">
        <v>19.925000000000001</v>
      </c>
      <c r="D212">
        <v>18.001999999999999</v>
      </c>
      <c r="E212">
        <v>19.242000000000001</v>
      </c>
      <c r="F212">
        <v>4719545.2029999997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0.28965158606344338</v>
      </c>
      <c r="Q212">
        <f t="shared" si="960"/>
        <v>1367023.7535470659</v>
      </c>
      <c r="R212">
        <f t="shared" si="961"/>
        <v>714238468.20215082</v>
      </c>
      <c r="S212">
        <f t="shared" si="962"/>
        <v>7142.3846820215085</v>
      </c>
      <c r="T212">
        <f t="shared" si="963"/>
        <v>7.1423846820215084</v>
      </c>
    </row>
    <row r="213" spans="1:20" x14ac:dyDescent="0.25">
      <c r="A213" s="5">
        <v>44380</v>
      </c>
      <c r="B213">
        <v>18.277000000000001</v>
      </c>
      <c r="C213">
        <v>18.893999999999998</v>
      </c>
      <c r="D213">
        <v>17.864000000000001</v>
      </c>
      <c r="E213">
        <v>18.542999999999999</v>
      </c>
      <c r="F213">
        <v>3457947.1860000002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0.31844660194174773</v>
      </c>
      <c r="Q213">
        <f t="shared" si="960"/>
        <v>1101171.5310757288</v>
      </c>
      <c r="R213">
        <f t="shared" si="961"/>
        <v>712871444.44860375</v>
      </c>
      <c r="S213">
        <f t="shared" si="962"/>
        <v>7128.7144444860378</v>
      </c>
      <c r="T213">
        <f t="shared" si="963"/>
        <v>7.1287144444860377</v>
      </c>
    </row>
    <row r="214" spans="1:20" x14ac:dyDescent="0.25">
      <c r="A214" s="5">
        <v>44379</v>
      </c>
      <c r="B214">
        <v>18.184000000000001</v>
      </c>
      <c r="C214">
        <v>18.523</v>
      </c>
      <c r="D214">
        <v>17.256</v>
      </c>
      <c r="E214">
        <v>18.274000000000001</v>
      </c>
      <c r="F214">
        <v>5454370.7199999997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0.60694554064719985</v>
      </c>
      <c r="Q214">
        <f t="shared" si="960"/>
        <v>3310505.9855406564</v>
      </c>
      <c r="R214">
        <f t="shared" si="961"/>
        <v>711770272.91752803</v>
      </c>
      <c r="S214">
        <f t="shared" si="962"/>
        <v>7117.7027291752802</v>
      </c>
      <c r="T214">
        <f t="shared" si="963"/>
        <v>7.1177027291752806</v>
      </c>
    </row>
    <row r="215" spans="1:20" x14ac:dyDescent="0.25">
      <c r="A215" s="5">
        <v>44378</v>
      </c>
      <c r="B215">
        <v>19.516999999999999</v>
      </c>
      <c r="C215">
        <v>19.533000000000001</v>
      </c>
      <c r="D215">
        <v>17.603000000000002</v>
      </c>
      <c r="E215">
        <v>18.186</v>
      </c>
      <c r="F215">
        <v>6081147.3590000002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-0.3958549222797943</v>
      </c>
      <c r="Q215">
        <f t="shared" si="960"/>
        <v>-2407252.1151689212</v>
      </c>
      <c r="R215">
        <f t="shared" si="961"/>
        <v>708459766.9319874</v>
      </c>
      <c r="S215">
        <f t="shared" si="962"/>
        <v>7084.5976693198736</v>
      </c>
      <c r="T215">
        <f t="shared" si="963"/>
        <v>7.0845976693198738</v>
      </c>
    </row>
    <row r="216" spans="1:20" x14ac:dyDescent="0.25">
      <c r="A216" s="5">
        <v>44377</v>
      </c>
      <c r="B216">
        <v>19.530999999999999</v>
      </c>
      <c r="C216">
        <v>19.776</v>
      </c>
      <c r="D216">
        <v>18.149000000000001</v>
      </c>
      <c r="E216">
        <v>19.515999999999998</v>
      </c>
      <c r="F216">
        <v>7407061.5659999996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0.68039336201597822</v>
      </c>
      <c r="Q216">
        <f t="shared" si="960"/>
        <v>5039715.5215500761</v>
      </c>
      <c r="R216">
        <f t="shared" si="961"/>
        <v>710867019.04715633</v>
      </c>
      <c r="S216">
        <f t="shared" si="962"/>
        <v>7108.6701904715637</v>
      </c>
      <c r="T216">
        <f t="shared" si="963"/>
        <v>7.1086701904715639</v>
      </c>
    </row>
    <row r="217" spans="1:20" x14ac:dyDescent="0.25">
      <c r="A217" s="5">
        <v>44376</v>
      </c>
      <c r="B217">
        <v>18.829999999999998</v>
      </c>
      <c r="C217">
        <v>20.545999999999999</v>
      </c>
      <c r="D217">
        <v>18.751999999999999</v>
      </c>
      <c r="E217">
        <v>19.535</v>
      </c>
      <c r="F217">
        <v>7920272.5020000003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-0.12709030100334331</v>
      </c>
      <c r="Q217">
        <f t="shared" si="960"/>
        <v>-1006589.8163076831</v>
      </c>
      <c r="R217">
        <f t="shared" si="961"/>
        <v>705827303.52560627</v>
      </c>
      <c r="S217">
        <f t="shared" si="962"/>
        <v>7058.2730352560629</v>
      </c>
      <c r="T217">
        <f t="shared" si="963"/>
        <v>7.0582730352560628</v>
      </c>
    </row>
    <row r="218" spans="1:20" x14ac:dyDescent="0.25">
      <c r="A218" s="5">
        <v>44375</v>
      </c>
      <c r="B218">
        <v>18.407</v>
      </c>
      <c r="C218">
        <v>19.434000000000001</v>
      </c>
      <c r="D218">
        <v>17.902000000000001</v>
      </c>
      <c r="E218">
        <v>18.829999999999998</v>
      </c>
      <c r="F218">
        <v>7730969.3779999996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0.21148825065273794</v>
      </c>
      <c r="Q218">
        <f t="shared" si="960"/>
        <v>1635009.1896031054</v>
      </c>
      <c r="R218">
        <f t="shared" si="961"/>
        <v>706833893.34191394</v>
      </c>
      <c r="S218">
        <f t="shared" si="962"/>
        <v>7068.3389334191397</v>
      </c>
      <c r="T218">
        <f t="shared" si="963"/>
        <v>7.06833893341914</v>
      </c>
    </row>
    <row r="219" spans="1:20" x14ac:dyDescent="0.25">
      <c r="A219" s="5">
        <v>44374</v>
      </c>
      <c r="B219">
        <v>16.951000000000001</v>
      </c>
      <c r="C219">
        <v>18.411999999999999</v>
      </c>
      <c r="D219">
        <v>16.591000000000001</v>
      </c>
      <c r="E219">
        <v>18.405999999999999</v>
      </c>
      <c r="F219">
        <v>6672229.0290000001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0.99341021416803932</v>
      </c>
      <c r="Q219">
        <f t="shared" si="960"/>
        <v>6628260.4686770989</v>
      </c>
      <c r="R219">
        <f t="shared" si="961"/>
        <v>705198884.15231085</v>
      </c>
      <c r="S219">
        <f t="shared" si="962"/>
        <v>7051.9888415231089</v>
      </c>
      <c r="T219">
        <f t="shared" si="963"/>
        <v>7.0519888415231087</v>
      </c>
    </row>
    <row r="220" spans="1:20" x14ac:dyDescent="0.25">
      <c r="A220" s="5">
        <v>44373</v>
      </c>
      <c r="B220">
        <v>16.872</v>
      </c>
      <c r="C220">
        <v>17.495000000000001</v>
      </c>
      <c r="D220">
        <v>15.92</v>
      </c>
      <c r="E220">
        <v>16.952000000000002</v>
      </c>
      <c r="F220">
        <v>8397555.9000000004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0.3104761904761919</v>
      </c>
      <c r="Q220">
        <f t="shared" si="960"/>
        <v>2607241.1651428691</v>
      </c>
      <c r="R220">
        <f t="shared" si="961"/>
        <v>698570623.6836338</v>
      </c>
      <c r="S220">
        <f t="shared" si="962"/>
        <v>6985.7062368363377</v>
      </c>
      <c r="T220">
        <f t="shared" si="963"/>
        <v>6.9857062368363376</v>
      </c>
    </row>
    <row r="221" spans="1:20" x14ac:dyDescent="0.25">
      <c r="A221" s="5">
        <v>44372</v>
      </c>
      <c r="B221">
        <v>19.059999999999999</v>
      </c>
      <c r="C221">
        <v>19.5</v>
      </c>
      <c r="D221">
        <v>16.812999999999999</v>
      </c>
      <c r="E221">
        <v>16.87</v>
      </c>
      <c r="F221">
        <v>10064722.521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-0.95757350204689085</v>
      </c>
      <c r="Q221">
        <f t="shared" si="960"/>
        <v>-9637711.5915641822</v>
      </c>
      <c r="R221">
        <f t="shared" si="961"/>
        <v>695963382.51849091</v>
      </c>
      <c r="S221">
        <f t="shared" si="962"/>
        <v>6959.6338251849093</v>
      </c>
      <c r="T221">
        <f t="shared" si="963"/>
        <v>6.959633825184909</v>
      </c>
    </row>
    <row r="222" spans="1:20" x14ac:dyDescent="0.25">
      <c r="A222" s="5">
        <v>44371</v>
      </c>
      <c r="B222">
        <v>18.393000000000001</v>
      </c>
      <c r="C222">
        <v>19.524999999999999</v>
      </c>
      <c r="D222">
        <v>17.352</v>
      </c>
      <c r="E222">
        <v>19.059999999999999</v>
      </c>
      <c r="F222">
        <v>6913929.2889999999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0.57202024850437161</v>
      </c>
      <c r="Q222">
        <f t="shared" si="960"/>
        <v>3954907.5500354334</v>
      </c>
      <c r="R222">
        <f t="shared" si="961"/>
        <v>705601094.11005509</v>
      </c>
      <c r="S222">
        <f t="shared" si="962"/>
        <v>7056.0109411005506</v>
      </c>
      <c r="T222">
        <f t="shared" si="963"/>
        <v>7.0560109411005509</v>
      </c>
    </row>
    <row r="223" spans="1:20" x14ac:dyDescent="0.25">
      <c r="A223" s="5">
        <v>44370</v>
      </c>
      <c r="B223">
        <v>16.84</v>
      </c>
      <c r="C223">
        <v>19.199000000000002</v>
      </c>
      <c r="D223">
        <v>16.149000000000001</v>
      </c>
      <c r="E223">
        <v>18.395</v>
      </c>
      <c r="F223">
        <v>10955575.372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0.4727868852459004</v>
      </c>
      <c r="Q223">
        <f t="shared" si="960"/>
        <v>5179652.3562045768</v>
      </c>
      <c r="R223">
        <f t="shared" si="961"/>
        <v>701646186.56001961</v>
      </c>
      <c r="S223">
        <f t="shared" si="962"/>
        <v>7016.4618656001958</v>
      </c>
      <c r="T223">
        <f t="shared" si="963"/>
        <v>7.0164618656001956</v>
      </c>
    </row>
    <row r="224" spans="1:20" x14ac:dyDescent="0.25">
      <c r="A224" s="5">
        <v>44369</v>
      </c>
      <c r="B224">
        <v>17.356999999999999</v>
      </c>
      <c r="C224">
        <v>18.797000000000001</v>
      </c>
      <c r="D224">
        <v>15</v>
      </c>
      <c r="E224">
        <v>16.850000000000001</v>
      </c>
      <c r="F224">
        <v>19816152.567000002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-2.554648406636759E-2</v>
      </c>
      <c r="Q224">
        <f t="shared" si="960"/>
        <v>-506233.02580957476</v>
      </c>
      <c r="R224">
        <f t="shared" si="961"/>
        <v>696466534.20381498</v>
      </c>
      <c r="S224">
        <f t="shared" si="962"/>
        <v>6964.6653420381499</v>
      </c>
      <c r="T224">
        <f t="shared" si="963"/>
        <v>6.9646653420381499</v>
      </c>
    </row>
    <row r="225" spans="1:20" x14ac:dyDescent="0.25">
      <c r="A225" s="5">
        <v>44368</v>
      </c>
      <c r="B225">
        <v>21.640999999999998</v>
      </c>
      <c r="C225">
        <v>21.881</v>
      </c>
      <c r="D225">
        <v>16.981000000000002</v>
      </c>
      <c r="E225">
        <v>17.364999999999998</v>
      </c>
      <c r="F225">
        <v>16334287.905999999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-0.84326530612245021</v>
      </c>
      <c r="Q225">
        <f t="shared" si="960"/>
        <v>-13774138.291345326</v>
      </c>
      <c r="R225">
        <f t="shared" si="961"/>
        <v>696972767.22962451</v>
      </c>
      <c r="S225">
        <f t="shared" si="962"/>
        <v>6969.7276722962451</v>
      </c>
      <c r="T225">
        <f t="shared" si="963"/>
        <v>6.9697276722962451</v>
      </c>
    </row>
    <row r="226" spans="1:20" x14ac:dyDescent="0.25">
      <c r="A226" s="5">
        <v>44367</v>
      </c>
      <c r="B226">
        <v>20.263000000000002</v>
      </c>
      <c r="C226">
        <v>22.071000000000002</v>
      </c>
      <c r="D226">
        <v>19.077000000000002</v>
      </c>
      <c r="E226">
        <v>21.646000000000001</v>
      </c>
      <c r="F226">
        <v>6747456.7359999996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0.71609886439545711</v>
      </c>
      <c r="Q226">
        <f t="shared" si="960"/>
        <v>4831846.1062070774</v>
      </c>
      <c r="R226">
        <f t="shared" si="961"/>
        <v>710746905.52096987</v>
      </c>
      <c r="S226">
        <f t="shared" si="962"/>
        <v>7107.469055209699</v>
      </c>
      <c r="T226">
        <f t="shared" si="963"/>
        <v>7.1074690552096991</v>
      </c>
    </row>
    <row r="227" spans="1:20" x14ac:dyDescent="0.25">
      <c r="A227" s="5">
        <v>44366</v>
      </c>
      <c r="B227">
        <v>21.236000000000001</v>
      </c>
      <c r="C227">
        <v>21.95</v>
      </c>
      <c r="D227">
        <v>20</v>
      </c>
      <c r="E227">
        <v>20.245999999999999</v>
      </c>
      <c r="F227">
        <v>5051884.8720000004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-0.74769230769230899</v>
      </c>
      <c r="Q227">
        <f t="shared" si="960"/>
        <v>-3777255.4581415453</v>
      </c>
      <c r="R227">
        <f t="shared" si="961"/>
        <v>705915059.41476274</v>
      </c>
      <c r="S227">
        <f t="shared" si="962"/>
        <v>7059.1505941476271</v>
      </c>
      <c r="T227">
        <f t="shared" si="963"/>
        <v>7.0591505941476269</v>
      </c>
    </row>
    <row r="228" spans="1:20" x14ac:dyDescent="0.25">
      <c r="A228" s="5">
        <v>44365</v>
      </c>
      <c r="B228">
        <v>23.401</v>
      </c>
      <c r="C228">
        <v>23.425000000000001</v>
      </c>
      <c r="D228">
        <v>20.526</v>
      </c>
      <c r="E228">
        <v>21.233000000000001</v>
      </c>
      <c r="F228">
        <v>6991986.0149999997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-0.51224560193170021</v>
      </c>
      <c r="Q228">
        <f t="shared" si="960"/>
        <v>-3581614.0849517048</v>
      </c>
      <c r="R228">
        <f t="shared" si="961"/>
        <v>709692314.8729043</v>
      </c>
      <c r="S228">
        <f t="shared" si="962"/>
        <v>7096.9231487290426</v>
      </c>
      <c r="T228">
        <f t="shared" si="963"/>
        <v>7.0969231487290427</v>
      </c>
    </row>
    <row r="229" spans="1:20" x14ac:dyDescent="0.25">
      <c r="A229" s="5">
        <v>44364</v>
      </c>
      <c r="B229">
        <v>23.042000000000002</v>
      </c>
      <c r="C229">
        <v>24.445</v>
      </c>
      <c r="D229">
        <v>22.81</v>
      </c>
      <c r="E229">
        <v>23.396000000000001</v>
      </c>
      <c r="F229">
        <v>5252377.0949999997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-0.28318042813455474</v>
      </c>
      <c r="Q229">
        <f t="shared" si="960"/>
        <v>-1487370.3944862289</v>
      </c>
      <c r="R229">
        <f t="shared" si="961"/>
        <v>713273928.95785606</v>
      </c>
      <c r="S229">
        <f t="shared" si="962"/>
        <v>7132.7392895785606</v>
      </c>
      <c r="T229">
        <f t="shared" si="963"/>
        <v>7.1327392895785602</v>
      </c>
    </row>
    <row r="230" spans="1:20" x14ac:dyDescent="0.25">
      <c r="A230" s="5">
        <v>44363</v>
      </c>
      <c r="B230">
        <v>24.48</v>
      </c>
      <c r="C230">
        <v>24.64</v>
      </c>
      <c r="D230">
        <v>22.917999999999999</v>
      </c>
      <c r="E230">
        <v>23.044</v>
      </c>
      <c r="F230">
        <v>7504910.0319999997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-0.8536585365853645</v>
      </c>
      <c r="Q230">
        <f t="shared" si="960"/>
        <v>-6406630.5151219405</v>
      </c>
      <c r="R230">
        <f t="shared" si="961"/>
        <v>714761299.35234225</v>
      </c>
      <c r="S230">
        <f t="shared" si="962"/>
        <v>7147.6129935234221</v>
      </c>
      <c r="T230">
        <f t="shared" si="963"/>
        <v>7.1476129935234223</v>
      </c>
    </row>
    <row r="231" spans="1:20" x14ac:dyDescent="0.25">
      <c r="A231" s="5">
        <v>44362</v>
      </c>
      <c r="B231">
        <v>24.966999999999999</v>
      </c>
      <c r="C231">
        <v>26.457999999999998</v>
      </c>
      <c r="D231">
        <v>24.376000000000001</v>
      </c>
      <c r="E231">
        <v>24.481999999999999</v>
      </c>
      <c r="F231">
        <v>7591140.1100000003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-0.89817483189241287</v>
      </c>
      <c r="Q231">
        <f t="shared" si="960"/>
        <v>-6818170.9921710026</v>
      </c>
      <c r="R231">
        <f t="shared" si="961"/>
        <v>721167929.86746418</v>
      </c>
      <c r="S231">
        <f t="shared" si="962"/>
        <v>7211.6792986746423</v>
      </c>
      <c r="T231">
        <f t="shared" si="963"/>
        <v>7.2116792986746425</v>
      </c>
    </row>
    <row r="232" spans="1:20" x14ac:dyDescent="0.25">
      <c r="A232" s="5">
        <v>44361</v>
      </c>
      <c r="B232">
        <v>23.314</v>
      </c>
      <c r="C232">
        <v>25.28</v>
      </c>
      <c r="D232">
        <v>22.837</v>
      </c>
      <c r="E232">
        <v>24.972999999999999</v>
      </c>
      <c r="F232">
        <v>8601439.9110000003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0.74866966844044047</v>
      </c>
      <c r="Q232">
        <f t="shared" si="960"/>
        <v>6439637.1662787423</v>
      </c>
      <c r="R232">
        <f t="shared" si="961"/>
        <v>727986100.85963523</v>
      </c>
      <c r="S232">
        <f t="shared" si="962"/>
        <v>7279.8610085963519</v>
      </c>
      <c r="T232">
        <f t="shared" si="963"/>
        <v>7.2798610085963515</v>
      </c>
    </row>
    <row r="233" spans="1:20" x14ac:dyDescent="0.25">
      <c r="A233" s="5">
        <v>44360</v>
      </c>
      <c r="B233">
        <v>21.670999999999999</v>
      </c>
      <c r="C233">
        <v>23.885999999999999</v>
      </c>
      <c r="D233">
        <v>20.396000000000001</v>
      </c>
      <c r="E233">
        <v>23.312000000000001</v>
      </c>
      <c r="F233">
        <v>8518777.7579999994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0.67106017191977174</v>
      </c>
      <c r="Q233">
        <f t="shared" si="960"/>
        <v>5716612.4668298075</v>
      </c>
      <c r="R233">
        <f t="shared" si="961"/>
        <v>721546463.69335651</v>
      </c>
      <c r="S233">
        <f t="shared" si="962"/>
        <v>7215.4646369335651</v>
      </c>
      <c r="T233">
        <f t="shared" si="963"/>
        <v>7.2154646369335653</v>
      </c>
    </row>
    <row r="234" spans="1:20" x14ac:dyDescent="0.25">
      <c r="A234" s="5">
        <v>44359</v>
      </c>
      <c r="B234">
        <v>21.475000000000001</v>
      </c>
      <c r="C234">
        <v>22.286999999999999</v>
      </c>
      <c r="D234">
        <v>20</v>
      </c>
      <c r="E234">
        <v>21.67</v>
      </c>
      <c r="F234">
        <v>8866594.2300000004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0.46042850896371001</v>
      </c>
      <c r="Q234">
        <f t="shared" si="960"/>
        <v>4082432.7609051345</v>
      </c>
      <c r="R234">
        <f t="shared" si="961"/>
        <v>715829851.22652674</v>
      </c>
      <c r="S234">
        <f t="shared" si="962"/>
        <v>7158.2985122652672</v>
      </c>
      <c r="T234">
        <f t="shared" si="963"/>
        <v>7.1582985122652669</v>
      </c>
    </row>
    <row r="235" spans="1:20" x14ac:dyDescent="0.25">
      <c r="A235" s="5">
        <v>44358</v>
      </c>
      <c r="B235">
        <v>23.117000000000001</v>
      </c>
      <c r="C235">
        <v>23.373999999999999</v>
      </c>
      <c r="D235">
        <v>21</v>
      </c>
      <c r="E235">
        <v>21.478000000000002</v>
      </c>
      <c r="F235">
        <v>7708441.1109999996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-0.59730412805391597</v>
      </c>
      <c r="Q235">
        <f t="shared" si="960"/>
        <v>-4604283.6964608142</v>
      </c>
      <c r="R235">
        <f t="shared" si="961"/>
        <v>711747418.46562159</v>
      </c>
      <c r="S235">
        <f t="shared" si="962"/>
        <v>7117.4741846562156</v>
      </c>
      <c r="T235">
        <f t="shared" si="963"/>
        <v>7.1174741846562153</v>
      </c>
    </row>
    <row r="236" spans="1:20" x14ac:dyDescent="0.25">
      <c r="A236" s="5">
        <v>44357</v>
      </c>
      <c r="B236">
        <v>25.588999999999999</v>
      </c>
      <c r="C236">
        <v>25.78</v>
      </c>
      <c r="D236">
        <v>22.721</v>
      </c>
      <c r="E236">
        <v>23.114000000000001</v>
      </c>
      <c r="F236">
        <v>8528580.1889999993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-0.74305328538738113</v>
      </c>
      <c r="Q236">
        <f t="shared" si="960"/>
        <v>-6337189.5291261813</v>
      </c>
      <c r="R236">
        <f t="shared" si="961"/>
        <v>716351702.16208243</v>
      </c>
      <c r="S236">
        <f t="shared" si="962"/>
        <v>7163.5170216208244</v>
      </c>
      <c r="T236">
        <f t="shared" si="963"/>
        <v>7.1635170216208248</v>
      </c>
    </row>
    <row r="237" spans="1:20" x14ac:dyDescent="0.25">
      <c r="A237" s="5">
        <v>44356</v>
      </c>
      <c r="B237">
        <v>24.079000000000001</v>
      </c>
      <c r="C237">
        <v>25.626000000000001</v>
      </c>
      <c r="D237">
        <v>22.440999999999999</v>
      </c>
      <c r="E237">
        <v>25.585000000000001</v>
      </c>
      <c r="F237">
        <v>10774426.546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0.97425431711145971</v>
      </c>
      <c r="Q237">
        <f t="shared" si="960"/>
        <v>10497031.576840814</v>
      </c>
      <c r="R237">
        <f t="shared" si="961"/>
        <v>722688891.6912086</v>
      </c>
      <c r="S237">
        <f t="shared" si="962"/>
        <v>7226.8889169120857</v>
      </c>
      <c r="T237">
        <f t="shared" si="963"/>
        <v>7.2268889169120856</v>
      </c>
    </row>
    <row r="238" spans="1:20" x14ac:dyDescent="0.25">
      <c r="A238" s="5">
        <v>44355</v>
      </c>
      <c r="B238">
        <v>24.574000000000002</v>
      </c>
      <c r="C238">
        <v>25.097999999999999</v>
      </c>
      <c r="D238">
        <v>21.334</v>
      </c>
      <c r="E238">
        <v>24.076000000000001</v>
      </c>
      <c r="F238">
        <v>12541377.994999999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0.45696068012752461</v>
      </c>
      <c r="Q238">
        <f t="shared" si="960"/>
        <v>5730916.6183315702</v>
      </c>
      <c r="R238">
        <f t="shared" si="961"/>
        <v>712191860.11436784</v>
      </c>
      <c r="S238">
        <f t="shared" si="962"/>
        <v>7121.9186011436786</v>
      </c>
      <c r="T238">
        <f t="shared" si="963"/>
        <v>7.1219186011436788</v>
      </c>
    </row>
    <row r="239" spans="1:20" x14ac:dyDescent="0.25">
      <c r="A239" s="5">
        <v>44354</v>
      </c>
      <c r="B239">
        <v>27.53</v>
      </c>
      <c r="C239">
        <v>28.693000000000001</v>
      </c>
      <c r="D239">
        <v>24.234000000000002</v>
      </c>
      <c r="E239">
        <v>24.584</v>
      </c>
      <c r="F239">
        <v>7596956.7800000003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-0.84301412872841541</v>
      </c>
      <c r="Q239">
        <f t="shared" si="960"/>
        <v>-6404341.9008791288</v>
      </c>
      <c r="R239">
        <f t="shared" si="961"/>
        <v>706460943.49603629</v>
      </c>
      <c r="S239">
        <f t="shared" si="962"/>
        <v>7064.6094349603627</v>
      </c>
      <c r="T239">
        <f t="shared" si="963"/>
        <v>7.0646094349603628</v>
      </c>
    </row>
    <row r="240" spans="1:20" x14ac:dyDescent="0.25">
      <c r="A240" s="5">
        <v>44353</v>
      </c>
      <c r="B240">
        <v>27.126999999999999</v>
      </c>
      <c r="C240">
        <v>28.19</v>
      </c>
      <c r="D240">
        <v>26.818000000000001</v>
      </c>
      <c r="E240">
        <v>27.532</v>
      </c>
      <c r="F240">
        <v>4103120.6919999998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4.081632653061034E-2</v>
      </c>
      <c r="Q240">
        <f t="shared" si="960"/>
        <v>167474.31395917584</v>
      </c>
      <c r="R240">
        <f t="shared" si="961"/>
        <v>712865285.39691544</v>
      </c>
      <c r="S240">
        <f t="shared" si="962"/>
        <v>7128.6528539691544</v>
      </c>
      <c r="T240">
        <f t="shared" si="963"/>
        <v>7.1286528539691547</v>
      </c>
    </row>
    <row r="241" spans="1:20" x14ac:dyDescent="0.25">
      <c r="A241" s="5">
        <v>44352</v>
      </c>
      <c r="B241">
        <v>28.829000000000001</v>
      </c>
      <c r="C241">
        <v>30.186</v>
      </c>
      <c r="D241">
        <v>26.044</v>
      </c>
      <c r="E241">
        <v>27.129000000000001</v>
      </c>
      <c r="F241">
        <v>8061770.9850000003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-0.47609850313857993</v>
      </c>
      <c r="Q241">
        <f t="shared" si="960"/>
        <v>-3838197.0986045352</v>
      </c>
      <c r="R241">
        <f t="shared" si="961"/>
        <v>712697811.08295631</v>
      </c>
      <c r="S241">
        <f t="shared" si="962"/>
        <v>7126.9781108295629</v>
      </c>
      <c r="T241">
        <f t="shared" si="963"/>
        <v>7.1269781108295627</v>
      </c>
    </row>
    <row r="242" spans="1:20" x14ac:dyDescent="0.25">
      <c r="A242" s="5">
        <v>44351</v>
      </c>
      <c r="B242">
        <v>32.198999999999998</v>
      </c>
      <c r="C242">
        <v>32.267000000000003</v>
      </c>
      <c r="D242">
        <v>27.172000000000001</v>
      </c>
      <c r="E242">
        <v>28.826000000000001</v>
      </c>
      <c r="F242">
        <v>11814359.672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-0.35073601570166862</v>
      </c>
      <c r="Q242">
        <f t="shared" si="960"/>
        <v>-4143721.4394237525</v>
      </c>
      <c r="R242">
        <f t="shared" si="961"/>
        <v>716536008.18156087</v>
      </c>
      <c r="S242">
        <f t="shared" si="962"/>
        <v>7165.3600818156092</v>
      </c>
      <c r="T242">
        <f t="shared" si="963"/>
        <v>7.1653600818156091</v>
      </c>
    </row>
    <row r="243" spans="1:20" x14ac:dyDescent="0.25">
      <c r="A243" s="5">
        <v>44350</v>
      </c>
      <c r="B243">
        <v>30.669</v>
      </c>
      <c r="C243">
        <v>32.856000000000002</v>
      </c>
      <c r="D243">
        <v>30</v>
      </c>
      <c r="E243">
        <v>32.198</v>
      </c>
      <c r="F243">
        <v>7153659.0690000001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0.53921568627450922</v>
      </c>
      <c r="Q243">
        <f t="shared" si="960"/>
        <v>3857365.1842647018</v>
      </c>
      <c r="R243">
        <f t="shared" si="961"/>
        <v>720679729.62098467</v>
      </c>
      <c r="S243">
        <f t="shared" si="962"/>
        <v>7206.7972962098465</v>
      </c>
      <c r="T243">
        <f t="shared" si="963"/>
        <v>7.2067972962098468</v>
      </c>
    </row>
    <row r="244" spans="1:20" x14ac:dyDescent="0.25">
      <c r="A244" s="5">
        <v>44349</v>
      </c>
      <c r="B244">
        <v>30.728999999999999</v>
      </c>
      <c r="C244">
        <v>32.218000000000004</v>
      </c>
      <c r="D244">
        <v>29.669</v>
      </c>
      <c r="E244">
        <v>30.67</v>
      </c>
      <c r="F244">
        <v>6690371.8550000004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-0.21459395841506471</v>
      </c>
      <c r="Q244">
        <f t="shared" si="960"/>
        <v>-1435713.3796331894</v>
      </c>
      <c r="R244">
        <f t="shared" si="961"/>
        <v>716822364.43672001</v>
      </c>
      <c r="S244">
        <f t="shared" si="962"/>
        <v>7168.2236443672</v>
      </c>
      <c r="T244">
        <f t="shared" si="963"/>
        <v>7.1682236443671998</v>
      </c>
    </row>
    <row r="245" spans="1:20" x14ac:dyDescent="0.25">
      <c r="A245" s="5">
        <v>44348</v>
      </c>
      <c r="B245">
        <v>32.097999999999999</v>
      </c>
      <c r="C245">
        <v>32.65</v>
      </c>
      <c r="D245">
        <v>29.035</v>
      </c>
      <c r="E245">
        <v>30.719000000000001</v>
      </c>
      <c r="F245">
        <v>8541347.9580000006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-6.8326417704010087E-2</v>
      </c>
      <c r="Q245">
        <f t="shared" si="960"/>
        <v>-583599.70833360159</v>
      </c>
      <c r="R245">
        <f t="shared" si="961"/>
        <v>718258077.8163532</v>
      </c>
      <c r="S245">
        <f t="shared" si="962"/>
        <v>7182.5807781635322</v>
      </c>
      <c r="T245">
        <f t="shared" si="963"/>
        <v>7.1825807781635325</v>
      </c>
    </row>
    <row r="246" spans="1:20" x14ac:dyDescent="0.25">
      <c r="A246" s="5">
        <v>44347</v>
      </c>
      <c r="B246">
        <v>26.812999999999999</v>
      </c>
      <c r="C246">
        <v>32.158999999999999</v>
      </c>
      <c r="D246">
        <v>25.555</v>
      </c>
      <c r="E246">
        <v>32.097999999999999</v>
      </c>
      <c r="F246">
        <v>11530173.536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0.98152634766808</v>
      </c>
      <c r="Q246">
        <f t="shared" si="960"/>
        <v>11317169.118769232</v>
      </c>
      <c r="R246">
        <f t="shared" si="961"/>
        <v>718841677.52468681</v>
      </c>
      <c r="S246">
        <f t="shared" si="962"/>
        <v>7188.4167752468684</v>
      </c>
      <c r="T246">
        <f t="shared" si="963"/>
        <v>7.1884167752468686</v>
      </c>
    </row>
    <row r="247" spans="1:20" x14ac:dyDescent="0.25">
      <c r="A247" s="5">
        <v>44346</v>
      </c>
      <c r="B247">
        <v>25.376999999999999</v>
      </c>
      <c r="C247">
        <v>29.167999999999999</v>
      </c>
      <c r="D247">
        <v>23.7</v>
      </c>
      <c r="E247">
        <v>26.818000000000001</v>
      </c>
      <c r="F247">
        <v>11581989.136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0.14045354791514342</v>
      </c>
      <c r="Q247">
        <f t="shared" si="960"/>
        <v>1626731.4660658466</v>
      </c>
      <c r="R247">
        <f t="shared" si="961"/>
        <v>707524508.40591753</v>
      </c>
      <c r="S247">
        <f t="shared" si="962"/>
        <v>7075.2450840591755</v>
      </c>
      <c r="T247">
        <f t="shared" si="963"/>
        <v>7.0752450840591754</v>
      </c>
    </row>
    <row r="248" spans="1:20" x14ac:dyDescent="0.25">
      <c r="A248" s="5">
        <v>44345</v>
      </c>
      <c r="B248">
        <v>27.872</v>
      </c>
      <c r="C248">
        <v>29.734000000000002</v>
      </c>
      <c r="D248">
        <v>24.12</v>
      </c>
      <c r="E248">
        <v>25.364999999999998</v>
      </c>
      <c r="F248">
        <v>11852877.566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-0.55646597791236296</v>
      </c>
      <c r="Q248">
        <f t="shared" si="960"/>
        <v>-6595723.1058396986</v>
      </c>
      <c r="R248">
        <f t="shared" si="961"/>
        <v>705897776.93985164</v>
      </c>
      <c r="S248">
        <f t="shared" si="962"/>
        <v>7058.9777693985161</v>
      </c>
      <c r="T248">
        <f t="shared" si="963"/>
        <v>7.0589777693985161</v>
      </c>
    </row>
    <row r="249" spans="1:20" x14ac:dyDescent="0.25">
      <c r="A249" s="5">
        <v>44344</v>
      </c>
      <c r="B249">
        <v>31.722999999999999</v>
      </c>
      <c r="C249">
        <v>32.185000000000002</v>
      </c>
      <c r="D249">
        <v>26.821000000000002</v>
      </c>
      <c r="E249">
        <v>27.878</v>
      </c>
      <c r="F249">
        <v>18329155.015000001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-0.60589112602535478</v>
      </c>
      <c r="Q249">
        <f t="shared" si="960"/>
        <v>-11105472.371131629</v>
      </c>
      <c r="R249">
        <f t="shared" si="961"/>
        <v>712493500.04569137</v>
      </c>
      <c r="S249">
        <f t="shared" si="962"/>
        <v>7124.9350004569133</v>
      </c>
      <c r="T249">
        <f t="shared" si="963"/>
        <v>7.1249350004569134</v>
      </c>
    </row>
    <row r="250" spans="1:20" x14ac:dyDescent="0.25">
      <c r="A250" s="5">
        <v>44343</v>
      </c>
      <c r="B250">
        <v>34.03</v>
      </c>
      <c r="C250">
        <v>35.334000000000003</v>
      </c>
      <c r="D250">
        <v>30.033000000000001</v>
      </c>
      <c r="E250">
        <v>31.731999999999999</v>
      </c>
      <c r="F250">
        <v>14928881.511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-0.35898887002452462</v>
      </c>
      <c r="Q250">
        <f t="shared" si="960"/>
        <v>-5359302.3043639073</v>
      </c>
      <c r="R250">
        <f t="shared" si="961"/>
        <v>723598972.41682303</v>
      </c>
      <c r="S250">
        <f t="shared" si="962"/>
        <v>7235.9897241682302</v>
      </c>
      <c r="T250">
        <f t="shared" si="963"/>
        <v>7.2359897241682303</v>
      </c>
    </row>
    <row r="251" spans="1:20" x14ac:dyDescent="0.25">
      <c r="A251" s="5">
        <v>44342</v>
      </c>
      <c r="B251">
        <v>27.504999999999999</v>
      </c>
      <c r="C251">
        <v>34.284999999999997</v>
      </c>
      <c r="D251">
        <v>26.847000000000001</v>
      </c>
      <c r="E251">
        <v>34.018000000000001</v>
      </c>
      <c r="F251">
        <v>15626091.013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0.9282065071255724</v>
      </c>
      <c r="Q251">
        <f t="shared" si="960"/>
        <v>14504239.359203028</v>
      </c>
      <c r="R251">
        <f t="shared" si="961"/>
        <v>728958274.721187</v>
      </c>
      <c r="S251">
        <f t="shared" si="962"/>
        <v>7289.5827472118699</v>
      </c>
      <c r="T251">
        <f t="shared" si="963"/>
        <v>7.2895827472118695</v>
      </c>
    </row>
    <row r="252" spans="1:20" x14ac:dyDescent="0.25">
      <c r="A252" s="5">
        <v>44341</v>
      </c>
      <c r="B252">
        <v>26.4</v>
      </c>
      <c r="C252">
        <v>27.643999999999998</v>
      </c>
      <c r="D252">
        <v>23.672999999999998</v>
      </c>
      <c r="E252">
        <v>27.503</v>
      </c>
      <c r="F252">
        <v>13594283.818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0.92898514228154205</v>
      </c>
      <c r="Q252">
        <f t="shared" si="960"/>
        <v>12628887.686880395</v>
      </c>
      <c r="R252">
        <f t="shared" si="961"/>
        <v>714454035.36198401</v>
      </c>
      <c r="S252">
        <f t="shared" si="962"/>
        <v>7144.5403536198401</v>
      </c>
      <c r="T252">
        <f t="shared" si="963"/>
        <v>7.1445403536198402</v>
      </c>
    </row>
    <row r="253" spans="1:20" x14ac:dyDescent="0.25">
      <c r="A253" s="5">
        <v>44340</v>
      </c>
      <c r="B253">
        <v>19.849</v>
      </c>
      <c r="C253">
        <v>26.431000000000001</v>
      </c>
      <c r="D253">
        <v>19.677</v>
      </c>
      <c r="E253">
        <v>26.411999999999999</v>
      </c>
      <c r="F253">
        <v>18781247.484000001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0.99437370447142381</v>
      </c>
      <c r="Q253">
        <f t="shared" si="960"/>
        <v>18675578.635259688</v>
      </c>
      <c r="R253">
        <f t="shared" si="961"/>
        <v>701825147.67510366</v>
      </c>
      <c r="S253">
        <f t="shared" si="962"/>
        <v>7018.2514767510365</v>
      </c>
      <c r="T253">
        <f t="shared" si="963"/>
        <v>7.0182514767510362</v>
      </c>
    </row>
    <row r="254" spans="1:20" x14ac:dyDescent="0.25">
      <c r="A254" s="5">
        <v>44339</v>
      </c>
      <c r="B254">
        <v>23.292999999999999</v>
      </c>
      <c r="C254">
        <v>24.367999999999999</v>
      </c>
      <c r="D254">
        <v>15</v>
      </c>
      <c r="E254">
        <v>19.844000000000001</v>
      </c>
      <c r="F254">
        <v>28838486.247000001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3.4158838599488033E-2</v>
      </c>
      <c r="Q254">
        <f t="shared" si="960"/>
        <v>985089.19716482842</v>
      </c>
      <c r="R254">
        <f t="shared" si="961"/>
        <v>683149569.03984392</v>
      </c>
      <c r="S254">
        <f t="shared" si="962"/>
        <v>6831.4956903984394</v>
      </c>
      <c r="T254">
        <f t="shared" si="963"/>
        <v>6.8314956903984392</v>
      </c>
    </row>
    <row r="255" spans="1:20" x14ac:dyDescent="0.25">
      <c r="A255" s="5">
        <v>44338</v>
      </c>
      <c r="B255">
        <v>25.547999999999998</v>
      </c>
      <c r="C255">
        <v>26.2</v>
      </c>
      <c r="D255">
        <v>22.225000000000001</v>
      </c>
      <c r="E255">
        <v>23.295999999999999</v>
      </c>
      <c r="F255">
        <v>13176375.347999999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-0.46113207547169888</v>
      </c>
      <c r="Q255">
        <f t="shared" si="960"/>
        <v>-6076049.3114173682</v>
      </c>
      <c r="R255">
        <f t="shared" si="961"/>
        <v>682164479.84267914</v>
      </c>
      <c r="S255">
        <f t="shared" si="962"/>
        <v>6821.6447984267916</v>
      </c>
      <c r="T255">
        <f t="shared" si="963"/>
        <v>6.8216447984267914</v>
      </c>
    </row>
    <row r="256" spans="1:20" x14ac:dyDescent="0.25">
      <c r="A256" s="5">
        <v>44337</v>
      </c>
      <c r="B256">
        <v>30.632999999999999</v>
      </c>
      <c r="C256">
        <v>31.945</v>
      </c>
      <c r="D256">
        <v>22.018999999999998</v>
      </c>
      <c r="E256">
        <v>25.545999999999999</v>
      </c>
      <c r="F256">
        <v>16394437.613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-0.28934112431996767</v>
      </c>
      <c r="Q256">
        <f t="shared" si="960"/>
        <v>-4743585.011538987</v>
      </c>
      <c r="R256">
        <f t="shared" si="961"/>
        <v>688240529.15409648</v>
      </c>
      <c r="S256">
        <f t="shared" si="962"/>
        <v>6882.4052915409648</v>
      </c>
      <c r="T256">
        <f t="shared" si="963"/>
        <v>6.882405291540965</v>
      </c>
    </row>
    <row r="257" spans="1:20" x14ac:dyDescent="0.25">
      <c r="A257" s="5">
        <v>44336</v>
      </c>
      <c r="B257">
        <v>26.227</v>
      </c>
      <c r="C257">
        <v>33.049999999999997</v>
      </c>
      <c r="D257">
        <v>22.35</v>
      </c>
      <c r="E257">
        <v>30.606000000000002</v>
      </c>
      <c r="F257">
        <v>20474453.969999999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0.54317757009345857</v>
      </c>
      <c r="Q257">
        <f t="shared" si="960"/>
        <v>11121264.156414965</v>
      </c>
      <c r="R257">
        <f t="shared" si="961"/>
        <v>692984114.16563547</v>
      </c>
      <c r="S257">
        <f t="shared" si="962"/>
        <v>6929.8411416563549</v>
      </c>
      <c r="T257">
        <f t="shared" si="963"/>
        <v>6.9298411416563548</v>
      </c>
    </row>
    <row r="258" spans="1:20" x14ac:dyDescent="0.25">
      <c r="A258" s="5">
        <v>44335</v>
      </c>
      <c r="B258">
        <v>42.555</v>
      </c>
      <c r="C258">
        <v>43.5</v>
      </c>
      <c r="D258">
        <v>21</v>
      </c>
      <c r="E258">
        <v>26.227</v>
      </c>
      <c r="F258">
        <v>30087569.964000002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-0.53537777777777773</v>
      </c>
      <c r="Q258">
        <f t="shared" si="960"/>
        <v>-16108216.346059732</v>
      </c>
      <c r="R258">
        <f t="shared" si="961"/>
        <v>681862850.00922048</v>
      </c>
      <c r="S258">
        <f t="shared" si="962"/>
        <v>6818.6285000922044</v>
      </c>
      <c r="T258">
        <f t="shared" si="963"/>
        <v>6.8186285000922044</v>
      </c>
    </row>
    <row r="259" spans="1:20" x14ac:dyDescent="0.25">
      <c r="A259" s="5">
        <v>44334</v>
      </c>
      <c r="B259">
        <v>37.176000000000002</v>
      </c>
      <c r="C259">
        <v>44.69</v>
      </c>
      <c r="D259">
        <v>36.655000000000001</v>
      </c>
      <c r="E259">
        <v>42.566000000000003</v>
      </c>
      <c r="F259">
        <v>11237931.790999999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0.47131300560049877</v>
      </c>
      <c r="Q259">
        <f t="shared" si="960"/>
        <v>5296583.4091496058</v>
      </c>
      <c r="R259">
        <f t="shared" si="961"/>
        <v>697971066.35528016</v>
      </c>
      <c r="S259">
        <f t="shared" si="962"/>
        <v>6979.7106635528016</v>
      </c>
      <c r="T259">
        <f t="shared" si="963"/>
        <v>6.9797106635528019</v>
      </c>
    </row>
    <row r="260" spans="1:20" x14ac:dyDescent="0.25">
      <c r="A260" s="5">
        <v>44333</v>
      </c>
      <c r="B260">
        <v>40.661999999999999</v>
      </c>
      <c r="C260">
        <v>40.673999999999999</v>
      </c>
      <c r="D260">
        <v>35.067999999999998</v>
      </c>
      <c r="E260">
        <v>37.177</v>
      </c>
      <c r="F260">
        <v>10672040.785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-0.24759186585800888</v>
      </c>
      <c r="Q260">
        <f t="shared" si="960"/>
        <v>-2642310.4904709198</v>
      </c>
      <c r="R260">
        <f t="shared" si="961"/>
        <v>692674482.94613051</v>
      </c>
      <c r="S260">
        <f t="shared" si="962"/>
        <v>6926.744829461305</v>
      </c>
      <c r="T260">
        <f t="shared" si="963"/>
        <v>6.9267448294613052</v>
      </c>
    </row>
    <row r="261" spans="1:20" x14ac:dyDescent="0.25">
      <c r="A261" s="5">
        <v>44332</v>
      </c>
      <c r="B261">
        <v>41.512</v>
      </c>
      <c r="C261">
        <v>44.901000000000003</v>
      </c>
      <c r="D261">
        <v>37.944000000000003</v>
      </c>
      <c r="E261">
        <v>40.67</v>
      </c>
      <c r="F261">
        <v>9820375.6989999991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-0.21632887738967979</v>
      </c>
      <c r="Q261">
        <f t="shared" si="960"/>
        <v>-2124430.8505095616</v>
      </c>
      <c r="R261">
        <f t="shared" si="961"/>
        <v>695316793.4366014</v>
      </c>
      <c r="S261">
        <f t="shared" si="962"/>
        <v>6953.1679343660144</v>
      </c>
      <c r="T261">
        <f t="shared" si="963"/>
        <v>6.9531679343660144</v>
      </c>
    </row>
    <row r="262" spans="1:20" x14ac:dyDescent="0.25">
      <c r="A262" s="5">
        <v>44331</v>
      </c>
      <c r="B262">
        <v>46.558</v>
      </c>
      <c r="C262">
        <v>47.8</v>
      </c>
      <c r="D262">
        <v>40.975000000000001</v>
      </c>
      <c r="E262">
        <v>41.491999999999997</v>
      </c>
      <c r="F262">
        <v>9858340.3640000001</v>
      </c>
      <c r="G262">
        <v>0</v>
      </c>
      <c r="L262" t="s">
        <v>7</v>
      </c>
      <c r="M262" t="s">
        <v>8</v>
      </c>
      <c r="N262" t="s">
        <v>8</v>
      </c>
      <c r="P262">
        <f t="shared" ref="P262:P325" si="964">IF(C262=D262,0,((E262-D262)-(C262-E262))/(C262-D262))</f>
        <v>-0.84849816849816961</v>
      </c>
      <c r="Q262">
        <f t="shared" ref="Q262:Q325" si="965">F262*P262</f>
        <v>-8364783.7432855787</v>
      </c>
      <c r="R262">
        <f t="shared" ref="R262:R325" si="966">R263+Q262</f>
        <v>697441224.28711092</v>
      </c>
      <c r="S262">
        <f t="shared" ref="S262:S325" si="967">R262/100000</f>
        <v>6974.4122428711089</v>
      </c>
      <c r="T262">
        <f t="shared" ref="T262:T325" si="968">S262/1000</f>
        <v>6.9744122428711091</v>
      </c>
    </row>
    <row r="263" spans="1:20" x14ac:dyDescent="0.25">
      <c r="A263" s="5">
        <v>44330</v>
      </c>
      <c r="B263">
        <v>43.273000000000003</v>
      </c>
      <c r="C263">
        <v>47.875</v>
      </c>
      <c r="D263">
        <v>42.935000000000002</v>
      </c>
      <c r="E263">
        <v>46.567</v>
      </c>
      <c r="F263">
        <v>6310269.0010000002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0.47044534412955447</v>
      </c>
      <c r="Q263">
        <f t="shared" si="965"/>
        <v>2968636.671725505</v>
      </c>
      <c r="R263">
        <f t="shared" si="966"/>
        <v>705806008.03039646</v>
      </c>
      <c r="S263">
        <f t="shared" si="967"/>
        <v>7058.0600803039642</v>
      </c>
      <c r="T263">
        <f t="shared" si="968"/>
        <v>7.0580600803039646</v>
      </c>
    </row>
    <row r="264" spans="1:20" x14ac:dyDescent="0.25">
      <c r="A264" s="5">
        <v>44329</v>
      </c>
      <c r="B264">
        <v>41.540999999999997</v>
      </c>
      <c r="C264">
        <v>44.957999999999998</v>
      </c>
      <c r="D264">
        <v>39.226999999999997</v>
      </c>
      <c r="E264">
        <v>43.286999999999999</v>
      </c>
      <c r="F264">
        <v>10978718.589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0.41685569708602377</v>
      </c>
      <c r="Q264">
        <f t="shared" si="965"/>
        <v>4576541.3905288819</v>
      </c>
      <c r="R264">
        <f t="shared" si="966"/>
        <v>702837371.35867095</v>
      </c>
      <c r="S264">
        <f t="shared" si="967"/>
        <v>7028.3737135867095</v>
      </c>
      <c r="T264">
        <f t="shared" si="968"/>
        <v>7.0283737135867099</v>
      </c>
    </row>
    <row r="265" spans="1:20" x14ac:dyDescent="0.25">
      <c r="A265" s="5">
        <v>44328</v>
      </c>
      <c r="B265">
        <v>48.805</v>
      </c>
      <c r="C265">
        <v>49.835999999999999</v>
      </c>
      <c r="D265">
        <v>40.914000000000001</v>
      </c>
      <c r="E265">
        <v>41.622</v>
      </c>
      <c r="F265">
        <v>8304570.5099999998</v>
      </c>
      <c r="G265">
        <v>0</v>
      </c>
      <c r="L265" t="s">
        <v>7</v>
      </c>
      <c r="M265" t="s">
        <v>8</v>
      </c>
      <c r="N265" t="s">
        <v>8</v>
      </c>
      <c r="P265">
        <f t="shared" si="964"/>
        <v>-0.84129119031607291</v>
      </c>
      <c r="Q265">
        <f t="shared" si="965"/>
        <v>-6986562.0094216568</v>
      </c>
      <c r="R265">
        <f t="shared" si="966"/>
        <v>698260829.96814203</v>
      </c>
      <c r="S265">
        <f t="shared" si="967"/>
        <v>6982.6082996814202</v>
      </c>
      <c r="T265">
        <f t="shared" si="968"/>
        <v>6.98260829968142</v>
      </c>
    </row>
    <row r="266" spans="1:20" x14ac:dyDescent="0.25">
      <c r="A266" s="5">
        <v>44327</v>
      </c>
      <c r="B266">
        <v>46.326000000000001</v>
      </c>
      <c r="C266">
        <v>49</v>
      </c>
      <c r="D266">
        <v>44.576000000000001</v>
      </c>
      <c r="E266">
        <v>48.826000000000001</v>
      </c>
      <c r="F266">
        <v>7532480.7980000004</v>
      </c>
      <c r="G266">
        <v>0</v>
      </c>
      <c r="L266" t="s">
        <v>7</v>
      </c>
      <c r="M266" t="s">
        <v>8</v>
      </c>
      <c r="N266" t="s">
        <v>8</v>
      </c>
      <c r="P266">
        <f t="shared" si="964"/>
        <v>0.9213381555153709</v>
      </c>
      <c r="Q266">
        <f t="shared" si="965"/>
        <v>6939961.96488427</v>
      </c>
      <c r="R266">
        <f t="shared" si="966"/>
        <v>705247391.97756374</v>
      </c>
      <c r="S266">
        <f t="shared" si="967"/>
        <v>7052.4739197756371</v>
      </c>
      <c r="T266">
        <f t="shared" si="968"/>
        <v>7.052473919775637</v>
      </c>
    </row>
    <row r="267" spans="1:20" x14ac:dyDescent="0.25">
      <c r="A267" s="5">
        <v>44326</v>
      </c>
      <c r="B267">
        <v>52.277000000000001</v>
      </c>
      <c r="C267">
        <v>53</v>
      </c>
      <c r="D267">
        <v>40.700000000000003</v>
      </c>
      <c r="E267">
        <v>46.334000000000003</v>
      </c>
      <c r="F267">
        <v>11459163.619999999</v>
      </c>
      <c r="G267">
        <v>0</v>
      </c>
      <c r="L267" t="s">
        <v>8</v>
      </c>
      <c r="M267" t="s">
        <v>7</v>
      </c>
      <c r="N267" t="s">
        <v>8</v>
      </c>
      <c r="P267">
        <f t="shared" si="964"/>
        <v>-8.3902439024389971E-2</v>
      </c>
      <c r="Q267">
        <f t="shared" si="965"/>
        <v>-961451.77689755778</v>
      </c>
      <c r="R267">
        <f t="shared" si="966"/>
        <v>698307430.01267946</v>
      </c>
      <c r="S267">
        <f t="shared" si="967"/>
        <v>6983.0743001267947</v>
      </c>
      <c r="T267">
        <f t="shared" si="968"/>
        <v>6.9830743001267948</v>
      </c>
    </row>
    <row r="268" spans="1:20" x14ac:dyDescent="0.25">
      <c r="A268" s="5">
        <v>44325</v>
      </c>
      <c r="B268">
        <v>48.606999999999999</v>
      </c>
      <c r="C268">
        <v>52.426000000000002</v>
      </c>
      <c r="D268">
        <v>45.83</v>
      </c>
      <c r="E268">
        <v>52.268999999999998</v>
      </c>
      <c r="F268">
        <v>8601375.4849999994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0.95239539114614813</v>
      </c>
      <c r="Q268">
        <f t="shared" si="965"/>
        <v>8191910.369431464</v>
      </c>
      <c r="R268">
        <f t="shared" si="966"/>
        <v>699268881.78957701</v>
      </c>
      <c r="S268">
        <f t="shared" si="967"/>
        <v>6992.6888178957697</v>
      </c>
      <c r="T268">
        <f t="shared" si="968"/>
        <v>6.99268881789577</v>
      </c>
    </row>
    <row r="269" spans="1:20" x14ac:dyDescent="0.25">
      <c r="A269" s="5">
        <v>44324</v>
      </c>
      <c r="B269">
        <v>49.134</v>
      </c>
      <c r="C269">
        <v>50.265000000000001</v>
      </c>
      <c r="D269">
        <v>46.5</v>
      </c>
      <c r="E269">
        <v>48.597000000000001</v>
      </c>
      <c r="F269">
        <v>5902382.6639999999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0.11394422310757024</v>
      </c>
      <c r="Q269">
        <f t="shared" si="965"/>
        <v>672542.40713307075</v>
      </c>
      <c r="R269">
        <f t="shared" si="966"/>
        <v>691076971.42014551</v>
      </c>
      <c r="S269">
        <f t="shared" si="967"/>
        <v>6910.7697142014549</v>
      </c>
      <c r="T269">
        <f t="shared" si="968"/>
        <v>6.9107697142014546</v>
      </c>
    </row>
    <row r="270" spans="1:20" x14ac:dyDescent="0.25">
      <c r="A270" s="5">
        <v>44323</v>
      </c>
      <c r="B270">
        <v>47.148000000000003</v>
      </c>
      <c r="C270">
        <v>51.969000000000001</v>
      </c>
      <c r="D270">
        <v>45.665999999999997</v>
      </c>
      <c r="E270">
        <v>49.128999999999998</v>
      </c>
      <c r="F270">
        <v>10599319.111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9.8841821354909903E-2</v>
      </c>
      <c r="Q270">
        <f t="shared" si="965"/>
        <v>1047656.0060531445</v>
      </c>
      <c r="R270">
        <f t="shared" si="966"/>
        <v>690404429.01301241</v>
      </c>
      <c r="S270">
        <f t="shared" si="967"/>
        <v>6904.044290130124</v>
      </c>
      <c r="T270">
        <f t="shared" si="968"/>
        <v>6.9040442901301242</v>
      </c>
    </row>
    <row r="271" spans="1:20" x14ac:dyDescent="0.25">
      <c r="A271" s="5">
        <v>44322</v>
      </c>
      <c r="B271">
        <v>49.576000000000001</v>
      </c>
      <c r="C271">
        <v>49.9</v>
      </c>
      <c r="D271">
        <v>45.343000000000004</v>
      </c>
      <c r="E271">
        <v>47.154000000000003</v>
      </c>
      <c r="F271">
        <v>9895004.1889999993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-0.20517884573184028</v>
      </c>
      <c r="Q271">
        <f t="shared" si="965"/>
        <v>-2030245.5380107441</v>
      </c>
      <c r="R271">
        <f t="shared" si="966"/>
        <v>689356773.00695932</v>
      </c>
      <c r="S271">
        <f t="shared" si="967"/>
        <v>6893.5677300695934</v>
      </c>
      <c r="T271">
        <f t="shared" si="968"/>
        <v>6.8935677300695932</v>
      </c>
    </row>
    <row r="272" spans="1:20" x14ac:dyDescent="0.25">
      <c r="A272" s="5">
        <v>44321</v>
      </c>
      <c r="B272">
        <v>45.508000000000003</v>
      </c>
      <c r="C272">
        <v>51.2</v>
      </c>
      <c r="D272">
        <v>44.865000000000002</v>
      </c>
      <c r="E272">
        <v>49.575000000000003</v>
      </c>
      <c r="F272">
        <v>16873790.901000001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0.48697711128650362</v>
      </c>
      <c r="Q272">
        <f t="shared" si="965"/>
        <v>8217149.9494214691</v>
      </c>
      <c r="R272">
        <f t="shared" si="966"/>
        <v>691387018.54497004</v>
      </c>
      <c r="S272">
        <f t="shared" si="967"/>
        <v>6913.8701854497003</v>
      </c>
      <c r="T272">
        <f t="shared" si="968"/>
        <v>6.9138701854497002</v>
      </c>
    </row>
    <row r="273" spans="1:20" x14ac:dyDescent="0.25">
      <c r="A273" s="5">
        <v>44320</v>
      </c>
      <c r="B273">
        <v>42.06</v>
      </c>
      <c r="C273">
        <v>48.54</v>
      </c>
      <c r="D273">
        <v>38.634</v>
      </c>
      <c r="E273">
        <v>45.527000000000001</v>
      </c>
      <c r="F273">
        <v>19637684.710000001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0.39168180900464394</v>
      </c>
      <c r="Q273">
        <f t="shared" si="965"/>
        <v>7691723.8718756372</v>
      </c>
      <c r="R273">
        <f t="shared" si="966"/>
        <v>683169868.59554851</v>
      </c>
      <c r="S273">
        <f t="shared" si="967"/>
        <v>6831.6986859554854</v>
      </c>
      <c r="T273">
        <f t="shared" si="968"/>
        <v>6.8316986859554856</v>
      </c>
    </row>
    <row r="274" spans="1:20" x14ac:dyDescent="0.25">
      <c r="A274" s="5">
        <v>44319</v>
      </c>
      <c r="B274">
        <v>39.460999999999999</v>
      </c>
      <c r="C274">
        <v>42.728000000000002</v>
      </c>
      <c r="D274">
        <v>39.165999999999997</v>
      </c>
      <c r="E274">
        <v>42.052</v>
      </c>
      <c r="F274">
        <v>6029697.5710000005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0.62043795620437903</v>
      </c>
      <c r="Q274">
        <f t="shared" si="965"/>
        <v>3741053.2374817487</v>
      </c>
      <c r="R274">
        <f t="shared" si="966"/>
        <v>675478144.72367287</v>
      </c>
      <c r="S274">
        <f t="shared" si="967"/>
        <v>6754.781447236729</v>
      </c>
      <c r="T274">
        <f t="shared" si="968"/>
        <v>6.7547814472367289</v>
      </c>
    </row>
    <row r="275" spans="1:20" x14ac:dyDescent="0.25">
      <c r="A275" s="5">
        <v>44318</v>
      </c>
      <c r="B275">
        <v>41.249000000000002</v>
      </c>
      <c r="C275">
        <v>41.46</v>
      </c>
      <c r="D275">
        <v>38.69</v>
      </c>
      <c r="E275">
        <v>39.460999999999999</v>
      </c>
      <c r="F275">
        <v>5208051.3250000002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-0.4433212996389892</v>
      </c>
      <c r="Q275">
        <f t="shared" si="965"/>
        <v>-2308840.0819855598</v>
      </c>
      <c r="R275">
        <f t="shared" si="966"/>
        <v>671737091.48619115</v>
      </c>
      <c r="S275">
        <f t="shared" si="967"/>
        <v>6717.3709148619118</v>
      </c>
      <c r="T275">
        <f t="shared" si="968"/>
        <v>6.7173709148619114</v>
      </c>
    </row>
    <row r="276" spans="1:20" x14ac:dyDescent="0.25">
      <c r="A276" s="5">
        <v>44317</v>
      </c>
      <c r="B276">
        <v>38.100999999999999</v>
      </c>
      <c r="C276">
        <v>41.27</v>
      </c>
      <c r="D276">
        <v>37.427999999999997</v>
      </c>
      <c r="E276">
        <v>41.256999999999998</v>
      </c>
      <c r="F276">
        <v>5227786.2209999999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0.99323269130660841</v>
      </c>
      <c r="Q276">
        <f t="shared" si="965"/>
        <v>5192408.1778594339</v>
      </c>
      <c r="R276">
        <f t="shared" si="966"/>
        <v>674045931.56817675</v>
      </c>
      <c r="S276">
        <f t="shared" si="967"/>
        <v>6740.4593156817673</v>
      </c>
      <c r="T276">
        <f t="shared" si="968"/>
        <v>6.7404593156817674</v>
      </c>
    </row>
    <row r="277" spans="1:20" x14ac:dyDescent="0.25">
      <c r="A277" s="5">
        <v>44316</v>
      </c>
      <c r="B277">
        <v>36.465000000000003</v>
      </c>
      <c r="C277">
        <v>38.79</v>
      </c>
      <c r="D277">
        <v>35.826999999999998</v>
      </c>
      <c r="E277">
        <v>38.1</v>
      </c>
      <c r="F277">
        <v>5295313.7079999996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0.53425582180222919</v>
      </c>
      <c r="Q277">
        <f t="shared" si="965"/>
        <v>2829052.1767681492</v>
      </c>
      <c r="R277">
        <f t="shared" si="966"/>
        <v>668853523.39031732</v>
      </c>
      <c r="S277">
        <f t="shared" si="967"/>
        <v>6688.5352339031733</v>
      </c>
      <c r="T277">
        <f t="shared" si="968"/>
        <v>6.6885352339031732</v>
      </c>
    </row>
    <row r="278" spans="1:20" x14ac:dyDescent="0.25">
      <c r="A278" s="5">
        <v>44315</v>
      </c>
      <c r="B278">
        <v>36.253</v>
      </c>
      <c r="C278">
        <v>37.450000000000003</v>
      </c>
      <c r="D278">
        <v>35</v>
      </c>
      <c r="E278">
        <v>36.466999999999999</v>
      </c>
      <c r="F278">
        <v>5148499.8459999999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0.19755102040816086</v>
      </c>
      <c r="Q278">
        <f t="shared" si="965"/>
        <v>1017091.398148559</v>
      </c>
      <c r="R278">
        <f t="shared" si="966"/>
        <v>666024471.21354914</v>
      </c>
      <c r="S278">
        <f t="shared" si="967"/>
        <v>6660.2447121354917</v>
      </c>
      <c r="T278">
        <f t="shared" si="968"/>
        <v>6.6602447121354915</v>
      </c>
    </row>
    <row r="279" spans="1:20" x14ac:dyDescent="0.25">
      <c r="A279" s="5">
        <v>44314</v>
      </c>
      <c r="B279">
        <v>36.786000000000001</v>
      </c>
      <c r="C279">
        <v>37.808</v>
      </c>
      <c r="D279">
        <v>34.901000000000003</v>
      </c>
      <c r="E279">
        <v>36.232999999999997</v>
      </c>
      <c r="F279">
        <v>5219076.5530000003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-8.3591331269353114E-2</v>
      </c>
      <c r="Q279">
        <f t="shared" si="965"/>
        <v>-436269.55706193659</v>
      </c>
      <c r="R279">
        <f t="shared" si="966"/>
        <v>665007379.8154006</v>
      </c>
      <c r="S279">
        <f t="shared" si="967"/>
        <v>6650.073798154006</v>
      </c>
      <c r="T279">
        <f t="shared" si="968"/>
        <v>6.6500737981540059</v>
      </c>
    </row>
    <row r="280" spans="1:20" x14ac:dyDescent="0.25">
      <c r="A280" s="5">
        <v>44313</v>
      </c>
      <c r="B280">
        <v>35.112000000000002</v>
      </c>
      <c r="C280">
        <v>37.664999999999999</v>
      </c>
      <c r="D280">
        <v>34.482999999999997</v>
      </c>
      <c r="E280">
        <v>36.787999999999997</v>
      </c>
      <c r="F280">
        <v>5463142.477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0.44877435575109875</v>
      </c>
      <c r="Q280">
        <f t="shared" si="965"/>
        <v>2451718.245492137</v>
      </c>
      <c r="R280">
        <f t="shared" si="966"/>
        <v>665443649.37246251</v>
      </c>
      <c r="S280">
        <f t="shared" si="967"/>
        <v>6654.4364937246255</v>
      </c>
      <c r="T280">
        <f t="shared" si="968"/>
        <v>6.6544364937246252</v>
      </c>
    </row>
    <row r="281" spans="1:20" x14ac:dyDescent="0.25">
      <c r="A281" s="5">
        <v>44312</v>
      </c>
      <c r="B281">
        <v>31.69</v>
      </c>
      <c r="C281">
        <v>35.274999999999999</v>
      </c>
      <c r="D281">
        <v>31.363</v>
      </c>
      <c r="E281">
        <v>35.130000000000003</v>
      </c>
      <c r="F281">
        <v>6660309.2390000001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0.92586912065439875</v>
      </c>
      <c r="Q281">
        <f t="shared" si="965"/>
        <v>6166574.6583992979</v>
      </c>
      <c r="R281">
        <f t="shared" si="966"/>
        <v>662991931.12697041</v>
      </c>
      <c r="S281">
        <f t="shared" si="967"/>
        <v>6629.9193112697039</v>
      </c>
      <c r="T281">
        <f t="shared" si="968"/>
        <v>6.6299193112697044</v>
      </c>
    </row>
    <row r="282" spans="1:20" x14ac:dyDescent="0.25">
      <c r="A282" s="5">
        <v>44311</v>
      </c>
      <c r="B282">
        <v>31.236999999999998</v>
      </c>
      <c r="C282">
        <v>33.432000000000002</v>
      </c>
      <c r="D282">
        <v>29.800999999999998</v>
      </c>
      <c r="E282">
        <v>31.692</v>
      </c>
      <c r="F282">
        <v>4590476.7429999998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4.1586339851280539E-2</v>
      </c>
      <c r="Q282">
        <f t="shared" si="965"/>
        <v>190901.12591379738</v>
      </c>
      <c r="R282">
        <f t="shared" si="966"/>
        <v>656825356.46857107</v>
      </c>
      <c r="S282">
        <f t="shared" si="967"/>
        <v>6568.2535646857104</v>
      </c>
      <c r="T282">
        <f t="shared" si="968"/>
        <v>6.5682535646857101</v>
      </c>
    </row>
    <row r="283" spans="1:20" x14ac:dyDescent="0.25">
      <c r="A283" s="5">
        <v>44310</v>
      </c>
      <c r="B283">
        <v>35.2121</v>
      </c>
      <c r="C283">
        <v>35.3033</v>
      </c>
      <c r="D283">
        <v>31</v>
      </c>
      <c r="E283">
        <v>31.244299999999999</v>
      </c>
      <c r="F283">
        <v>6655452.0099999998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-0.8864592289638189</v>
      </c>
      <c r="Q283">
        <f t="shared" si="965"/>
        <v>-5899786.8571902988</v>
      </c>
      <c r="R283">
        <f t="shared" si="966"/>
        <v>656634455.34265733</v>
      </c>
      <c r="S283">
        <f t="shared" si="967"/>
        <v>6566.3445534265729</v>
      </c>
      <c r="T283">
        <f t="shared" si="968"/>
        <v>6.566344553426573</v>
      </c>
    </row>
    <row r="284" spans="1:20" x14ac:dyDescent="0.25">
      <c r="A284" s="5">
        <v>44309</v>
      </c>
      <c r="B284">
        <v>35.125599999999999</v>
      </c>
      <c r="C284">
        <v>35.964300000000001</v>
      </c>
      <c r="D284">
        <v>30.02</v>
      </c>
      <c r="E284">
        <v>35.2121</v>
      </c>
      <c r="F284">
        <v>15422132.24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0.74691721481082662</v>
      </c>
      <c r="Q284">
        <f t="shared" si="965"/>
        <v>11519056.059145056</v>
      </c>
      <c r="R284">
        <f t="shared" si="966"/>
        <v>662534242.19984758</v>
      </c>
      <c r="S284">
        <f t="shared" si="967"/>
        <v>6625.3424219984754</v>
      </c>
      <c r="T284">
        <f t="shared" si="968"/>
        <v>6.6253424219984751</v>
      </c>
    </row>
    <row r="285" spans="1:20" x14ac:dyDescent="0.25">
      <c r="A285" s="5">
        <v>44308</v>
      </c>
      <c r="B285">
        <v>36.236400000000003</v>
      </c>
      <c r="C285">
        <v>40.82</v>
      </c>
      <c r="D285">
        <v>33.785899999999998</v>
      </c>
      <c r="E285">
        <v>35.130600000000001</v>
      </c>
      <c r="F285">
        <v>14019133.9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-0.61766252967685908</v>
      </c>
      <c r="Q285">
        <f t="shared" si="965"/>
        <v>-8659093.708552612</v>
      </c>
      <c r="R285">
        <f t="shared" si="966"/>
        <v>651015186.14070249</v>
      </c>
      <c r="S285">
        <f t="shared" si="967"/>
        <v>6510.1518614070246</v>
      </c>
      <c r="T285">
        <f t="shared" si="968"/>
        <v>6.5101518614070244</v>
      </c>
    </row>
    <row r="286" spans="1:20" x14ac:dyDescent="0.25">
      <c r="A286" s="5">
        <v>44307</v>
      </c>
      <c r="B286">
        <v>38.9983</v>
      </c>
      <c r="C286">
        <v>39.487200000000001</v>
      </c>
      <c r="D286">
        <v>35.893300000000004</v>
      </c>
      <c r="E286">
        <v>36.227400000000003</v>
      </c>
      <c r="F286">
        <v>7984885.79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-0.81407384735245858</v>
      </c>
      <c r="Q286">
        <f t="shared" si="965"/>
        <v>-6500286.6957352757</v>
      </c>
      <c r="R286">
        <f t="shared" si="966"/>
        <v>659674279.84925508</v>
      </c>
      <c r="S286">
        <f t="shared" si="967"/>
        <v>6596.7427984925507</v>
      </c>
      <c r="T286">
        <f t="shared" si="968"/>
        <v>6.5967427984925511</v>
      </c>
    </row>
    <row r="287" spans="1:20" x14ac:dyDescent="0.25">
      <c r="A287" s="5">
        <v>44306</v>
      </c>
      <c r="B287">
        <v>35.750399999999999</v>
      </c>
      <c r="C287">
        <v>39.390099999999997</v>
      </c>
      <c r="D287">
        <v>33.193300000000001</v>
      </c>
      <c r="E287">
        <v>38.995399999999997</v>
      </c>
      <c r="F287">
        <v>12155649.58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0.87261167053963318</v>
      </c>
      <c r="Q287">
        <f t="shared" si="965"/>
        <v>10607161.686498191</v>
      </c>
      <c r="R287">
        <f t="shared" si="966"/>
        <v>666174566.54499042</v>
      </c>
      <c r="S287">
        <f t="shared" si="967"/>
        <v>6661.7456654499038</v>
      </c>
      <c r="T287">
        <f t="shared" si="968"/>
        <v>6.6617456654499039</v>
      </c>
    </row>
    <row r="288" spans="1:20" x14ac:dyDescent="0.25">
      <c r="A288" s="5">
        <v>44305</v>
      </c>
      <c r="B288">
        <v>39.085799999999999</v>
      </c>
      <c r="C288">
        <v>41.99</v>
      </c>
      <c r="D288">
        <v>34.814399999999999</v>
      </c>
      <c r="E288">
        <v>35.735900000000001</v>
      </c>
      <c r="F288">
        <v>13081158.33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-0.74315736663136145</v>
      </c>
      <c r="Q288">
        <f t="shared" si="965"/>
        <v>-9721359.1770106982</v>
      </c>
      <c r="R288">
        <f t="shared" si="966"/>
        <v>655567404.85849226</v>
      </c>
      <c r="S288">
        <f t="shared" si="967"/>
        <v>6555.6740485849223</v>
      </c>
      <c r="T288">
        <f t="shared" si="968"/>
        <v>6.5556740485849225</v>
      </c>
    </row>
    <row r="289" spans="1:20" x14ac:dyDescent="0.25">
      <c r="A289" s="5">
        <v>44304</v>
      </c>
      <c r="B289">
        <v>39.913499999999999</v>
      </c>
      <c r="C289">
        <v>40.343600000000002</v>
      </c>
      <c r="D289">
        <v>28.8</v>
      </c>
      <c r="E289">
        <v>39.079900000000002</v>
      </c>
      <c r="F289">
        <v>16201648.58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0.78105616965244817</v>
      </c>
      <c r="Q289">
        <f t="shared" si="965"/>
        <v>12654397.581949826</v>
      </c>
      <c r="R289">
        <f t="shared" si="966"/>
        <v>665288764.03550291</v>
      </c>
      <c r="S289">
        <f t="shared" si="967"/>
        <v>6652.8876403550294</v>
      </c>
      <c r="T289">
        <f t="shared" si="968"/>
        <v>6.6528876403550292</v>
      </c>
    </row>
    <row r="290" spans="1:20" x14ac:dyDescent="0.25">
      <c r="A290" s="5">
        <v>44303</v>
      </c>
      <c r="B290">
        <v>41.979700000000001</v>
      </c>
      <c r="C290">
        <v>44.111600000000003</v>
      </c>
      <c r="D290">
        <v>39.830399999999997</v>
      </c>
      <c r="E290">
        <v>39.913699999999999</v>
      </c>
      <c r="F290">
        <v>6767640.2300000004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-0.9610856769130145</v>
      </c>
      <c r="Q290">
        <f t="shared" si="965"/>
        <v>-6504282.0915532997</v>
      </c>
      <c r="R290">
        <f t="shared" si="966"/>
        <v>652634366.45355308</v>
      </c>
      <c r="S290">
        <f t="shared" si="967"/>
        <v>6526.3436645355305</v>
      </c>
      <c r="T290">
        <f t="shared" si="968"/>
        <v>6.5263436645355304</v>
      </c>
    </row>
    <row r="291" spans="1:20" x14ac:dyDescent="0.25">
      <c r="A291" s="5">
        <v>44302</v>
      </c>
      <c r="B291">
        <v>42.565399999999997</v>
      </c>
      <c r="C291">
        <v>43.290199999999999</v>
      </c>
      <c r="D291">
        <v>38.527299999999997</v>
      </c>
      <c r="E291">
        <v>41.9861</v>
      </c>
      <c r="F291">
        <v>9660045.3499999996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0.45239244997795558</v>
      </c>
      <c r="Q291">
        <f t="shared" si="965"/>
        <v>4370131.5827846574</v>
      </c>
      <c r="R291">
        <f t="shared" si="966"/>
        <v>659138648.54510641</v>
      </c>
      <c r="S291">
        <f t="shared" si="967"/>
        <v>6591.3864854510639</v>
      </c>
      <c r="T291">
        <f t="shared" si="968"/>
        <v>6.5913864854510642</v>
      </c>
    </row>
    <row r="292" spans="1:20" x14ac:dyDescent="0.25">
      <c r="A292" s="5">
        <v>44301</v>
      </c>
      <c r="B292">
        <v>41.3371</v>
      </c>
      <c r="C292">
        <v>44.33</v>
      </c>
      <c r="D292">
        <v>39.663800000000002</v>
      </c>
      <c r="E292">
        <v>42.560099999999998</v>
      </c>
      <c r="F292">
        <v>12590877.74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0.24139556812824089</v>
      </c>
      <c r="Q292">
        <f t="shared" si="965"/>
        <v>3039382.0852805218</v>
      </c>
      <c r="R292">
        <f t="shared" si="966"/>
        <v>654768516.96232176</v>
      </c>
      <c r="S292">
        <f t="shared" si="967"/>
        <v>6547.6851696232179</v>
      </c>
      <c r="T292">
        <f t="shared" si="968"/>
        <v>6.5476851696232181</v>
      </c>
    </row>
    <row r="293" spans="1:20" x14ac:dyDescent="0.25">
      <c r="A293" s="5">
        <v>44300</v>
      </c>
      <c r="B293">
        <v>35.541600000000003</v>
      </c>
      <c r="C293">
        <v>41.990099999999998</v>
      </c>
      <c r="D293">
        <v>35</v>
      </c>
      <c r="E293">
        <v>41.364100000000001</v>
      </c>
      <c r="F293">
        <v>14042147.720000001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0.82088954378335133</v>
      </c>
      <c r="Q293">
        <f t="shared" si="965"/>
        <v>11527052.235609228</v>
      </c>
      <c r="R293">
        <f t="shared" si="966"/>
        <v>651729134.87704122</v>
      </c>
      <c r="S293">
        <f t="shared" si="967"/>
        <v>6517.2913487704118</v>
      </c>
      <c r="T293">
        <f t="shared" si="968"/>
        <v>6.5172913487704118</v>
      </c>
    </row>
    <row r="294" spans="1:20" x14ac:dyDescent="0.25">
      <c r="A294" s="5">
        <v>44299</v>
      </c>
      <c r="B294">
        <v>33.1023</v>
      </c>
      <c r="C294">
        <v>35.8645</v>
      </c>
      <c r="D294">
        <v>32.3842</v>
      </c>
      <c r="E294">
        <v>35.521700000000003</v>
      </c>
      <c r="F294">
        <v>6101006.7199999997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0.8030054880326426</v>
      </c>
      <c r="Q294">
        <f t="shared" si="965"/>
        <v>4899141.8786840318</v>
      </c>
      <c r="R294">
        <f t="shared" si="966"/>
        <v>640202082.64143205</v>
      </c>
      <c r="S294">
        <f t="shared" si="967"/>
        <v>6402.0208264143203</v>
      </c>
      <c r="T294">
        <f t="shared" si="968"/>
        <v>6.4020208264143204</v>
      </c>
    </row>
    <row r="295" spans="1:20" x14ac:dyDescent="0.25">
      <c r="A295" s="5">
        <v>44298</v>
      </c>
      <c r="B295">
        <v>33.881100000000004</v>
      </c>
      <c r="C295">
        <v>34.146799999999999</v>
      </c>
      <c r="D295">
        <v>31.860099999999999</v>
      </c>
      <c r="E295">
        <v>33.107999999999997</v>
      </c>
      <c r="F295">
        <v>4114028.73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9.1441815716970243E-2</v>
      </c>
      <c r="Q295">
        <f t="shared" si="965"/>
        <v>376194.25698298111</v>
      </c>
      <c r="R295">
        <f t="shared" si="966"/>
        <v>635302940.762748</v>
      </c>
      <c r="S295">
        <f t="shared" si="967"/>
        <v>6353.0294076274804</v>
      </c>
      <c r="T295">
        <f t="shared" si="968"/>
        <v>6.3530294076274805</v>
      </c>
    </row>
    <row r="296" spans="1:20" x14ac:dyDescent="0.25">
      <c r="A296" s="5">
        <v>44297</v>
      </c>
      <c r="B296">
        <v>31.898</v>
      </c>
      <c r="C296">
        <v>34.439700000000002</v>
      </c>
      <c r="D296">
        <v>31.728300000000001</v>
      </c>
      <c r="E296">
        <v>33.881100000000004</v>
      </c>
      <c r="F296">
        <v>4950189.88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0.58796193848196632</v>
      </c>
      <c r="Q296">
        <f t="shared" si="965"/>
        <v>2910523.2376986123</v>
      </c>
      <c r="R296">
        <f t="shared" si="966"/>
        <v>634926746.50576508</v>
      </c>
      <c r="S296">
        <f t="shared" si="967"/>
        <v>6349.267465057651</v>
      </c>
      <c r="T296">
        <f t="shared" si="968"/>
        <v>6.3492674650576513</v>
      </c>
    </row>
    <row r="297" spans="1:20" x14ac:dyDescent="0.25">
      <c r="A297" s="5">
        <v>44296</v>
      </c>
      <c r="B297">
        <v>31.5961</v>
      </c>
      <c r="C297">
        <v>33</v>
      </c>
      <c r="D297">
        <v>31</v>
      </c>
      <c r="E297">
        <v>31.894400000000001</v>
      </c>
      <c r="F297">
        <v>3548018.58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-0.10559999999999903</v>
      </c>
      <c r="Q297">
        <f t="shared" si="965"/>
        <v>-374670.76204799657</v>
      </c>
      <c r="R297">
        <f t="shared" si="966"/>
        <v>632016223.26806653</v>
      </c>
      <c r="S297">
        <f t="shared" si="967"/>
        <v>6320.1622326806655</v>
      </c>
      <c r="T297">
        <f t="shared" si="968"/>
        <v>6.3201622326806657</v>
      </c>
    </row>
    <row r="298" spans="1:20" x14ac:dyDescent="0.25">
      <c r="A298" s="5">
        <v>44295</v>
      </c>
      <c r="B298">
        <v>32.786999999999999</v>
      </c>
      <c r="C298">
        <v>33.287599999999998</v>
      </c>
      <c r="D298">
        <v>31.2348</v>
      </c>
      <c r="E298">
        <v>31.589300000000001</v>
      </c>
      <c r="F298">
        <v>3146093.79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-0.65461808261886012</v>
      </c>
      <c r="Q298">
        <f t="shared" si="965"/>
        <v>-2059489.8845489027</v>
      </c>
      <c r="R298">
        <f t="shared" si="966"/>
        <v>632390894.03011453</v>
      </c>
      <c r="S298">
        <f t="shared" si="967"/>
        <v>6323.9089403011449</v>
      </c>
      <c r="T298">
        <f t="shared" si="968"/>
        <v>6.3239089403011448</v>
      </c>
    </row>
    <row r="299" spans="1:20" x14ac:dyDescent="0.25">
      <c r="A299" s="5">
        <v>44294</v>
      </c>
      <c r="B299">
        <v>31.1008</v>
      </c>
      <c r="C299">
        <v>32.899900000000002</v>
      </c>
      <c r="D299">
        <v>30.9466</v>
      </c>
      <c r="E299">
        <v>32.788400000000003</v>
      </c>
      <c r="F299">
        <v>3548631.28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0.88583422925305955</v>
      </c>
      <c r="Q299">
        <f t="shared" si="965"/>
        <v>3143499.054822098</v>
      </c>
      <c r="R299">
        <f t="shared" si="966"/>
        <v>634450383.91466343</v>
      </c>
      <c r="S299">
        <f t="shared" si="967"/>
        <v>6344.5038391466342</v>
      </c>
      <c r="T299">
        <f t="shared" si="968"/>
        <v>6.3445038391466344</v>
      </c>
    </row>
    <row r="300" spans="1:20" x14ac:dyDescent="0.25">
      <c r="A300" s="5">
        <v>44293</v>
      </c>
      <c r="B300">
        <v>34.729500000000002</v>
      </c>
      <c r="C300">
        <v>35.119999999999997</v>
      </c>
      <c r="D300">
        <v>30.2286</v>
      </c>
      <c r="E300">
        <v>31.109000000000002</v>
      </c>
      <c r="F300">
        <v>7354475.7199999997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-0.64002126180643493</v>
      </c>
      <c r="Q300">
        <f t="shared" si="965"/>
        <v>-4707020.8302391889</v>
      </c>
      <c r="R300">
        <f t="shared" si="966"/>
        <v>631306884.85984135</v>
      </c>
      <c r="S300">
        <f t="shared" si="967"/>
        <v>6313.0688485984138</v>
      </c>
      <c r="T300">
        <f t="shared" si="968"/>
        <v>6.3130688485984141</v>
      </c>
    </row>
    <row r="301" spans="1:20" x14ac:dyDescent="0.25">
      <c r="A301" s="5">
        <v>44292</v>
      </c>
      <c r="B301">
        <v>32.379100000000001</v>
      </c>
      <c r="C301">
        <v>34.9</v>
      </c>
      <c r="D301">
        <v>31.307400000000001</v>
      </c>
      <c r="E301">
        <v>34.725000000000001</v>
      </c>
      <c r="F301">
        <v>8893492.9399999995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0.90257752045872219</v>
      </c>
      <c r="Q301">
        <f t="shared" si="965"/>
        <v>8027066.8060023505</v>
      </c>
      <c r="R301">
        <f t="shared" si="966"/>
        <v>636013905.69008052</v>
      </c>
      <c r="S301">
        <f t="shared" si="967"/>
        <v>6360.1390569008054</v>
      </c>
      <c r="T301">
        <f t="shared" si="968"/>
        <v>6.3601390569008052</v>
      </c>
    </row>
    <row r="302" spans="1:20" x14ac:dyDescent="0.25">
      <c r="A302" s="5">
        <v>44291</v>
      </c>
      <c r="B302">
        <v>30.747299999999999</v>
      </c>
      <c r="C302">
        <v>32.639899999999997</v>
      </c>
      <c r="D302">
        <v>29.617899999999999</v>
      </c>
      <c r="E302">
        <v>32.379100000000001</v>
      </c>
      <c r="F302">
        <v>5116263.33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0.82739907346128638</v>
      </c>
      <c r="Q302">
        <f t="shared" si="965"/>
        <v>4233191.5388259562</v>
      </c>
      <c r="R302">
        <f t="shared" si="966"/>
        <v>627986838.88407815</v>
      </c>
      <c r="S302">
        <f t="shared" si="967"/>
        <v>6279.8683888407813</v>
      </c>
      <c r="T302">
        <f t="shared" si="968"/>
        <v>6.2798683888407814</v>
      </c>
    </row>
    <row r="303" spans="1:20" x14ac:dyDescent="0.25">
      <c r="A303" s="5">
        <v>44290</v>
      </c>
      <c r="B303">
        <v>29.292999999999999</v>
      </c>
      <c r="C303">
        <v>31.464300000000001</v>
      </c>
      <c r="D303">
        <v>28.680099999999999</v>
      </c>
      <c r="E303">
        <v>30.7471</v>
      </c>
      <c r="F303">
        <v>3036730.2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0.48480712592486075</v>
      </c>
      <c r="Q303">
        <f t="shared" si="965"/>
        <v>1472228.4404712277</v>
      </c>
      <c r="R303">
        <f t="shared" si="966"/>
        <v>623753647.34525216</v>
      </c>
      <c r="S303">
        <f t="shared" si="967"/>
        <v>6237.5364734525219</v>
      </c>
      <c r="T303">
        <f t="shared" si="968"/>
        <v>6.237536473452522</v>
      </c>
    </row>
    <row r="304" spans="1:20" x14ac:dyDescent="0.25">
      <c r="A304" s="5">
        <v>44289</v>
      </c>
      <c r="B304">
        <v>32.486699999999999</v>
      </c>
      <c r="C304">
        <v>33.170699999999997</v>
      </c>
      <c r="D304">
        <v>29.125599999999999</v>
      </c>
      <c r="E304">
        <v>29.292999999999999</v>
      </c>
      <c r="F304">
        <v>5352533.08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-0.91723319571827611</v>
      </c>
      <c r="Q304">
        <f t="shared" si="965"/>
        <v>-4909521.0221561873</v>
      </c>
      <c r="R304">
        <f t="shared" si="966"/>
        <v>622281418.90478098</v>
      </c>
      <c r="S304">
        <f t="shared" si="967"/>
        <v>6222.81418904781</v>
      </c>
      <c r="T304">
        <f t="shared" si="968"/>
        <v>6.2228141890478099</v>
      </c>
    </row>
    <row r="305" spans="1:20" x14ac:dyDescent="0.25">
      <c r="A305" s="5">
        <v>44288</v>
      </c>
      <c r="B305">
        <v>30.0808</v>
      </c>
      <c r="C305">
        <v>32.555500000000002</v>
      </c>
      <c r="D305">
        <v>29.361000000000001</v>
      </c>
      <c r="E305">
        <v>32.486400000000003</v>
      </c>
      <c r="F305">
        <v>4541298.12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0.95673814368445842</v>
      </c>
      <c r="Q305">
        <f t="shared" si="965"/>
        <v>4344833.1332465215</v>
      </c>
      <c r="R305">
        <f t="shared" si="966"/>
        <v>627190939.92693722</v>
      </c>
      <c r="S305">
        <f t="shared" si="967"/>
        <v>6271.9093992693724</v>
      </c>
      <c r="T305">
        <f t="shared" si="968"/>
        <v>6.2719093992693722</v>
      </c>
    </row>
    <row r="306" spans="1:20" x14ac:dyDescent="0.25">
      <c r="A306" s="5">
        <v>44287</v>
      </c>
      <c r="B306">
        <v>29.416799999999999</v>
      </c>
      <c r="C306">
        <v>31.125</v>
      </c>
      <c r="D306">
        <v>29.314299999999999</v>
      </c>
      <c r="E306">
        <v>30.0684</v>
      </c>
      <c r="F306">
        <v>5441691.3700000001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-0.16706246203125771</v>
      </c>
      <c r="Q306">
        <f t="shared" si="965"/>
        <v>-909102.3578864478</v>
      </c>
      <c r="R306">
        <f t="shared" si="966"/>
        <v>622846106.79369068</v>
      </c>
      <c r="S306">
        <f t="shared" si="967"/>
        <v>6228.4610679369071</v>
      </c>
      <c r="T306">
        <f t="shared" si="968"/>
        <v>6.228461067936907</v>
      </c>
    </row>
    <row r="307" spans="1:20" x14ac:dyDescent="0.25">
      <c r="A307" s="5">
        <v>44286</v>
      </c>
      <c r="B307">
        <v>27.83</v>
      </c>
      <c r="C307">
        <v>29.440100000000001</v>
      </c>
      <c r="D307">
        <v>26.18</v>
      </c>
      <c r="E307">
        <v>29.416699999999999</v>
      </c>
      <c r="F307">
        <v>4354539.16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0.98564461212846088</v>
      </c>
      <c r="Q307">
        <f t="shared" si="965"/>
        <v>4292028.0613563936</v>
      </c>
      <c r="R307">
        <f t="shared" si="966"/>
        <v>623755209.15157712</v>
      </c>
      <c r="S307">
        <f t="shared" si="967"/>
        <v>6237.5520915157713</v>
      </c>
      <c r="T307">
        <f t="shared" si="968"/>
        <v>6.2375520915157709</v>
      </c>
    </row>
    <row r="308" spans="1:20" x14ac:dyDescent="0.25">
      <c r="A308" s="5">
        <v>44285</v>
      </c>
      <c r="B308">
        <v>28.035599999999999</v>
      </c>
      <c r="C308">
        <v>28.573499999999999</v>
      </c>
      <c r="D308">
        <v>27.446000000000002</v>
      </c>
      <c r="E308">
        <v>27.830100000000002</v>
      </c>
      <c r="F308">
        <v>2522498.9500000002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-0.3186696230598654</v>
      </c>
      <c r="Q308">
        <f t="shared" si="965"/>
        <v>-803843.78956540627</v>
      </c>
      <c r="R308">
        <f t="shared" si="966"/>
        <v>619463181.09022069</v>
      </c>
      <c r="S308">
        <f t="shared" si="967"/>
        <v>6194.6318109022068</v>
      </c>
      <c r="T308">
        <f t="shared" si="968"/>
        <v>6.1946318109022069</v>
      </c>
    </row>
    <row r="309" spans="1:20" x14ac:dyDescent="0.25">
      <c r="A309" s="5">
        <v>44284</v>
      </c>
      <c r="B309">
        <v>26.657599999999999</v>
      </c>
      <c r="C309">
        <v>28.6203</v>
      </c>
      <c r="D309">
        <v>26.3886</v>
      </c>
      <c r="E309">
        <v>28.035699999999999</v>
      </c>
      <c r="F309">
        <v>3631401.63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0.47609445714029502</v>
      </c>
      <c r="Q309">
        <f t="shared" si="965"/>
        <v>1728890.1876932324</v>
      </c>
      <c r="R309">
        <f t="shared" si="966"/>
        <v>620267024.87978613</v>
      </c>
      <c r="S309">
        <f t="shared" si="967"/>
        <v>6202.6702487978609</v>
      </c>
      <c r="T309">
        <f t="shared" si="968"/>
        <v>6.2026702487978609</v>
      </c>
    </row>
    <row r="310" spans="1:20" x14ac:dyDescent="0.25">
      <c r="A310" s="5">
        <v>44283</v>
      </c>
      <c r="B310">
        <v>26.8765</v>
      </c>
      <c r="C310">
        <v>27.662400000000002</v>
      </c>
      <c r="D310">
        <v>26.088899999999999</v>
      </c>
      <c r="E310">
        <v>26.658799999999999</v>
      </c>
      <c r="F310">
        <v>2209824.35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-0.27562758182395997</v>
      </c>
      <c r="Q310">
        <f t="shared" si="965"/>
        <v>-609088.5418462042</v>
      </c>
      <c r="R310">
        <f t="shared" si="966"/>
        <v>618538134.6920929</v>
      </c>
      <c r="S310">
        <f t="shared" si="967"/>
        <v>6185.381346920929</v>
      </c>
      <c r="T310">
        <f t="shared" si="968"/>
        <v>6.1853813469209289</v>
      </c>
    </row>
    <row r="311" spans="1:20" x14ac:dyDescent="0.25">
      <c r="A311" s="5">
        <v>44282</v>
      </c>
      <c r="B311">
        <v>27.398800000000001</v>
      </c>
      <c r="C311">
        <v>27.498200000000001</v>
      </c>
      <c r="D311">
        <v>26.003</v>
      </c>
      <c r="E311">
        <v>26.8766</v>
      </c>
      <c r="F311">
        <v>2033830.6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0.16853932584269582</v>
      </c>
      <c r="Q311">
        <f t="shared" si="965"/>
        <v>342780.43820224557</v>
      </c>
      <c r="R311">
        <f t="shared" si="966"/>
        <v>619147223.23393905</v>
      </c>
      <c r="S311">
        <f t="shared" si="967"/>
        <v>6191.4722323393908</v>
      </c>
      <c r="T311">
        <f t="shared" si="968"/>
        <v>6.1914722323393905</v>
      </c>
    </row>
    <row r="312" spans="1:20" x14ac:dyDescent="0.25">
      <c r="A312" s="5">
        <v>44281</v>
      </c>
      <c r="B312">
        <v>25.53</v>
      </c>
      <c r="C312">
        <v>27.4</v>
      </c>
      <c r="D312">
        <v>25.359100000000002</v>
      </c>
      <c r="E312">
        <v>27.392700000000001</v>
      </c>
      <c r="F312">
        <v>4214750.51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0.99284629330197738</v>
      </c>
      <c r="Q312">
        <f t="shared" si="965"/>
        <v>4184599.4210461187</v>
      </c>
      <c r="R312">
        <f t="shared" si="966"/>
        <v>618804442.79573679</v>
      </c>
      <c r="S312">
        <f t="shared" si="967"/>
        <v>6188.0444279573676</v>
      </c>
      <c r="T312">
        <f t="shared" si="968"/>
        <v>6.1880444279573679</v>
      </c>
    </row>
    <row r="313" spans="1:20" x14ac:dyDescent="0.25">
      <c r="A313" s="5">
        <v>44280</v>
      </c>
      <c r="B313">
        <v>24.867899999999999</v>
      </c>
      <c r="C313">
        <v>26.6401</v>
      </c>
      <c r="D313">
        <v>24.366499999999998</v>
      </c>
      <c r="E313">
        <v>25.535</v>
      </c>
      <c r="F313">
        <v>5165569.26</v>
      </c>
      <c r="G313">
        <v>0</v>
      </c>
      <c r="L313" t="s">
        <v>8</v>
      </c>
      <c r="M313" t="s">
        <v>7</v>
      </c>
      <c r="N313" t="s">
        <v>8</v>
      </c>
      <c r="P313">
        <f t="shared" si="964"/>
        <v>2.788529204785424E-2</v>
      </c>
      <c r="Q313">
        <f t="shared" si="965"/>
        <v>144043.40740851831</v>
      </c>
      <c r="R313">
        <f t="shared" si="966"/>
        <v>614619843.37469065</v>
      </c>
      <c r="S313">
        <f t="shared" si="967"/>
        <v>6146.1984337469066</v>
      </c>
      <c r="T313">
        <f t="shared" si="968"/>
        <v>6.1461984337469069</v>
      </c>
    </row>
    <row r="314" spans="1:20" x14ac:dyDescent="0.25">
      <c r="A314" s="5">
        <v>44279</v>
      </c>
      <c r="B314">
        <v>26.783100000000001</v>
      </c>
      <c r="C314">
        <v>27.881399999999999</v>
      </c>
      <c r="D314">
        <v>23.61</v>
      </c>
      <c r="E314">
        <v>24.868400000000001</v>
      </c>
      <c r="F314">
        <v>5130184.12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-0.41077866741583474</v>
      </c>
      <c r="Q314">
        <f t="shared" si="965"/>
        <v>-2107370.1964114769</v>
      </c>
      <c r="R314">
        <f t="shared" si="966"/>
        <v>614475799.96728218</v>
      </c>
      <c r="S314">
        <f t="shared" si="967"/>
        <v>6144.7579996728218</v>
      </c>
      <c r="T314">
        <f t="shared" si="968"/>
        <v>6.1447579996728221</v>
      </c>
    </row>
    <row r="315" spans="1:20" x14ac:dyDescent="0.25">
      <c r="A315" s="5">
        <v>44278</v>
      </c>
      <c r="B315">
        <v>27.255099999999999</v>
      </c>
      <c r="C315">
        <v>27.935099999999998</v>
      </c>
      <c r="D315">
        <v>26.628299999999999</v>
      </c>
      <c r="E315">
        <v>26.781300000000002</v>
      </c>
      <c r="F315">
        <v>3697991.34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-0.76584022038567134</v>
      </c>
      <c r="Q315">
        <f t="shared" si="965"/>
        <v>-2832070.5028099041</v>
      </c>
      <c r="R315">
        <f t="shared" si="966"/>
        <v>616583170.16369367</v>
      </c>
      <c r="S315">
        <f t="shared" si="967"/>
        <v>6165.8317016369365</v>
      </c>
      <c r="T315">
        <f t="shared" si="968"/>
        <v>6.1658317016369368</v>
      </c>
    </row>
    <row r="316" spans="1:20" x14ac:dyDescent="0.25">
      <c r="A316" s="5">
        <v>44277</v>
      </c>
      <c r="B316">
        <v>29.2117</v>
      </c>
      <c r="C316">
        <v>29.444400000000002</v>
      </c>
      <c r="D316">
        <v>27.136199999999999</v>
      </c>
      <c r="E316">
        <v>27.243099999999998</v>
      </c>
      <c r="F316">
        <v>3569707.65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-0.90737371111688814</v>
      </c>
      <c r="Q316">
        <f t="shared" si="965"/>
        <v>-3239058.8779828455</v>
      </c>
      <c r="R316">
        <f t="shared" si="966"/>
        <v>619415240.66650355</v>
      </c>
      <c r="S316">
        <f t="shared" si="967"/>
        <v>6194.1524066650354</v>
      </c>
      <c r="T316">
        <f t="shared" si="968"/>
        <v>6.1941524066650357</v>
      </c>
    </row>
    <row r="317" spans="1:20" x14ac:dyDescent="0.25">
      <c r="A317" s="5">
        <v>44276</v>
      </c>
      <c r="B317">
        <v>29.656400000000001</v>
      </c>
      <c r="C317">
        <v>30.08</v>
      </c>
      <c r="D317">
        <v>28.581700000000001</v>
      </c>
      <c r="E317">
        <v>29.209700000000002</v>
      </c>
      <c r="F317">
        <v>2589005.21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-0.16171661216044661</v>
      </c>
      <c r="Q317">
        <f t="shared" si="965"/>
        <v>-418685.15142694564</v>
      </c>
      <c r="R317">
        <f t="shared" si="966"/>
        <v>622654299.5444864</v>
      </c>
      <c r="S317">
        <f t="shared" si="967"/>
        <v>6226.5429954448637</v>
      </c>
      <c r="T317">
        <f t="shared" si="968"/>
        <v>6.2265429954448637</v>
      </c>
    </row>
    <row r="318" spans="1:20" x14ac:dyDescent="0.25">
      <c r="A318" s="5">
        <v>44275</v>
      </c>
      <c r="B318">
        <v>29.7866</v>
      </c>
      <c r="C318">
        <v>31.432500000000001</v>
      </c>
      <c r="D318">
        <v>29.5701</v>
      </c>
      <c r="E318">
        <v>29.6465</v>
      </c>
      <c r="F318">
        <v>3370847.33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-0.91795532646048161</v>
      </c>
      <c r="Q318">
        <f t="shared" si="965"/>
        <v>-3094287.2612585928</v>
      </c>
      <c r="R318">
        <f t="shared" si="966"/>
        <v>623072984.69591331</v>
      </c>
      <c r="S318">
        <f t="shared" si="967"/>
        <v>6230.7298469591333</v>
      </c>
      <c r="T318">
        <f t="shared" si="968"/>
        <v>6.2307298469591332</v>
      </c>
    </row>
    <row r="319" spans="1:20" x14ac:dyDescent="0.25">
      <c r="A319" s="5">
        <v>44274</v>
      </c>
      <c r="B319">
        <v>29.392900000000001</v>
      </c>
      <c r="C319">
        <v>30.550999999999998</v>
      </c>
      <c r="D319">
        <v>28.680199999999999</v>
      </c>
      <c r="E319">
        <v>29.777000000000001</v>
      </c>
      <c r="F319">
        <v>3576087.99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0.17254650416934175</v>
      </c>
      <c r="Q319">
        <f t="shared" si="965"/>
        <v>617041.48127646802</v>
      </c>
      <c r="R319">
        <f t="shared" si="966"/>
        <v>626167271.95717192</v>
      </c>
      <c r="S319">
        <f t="shared" si="967"/>
        <v>6261.6727195717194</v>
      </c>
      <c r="T319">
        <f t="shared" si="968"/>
        <v>6.2616727195717194</v>
      </c>
    </row>
    <row r="320" spans="1:20" x14ac:dyDescent="0.25">
      <c r="A320" s="5">
        <v>44273</v>
      </c>
      <c r="B320">
        <v>31.0579</v>
      </c>
      <c r="C320">
        <v>31.358799999999999</v>
      </c>
      <c r="D320">
        <v>29</v>
      </c>
      <c r="E320">
        <v>29.3949</v>
      </c>
      <c r="F320">
        <v>4993129.5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-0.66516872986264197</v>
      </c>
      <c r="Q320">
        <f t="shared" si="965"/>
        <v>-3321273.6075546886</v>
      </c>
      <c r="R320">
        <f t="shared" si="966"/>
        <v>625550230.4758954</v>
      </c>
      <c r="S320">
        <f t="shared" si="967"/>
        <v>6255.5023047589539</v>
      </c>
      <c r="T320">
        <f t="shared" si="968"/>
        <v>6.255502304758954</v>
      </c>
    </row>
    <row r="321" spans="1:20" x14ac:dyDescent="0.25">
      <c r="A321" s="5">
        <v>44272</v>
      </c>
      <c r="B321">
        <v>27.91</v>
      </c>
      <c r="C321">
        <v>31.2</v>
      </c>
      <c r="D321">
        <v>27.302700000000002</v>
      </c>
      <c r="E321">
        <v>31.0579</v>
      </c>
      <c r="F321">
        <v>8170703.3200000003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0.9270777204731484</v>
      </c>
      <c r="Q321">
        <f t="shared" si="965"/>
        <v>7574877.0085679861</v>
      </c>
      <c r="R321">
        <f t="shared" si="966"/>
        <v>628871504.08345008</v>
      </c>
      <c r="S321">
        <f t="shared" si="967"/>
        <v>6288.7150408345005</v>
      </c>
      <c r="T321">
        <f t="shared" si="968"/>
        <v>6.2887150408345009</v>
      </c>
    </row>
    <row r="322" spans="1:20" x14ac:dyDescent="0.25">
      <c r="A322" s="5">
        <v>44271</v>
      </c>
      <c r="B322">
        <v>27.500599999999999</v>
      </c>
      <c r="C322">
        <v>28.188300000000002</v>
      </c>
      <c r="D322">
        <v>26.397500000000001</v>
      </c>
      <c r="E322">
        <v>27.9099</v>
      </c>
      <c r="F322">
        <v>3775086.95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0.68907750725932415</v>
      </c>
      <c r="Q322">
        <f t="shared" si="965"/>
        <v>2601327.5051932051</v>
      </c>
      <c r="R322">
        <f t="shared" si="966"/>
        <v>621296627.07488215</v>
      </c>
      <c r="S322">
        <f t="shared" si="967"/>
        <v>6212.9662707488214</v>
      </c>
      <c r="T322">
        <f t="shared" si="968"/>
        <v>6.2129662707488214</v>
      </c>
    </row>
    <row r="323" spans="1:20" x14ac:dyDescent="0.25">
      <c r="A323" s="5">
        <v>44270</v>
      </c>
      <c r="B323">
        <v>28.530999999999999</v>
      </c>
      <c r="C323">
        <v>29.421700000000001</v>
      </c>
      <c r="D323">
        <v>26.8</v>
      </c>
      <c r="E323">
        <v>27.5091</v>
      </c>
      <c r="F323">
        <v>5267823.29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-0.45905328603577888</v>
      </c>
      <c r="Q323">
        <f t="shared" si="965"/>
        <v>-2418211.5915303077</v>
      </c>
      <c r="R323">
        <f t="shared" si="966"/>
        <v>618695299.56968892</v>
      </c>
      <c r="S323">
        <f t="shared" si="967"/>
        <v>6186.952995696889</v>
      </c>
      <c r="T323">
        <f t="shared" si="968"/>
        <v>6.1869529956968892</v>
      </c>
    </row>
    <row r="324" spans="1:20" x14ac:dyDescent="0.25">
      <c r="A324" s="5">
        <v>44269</v>
      </c>
      <c r="B324">
        <v>29.750599999999999</v>
      </c>
      <c r="C324">
        <v>30.2</v>
      </c>
      <c r="D324">
        <v>28.5108</v>
      </c>
      <c r="E324">
        <v>28.546900000000001</v>
      </c>
      <c r="F324">
        <v>3148221.83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-0.9572578735496079</v>
      </c>
      <c r="Q324">
        <f t="shared" si="965"/>
        <v>-3013660.1344482554</v>
      </c>
      <c r="R324">
        <f t="shared" si="966"/>
        <v>621113511.16121924</v>
      </c>
      <c r="S324">
        <f t="shared" si="967"/>
        <v>6211.1351116121923</v>
      </c>
      <c r="T324">
        <f t="shared" si="968"/>
        <v>6.211135111612192</v>
      </c>
    </row>
    <row r="325" spans="1:20" x14ac:dyDescent="0.25">
      <c r="A325" s="5">
        <v>44268</v>
      </c>
      <c r="B325">
        <v>28.3523</v>
      </c>
      <c r="C325">
        <v>30.57</v>
      </c>
      <c r="D325">
        <v>26.932600000000001</v>
      </c>
      <c r="E325">
        <v>29.738399999999999</v>
      </c>
      <c r="F325">
        <v>5690169.0999999996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0.54275031615989344</v>
      </c>
      <c r="Q325">
        <f t="shared" si="965"/>
        <v>3088341.0780282561</v>
      </c>
      <c r="R325">
        <f t="shared" si="966"/>
        <v>624127171.29566753</v>
      </c>
      <c r="S325">
        <f t="shared" si="967"/>
        <v>6241.2717129566754</v>
      </c>
      <c r="T325">
        <f t="shared" si="968"/>
        <v>6.2412717129566753</v>
      </c>
    </row>
    <row r="326" spans="1:20" x14ac:dyDescent="0.25">
      <c r="A326" s="5">
        <v>44267</v>
      </c>
      <c r="B326">
        <v>30.122699999999998</v>
      </c>
      <c r="C326">
        <v>30.411000000000001</v>
      </c>
      <c r="D326">
        <v>27.371700000000001</v>
      </c>
      <c r="E326">
        <v>28.3553</v>
      </c>
      <c r="F326">
        <v>4815001.0599999996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-0.35274569802257172</v>
      </c>
      <c r="Q326">
        <f t="shared" ref="Q326:Q389" si="970">F326*P326</f>
        <v>-1698470.9098891225</v>
      </c>
      <c r="R326">
        <f t="shared" ref="R326:R389" si="971">R327+Q326</f>
        <v>621038830.21763933</v>
      </c>
      <c r="S326">
        <f t="shared" ref="S326:S389" si="972">R326/100000</f>
        <v>6210.3883021763932</v>
      </c>
      <c r="T326">
        <f t="shared" ref="T326:T389" si="973">S326/1000</f>
        <v>6.2103883021763933</v>
      </c>
    </row>
    <row r="327" spans="1:20" x14ac:dyDescent="0.25">
      <c r="A327" s="5">
        <v>44266</v>
      </c>
      <c r="B327">
        <v>29.874300000000002</v>
      </c>
      <c r="C327">
        <v>30.528500000000001</v>
      </c>
      <c r="D327">
        <v>28.551600000000001</v>
      </c>
      <c r="E327">
        <v>30.116599999999998</v>
      </c>
      <c r="F327">
        <v>5079711.8499999996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0.58328696443927086</v>
      </c>
      <c r="Q327">
        <f t="shared" si="970"/>
        <v>2962929.7052126927</v>
      </c>
      <c r="R327">
        <f t="shared" si="971"/>
        <v>622737301.12752843</v>
      </c>
      <c r="S327">
        <f t="shared" si="972"/>
        <v>6227.3730112752846</v>
      </c>
      <c r="T327">
        <f t="shared" si="973"/>
        <v>6.2273730112752848</v>
      </c>
    </row>
    <row r="328" spans="1:20" x14ac:dyDescent="0.25">
      <c r="A328" s="5">
        <v>44265</v>
      </c>
      <c r="B328">
        <v>31.491399999999999</v>
      </c>
      <c r="C328">
        <v>31.793399999999998</v>
      </c>
      <c r="D328">
        <v>29.2545</v>
      </c>
      <c r="E328">
        <v>29.903600000000001</v>
      </c>
      <c r="F328">
        <v>4916671.7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-0.48867619835361681</v>
      </c>
      <c r="Q328">
        <f t="shared" si="970"/>
        <v>-2402660.4349088143</v>
      </c>
      <c r="R328">
        <f t="shared" si="971"/>
        <v>619774371.42231572</v>
      </c>
      <c r="S328">
        <f t="shared" si="972"/>
        <v>6197.7437142231574</v>
      </c>
      <c r="T328">
        <f t="shared" si="973"/>
        <v>6.1977437142231571</v>
      </c>
    </row>
    <row r="329" spans="1:20" x14ac:dyDescent="0.25">
      <c r="A329" s="5">
        <v>44264</v>
      </c>
      <c r="B329">
        <v>31.822700000000001</v>
      </c>
      <c r="C329">
        <v>32</v>
      </c>
      <c r="D329">
        <v>30.363900000000001</v>
      </c>
      <c r="E329">
        <v>31.491399999999999</v>
      </c>
      <c r="F329">
        <v>5209845.28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0.37827761139294469</v>
      </c>
      <c r="Q329">
        <f t="shared" si="970"/>
        <v>1970767.8282452072</v>
      </c>
      <c r="R329">
        <f t="shared" si="971"/>
        <v>622177031.85722458</v>
      </c>
      <c r="S329">
        <f t="shared" si="972"/>
        <v>6221.7703185722457</v>
      </c>
      <c r="T329">
        <f t="shared" si="973"/>
        <v>6.2217703185722462</v>
      </c>
    </row>
    <row r="330" spans="1:20" x14ac:dyDescent="0.25">
      <c r="A330" s="5">
        <v>44263</v>
      </c>
      <c r="B330">
        <v>28.591799999999999</v>
      </c>
      <c r="C330">
        <v>31.846900000000002</v>
      </c>
      <c r="D330">
        <v>28.2652</v>
      </c>
      <c r="E330">
        <v>31.846900000000002</v>
      </c>
      <c r="F330">
        <v>7181496.7000000002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1</v>
      </c>
      <c r="Q330">
        <f t="shared" si="970"/>
        <v>7181496.7000000002</v>
      </c>
      <c r="R330">
        <f t="shared" si="971"/>
        <v>620206264.02897942</v>
      </c>
      <c r="S330">
        <f t="shared" si="972"/>
        <v>6202.0626402897942</v>
      </c>
      <c r="T330">
        <f t="shared" si="973"/>
        <v>6.2020626402897943</v>
      </c>
    </row>
    <row r="331" spans="1:20" x14ac:dyDescent="0.25">
      <c r="A331" s="5">
        <v>44262</v>
      </c>
      <c r="B331">
        <v>28.160799999999998</v>
      </c>
      <c r="C331">
        <v>29.125800000000002</v>
      </c>
      <c r="D331">
        <v>27.385899999999999</v>
      </c>
      <c r="E331">
        <v>28.5932</v>
      </c>
      <c r="F331">
        <v>4599258.0199999996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0.38778090694867351</v>
      </c>
      <c r="Q331">
        <f t="shared" si="970"/>
        <v>1783504.4462865603</v>
      </c>
      <c r="R331">
        <f t="shared" si="971"/>
        <v>613024767.32897937</v>
      </c>
      <c r="S331">
        <f t="shared" si="972"/>
        <v>6130.247673289794</v>
      </c>
      <c r="T331">
        <f t="shared" si="973"/>
        <v>6.1302476732897944</v>
      </c>
    </row>
    <row r="332" spans="1:20" x14ac:dyDescent="0.25">
      <c r="A332" s="5">
        <v>44261</v>
      </c>
      <c r="B332">
        <v>27.819500000000001</v>
      </c>
      <c r="C332">
        <v>28.398499999999999</v>
      </c>
      <c r="D332">
        <v>26.288900000000002</v>
      </c>
      <c r="E332">
        <v>28.1479</v>
      </c>
      <c r="F332">
        <v>3809103.37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0.76241941600303476</v>
      </c>
      <c r="Q332">
        <f t="shared" si="970"/>
        <v>2904134.3668505917</v>
      </c>
      <c r="R332">
        <f t="shared" si="971"/>
        <v>611241262.88269281</v>
      </c>
      <c r="S332">
        <f t="shared" si="972"/>
        <v>6112.4126288269281</v>
      </c>
      <c r="T332">
        <f t="shared" si="973"/>
        <v>6.1124126288269283</v>
      </c>
    </row>
    <row r="333" spans="1:20" x14ac:dyDescent="0.25">
      <c r="A333" s="5">
        <v>44260</v>
      </c>
      <c r="B333">
        <v>27.685600000000001</v>
      </c>
      <c r="C333">
        <v>28.233799999999999</v>
      </c>
      <c r="D333">
        <v>25.648299999999999</v>
      </c>
      <c r="E333">
        <v>27.834299999999999</v>
      </c>
      <c r="F333">
        <v>5835770.6500000004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0.69096886482305175</v>
      </c>
      <c r="Q333">
        <f t="shared" si="970"/>
        <v>4032335.8213981832</v>
      </c>
      <c r="R333">
        <f t="shared" si="971"/>
        <v>608337128.5158422</v>
      </c>
      <c r="S333">
        <f t="shared" si="972"/>
        <v>6083.3712851584223</v>
      </c>
      <c r="T333">
        <f t="shared" si="973"/>
        <v>6.0833712851584227</v>
      </c>
    </row>
    <row r="334" spans="1:20" x14ac:dyDescent="0.25">
      <c r="A334" s="5">
        <v>44259</v>
      </c>
      <c r="B334">
        <v>29.833400000000001</v>
      </c>
      <c r="C334">
        <v>30.5731</v>
      </c>
      <c r="D334">
        <v>27.1891</v>
      </c>
      <c r="E334">
        <v>27.694299999999998</v>
      </c>
      <c r="F334">
        <v>6809212.29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-0.7014184397163129</v>
      </c>
      <c r="Q334">
        <f t="shared" si="970"/>
        <v>-4776107.0601489423</v>
      </c>
      <c r="R334">
        <f t="shared" si="971"/>
        <v>604304792.69444406</v>
      </c>
      <c r="S334">
        <f t="shared" si="972"/>
        <v>6043.0479269444404</v>
      </c>
      <c r="T334">
        <f t="shared" si="973"/>
        <v>6.0430479269444408</v>
      </c>
    </row>
    <row r="335" spans="1:20" x14ac:dyDescent="0.25">
      <c r="A335" s="5">
        <v>44258</v>
      </c>
      <c r="B335">
        <v>28.463999999999999</v>
      </c>
      <c r="C335">
        <v>31.43</v>
      </c>
      <c r="D335">
        <v>28.127199999999998</v>
      </c>
      <c r="E335">
        <v>29.85</v>
      </c>
      <c r="F335">
        <v>6863848.8499999996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4.3236042146059299E-2</v>
      </c>
      <c r="Q335">
        <f t="shared" si="970"/>
        <v>296765.65816278063</v>
      </c>
      <c r="R335">
        <f t="shared" si="971"/>
        <v>609080899.75459301</v>
      </c>
      <c r="S335">
        <f t="shared" si="972"/>
        <v>6090.8089975459297</v>
      </c>
      <c r="T335">
        <f t="shared" si="973"/>
        <v>6.0908089975459294</v>
      </c>
    </row>
    <row r="336" spans="1:20" x14ac:dyDescent="0.25">
      <c r="A336" s="5">
        <v>44257</v>
      </c>
      <c r="B336">
        <v>27.718699999999998</v>
      </c>
      <c r="C336">
        <v>30.525099999999998</v>
      </c>
      <c r="D336">
        <v>27.175699999999999</v>
      </c>
      <c r="E336">
        <v>28.476900000000001</v>
      </c>
      <c r="F336">
        <v>9716494.5299999993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-0.2230250194064598</v>
      </c>
      <c r="Q336">
        <f t="shared" si="970"/>
        <v>-2167021.3811160102</v>
      </c>
      <c r="R336">
        <f t="shared" si="971"/>
        <v>608784134.09643018</v>
      </c>
      <c r="S336">
        <f t="shared" si="972"/>
        <v>6087.8413409643017</v>
      </c>
      <c r="T336">
        <f t="shared" si="973"/>
        <v>6.0878413409643013</v>
      </c>
    </row>
    <row r="337" spans="1:20" x14ac:dyDescent="0.25">
      <c r="A337" s="5">
        <v>44256</v>
      </c>
      <c r="B337">
        <v>24.695399999999999</v>
      </c>
      <c r="C337">
        <v>27.732600000000001</v>
      </c>
      <c r="D337">
        <v>24.575800000000001</v>
      </c>
      <c r="E337">
        <v>27.711600000000001</v>
      </c>
      <c r="F337">
        <v>12300905.73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0.98669538773441412</v>
      </c>
      <c r="Q337">
        <f t="shared" si="970"/>
        <v>12137246.948746826</v>
      </c>
      <c r="R337">
        <f t="shared" si="971"/>
        <v>610951155.47754622</v>
      </c>
      <c r="S337">
        <f t="shared" si="972"/>
        <v>6109.5115547754622</v>
      </c>
      <c r="T337">
        <f t="shared" si="973"/>
        <v>6.1095115547754624</v>
      </c>
    </row>
    <row r="338" spans="1:20" x14ac:dyDescent="0.25">
      <c r="A338" s="5">
        <v>44255</v>
      </c>
      <c r="B338">
        <v>26.194099999999999</v>
      </c>
      <c r="C338">
        <v>26.7624</v>
      </c>
      <c r="D338">
        <v>22.857800000000001</v>
      </c>
      <c r="E338">
        <v>24.701599999999999</v>
      </c>
      <c r="F338">
        <v>7913084.04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-5.5575475080674688E-2</v>
      </c>
      <c r="Q338">
        <f t="shared" si="970"/>
        <v>-439773.40487630462</v>
      </c>
      <c r="R338">
        <f t="shared" si="971"/>
        <v>598813908.52879941</v>
      </c>
      <c r="S338">
        <f t="shared" si="972"/>
        <v>5988.139085287994</v>
      </c>
      <c r="T338">
        <f t="shared" si="973"/>
        <v>5.9881390852879939</v>
      </c>
    </row>
    <row r="339" spans="1:20" x14ac:dyDescent="0.25">
      <c r="A339" s="5">
        <v>44254</v>
      </c>
      <c r="B339">
        <v>25.164999999999999</v>
      </c>
      <c r="C339">
        <v>27.447199999999999</v>
      </c>
      <c r="D339">
        <v>24.854500000000002</v>
      </c>
      <c r="E339">
        <v>26.189599999999999</v>
      </c>
      <c r="F339">
        <v>7629090.6600000001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2.9891618775792456E-2</v>
      </c>
      <c r="Q339">
        <f t="shared" si="970"/>
        <v>228045.86961467887</v>
      </c>
      <c r="R339">
        <f t="shared" si="971"/>
        <v>599253681.93367577</v>
      </c>
      <c r="S339">
        <f t="shared" si="972"/>
        <v>5992.5368193367576</v>
      </c>
      <c r="T339">
        <f t="shared" si="973"/>
        <v>5.9925368193367579</v>
      </c>
    </row>
    <row r="340" spans="1:20" x14ac:dyDescent="0.25">
      <c r="A340" s="5">
        <v>44253</v>
      </c>
      <c r="B340">
        <v>24.714400000000001</v>
      </c>
      <c r="C340">
        <v>26.990600000000001</v>
      </c>
      <c r="D340">
        <v>23.657399999999999</v>
      </c>
      <c r="E340">
        <v>25.186199999999999</v>
      </c>
      <c r="F340">
        <v>9141896.3699999992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-8.2683307332293468E-2</v>
      </c>
      <c r="Q340">
        <f t="shared" si="970"/>
        <v>-755882.22716068802</v>
      </c>
      <c r="R340">
        <f t="shared" si="971"/>
        <v>599025636.06406105</v>
      </c>
      <c r="S340">
        <f t="shared" si="972"/>
        <v>5990.2563606406102</v>
      </c>
      <c r="T340">
        <f t="shared" si="973"/>
        <v>5.9902563606406103</v>
      </c>
    </row>
    <row r="341" spans="1:20" x14ac:dyDescent="0.25">
      <c r="A341" s="5">
        <v>44252</v>
      </c>
      <c r="B341">
        <v>28.073699999999999</v>
      </c>
      <c r="C341">
        <v>28.680199999999999</v>
      </c>
      <c r="D341">
        <v>24.250900000000001</v>
      </c>
      <c r="E341">
        <v>24.714400000000001</v>
      </c>
      <c r="F341">
        <v>7925390.0700000003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-0.79071185063102523</v>
      </c>
      <c r="Q341">
        <f t="shared" si="970"/>
        <v>-6266699.8492224505</v>
      </c>
      <c r="R341">
        <f t="shared" si="971"/>
        <v>599781518.29122174</v>
      </c>
      <c r="S341">
        <f t="shared" si="972"/>
        <v>5997.8151829122171</v>
      </c>
      <c r="T341">
        <f t="shared" si="973"/>
        <v>5.997815182912217</v>
      </c>
    </row>
    <row r="342" spans="1:20" x14ac:dyDescent="0.25">
      <c r="A342" s="5">
        <v>44251</v>
      </c>
      <c r="B342">
        <v>25.9573</v>
      </c>
      <c r="C342">
        <v>29.337</v>
      </c>
      <c r="D342">
        <v>24.504999999999999</v>
      </c>
      <c r="E342">
        <v>28.085100000000001</v>
      </c>
      <c r="F342">
        <v>11441037.710000001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0.48182947019867595</v>
      </c>
      <c r="Q342">
        <f t="shared" si="970"/>
        <v>5512629.1383323735</v>
      </c>
      <c r="R342">
        <f t="shared" si="971"/>
        <v>606048218.14044416</v>
      </c>
      <c r="S342">
        <f t="shared" si="972"/>
        <v>6060.4821814044417</v>
      </c>
      <c r="T342">
        <f t="shared" si="973"/>
        <v>6.0604821814044421</v>
      </c>
    </row>
    <row r="343" spans="1:20" x14ac:dyDescent="0.25">
      <c r="A343" s="5">
        <v>44250</v>
      </c>
      <c r="B343">
        <v>31.4482</v>
      </c>
      <c r="C343">
        <v>31.682200000000002</v>
      </c>
      <c r="D343">
        <v>20.808800000000002</v>
      </c>
      <c r="E343">
        <v>25.924900000000001</v>
      </c>
      <c r="F343">
        <v>24333706.629999999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-5.8969595526698303E-2</v>
      </c>
      <c r="Q343">
        <f t="shared" si="970"/>
        <v>-1434948.8376364368</v>
      </c>
      <c r="R343">
        <f t="shared" si="971"/>
        <v>600535589.00211179</v>
      </c>
      <c r="S343">
        <f t="shared" si="972"/>
        <v>6005.3558900211183</v>
      </c>
      <c r="T343">
        <f t="shared" si="973"/>
        <v>6.0053558900211179</v>
      </c>
    </row>
    <row r="344" spans="1:20" x14ac:dyDescent="0.25">
      <c r="A344" s="5">
        <v>44249</v>
      </c>
      <c r="B344">
        <v>34.0916</v>
      </c>
      <c r="C344">
        <v>34.218499999999999</v>
      </c>
      <c r="D344">
        <v>25.231200000000001</v>
      </c>
      <c r="E344">
        <v>31.4542</v>
      </c>
      <c r="F344">
        <v>13342706.359999999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0.38484305631279708</v>
      </c>
      <c r="Q344">
        <f t="shared" si="970"/>
        <v>5134847.8950665956</v>
      </c>
      <c r="R344">
        <f t="shared" si="971"/>
        <v>601970537.83974826</v>
      </c>
      <c r="S344">
        <f t="shared" si="972"/>
        <v>6019.7053783974825</v>
      </c>
      <c r="T344">
        <f t="shared" si="973"/>
        <v>6.0197053783974823</v>
      </c>
    </row>
    <row r="345" spans="1:20" x14ac:dyDescent="0.25">
      <c r="A345" s="5">
        <v>44248</v>
      </c>
      <c r="B345">
        <v>33.929299999999998</v>
      </c>
      <c r="C345">
        <v>35.291800000000002</v>
      </c>
      <c r="D345">
        <v>33.2712</v>
      </c>
      <c r="E345">
        <v>34.091500000000003</v>
      </c>
      <c r="F345">
        <v>5179283.24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-0.18806295159853267</v>
      </c>
      <c r="Q345">
        <f t="shared" si="970"/>
        <v>-974031.2932792115</v>
      </c>
      <c r="R345">
        <f t="shared" si="971"/>
        <v>596835689.94468164</v>
      </c>
      <c r="S345">
        <f t="shared" si="972"/>
        <v>5968.3568994468169</v>
      </c>
      <c r="T345">
        <f t="shared" si="973"/>
        <v>5.9683568994468166</v>
      </c>
    </row>
    <row r="346" spans="1:20" x14ac:dyDescent="0.25">
      <c r="A346" s="5">
        <v>44247</v>
      </c>
      <c r="B346">
        <v>34.684600000000003</v>
      </c>
      <c r="C346">
        <v>36.930700000000002</v>
      </c>
      <c r="D346">
        <v>32</v>
      </c>
      <c r="E346">
        <v>33.938699999999997</v>
      </c>
      <c r="F346">
        <v>10078348.9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-0.21362078406717239</v>
      </c>
      <c r="Q346">
        <f t="shared" si="970"/>
        <v>-2152944.7941205245</v>
      </c>
      <c r="R346">
        <f t="shared" si="971"/>
        <v>597809721.23796082</v>
      </c>
      <c r="S346">
        <f t="shared" si="972"/>
        <v>5978.0972123796082</v>
      </c>
      <c r="T346">
        <f t="shared" si="973"/>
        <v>5.9780972123796081</v>
      </c>
    </row>
    <row r="347" spans="1:20" x14ac:dyDescent="0.25">
      <c r="A347" s="5">
        <v>44246</v>
      </c>
      <c r="B347">
        <v>32.472700000000003</v>
      </c>
      <c r="C347">
        <v>35.507199999999997</v>
      </c>
      <c r="D347">
        <v>31.379899999999999</v>
      </c>
      <c r="E347">
        <v>34.684600000000003</v>
      </c>
      <c r="F347">
        <v>8412150.6400000006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0.60138589392581365</v>
      </c>
      <c r="Q347">
        <f t="shared" si="970"/>
        <v>5058948.732475006</v>
      </c>
      <c r="R347">
        <f t="shared" si="971"/>
        <v>599962666.03208137</v>
      </c>
      <c r="S347">
        <f t="shared" si="972"/>
        <v>5999.6266603208132</v>
      </c>
      <c r="T347">
        <f t="shared" si="973"/>
        <v>5.9996266603208133</v>
      </c>
    </row>
    <row r="348" spans="1:20" x14ac:dyDescent="0.25">
      <c r="A348" s="5">
        <v>44245</v>
      </c>
      <c r="B348">
        <v>32.2256</v>
      </c>
      <c r="C348">
        <v>33.5961</v>
      </c>
      <c r="D348">
        <v>31.778500000000001</v>
      </c>
      <c r="E348">
        <v>32.4801</v>
      </c>
      <c r="F348">
        <v>5452990.5999999996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-0.22799295774647932</v>
      </c>
      <c r="Q348">
        <f t="shared" si="970"/>
        <v>-1243243.4554577488</v>
      </c>
      <c r="R348">
        <f t="shared" si="971"/>
        <v>594903717.29960632</v>
      </c>
      <c r="S348">
        <f t="shared" si="972"/>
        <v>5949.0371729960634</v>
      </c>
      <c r="T348">
        <f t="shared" si="973"/>
        <v>5.9490371729960634</v>
      </c>
    </row>
    <row r="349" spans="1:20" x14ac:dyDescent="0.25">
      <c r="A349" s="5">
        <v>44244</v>
      </c>
      <c r="B349">
        <v>31.963000000000001</v>
      </c>
      <c r="C349">
        <v>32.670499999999997</v>
      </c>
      <c r="D349">
        <v>30</v>
      </c>
      <c r="E349">
        <v>32.232399999999998</v>
      </c>
      <c r="F349">
        <v>5680522.1799999997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0.67189664856768461</v>
      </c>
      <c r="Q349">
        <f t="shared" si="970"/>
        <v>3816723.8148563975</v>
      </c>
      <c r="R349">
        <f t="shared" si="971"/>
        <v>596146960.75506413</v>
      </c>
      <c r="S349">
        <f t="shared" si="972"/>
        <v>5961.4696075506417</v>
      </c>
      <c r="T349">
        <f t="shared" si="973"/>
        <v>5.9614696075506419</v>
      </c>
    </row>
    <row r="350" spans="1:20" x14ac:dyDescent="0.25">
      <c r="A350" s="5">
        <v>44243</v>
      </c>
      <c r="B350">
        <v>32.585299999999997</v>
      </c>
      <c r="C350">
        <v>33.426900000000003</v>
      </c>
      <c r="D350">
        <v>30.783999999999999</v>
      </c>
      <c r="E350">
        <v>31.963200000000001</v>
      </c>
      <c r="F350">
        <v>7062989.71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-0.10764690302319453</v>
      </c>
      <c r="Q350">
        <f t="shared" si="970"/>
        <v>-760308.96836619091</v>
      </c>
      <c r="R350">
        <f t="shared" si="971"/>
        <v>592330236.94020772</v>
      </c>
      <c r="S350">
        <f t="shared" si="972"/>
        <v>5923.3023694020776</v>
      </c>
      <c r="T350">
        <f t="shared" si="973"/>
        <v>5.9233023694020774</v>
      </c>
    </row>
    <row r="351" spans="1:20" x14ac:dyDescent="0.25">
      <c r="A351" s="5">
        <v>44242</v>
      </c>
      <c r="B351">
        <v>33.155500000000004</v>
      </c>
      <c r="C351">
        <v>34.925199999999997</v>
      </c>
      <c r="D351">
        <v>27.5</v>
      </c>
      <c r="E351">
        <v>32.5899</v>
      </c>
      <c r="F351">
        <v>10844636.76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0.37097990626515176</v>
      </c>
      <c r="Q351">
        <f t="shared" si="970"/>
        <v>4023142.3287044191</v>
      </c>
      <c r="R351">
        <f t="shared" si="971"/>
        <v>593090545.90857387</v>
      </c>
      <c r="S351">
        <f t="shared" si="972"/>
        <v>5930.9054590857386</v>
      </c>
      <c r="T351">
        <f t="shared" si="973"/>
        <v>5.9309054590857384</v>
      </c>
    </row>
    <row r="352" spans="1:20" x14ac:dyDescent="0.25">
      <c r="A352" s="5">
        <v>44241</v>
      </c>
      <c r="B352">
        <v>34.196899999999999</v>
      </c>
      <c r="C352">
        <v>35.694499999999998</v>
      </c>
      <c r="D352">
        <v>32.308799999999998</v>
      </c>
      <c r="E352">
        <v>33.156500000000001</v>
      </c>
      <c r="F352">
        <v>9440094.3800000008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-0.49924683226511313</v>
      </c>
      <c r="Q352">
        <f t="shared" si="970"/>
        <v>-4712937.2154986979</v>
      </c>
      <c r="R352">
        <f t="shared" si="971"/>
        <v>589067403.57986939</v>
      </c>
      <c r="S352">
        <f t="shared" si="972"/>
        <v>5890.6740357986937</v>
      </c>
      <c r="T352">
        <f t="shared" si="973"/>
        <v>5.8906740357986935</v>
      </c>
    </row>
    <row r="353" spans="1:20" x14ac:dyDescent="0.25">
      <c r="A353" s="5">
        <v>44240</v>
      </c>
      <c r="B353">
        <v>30.6404</v>
      </c>
      <c r="C353">
        <v>34.757300000000001</v>
      </c>
      <c r="D353">
        <v>29.07</v>
      </c>
      <c r="E353">
        <v>34.194099999999999</v>
      </c>
      <c r="F353">
        <v>11028490.779999999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0.80194468376909889</v>
      </c>
      <c r="Q353">
        <f t="shared" si="970"/>
        <v>8844239.5510175228</v>
      </c>
      <c r="R353">
        <f t="shared" si="971"/>
        <v>593780340.79536808</v>
      </c>
      <c r="S353">
        <f t="shared" si="972"/>
        <v>5937.803407953681</v>
      </c>
      <c r="T353">
        <f t="shared" si="973"/>
        <v>5.9378034079536812</v>
      </c>
    </row>
    <row r="354" spans="1:20" x14ac:dyDescent="0.25">
      <c r="A354" s="5">
        <v>44239</v>
      </c>
      <c r="B354">
        <v>27.8645</v>
      </c>
      <c r="C354">
        <v>31.448499999999999</v>
      </c>
      <c r="D354">
        <v>26.674600000000002</v>
      </c>
      <c r="E354">
        <v>30.6265</v>
      </c>
      <c r="F354">
        <v>9762295.7699999996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0.65562747439200675</v>
      </c>
      <c r="Q354">
        <f t="shared" si="970"/>
        <v>6400429.3199528707</v>
      </c>
      <c r="R354">
        <f t="shared" si="971"/>
        <v>584936101.24435055</v>
      </c>
      <c r="S354">
        <f t="shared" si="972"/>
        <v>5849.3610124435054</v>
      </c>
      <c r="T354">
        <f t="shared" si="973"/>
        <v>5.8493610124435058</v>
      </c>
    </row>
    <row r="355" spans="1:20" x14ac:dyDescent="0.25">
      <c r="A355" s="5">
        <v>44238</v>
      </c>
      <c r="B355">
        <v>26.8</v>
      </c>
      <c r="C355">
        <v>28.570499999999999</v>
      </c>
      <c r="D355">
        <v>26.217199999999998</v>
      </c>
      <c r="E355">
        <v>27.8475</v>
      </c>
      <c r="F355">
        <v>6660619.0999999996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0.38554370458505188</v>
      </c>
      <c r="Q355">
        <f t="shared" si="970"/>
        <v>2567959.7626439538</v>
      </c>
      <c r="R355">
        <f t="shared" si="971"/>
        <v>578535671.92439771</v>
      </c>
      <c r="S355">
        <f t="shared" si="972"/>
        <v>5785.3567192439768</v>
      </c>
      <c r="T355">
        <f t="shared" si="973"/>
        <v>5.7853567192439765</v>
      </c>
    </row>
    <row r="356" spans="1:20" x14ac:dyDescent="0.25">
      <c r="A356" s="5">
        <v>44237</v>
      </c>
      <c r="B356">
        <v>27.614999999999998</v>
      </c>
      <c r="C356">
        <v>28.641200000000001</v>
      </c>
      <c r="D356">
        <v>25.122699999999998</v>
      </c>
      <c r="E356">
        <v>26.812100000000001</v>
      </c>
      <c r="F356">
        <v>11721097.140000001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-3.9704419496944039E-2</v>
      </c>
      <c r="Q356">
        <f t="shared" si="970"/>
        <v>-465379.35781099106</v>
      </c>
      <c r="R356">
        <f t="shared" si="971"/>
        <v>575967712.16175377</v>
      </c>
      <c r="S356">
        <f t="shared" si="972"/>
        <v>5759.6771216175375</v>
      </c>
      <c r="T356">
        <f t="shared" si="973"/>
        <v>5.7596771216175373</v>
      </c>
    </row>
    <row r="357" spans="1:20" x14ac:dyDescent="0.25">
      <c r="A357" s="5">
        <v>44236</v>
      </c>
      <c r="B357">
        <v>25.407</v>
      </c>
      <c r="C357">
        <v>28</v>
      </c>
      <c r="D357">
        <v>25</v>
      </c>
      <c r="E357">
        <v>27.603400000000001</v>
      </c>
      <c r="F357">
        <v>9472870.3200000003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0.73560000000000036</v>
      </c>
      <c r="Q357">
        <f t="shared" si="970"/>
        <v>6968243.4073920036</v>
      </c>
      <c r="R357">
        <f t="shared" si="971"/>
        <v>576433091.51956475</v>
      </c>
      <c r="S357">
        <f t="shared" si="972"/>
        <v>5764.3309151956473</v>
      </c>
      <c r="T357">
        <f t="shared" si="973"/>
        <v>5.7643309151956474</v>
      </c>
    </row>
    <row r="358" spans="1:20" x14ac:dyDescent="0.25">
      <c r="A358" s="5">
        <v>44235</v>
      </c>
      <c r="B358">
        <v>24.733499999999999</v>
      </c>
      <c r="C358">
        <v>25.98</v>
      </c>
      <c r="D358">
        <v>23.9587</v>
      </c>
      <c r="E358">
        <v>25.4115</v>
      </c>
      <c r="F358">
        <v>7026903.54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0.43749072379161907</v>
      </c>
      <c r="Q358">
        <f t="shared" si="970"/>
        <v>3074205.1157284905</v>
      </c>
      <c r="R358">
        <f t="shared" si="971"/>
        <v>569464848.11217272</v>
      </c>
      <c r="S358">
        <f t="shared" si="972"/>
        <v>5694.6484811217269</v>
      </c>
      <c r="T358">
        <f t="shared" si="973"/>
        <v>5.6946484811217273</v>
      </c>
    </row>
    <row r="359" spans="1:20" x14ac:dyDescent="0.25">
      <c r="A359" s="5">
        <v>44234</v>
      </c>
      <c r="B359">
        <v>25.0336</v>
      </c>
      <c r="C359">
        <v>25.2836</v>
      </c>
      <c r="D359">
        <v>22.81</v>
      </c>
      <c r="E359">
        <v>24.7254</v>
      </c>
      <c r="F359">
        <v>6514277.2999999998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0.54867399741267864</v>
      </c>
      <c r="Q359">
        <f t="shared" si="970"/>
        <v>3574214.566445671</v>
      </c>
      <c r="R359">
        <f t="shared" si="971"/>
        <v>566390642.99644423</v>
      </c>
      <c r="S359">
        <f t="shared" si="972"/>
        <v>5663.9064299644424</v>
      </c>
      <c r="T359">
        <f t="shared" si="973"/>
        <v>5.6639064299644426</v>
      </c>
    </row>
    <row r="360" spans="1:20" x14ac:dyDescent="0.25">
      <c r="A360" s="5">
        <v>44233</v>
      </c>
      <c r="B360">
        <v>26.302299999999999</v>
      </c>
      <c r="C360">
        <v>26.8</v>
      </c>
      <c r="D360">
        <v>24.208100000000002</v>
      </c>
      <c r="E360">
        <v>25.023099999999999</v>
      </c>
      <c r="F360">
        <v>7063684.9100000001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-0.37111771287472661</v>
      </c>
      <c r="Q360">
        <f t="shared" si="970"/>
        <v>-2621458.5882669194</v>
      </c>
      <c r="R360">
        <f t="shared" si="971"/>
        <v>562816428.42999852</v>
      </c>
      <c r="S360">
        <f t="shared" si="972"/>
        <v>5628.1642842999854</v>
      </c>
      <c r="T360">
        <f t="shared" si="973"/>
        <v>5.6281642842999853</v>
      </c>
    </row>
    <row r="361" spans="1:20" x14ac:dyDescent="0.25">
      <c r="A361" s="5">
        <v>44232</v>
      </c>
      <c r="B361">
        <v>24.484100000000002</v>
      </c>
      <c r="C361">
        <v>27</v>
      </c>
      <c r="D361">
        <v>24.408100000000001</v>
      </c>
      <c r="E361">
        <v>26.3034</v>
      </c>
      <c r="F361">
        <v>10000326.58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0.46247926231721875</v>
      </c>
      <c r="Q361">
        <f t="shared" si="970"/>
        <v>4624943.6596496748</v>
      </c>
      <c r="R361">
        <f t="shared" si="971"/>
        <v>565437887.01826549</v>
      </c>
      <c r="S361">
        <f t="shared" si="972"/>
        <v>5654.3788701826552</v>
      </c>
      <c r="T361">
        <f t="shared" si="973"/>
        <v>5.6543788701826552</v>
      </c>
    </row>
    <row r="362" spans="1:20" x14ac:dyDescent="0.25">
      <c r="A362" s="5">
        <v>44231</v>
      </c>
      <c r="B362">
        <v>25.081399999999999</v>
      </c>
      <c r="C362">
        <v>26.15</v>
      </c>
      <c r="D362">
        <v>22.6174</v>
      </c>
      <c r="E362">
        <v>24.492000000000001</v>
      </c>
      <c r="F362">
        <v>8646387.0999999996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6.1314612466739318E-2</v>
      </c>
      <c r="Q362">
        <f t="shared" si="970"/>
        <v>530149.87427391403</v>
      </c>
      <c r="R362">
        <f t="shared" si="971"/>
        <v>560812943.35861576</v>
      </c>
      <c r="S362">
        <f t="shared" si="972"/>
        <v>5608.1294335861576</v>
      </c>
      <c r="T362">
        <f t="shared" si="973"/>
        <v>5.608129433586158</v>
      </c>
    </row>
    <row r="363" spans="1:20" x14ac:dyDescent="0.25">
      <c r="A363" s="5">
        <v>44230</v>
      </c>
      <c r="B363">
        <v>23.657800000000002</v>
      </c>
      <c r="C363">
        <v>25.567399999999999</v>
      </c>
      <c r="D363">
        <v>23.5318</v>
      </c>
      <c r="E363">
        <v>25.087</v>
      </c>
      <c r="F363">
        <v>8466371.7200000007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0.5280015720180784</v>
      </c>
      <c r="Q363">
        <f t="shared" si="970"/>
        <v>4470257.5774494028</v>
      </c>
      <c r="R363">
        <f t="shared" si="971"/>
        <v>560282793.48434186</v>
      </c>
      <c r="S363">
        <f t="shared" si="972"/>
        <v>5602.8279348434189</v>
      </c>
      <c r="T363">
        <f t="shared" si="973"/>
        <v>5.6028279348434191</v>
      </c>
    </row>
    <row r="364" spans="1:20" x14ac:dyDescent="0.25">
      <c r="A364" s="5">
        <v>44229</v>
      </c>
      <c r="B364">
        <v>22.8752</v>
      </c>
      <c r="C364">
        <v>24.1693</v>
      </c>
      <c r="D364">
        <v>22.735399999999998</v>
      </c>
      <c r="E364">
        <v>23.658200000000001</v>
      </c>
      <c r="F364">
        <v>6484871.2699999996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0.28711904595857657</v>
      </c>
      <c r="Q364">
        <f t="shared" si="970"/>
        <v>1861930.0522065826</v>
      </c>
      <c r="R364">
        <f t="shared" si="971"/>
        <v>555812535.90689242</v>
      </c>
      <c r="S364">
        <f t="shared" si="972"/>
        <v>5558.1253590689239</v>
      </c>
      <c r="T364">
        <f t="shared" si="973"/>
        <v>5.5581253590689235</v>
      </c>
    </row>
    <row r="365" spans="1:20" x14ac:dyDescent="0.25">
      <c r="A365" s="5">
        <v>44228</v>
      </c>
      <c r="B365">
        <v>22.564299999999999</v>
      </c>
      <c r="C365">
        <v>23.2</v>
      </c>
      <c r="D365">
        <v>21.6526</v>
      </c>
      <c r="E365">
        <v>22.875699999999998</v>
      </c>
      <c r="F365">
        <v>6446970.4100000001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0.58084528887165443</v>
      </c>
      <c r="Q365">
        <f t="shared" si="970"/>
        <v>3744692.3901434583</v>
      </c>
      <c r="R365">
        <f t="shared" si="971"/>
        <v>553950605.85468578</v>
      </c>
      <c r="S365">
        <f t="shared" si="972"/>
        <v>5539.5060585468582</v>
      </c>
      <c r="T365">
        <f t="shared" si="973"/>
        <v>5.5395060585468583</v>
      </c>
    </row>
    <row r="366" spans="1:20" x14ac:dyDescent="0.25">
      <c r="A366" s="5">
        <v>44227</v>
      </c>
      <c r="B366">
        <v>23.649100000000001</v>
      </c>
      <c r="C366">
        <v>24.678000000000001</v>
      </c>
      <c r="D366">
        <v>22.060300000000002</v>
      </c>
      <c r="E366">
        <v>22.561299999999999</v>
      </c>
      <c r="F366">
        <v>7645210.8899999997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-0.61722122473927665</v>
      </c>
      <c r="Q366">
        <f t="shared" si="970"/>
        <v>-4718786.4289158555</v>
      </c>
      <c r="R366">
        <f t="shared" si="971"/>
        <v>550205913.46454227</v>
      </c>
      <c r="S366">
        <f t="shared" si="972"/>
        <v>5502.059134645423</v>
      </c>
      <c r="T366">
        <f t="shared" si="973"/>
        <v>5.5020591346454228</v>
      </c>
    </row>
    <row r="367" spans="1:20" x14ac:dyDescent="0.25">
      <c r="A367" s="5">
        <v>44226</v>
      </c>
      <c r="B367">
        <v>22.748000000000001</v>
      </c>
      <c r="C367">
        <v>23.98</v>
      </c>
      <c r="D367">
        <v>22.153400000000001</v>
      </c>
      <c r="E367">
        <v>23.639900000000001</v>
      </c>
      <c r="F367">
        <v>7393324.4800000004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0.62761414650169733</v>
      </c>
      <c r="Q367">
        <f t="shared" si="970"/>
        <v>4640155.0333253052</v>
      </c>
      <c r="R367">
        <f t="shared" si="971"/>
        <v>554924699.89345813</v>
      </c>
      <c r="S367">
        <f t="shared" si="972"/>
        <v>5549.2469989345809</v>
      </c>
      <c r="T367">
        <f t="shared" si="973"/>
        <v>5.5492469989345805</v>
      </c>
    </row>
    <row r="368" spans="1:20" x14ac:dyDescent="0.25">
      <c r="A368" s="5">
        <v>44225</v>
      </c>
      <c r="B368">
        <v>22.986899999999999</v>
      </c>
      <c r="C368">
        <v>24.24</v>
      </c>
      <c r="D368">
        <v>22.045000000000002</v>
      </c>
      <c r="E368">
        <v>22.748000000000001</v>
      </c>
      <c r="F368">
        <v>11638550.99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-0.3594533029612752</v>
      </c>
      <c r="Q368">
        <f t="shared" si="970"/>
        <v>-4183515.5950387195</v>
      </c>
      <c r="R368">
        <f t="shared" si="971"/>
        <v>550284544.86013281</v>
      </c>
      <c r="S368">
        <f t="shared" si="972"/>
        <v>5502.8454486013279</v>
      </c>
      <c r="T368">
        <f t="shared" si="973"/>
        <v>5.5028454486013283</v>
      </c>
    </row>
    <row r="369" spans="1:20" x14ac:dyDescent="0.25">
      <c r="A369" s="5">
        <v>44224</v>
      </c>
      <c r="B369">
        <v>20.958600000000001</v>
      </c>
      <c r="C369">
        <v>24.471599999999999</v>
      </c>
      <c r="D369">
        <v>20.501000000000001</v>
      </c>
      <c r="E369">
        <v>23.014500000000002</v>
      </c>
      <c r="F369">
        <v>11205369.43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0.26605550798368111</v>
      </c>
      <c r="Q369">
        <f t="shared" si="970"/>
        <v>2981250.255843461</v>
      </c>
      <c r="R369">
        <f t="shared" si="971"/>
        <v>554468060.45517159</v>
      </c>
      <c r="S369">
        <f t="shared" si="972"/>
        <v>5544.680604551716</v>
      </c>
      <c r="T369">
        <f t="shared" si="973"/>
        <v>5.5446806045517159</v>
      </c>
    </row>
    <row r="370" spans="1:20" x14ac:dyDescent="0.25">
      <c r="A370" s="5">
        <v>44223</v>
      </c>
      <c r="B370">
        <v>23.0914</v>
      </c>
      <c r="C370">
        <v>23.229500000000002</v>
      </c>
      <c r="D370">
        <v>20.276700000000002</v>
      </c>
      <c r="E370">
        <v>20.958600000000001</v>
      </c>
      <c r="F370">
        <v>10837677.199999999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-0.53813329720942915</v>
      </c>
      <c r="Q370">
        <f t="shared" si="970"/>
        <v>-5832114.9657274531</v>
      </c>
      <c r="R370">
        <f t="shared" si="971"/>
        <v>551486810.19932806</v>
      </c>
      <c r="S370">
        <f t="shared" si="972"/>
        <v>5514.868101993281</v>
      </c>
      <c r="T370">
        <f t="shared" si="973"/>
        <v>5.5148681019932813</v>
      </c>
    </row>
    <row r="371" spans="1:20" x14ac:dyDescent="0.25">
      <c r="A371" s="5">
        <v>44222</v>
      </c>
      <c r="B371">
        <v>23.341799999999999</v>
      </c>
      <c r="C371">
        <v>23.976099999999999</v>
      </c>
      <c r="D371">
        <v>21.65</v>
      </c>
      <c r="E371">
        <v>23.098099999999999</v>
      </c>
      <c r="F371">
        <v>8984444.5700000003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0.24508834529899831</v>
      </c>
      <c r="Q371">
        <f t="shared" si="970"/>
        <v>2201982.6530918702</v>
      </c>
      <c r="R371">
        <f t="shared" si="971"/>
        <v>557318925.16505551</v>
      </c>
      <c r="S371">
        <f t="shared" si="972"/>
        <v>5573.189251650555</v>
      </c>
      <c r="T371">
        <f t="shared" si="973"/>
        <v>5.5731892516505548</v>
      </c>
    </row>
    <row r="372" spans="1:20" x14ac:dyDescent="0.25">
      <c r="A372" s="5">
        <v>44221</v>
      </c>
      <c r="B372">
        <v>24.7912</v>
      </c>
      <c r="C372">
        <v>25.782399999999999</v>
      </c>
      <c r="D372">
        <v>22.6</v>
      </c>
      <c r="E372">
        <v>23.341799999999999</v>
      </c>
      <c r="F372">
        <v>12581468.33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-0.53381096028154951</v>
      </c>
      <c r="Q372">
        <f t="shared" si="970"/>
        <v>-6716125.6909892028</v>
      </c>
      <c r="R372">
        <f t="shared" si="971"/>
        <v>555116942.51196361</v>
      </c>
      <c r="S372">
        <f t="shared" si="972"/>
        <v>5551.1694251196359</v>
      </c>
      <c r="T372">
        <f t="shared" si="973"/>
        <v>5.5511694251196362</v>
      </c>
    </row>
    <row r="373" spans="1:20" x14ac:dyDescent="0.25">
      <c r="A373" s="5">
        <v>44220</v>
      </c>
      <c r="B373">
        <v>24.816800000000001</v>
      </c>
      <c r="C373">
        <v>24.952999999999999</v>
      </c>
      <c r="D373">
        <v>23.161200000000001</v>
      </c>
      <c r="E373">
        <v>24.793500000000002</v>
      </c>
      <c r="F373">
        <v>11910682.710000001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0.82196673735908266</v>
      </c>
      <c r="Q373">
        <f t="shared" si="970"/>
        <v>9790185.0068579372</v>
      </c>
      <c r="R373">
        <f t="shared" si="971"/>
        <v>561833068.20295286</v>
      </c>
      <c r="S373">
        <f t="shared" si="972"/>
        <v>5618.3306820295284</v>
      </c>
      <c r="T373">
        <f t="shared" si="973"/>
        <v>5.6183306820295282</v>
      </c>
    </row>
    <row r="374" spans="1:20" x14ac:dyDescent="0.25">
      <c r="A374" s="5">
        <v>44219</v>
      </c>
      <c r="B374">
        <v>21.546700000000001</v>
      </c>
      <c r="C374">
        <v>25.5</v>
      </c>
      <c r="D374">
        <v>21.14</v>
      </c>
      <c r="E374">
        <v>24.804600000000001</v>
      </c>
      <c r="F374">
        <v>19024881.670000002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0.68100917431192687</v>
      </c>
      <c r="Q374">
        <f t="shared" si="970"/>
        <v>12956118.957468813</v>
      </c>
      <c r="R374">
        <f t="shared" si="971"/>
        <v>552042883.19609487</v>
      </c>
      <c r="S374">
        <f t="shared" si="972"/>
        <v>5520.4288319609486</v>
      </c>
      <c r="T374">
        <f t="shared" si="973"/>
        <v>5.5204288319609489</v>
      </c>
    </row>
    <row r="375" spans="1:20" x14ac:dyDescent="0.25">
      <c r="A375" s="5">
        <v>44218</v>
      </c>
      <c r="B375">
        <v>18.410900000000002</v>
      </c>
      <c r="C375">
        <v>22.499700000000001</v>
      </c>
      <c r="D375">
        <v>17.126899999999999</v>
      </c>
      <c r="E375">
        <v>21.5519</v>
      </c>
      <c r="F375">
        <v>17060778.100000001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0.64718582489577103</v>
      </c>
      <c r="Q375">
        <f t="shared" si="970"/>
        <v>11041493.748012206</v>
      </c>
      <c r="R375">
        <f t="shared" si="971"/>
        <v>539086764.238626</v>
      </c>
      <c r="S375">
        <f t="shared" si="972"/>
        <v>5390.8676423862598</v>
      </c>
      <c r="T375">
        <f t="shared" si="973"/>
        <v>5.3908676423862598</v>
      </c>
    </row>
    <row r="376" spans="1:20" x14ac:dyDescent="0.25">
      <c r="A376" s="5">
        <v>44217</v>
      </c>
      <c r="B376">
        <v>21.842099999999999</v>
      </c>
      <c r="C376">
        <v>22.0307</v>
      </c>
      <c r="D376">
        <v>18.0611</v>
      </c>
      <c r="E376">
        <v>18.411899999999999</v>
      </c>
      <c r="F376">
        <v>14637366.25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-0.8232567513099559</v>
      </c>
      <c r="Q376">
        <f t="shared" si="970"/>
        <v>-12050310.586708993</v>
      </c>
      <c r="R376">
        <f t="shared" si="971"/>
        <v>528045270.49061382</v>
      </c>
      <c r="S376">
        <f t="shared" si="972"/>
        <v>5280.452704906138</v>
      </c>
      <c r="T376">
        <f t="shared" si="973"/>
        <v>5.2804527049061383</v>
      </c>
    </row>
    <row r="377" spans="1:20" x14ac:dyDescent="0.25">
      <c r="A377" s="5">
        <v>44216</v>
      </c>
      <c r="B377">
        <v>20.543700000000001</v>
      </c>
      <c r="C377">
        <v>21.9788</v>
      </c>
      <c r="D377">
        <v>19.064499999999999</v>
      </c>
      <c r="E377">
        <v>21.848199999999999</v>
      </c>
      <c r="F377">
        <v>12454231.890000001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0.91037298836770331</v>
      </c>
      <c r="Q377">
        <f t="shared" si="970"/>
        <v>11337996.30352365</v>
      </c>
      <c r="R377">
        <f t="shared" si="971"/>
        <v>540095581.07732284</v>
      </c>
      <c r="S377">
        <f t="shared" si="972"/>
        <v>5400.9558107732282</v>
      </c>
      <c r="T377">
        <f t="shared" si="973"/>
        <v>5.4009558107732278</v>
      </c>
    </row>
    <row r="378" spans="1:20" x14ac:dyDescent="0.25">
      <c r="A378" s="5">
        <v>44215</v>
      </c>
      <c r="B378">
        <v>22.032499999999999</v>
      </c>
      <c r="C378">
        <v>22.856400000000001</v>
      </c>
      <c r="D378">
        <v>20.377400000000002</v>
      </c>
      <c r="E378">
        <v>20.555700000000002</v>
      </c>
      <c r="F378">
        <v>10968890.699999999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-0.85615167406212167</v>
      </c>
      <c r="Q378">
        <f t="shared" si="970"/>
        <v>-9391034.1354094371</v>
      </c>
      <c r="R378">
        <f t="shared" si="971"/>
        <v>528757584.77379924</v>
      </c>
      <c r="S378">
        <f t="shared" si="972"/>
        <v>5287.5758477379923</v>
      </c>
      <c r="T378">
        <f t="shared" si="973"/>
        <v>5.2875758477379922</v>
      </c>
    </row>
    <row r="379" spans="1:20" x14ac:dyDescent="0.25">
      <c r="A379" s="5">
        <v>44214</v>
      </c>
      <c r="B379">
        <v>23.267600000000002</v>
      </c>
      <c r="C379">
        <v>23.686199999999999</v>
      </c>
      <c r="D379">
        <v>21.06</v>
      </c>
      <c r="E379">
        <v>22.0336</v>
      </c>
      <c r="F379">
        <v>13781943.029999999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-0.25854847307897277</v>
      </c>
      <c r="Q379">
        <f t="shared" si="970"/>
        <v>-3563300.3264678912</v>
      </c>
      <c r="R379">
        <f t="shared" si="971"/>
        <v>538148618.90920866</v>
      </c>
      <c r="S379">
        <f t="shared" si="972"/>
        <v>5381.4861890920865</v>
      </c>
      <c r="T379">
        <f t="shared" si="973"/>
        <v>5.3814861890920866</v>
      </c>
    </row>
    <row r="380" spans="1:20" x14ac:dyDescent="0.25">
      <c r="A380" s="5">
        <v>44213</v>
      </c>
      <c r="B380">
        <v>20.100300000000001</v>
      </c>
      <c r="C380">
        <v>23.766999999999999</v>
      </c>
      <c r="D380">
        <v>19.372900000000001</v>
      </c>
      <c r="E380">
        <v>23.2819</v>
      </c>
      <c r="F380">
        <v>21794612.18</v>
      </c>
      <c r="G380">
        <v>0</v>
      </c>
      <c r="L380" t="s">
        <v>8</v>
      </c>
      <c r="M380" t="s">
        <v>7</v>
      </c>
      <c r="N380" t="s">
        <v>8</v>
      </c>
      <c r="P380">
        <f t="shared" si="969"/>
        <v>0.77920393254591414</v>
      </c>
      <c r="Q380">
        <f t="shared" si="970"/>
        <v>16982447.518969078</v>
      </c>
      <c r="R380">
        <f t="shared" si="971"/>
        <v>541711919.23567653</v>
      </c>
      <c r="S380">
        <f t="shared" si="972"/>
        <v>5417.1191923567649</v>
      </c>
      <c r="T380">
        <f t="shared" si="973"/>
        <v>5.4171191923567648</v>
      </c>
    </row>
    <row r="381" spans="1:20" x14ac:dyDescent="0.25">
      <c r="A381" s="5">
        <v>44212</v>
      </c>
      <c r="B381">
        <v>20.740500000000001</v>
      </c>
      <c r="C381">
        <v>22.96</v>
      </c>
      <c r="D381">
        <v>19.628</v>
      </c>
      <c r="E381">
        <v>20.105399999999999</v>
      </c>
      <c r="F381">
        <v>27884173.390000001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-0.71344537815126097</v>
      </c>
      <c r="Q381">
        <f t="shared" si="970"/>
        <v>-19893834.628663879</v>
      </c>
      <c r="R381">
        <f t="shared" si="971"/>
        <v>524729471.71670747</v>
      </c>
      <c r="S381">
        <f t="shared" si="972"/>
        <v>5247.2947171670749</v>
      </c>
      <c r="T381">
        <f t="shared" si="973"/>
        <v>5.2472947171670752</v>
      </c>
    </row>
    <row r="382" spans="1:20" x14ac:dyDescent="0.25">
      <c r="A382" s="5">
        <v>44211</v>
      </c>
      <c r="B382">
        <v>17.988800000000001</v>
      </c>
      <c r="C382">
        <v>21.453299999999999</v>
      </c>
      <c r="D382">
        <v>17.535499999999999</v>
      </c>
      <c r="E382">
        <v>20.737500000000001</v>
      </c>
      <c r="F382">
        <v>38649175.600000001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0.63459084179896985</v>
      </c>
      <c r="Q382">
        <f t="shared" si="970"/>
        <v>24526412.878840208</v>
      </c>
      <c r="R382">
        <f t="shared" si="971"/>
        <v>544623306.34537137</v>
      </c>
      <c r="S382">
        <f t="shared" si="972"/>
        <v>5446.2330634537138</v>
      </c>
      <c r="T382">
        <f t="shared" si="973"/>
        <v>5.4462330634537137</v>
      </c>
    </row>
    <row r="383" spans="1:20" x14ac:dyDescent="0.25">
      <c r="A383" s="5">
        <v>44210</v>
      </c>
      <c r="B383">
        <v>15.9396</v>
      </c>
      <c r="C383">
        <v>17.989999999999998</v>
      </c>
      <c r="D383">
        <v>15.33</v>
      </c>
      <c r="E383">
        <v>17.980399999999999</v>
      </c>
      <c r="F383">
        <v>13484717.130000001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0.99278195488721888</v>
      </c>
      <c r="Q383">
        <f t="shared" si="970"/>
        <v>13387383.833422568</v>
      </c>
      <c r="R383">
        <f t="shared" si="971"/>
        <v>520096893.46653116</v>
      </c>
      <c r="S383">
        <f t="shared" si="972"/>
        <v>5200.9689346653113</v>
      </c>
      <c r="T383">
        <f t="shared" si="973"/>
        <v>5.200968934665311</v>
      </c>
    </row>
    <row r="384" spans="1:20" x14ac:dyDescent="0.25">
      <c r="A384" s="5">
        <v>44209</v>
      </c>
      <c r="B384">
        <v>13.960900000000001</v>
      </c>
      <c r="C384">
        <v>16.235600000000002</v>
      </c>
      <c r="D384">
        <v>13.370100000000001</v>
      </c>
      <c r="E384">
        <v>15.935600000000001</v>
      </c>
      <c r="F384">
        <v>11467831.41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0.79061245855871531</v>
      </c>
      <c r="Q384">
        <f t="shared" si="970"/>
        <v>9066610.3853969593</v>
      </c>
      <c r="R384">
        <f t="shared" si="971"/>
        <v>506709509.63310862</v>
      </c>
      <c r="S384">
        <f t="shared" si="972"/>
        <v>5067.0950963310861</v>
      </c>
      <c r="T384">
        <f t="shared" si="973"/>
        <v>5.0670950963310863</v>
      </c>
    </row>
    <row r="385" spans="1:20" x14ac:dyDescent="0.25">
      <c r="A385" s="5">
        <v>44208</v>
      </c>
      <c r="B385">
        <v>14.6312</v>
      </c>
      <c r="C385">
        <v>15.476000000000001</v>
      </c>
      <c r="D385">
        <v>13.6701</v>
      </c>
      <c r="E385">
        <v>13.9655</v>
      </c>
      <c r="F385">
        <v>11921544.49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-0.67285010244199506</v>
      </c>
      <c r="Q385">
        <f t="shared" si="970"/>
        <v>-8021412.4313633023</v>
      </c>
      <c r="R385">
        <f t="shared" si="971"/>
        <v>497642899.24771166</v>
      </c>
      <c r="S385">
        <f t="shared" si="972"/>
        <v>4976.4289924771165</v>
      </c>
      <c r="T385">
        <f t="shared" si="973"/>
        <v>4.9764289924771168</v>
      </c>
    </row>
    <row r="386" spans="1:20" x14ac:dyDescent="0.25">
      <c r="A386" s="5">
        <v>44207</v>
      </c>
      <c r="B386">
        <v>16.1998</v>
      </c>
      <c r="C386">
        <v>16.259599999999999</v>
      </c>
      <c r="D386">
        <v>12.5</v>
      </c>
      <c r="E386">
        <v>14.6393</v>
      </c>
      <c r="F386">
        <v>21926235.449999999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0.1380466007022029</v>
      </c>
      <c r="Q386">
        <f t="shared" si="970"/>
        <v>3026842.2700686362</v>
      </c>
      <c r="R386">
        <f t="shared" si="971"/>
        <v>505664311.67907494</v>
      </c>
      <c r="S386">
        <f t="shared" si="972"/>
        <v>5056.6431167907494</v>
      </c>
      <c r="T386">
        <f t="shared" si="973"/>
        <v>5.0566431167907497</v>
      </c>
    </row>
    <row r="387" spans="1:20" x14ac:dyDescent="0.25">
      <c r="A387" s="5">
        <v>44206</v>
      </c>
      <c r="B387">
        <v>17.5501</v>
      </c>
      <c r="C387">
        <v>18.438600000000001</v>
      </c>
      <c r="D387">
        <v>15.441800000000001</v>
      </c>
      <c r="E387">
        <v>16.206</v>
      </c>
      <c r="F387">
        <v>16496553.310000001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-0.48998932194340711</v>
      </c>
      <c r="Q387">
        <f t="shared" si="970"/>
        <v>-8083134.9707701681</v>
      </c>
      <c r="R387">
        <f t="shared" si="971"/>
        <v>502637469.4090063</v>
      </c>
      <c r="S387">
        <f t="shared" si="972"/>
        <v>5026.3746940900628</v>
      </c>
      <c r="T387">
        <f t="shared" si="973"/>
        <v>5.0263746940900624</v>
      </c>
    </row>
    <row r="388" spans="1:20" x14ac:dyDescent="0.25">
      <c r="A388" s="5">
        <v>44205</v>
      </c>
      <c r="B388">
        <v>15.2395</v>
      </c>
      <c r="C388">
        <v>17.8888</v>
      </c>
      <c r="D388">
        <v>15.0029</v>
      </c>
      <c r="E388">
        <v>17.5501</v>
      </c>
      <c r="F388">
        <v>12818964.220000001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0.76527253196576495</v>
      </c>
      <c r="Q388">
        <f t="shared" si="970"/>
        <v>9810001.2058179472</v>
      </c>
      <c r="R388">
        <f t="shared" si="971"/>
        <v>510720604.37977648</v>
      </c>
      <c r="S388">
        <f t="shared" si="972"/>
        <v>5107.2060437977652</v>
      </c>
      <c r="T388">
        <f t="shared" si="973"/>
        <v>5.1072060437977651</v>
      </c>
    </row>
    <row r="389" spans="1:20" x14ac:dyDescent="0.25">
      <c r="A389" s="5">
        <v>44204</v>
      </c>
      <c r="B389">
        <v>15.9659</v>
      </c>
      <c r="C389">
        <v>16.191700000000001</v>
      </c>
      <c r="D389">
        <v>14.12</v>
      </c>
      <c r="E389">
        <v>15.238099999999999</v>
      </c>
      <c r="F389">
        <v>14986392.75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7.9403388521503304E-2</v>
      </c>
      <c r="Q389">
        <f t="shared" si="970"/>
        <v>1189970.3660640903</v>
      </c>
      <c r="R389">
        <f t="shared" si="971"/>
        <v>500910603.17395854</v>
      </c>
      <c r="S389">
        <f t="shared" si="972"/>
        <v>5009.106031739585</v>
      </c>
      <c r="T389">
        <f t="shared" si="973"/>
        <v>5.0091060317395852</v>
      </c>
    </row>
    <row r="390" spans="1:20" x14ac:dyDescent="0.25">
      <c r="A390" s="5">
        <v>44203</v>
      </c>
      <c r="B390">
        <v>17.234200000000001</v>
      </c>
      <c r="C390">
        <v>17.41</v>
      </c>
      <c r="D390">
        <v>15.0657</v>
      </c>
      <c r="E390">
        <v>15.9628</v>
      </c>
      <c r="F390">
        <v>16881688.420000002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-0.23465426779849011</v>
      </c>
      <c r="Q390">
        <f t="shared" ref="Q390:Q453" si="975">F390*P390</f>
        <v>-3961360.2353973496</v>
      </c>
      <c r="R390">
        <f t="shared" ref="R390:R453" si="976">R391+Q390</f>
        <v>499720632.80789447</v>
      </c>
      <c r="S390">
        <f t="shared" ref="S390:S453" si="977">R390/100000</f>
        <v>4997.2063280789444</v>
      </c>
      <c r="T390">
        <f t="shared" ref="T390:T453" si="978">S390/1000</f>
        <v>4.9972063280789447</v>
      </c>
    </row>
    <row r="391" spans="1:20" x14ac:dyDescent="0.25">
      <c r="A391" s="5">
        <v>44202</v>
      </c>
      <c r="B391">
        <v>14.514099999999999</v>
      </c>
      <c r="C391">
        <v>17.299700000000001</v>
      </c>
      <c r="D391">
        <v>14.1427</v>
      </c>
      <c r="E391">
        <v>17.232199999999999</v>
      </c>
      <c r="F391">
        <v>21381167.210000001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0.95723788406715071</v>
      </c>
      <c r="Q391">
        <f t="shared" si="975"/>
        <v>20466863.258986346</v>
      </c>
      <c r="R391">
        <f t="shared" si="976"/>
        <v>503681993.04329181</v>
      </c>
      <c r="S391">
        <f t="shared" si="977"/>
        <v>5036.8199304329182</v>
      </c>
      <c r="T391">
        <f t="shared" si="978"/>
        <v>5.0368199304329186</v>
      </c>
    </row>
    <row r="392" spans="1:20" x14ac:dyDescent="0.25">
      <c r="A392" s="5">
        <v>44201</v>
      </c>
      <c r="B392">
        <v>13.5962</v>
      </c>
      <c r="C392">
        <v>14.89</v>
      </c>
      <c r="D392">
        <v>13.0928</v>
      </c>
      <c r="E392">
        <v>14.5162</v>
      </c>
      <c r="F392">
        <v>14842337.83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0.58401958602270088</v>
      </c>
      <c r="Q392">
        <f t="shared" si="975"/>
        <v>8668215.9950856734</v>
      </c>
      <c r="R392">
        <f t="shared" si="976"/>
        <v>483215129.78430545</v>
      </c>
      <c r="S392">
        <f t="shared" si="977"/>
        <v>4832.1512978430546</v>
      </c>
      <c r="T392">
        <f t="shared" si="978"/>
        <v>4.8321512978430547</v>
      </c>
    </row>
    <row r="393" spans="1:20" x14ac:dyDescent="0.25">
      <c r="A393" s="5">
        <v>44200</v>
      </c>
      <c r="B393">
        <v>13.6815</v>
      </c>
      <c r="C393">
        <v>15.644</v>
      </c>
      <c r="D393">
        <v>12.3713</v>
      </c>
      <c r="E393">
        <v>13.593500000000001</v>
      </c>
      <c r="F393">
        <v>23288863.809999999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-0.25309377578146441</v>
      </c>
      <c r="Q393">
        <f t="shared" si="975"/>
        <v>-5894266.4753332008</v>
      </c>
      <c r="R393">
        <f t="shared" si="976"/>
        <v>474546913.7892198</v>
      </c>
      <c r="S393">
        <f t="shared" si="977"/>
        <v>4745.469137892198</v>
      </c>
      <c r="T393">
        <f t="shared" si="978"/>
        <v>4.745469137892198</v>
      </c>
    </row>
    <row r="394" spans="1:20" x14ac:dyDescent="0.25">
      <c r="A394" s="5">
        <v>44199</v>
      </c>
      <c r="B394">
        <v>12.220599999999999</v>
      </c>
      <c r="C394">
        <v>13.9999</v>
      </c>
      <c r="D394">
        <v>11.8355</v>
      </c>
      <c r="E394">
        <v>13.6814</v>
      </c>
      <c r="F394">
        <v>15938080.42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0.70569210866752896</v>
      </c>
      <c r="Q394">
        <f t="shared" si="975"/>
        <v>11247377.579702456</v>
      </c>
      <c r="R394">
        <f t="shared" si="976"/>
        <v>480441180.26455301</v>
      </c>
      <c r="S394">
        <f t="shared" si="977"/>
        <v>4804.4118026455299</v>
      </c>
      <c r="T394">
        <f t="shared" si="978"/>
        <v>4.8044118026455296</v>
      </c>
    </row>
    <row r="395" spans="1:20" x14ac:dyDescent="0.25">
      <c r="A395" s="5">
        <v>44198</v>
      </c>
      <c r="B395">
        <v>11.8453</v>
      </c>
      <c r="C395">
        <v>12.418799999999999</v>
      </c>
      <c r="D395">
        <v>11.430300000000001</v>
      </c>
      <c r="E395">
        <v>12.221500000000001</v>
      </c>
      <c r="F395">
        <v>9618221.3100000005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0.60080930703085722</v>
      </c>
      <c r="Q395">
        <f t="shared" si="975"/>
        <v>5778716.8801305238</v>
      </c>
      <c r="R395">
        <f t="shared" si="976"/>
        <v>469193802.68485057</v>
      </c>
      <c r="S395">
        <f t="shared" si="977"/>
        <v>4691.9380268485056</v>
      </c>
      <c r="T395">
        <f t="shared" si="978"/>
        <v>4.691938026848506</v>
      </c>
    </row>
    <row r="396" spans="1:20" x14ac:dyDescent="0.25">
      <c r="A396" s="5">
        <v>44197</v>
      </c>
      <c r="B396">
        <v>11.2364</v>
      </c>
      <c r="C396">
        <v>12.46</v>
      </c>
      <c r="D396">
        <v>11.063800000000001</v>
      </c>
      <c r="E396">
        <v>11.8477</v>
      </c>
      <c r="F396">
        <v>8296826.1699999999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0.12290502793295942</v>
      </c>
      <c r="Q396">
        <f t="shared" si="975"/>
        <v>1019721.6521787586</v>
      </c>
      <c r="R396">
        <f t="shared" si="976"/>
        <v>463415085.80472004</v>
      </c>
      <c r="S396">
        <f t="shared" si="977"/>
        <v>4634.1508580472</v>
      </c>
      <c r="T396">
        <f t="shared" si="978"/>
        <v>4.6341508580472004</v>
      </c>
    </row>
    <row r="397" spans="1:20" x14ac:dyDescent="0.25">
      <c r="A397" s="5">
        <v>44196</v>
      </c>
      <c r="B397">
        <v>11.2437</v>
      </c>
      <c r="C397">
        <v>11.753</v>
      </c>
      <c r="D397">
        <v>10.9039</v>
      </c>
      <c r="E397">
        <v>11.2364</v>
      </c>
      <c r="F397">
        <v>6640134.1900000004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-0.21681780708986081</v>
      </c>
      <c r="Q397">
        <f t="shared" si="975"/>
        <v>-1439699.3338582092</v>
      </c>
      <c r="R397">
        <f t="shared" si="976"/>
        <v>462395364.15254128</v>
      </c>
      <c r="S397">
        <f t="shared" si="977"/>
        <v>4623.9536415254124</v>
      </c>
      <c r="T397">
        <f t="shared" si="978"/>
        <v>4.6239536415254126</v>
      </c>
    </row>
    <row r="398" spans="1:20" x14ac:dyDescent="0.25">
      <c r="A398" s="5">
        <v>44195</v>
      </c>
      <c r="B398">
        <v>11.778600000000001</v>
      </c>
      <c r="C398">
        <v>11.99</v>
      </c>
      <c r="D398">
        <v>11.0671</v>
      </c>
      <c r="E398">
        <v>11.243499999999999</v>
      </c>
      <c r="F398">
        <v>7720859.0800000001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-0.61772673095676855</v>
      </c>
      <c r="Q398">
        <f t="shared" si="975"/>
        <v>-4769381.0396662839</v>
      </c>
      <c r="R398">
        <f t="shared" si="976"/>
        <v>463835063.48639947</v>
      </c>
      <c r="S398">
        <f t="shared" si="977"/>
        <v>4638.3506348639949</v>
      </c>
      <c r="T398">
        <f t="shared" si="978"/>
        <v>4.6383506348639951</v>
      </c>
    </row>
    <row r="399" spans="1:20" x14ac:dyDescent="0.25">
      <c r="A399" s="5">
        <v>44194</v>
      </c>
      <c r="B399">
        <v>12.608000000000001</v>
      </c>
      <c r="C399">
        <v>13.0351</v>
      </c>
      <c r="D399">
        <v>10.8161</v>
      </c>
      <c r="E399">
        <v>11.778600000000001</v>
      </c>
      <c r="F399">
        <v>12895731.369999999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-0.13249211356466822</v>
      </c>
      <c r="Q399">
        <f t="shared" si="975"/>
        <v>-1708582.7051734945</v>
      </c>
      <c r="R399">
        <f t="shared" si="976"/>
        <v>468604444.52606577</v>
      </c>
      <c r="S399">
        <f t="shared" si="977"/>
        <v>4686.044445260658</v>
      </c>
      <c r="T399">
        <f t="shared" si="978"/>
        <v>4.6860444452606576</v>
      </c>
    </row>
    <row r="400" spans="1:20" x14ac:dyDescent="0.25">
      <c r="A400" s="5">
        <v>44193</v>
      </c>
      <c r="B400">
        <v>12.154199999999999</v>
      </c>
      <c r="C400">
        <v>12.9781</v>
      </c>
      <c r="D400">
        <v>11.971</v>
      </c>
      <c r="E400">
        <v>12.6081</v>
      </c>
      <c r="F400">
        <v>11288955.85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0.26521695958693392</v>
      </c>
      <c r="Q400">
        <f t="shared" si="975"/>
        <v>2994022.5474481313</v>
      </c>
      <c r="R400">
        <f t="shared" si="976"/>
        <v>470313027.23123926</v>
      </c>
      <c r="S400">
        <f t="shared" si="977"/>
        <v>4703.1302723123927</v>
      </c>
      <c r="T400">
        <f t="shared" si="978"/>
        <v>4.7031302723123929</v>
      </c>
    </row>
    <row r="401" spans="1:20" x14ac:dyDescent="0.25">
      <c r="A401" s="5">
        <v>44192</v>
      </c>
      <c r="B401">
        <v>10.984</v>
      </c>
      <c r="C401">
        <v>13.2448</v>
      </c>
      <c r="D401">
        <v>10.4763</v>
      </c>
      <c r="E401">
        <v>12.1541</v>
      </c>
      <c r="F401">
        <v>18965140.77</v>
      </c>
      <c r="G401">
        <v>0</v>
      </c>
      <c r="L401" t="s">
        <v>7</v>
      </c>
      <c r="M401" t="s">
        <v>8</v>
      </c>
      <c r="N401" t="s">
        <v>8</v>
      </c>
      <c r="P401">
        <f t="shared" si="974"/>
        <v>0.21206429474444632</v>
      </c>
      <c r="Q401">
        <f t="shared" si="975"/>
        <v>4021829.2021191958</v>
      </c>
      <c r="R401">
        <f t="shared" si="976"/>
        <v>467319004.6837911</v>
      </c>
      <c r="S401">
        <f t="shared" si="977"/>
        <v>4673.1900468379108</v>
      </c>
      <c r="T401">
        <f t="shared" si="978"/>
        <v>4.6731900468379104</v>
      </c>
    </row>
    <row r="402" spans="1:20" x14ac:dyDescent="0.25">
      <c r="A402" s="5">
        <v>44191</v>
      </c>
      <c r="B402">
        <v>11.564</v>
      </c>
      <c r="C402">
        <v>11.815099999999999</v>
      </c>
      <c r="D402">
        <v>10.623799999999999</v>
      </c>
      <c r="E402">
        <v>10.9809</v>
      </c>
      <c r="F402">
        <v>9097514.5199999996</v>
      </c>
      <c r="G402">
        <v>0</v>
      </c>
      <c r="L402" t="s">
        <v>7</v>
      </c>
      <c r="M402" t="s">
        <v>8</v>
      </c>
      <c r="N402" t="s">
        <v>8</v>
      </c>
      <c r="P402">
        <f t="shared" si="974"/>
        <v>-0.40048686309073978</v>
      </c>
      <c r="Q402">
        <f t="shared" si="975"/>
        <v>-3643435.0520372572</v>
      </c>
      <c r="R402">
        <f t="shared" si="976"/>
        <v>463297175.48167193</v>
      </c>
      <c r="S402">
        <f t="shared" si="977"/>
        <v>4632.9717548167191</v>
      </c>
      <c r="T402">
        <f t="shared" si="978"/>
        <v>4.6329717548167189</v>
      </c>
    </row>
    <row r="403" spans="1:20" x14ac:dyDescent="0.25">
      <c r="A403" s="5">
        <v>44190</v>
      </c>
      <c r="B403">
        <v>11.570499999999999</v>
      </c>
      <c r="C403">
        <v>11.923400000000001</v>
      </c>
      <c r="D403">
        <v>11.0601</v>
      </c>
      <c r="E403">
        <v>11.5543</v>
      </c>
      <c r="F403">
        <v>7386434.1100000003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0.14490906984825425</v>
      </c>
      <c r="Q403">
        <f t="shared" si="975"/>
        <v>1070361.2963755177</v>
      </c>
      <c r="R403">
        <f t="shared" si="976"/>
        <v>466940610.53370917</v>
      </c>
      <c r="S403">
        <f t="shared" si="977"/>
        <v>4669.4061053370915</v>
      </c>
      <c r="T403">
        <f t="shared" si="978"/>
        <v>4.6694061053370914</v>
      </c>
    </row>
    <row r="404" spans="1:20" x14ac:dyDescent="0.25">
      <c r="A404" s="5">
        <v>44189</v>
      </c>
      <c r="B404">
        <v>10.973000000000001</v>
      </c>
      <c r="C404">
        <v>11.6877</v>
      </c>
      <c r="D404">
        <v>9.8564000000000007</v>
      </c>
      <c r="E404">
        <v>11.5724</v>
      </c>
      <c r="F404">
        <v>14771438.4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0.87407852345328496</v>
      </c>
      <c r="Q404">
        <f t="shared" si="975"/>
        <v>12911397.065953154</v>
      </c>
      <c r="R404">
        <f t="shared" si="976"/>
        <v>465870249.23733366</v>
      </c>
      <c r="S404">
        <f t="shared" si="977"/>
        <v>4658.7024923733361</v>
      </c>
      <c r="T404">
        <f t="shared" si="978"/>
        <v>4.6587024923733358</v>
      </c>
    </row>
    <row r="405" spans="1:20" x14ac:dyDescent="0.25">
      <c r="A405" s="5">
        <v>44188</v>
      </c>
      <c r="B405">
        <v>12.7811</v>
      </c>
      <c r="C405">
        <v>12.8634</v>
      </c>
      <c r="D405">
        <v>8.0500000000000007</v>
      </c>
      <c r="E405">
        <v>10.973599999999999</v>
      </c>
      <c r="F405">
        <v>15255910.26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0.21477541862301028</v>
      </c>
      <c r="Q405">
        <f t="shared" si="975"/>
        <v>3276594.5125665776</v>
      </c>
      <c r="R405">
        <f t="shared" si="976"/>
        <v>452958852.17138052</v>
      </c>
      <c r="S405">
        <f t="shared" si="977"/>
        <v>4529.5885217138048</v>
      </c>
      <c r="T405">
        <f t="shared" si="978"/>
        <v>4.529588521713805</v>
      </c>
    </row>
    <row r="406" spans="1:20" x14ac:dyDescent="0.25">
      <c r="A406" s="5">
        <v>44187</v>
      </c>
      <c r="B406">
        <v>12.3028</v>
      </c>
      <c r="C406">
        <v>12.84</v>
      </c>
      <c r="D406">
        <v>11.8117</v>
      </c>
      <c r="E406">
        <v>12.7842</v>
      </c>
      <c r="F406">
        <v>6175240.2400000002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0.89147136049790987</v>
      </c>
      <c r="Q406">
        <f t="shared" si="975"/>
        <v>5505049.81815424</v>
      </c>
      <c r="R406">
        <f t="shared" si="976"/>
        <v>449682257.65881395</v>
      </c>
      <c r="S406">
        <f t="shared" si="977"/>
        <v>4496.8225765881398</v>
      </c>
      <c r="T406">
        <f t="shared" si="978"/>
        <v>4.4968225765881398</v>
      </c>
    </row>
    <row r="407" spans="1:20" x14ac:dyDescent="0.25">
      <c r="A407" s="5">
        <v>44186</v>
      </c>
      <c r="B407">
        <v>13.0603</v>
      </c>
      <c r="C407">
        <v>13.27</v>
      </c>
      <c r="D407">
        <v>12.135400000000001</v>
      </c>
      <c r="E407">
        <v>12.3049</v>
      </c>
      <c r="F407">
        <v>5719339.8799999999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-0.70121628767847788</v>
      </c>
      <c r="Q407">
        <f t="shared" si="975"/>
        <v>-4010494.278625071</v>
      </c>
      <c r="R407">
        <f t="shared" si="976"/>
        <v>444177207.84065974</v>
      </c>
      <c r="S407">
        <f t="shared" si="977"/>
        <v>4441.7720784065978</v>
      </c>
      <c r="T407">
        <f t="shared" si="978"/>
        <v>4.4417720784065979</v>
      </c>
    </row>
    <row r="408" spans="1:20" x14ac:dyDescent="0.25">
      <c r="A408" s="5">
        <v>44185</v>
      </c>
      <c r="B408">
        <v>13.4748</v>
      </c>
      <c r="C408">
        <v>13.8</v>
      </c>
      <c r="D408">
        <v>12.6752</v>
      </c>
      <c r="E408">
        <v>13.0604</v>
      </c>
      <c r="F408">
        <v>5227497.0199999996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-0.31507823613086922</v>
      </c>
      <c r="Q408">
        <f t="shared" si="975"/>
        <v>-1647070.540440975</v>
      </c>
      <c r="R408">
        <f t="shared" si="976"/>
        <v>448187702.11928481</v>
      </c>
      <c r="S408">
        <f t="shared" si="977"/>
        <v>4481.8770211928477</v>
      </c>
      <c r="T408">
        <f t="shared" si="978"/>
        <v>4.4818770211928474</v>
      </c>
    </row>
    <row r="409" spans="1:20" x14ac:dyDescent="0.25">
      <c r="A409" s="5">
        <v>44184</v>
      </c>
      <c r="B409">
        <v>13.5</v>
      </c>
      <c r="C409">
        <v>13.9697</v>
      </c>
      <c r="D409">
        <v>13.2981</v>
      </c>
      <c r="E409">
        <v>13.4747</v>
      </c>
      <c r="F409">
        <v>4606603.33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-0.47409172126265453</v>
      </c>
      <c r="Q409">
        <f t="shared" si="975"/>
        <v>-2183952.5018939762</v>
      </c>
      <c r="R409">
        <f t="shared" si="976"/>
        <v>449834772.65972579</v>
      </c>
      <c r="S409">
        <f t="shared" si="977"/>
        <v>4498.3477265972579</v>
      </c>
      <c r="T409">
        <f t="shared" si="978"/>
        <v>4.4983477265972578</v>
      </c>
    </row>
    <row r="410" spans="1:20" x14ac:dyDescent="0.25">
      <c r="A410" s="5">
        <v>44183</v>
      </c>
      <c r="B410">
        <v>13.444000000000001</v>
      </c>
      <c r="C410">
        <v>14.0235</v>
      </c>
      <c r="D410">
        <v>13.172499999999999</v>
      </c>
      <c r="E410">
        <v>13.5001</v>
      </c>
      <c r="F410">
        <v>5520717.04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-0.23008225616921268</v>
      </c>
      <c r="Q410">
        <f t="shared" si="975"/>
        <v>-1270219.0322350175</v>
      </c>
      <c r="R410">
        <f t="shared" si="976"/>
        <v>452018725.16161978</v>
      </c>
      <c r="S410">
        <f t="shared" si="977"/>
        <v>4520.1872516161975</v>
      </c>
      <c r="T410">
        <f t="shared" si="978"/>
        <v>4.5201872516161972</v>
      </c>
    </row>
    <row r="411" spans="1:20" x14ac:dyDescent="0.25">
      <c r="A411" s="5">
        <v>44182</v>
      </c>
      <c r="B411">
        <v>13.484</v>
      </c>
      <c r="C411">
        <v>14.5038</v>
      </c>
      <c r="D411">
        <v>13.057499999999999</v>
      </c>
      <c r="E411">
        <v>13.444000000000001</v>
      </c>
      <c r="F411">
        <v>11585591.26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-0.465532738712575</v>
      </c>
      <c r="Q411">
        <f t="shared" si="975"/>
        <v>-5393472.0288722729</v>
      </c>
      <c r="R411">
        <f t="shared" si="976"/>
        <v>453288944.19385481</v>
      </c>
      <c r="S411">
        <f t="shared" si="977"/>
        <v>4532.8894419385479</v>
      </c>
      <c r="T411">
        <f t="shared" si="978"/>
        <v>4.5328894419385479</v>
      </c>
    </row>
    <row r="412" spans="1:20" x14ac:dyDescent="0.25">
      <c r="A412" s="5">
        <v>44181</v>
      </c>
      <c r="B412">
        <v>12.678599999999999</v>
      </c>
      <c r="C412">
        <v>13.5</v>
      </c>
      <c r="D412">
        <v>12.3119</v>
      </c>
      <c r="E412">
        <v>13.485200000000001</v>
      </c>
      <c r="F412">
        <v>6700261.7999999998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0.9750862721993111</v>
      </c>
      <c r="Q412">
        <f t="shared" si="975"/>
        <v>6533333.301321446</v>
      </c>
      <c r="R412">
        <f t="shared" si="976"/>
        <v>458682416.22272706</v>
      </c>
      <c r="S412">
        <f t="shared" si="977"/>
        <v>4586.8241622272708</v>
      </c>
      <c r="T412">
        <f t="shared" si="978"/>
        <v>4.5868241622272707</v>
      </c>
    </row>
    <row r="413" spans="1:20" x14ac:dyDescent="0.25">
      <c r="A413" s="5">
        <v>44180</v>
      </c>
      <c r="B413">
        <v>12.8513</v>
      </c>
      <c r="C413">
        <v>13.022</v>
      </c>
      <c r="D413">
        <v>12.4659</v>
      </c>
      <c r="E413">
        <v>12.681800000000001</v>
      </c>
      <c r="F413">
        <v>3202210.62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-0.22352094946951614</v>
      </c>
      <c r="Q413">
        <f t="shared" si="975"/>
        <v>-715761.15818376804</v>
      </c>
      <c r="R413">
        <f t="shared" si="976"/>
        <v>452149082.92140561</v>
      </c>
      <c r="S413">
        <f t="shared" si="977"/>
        <v>4521.4908292140562</v>
      </c>
      <c r="T413">
        <f t="shared" si="978"/>
        <v>4.5214908292140565</v>
      </c>
    </row>
    <row r="414" spans="1:20" x14ac:dyDescent="0.25">
      <c r="A414" s="5">
        <v>44179</v>
      </c>
      <c r="B414">
        <v>12.9389</v>
      </c>
      <c r="C414">
        <v>12.98</v>
      </c>
      <c r="D414">
        <v>12.3238</v>
      </c>
      <c r="E414">
        <v>12.850199999999999</v>
      </c>
      <c r="F414">
        <v>4529267.12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0.60438890582139215</v>
      </c>
      <c r="Q414">
        <f t="shared" si="975"/>
        <v>2737438.7988296081</v>
      </c>
      <c r="R414">
        <f t="shared" si="976"/>
        <v>452864844.07958937</v>
      </c>
      <c r="S414">
        <f t="shared" si="977"/>
        <v>4528.6484407958933</v>
      </c>
      <c r="T414">
        <f t="shared" si="978"/>
        <v>4.5286484407958936</v>
      </c>
    </row>
    <row r="415" spans="1:20" x14ac:dyDescent="0.25">
      <c r="A415" s="5">
        <v>44178</v>
      </c>
      <c r="B415">
        <v>12.228</v>
      </c>
      <c r="C415">
        <v>13.2697</v>
      </c>
      <c r="D415">
        <v>12.021000000000001</v>
      </c>
      <c r="E415">
        <v>12.9392</v>
      </c>
      <c r="F415">
        <v>6036848.9699999997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0.47064947545447133</v>
      </c>
      <c r="Q415">
        <f t="shared" si="975"/>
        <v>2841239.8011283656</v>
      </c>
      <c r="R415">
        <f t="shared" si="976"/>
        <v>450127405.28075975</v>
      </c>
      <c r="S415">
        <f t="shared" si="977"/>
        <v>4501.2740528075974</v>
      </c>
      <c r="T415">
        <f t="shared" si="978"/>
        <v>4.501274052807597</v>
      </c>
    </row>
    <row r="416" spans="1:20" x14ac:dyDescent="0.25">
      <c r="A416" s="5">
        <v>44177</v>
      </c>
      <c r="B416">
        <v>11.6393</v>
      </c>
      <c r="C416">
        <v>12.3529</v>
      </c>
      <c r="D416">
        <v>11.601000000000001</v>
      </c>
      <c r="E416">
        <v>12.225899999999999</v>
      </c>
      <c r="F416">
        <v>4394492.22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0.66218912089373372</v>
      </c>
      <c r="Q416">
        <f t="shared" si="975"/>
        <v>2909984.9399361522</v>
      </c>
      <c r="R416">
        <f t="shared" si="976"/>
        <v>447286165.47963136</v>
      </c>
      <c r="S416">
        <f t="shared" si="977"/>
        <v>4472.8616547963138</v>
      </c>
      <c r="T416">
        <f t="shared" si="978"/>
        <v>4.472861654796314</v>
      </c>
    </row>
    <row r="417" spans="1:20" x14ac:dyDescent="0.25">
      <c r="A417" s="5">
        <v>44176</v>
      </c>
      <c r="B417">
        <v>11.917199999999999</v>
      </c>
      <c r="C417">
        <v>11.9899</v>
      </c>
      <c r="D417">
        <v>11.43</v>
      </c>
      <c r="E417">
        <v>11.6335</v>
      </c>
      <c r="F417">
        <v>5013258.55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-0.27308447937131719</v>
      </c>
      <c r="Q417">
        <f t="shared" si="975"/>
        <v>-1369043.1010805545</v>
      </c>
      <c r="R417">
        <f t="shared" si="976"/>
        <v>444376180.5396952</v>
      </c>
      <c r="S417">
        <f t="shared" si="977"/>
        <v>4443.7618053969518</v>
      </c>
      <c r="T417">
        <f t="shared" si="978"/>
        <v>4.4437618053969521</v>
      </c>
    </row>
    <row r="418" spans="1:20" x14ac:dyDescent="0.25">
      <c r="A418" s="5">
        <v>44175</v>
      </c>
      <c r="B418">
        <v>12.62</v>
      </c>
      <c r="C418">
        <v>12.673</v>
      </c>
      <c r="D418">
        <v>11.854900000000001</v>
      </c>
      <c r="E418">
        <v>11.917199999999999</v>
      </c>
      <c r="F418">
        <v>3569558.42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-0.84769588069918411</v>
      </c>
      <c r="Q418">
        <f t="shared" si="975"/>
        <v>-3025899.9685490881</v>
      </c>
      <c r="R418">
        <f t="shared" si="976"/>
        <v>445745223.64077574</v>
      </c>
      <c r="S418">
        <f t="shared" si="977"/>
        <v>4457.4522364077575</v>
      </c>
      <c r="T418">
        <f t="shared" si="978"/>
        <v>4.4574522364077573</v>
      </c>
    </row>
    <row r="419" spans="1:20" x14ac:dyDescent="0.25">
      <c r="A419" s="5">
        <v>44174</v>
      </c>
      <c r="B419">
        <v>12.128</v>
      </c>
      <c r="C419">
        <v>12.829000000000001</v>
      </c>
      <c r="D419">
        <v>11.5726</v>
      </c>
      <c r="E419">
        <v>12.6212</v>
      </c>
      <c r="F419">
        <v>6780799.2400000002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0.66921362623368275</v>
      </c>
      <c r="Q419">
        <f t="shared" si="975"/>
        <v>4537803.2481629997</v>
      </c>
      <c r="R419">
        <f t="shared" si="976"/>
        <v>448771123.60932481</v>
      </c>
      <c r="S419">
        <f t="shared" si="977"/>
        <v>4487.7112360932479</v>
      </c>
      <c r="T419">
        <f t="shared" si="978"/>
        <v>4.4877112360932481</v>
      </c>
    </row>
    <row r="420" spans="1:20" x14ac:dyDescent="0.25">
      <c r="A420" s="5">
        <v>44173</v>
      </c>
      <c r="B420">
        <v>13.073700000000001</v>
      </c>
      <c r="C420">
        <v>13.1929</v>
      </c>
      <c r="D420">
        <v>12</v>
      </c>
      <c r="E420">
        <v>12.1356</v>
      </c>
      <c r="F420">
        <v>5176177.45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-0.77265487467516103</v>
      </c>
      <c r="Q420">
        <f t="shared" si="975"/>
        <v>-3999398.7389261448</v>
      </c>
      <c r="R420">
        <f t="shared" si="976"/>
        <v>444233320.36116183</v>
      </c>
      <c r="S420">
        <f t="shared" si="977"/>
        <v>4442.333203611618</v>
      </c>
      <c r="T420">
        <f t="shared" si="978"/>
        <v>4.4423332036116179</v>
      </c>
    </row>
    <row r="421" spans="1:20" x14ac:dyDescent="0.25">
      <c r="A421" s="5">
        <v>44172</v>
      </c>
      <c r="B421">
        <v>13.509</v>
      </c>
      <c r="C421">
        <v>13.553599999999999</v>
      </c>
      <c r="D421">
        <v>12.867100000000001</v>
      </c>
      <c r="E421">
        <v>13.070399999999999</v>
      </c>
      <c r="F421">
        <v>3224398.04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-0.40772032046613527</v>
      </c>
      <c r="Q421">
        <f t="shared" si="975"/>
        <v>-1314652.6021791785</v>
      </c>
      <c r="R421">
        <f t="shared" si="976"/>
        <v>448232719.100088</v>
      </c>
      <c r="S421">
        <f t="shared" si="977"/>
        <v>4482.3271910008798</v>
      </c>
      <c r="T421">
        <f t="shared" si="978"/>
        <v>4.4823271910008797</v>
      </c>
    </row>
    <row r="422" spans="1:20" x14ac:dyDescent="0.25">
      <c r="A422" s="5">
        <v>44171</v>
      </c>
      <c r="B422">
        <v>13.174300000000001</v>
      </c>
      <c r="C422">
        <v>13.5282</v>
      </c>
      <c r="D422">
        <v>12.767099999999999</v>
      </c>
      <c r="E422">
        <v>13.505699999999999</v>
      </c>
      <c r="F422">
        <v>3871281.59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0.94087504927079013</v>
      </c>
      <c r="Q422">
        <f t="shared" si="975"/>
        <v>3642392.2567323525</v>
      </c>
      <c r="R422">
        <f t="shared" si="976"/>
        <v>449547371.70226717</v>
      </c>
      <c r="S422">
        <f t="shared" si="977"/>
        <v>4495.4737170226717</v>
      </c>
      <c r="T422">
        <f t="shared" si="978"/>
        <v>4.495473717022672</v>
      </c>
    </row>
    <row r="423" spans="1:20" x14ac:dyDescent="0.25">
      <c r="A423" s="5">
        <v>44170</v>
      </c>
      <c r="B423">
        <v>12.68</v>
      </c>
      <c r="C423">
        <v>13.347799999999999</v>
      </c>
      <c r="D423">
        <v>12.5265</v>
      </c>
      <c r="E423">
        <v>13.174799999999999</v>
      </c>
      <c r="F423">
        <v>3447469.25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0.57871666869596916</v>
      </c>
      <c r="Q423">
        <f t="shared" si="975"/>
        <v>1995107.9197917914</v>
      </c>
      <c r="R423">
        <f t="shared" si="976"/>
        <v>445904979.44553483</v>
      </c>
      <c r="S423">
        <f t="shared" si="977"/>
        <v>4459.0497944553481</v>
      </c>
      <c r="T423">
        <f t="shared" si="978"/>
        <v>4.459049794455348</v>
      </c>
    </row>
    <row r="424" spans="1:20" x14ac:dyDescent="0.25">
      <c r="A424" s="5">
        <v>44169</v>
      </c>
      <c r="B424">
        <v>13.9749</v>
      </c>
      <c r="C424">
        <v>14.033200000000001</v>
      </c>
      <c r="D424">
        <v>12.5101</v>
      </c>
      <c r="E424">
        <v>12.68</v>
      </c>
      <c r="F424">
        <v>5795163.0099999998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-0.77690237016610852</v>
      </c>
      <c r="Q424">
        <f t="shared" si="975"/>
        <v>-4502275.8779679593</v>
      </c>
      <c r="R424">
        <f t="shared" si="976"/>
        <v>443909871.52574301</v>
      </c>
      <c r="S424">
        <f t="shared" si="977"/>
        <v>4439.0987152574298</v>
      </c>
      <c r="T424">
        <f t="shared" si="978"/>
        <v>4.4390987152574297</v>
      </c>
    </row>
    <row r="425" spans="1:20" x14ac:dyDescent="0.25">
      <c r="A425" s="5">
        <v>44168</v>
      </c>
      <c r="B425">
        <v>13.9785</v>
      </c>
      <c r="C425">
        <v>14.22</v>
      </c>
      <c r="D425">
        <v>13.644600000000001</v>
      </c>
      <c r="E425">
        <v>13.9749</v>
      </c>
      <c r="F425">
        <v>4275317.88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0.14807090719499233</v>
      </c>
      <c r="Q425">
        <f t="shared" si="975"/>
        <v>633050.19703857135</v>
      </c>
      <c r="R425">
        <f t="shared" si="976"/>
        <v>448412147.40371096</v>
      </c>
      <c r="S425">
        <f t="shared" si="977"/>
        <v>4484.1214740371097</v>
      </c>
      <c r="T425">
        <f t="shared" si="978"/>
        <v>4.48412147403711</v>
      </c>
    </row>
    <row r="426" spans="1:20" x14ac:dyDescent="0.25">
      <c r="A426" s="5">
        <v>44167</v>
      </c>
      <c r="B426">
        <v>13.3544</v>
      </c>
      <c r="C426">
        <v>14.148199999999999</v>
      </c>
      <c r="D426">
        <v>13.05</v>
      </c>
      <c r="E426">
        <v>13.979900000000001</v>
      </c>
      <c r="F426">
        <v>6173228.0800000001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0.69349845201238614</v>
      </c>
      <c r="Q426">
        <f t="shared" si="975"/>
        <v>4281124.1173993945</v>
      </c>
      <c r="R426">
        <f t="shared" si="976"/>
        <v>447779097.20667237</v>
      </c>
      <c r="S426">
        <f t="shared" si="977"/>
        <v>4477.790972066724</v>
      </c>
      <c r="T426">
        <f t="shared" si="978"/>
        <v>4.4777909720667237</v>
      </c>
    </row>
    <row r="427" spans="1:20" x14ac:dyDescent="0.25">
      <c r="A427" s="5">
        <v>44166</v>
      </c>
      <c r="B427">
        <v>14.262600000000001</v>
      </c>
      <c r="C427">
        <v>14.832800000000001</v>
      </c>
      <c r="D427">
        <v>13.0456</v>
      </c>
      <c r="E427">
        <v>13.3461</v>
      </c>
      <c r="F427">
        <v>11186350.890000001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-0.66371978513876517</v>
      </c>
      <c r="Q427">
        <f t="shared" si="975"/>
        <v>-7424602.409197635</v>
      </c>
      <c r="R427">
        <f t="shared" si="976"/>
        <v>443497973.08927298</v>
      </c>
      <c r="S427">
        <f t="shared" si="977"/>
        <v>4434.97973089273</v>
      </c>
      <c r="T427">
        <f t="shared" si="978"/>
        <v>4.4349797308927297</v>
      </c>
    </row>
    <row r="428" spans="1:20" x14ac:dyDescent="0.25">
      <c r="A428" s="5">
        <v>44165</v>
      </c>
      <c r="B428">
        <v>13.3855</v>
      </c>
      <c r="C428">
        <v>14.436999999999999</v>
      </c>
      <c r="D428">
        <v>13.3855</v>
      </c>
      <c r="E428">
        <v>14.2677</v>
      </c>
      <c r="F428">
        <v>10302701.220000001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0.67798383262006667</v>
      </c>
      <c r="Q428">
        <f t="shared" si="975"/>
        <v>6985064.8594750371</v>
      </c>
      <c r="R428">
        <f t="shared" si="976"/>
        <v>450922575.4984706</v>
      </c>
      <c r="S428">
        <f t="shared" si="977"/>
        <v>4509.2257549847063</v>
      </c>
      <c r="T428">
        <f t="shared" si="978"/>
        <v>4.5092257549847066</v>
      </c>
    </row>
    <row r="429" spans="1:20" x14ac:dyDescent="0.25">
      <c r="A429" s="5">
        <v>44164</v>
      </c>
      <c r="B429">
        <v>13.0848</v>
      </c>
      <c r="C429">
        <v>13.4765</v>
      </c>
      <c r="D429">
        <v>12.8408</v>
      </c>
      <c r="E429">
        <v>13.38</v>
      </c>
      <c r="F429">
        <v>6551088.54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0.69639767185779788</v>
      </c>
      <c r="Q429">
        <f t="shared" si="975"/>
        <v>4562162.8073903006</v>
      </c>
      <c r="R429">
        <f t="shared" si="976"/>
        <v>443937510.63899559</v>
      </c>
      <c r="S429">
        <f t="shared" si="977"/>
        <v>4439.3751063899563</v>
      </c>
      <c r="T429">
        <f t="shared" si="978"/>
        <v>4.4393751063899565</v>
      </c>
    </row>
    <row r="430" spans="1:20" x14ac:dyDescent="0.25">
      <c r="A430" s="5">
        <v>44163</v>
      </c>
      <c r="B430">
        <v>12.5038</v>
      </c>
      <c r="C430">
        <v>13.43</v>
      </c>
      <c r="D430">
        <v>12.3489</v>
      </c>
      <c r="E430">
        <v>13.0853</v>
      </c>
      <c r="F430">
        <v>7286264.4800000004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0.36231615946720969</v>
      </c>
      <c r="Q430">
        <f t="shared" si="975"/>
        <v>2639931.363255946</v>
      </c>
      <c r="R430">
        <f t="shared" si="976"/>
        <v>439375347.83160532</v>
      </c>
      <c r="S430">
        <f t="shared" si="977"/>
        <v>4393.7534783160536</v>
      </c>
      <c r="T430">
        <f t="shared" si="978"/>
        <v>4.3937534783160537</v>
      </c>
    </row>
    <row r="431" spans="1:20" x14ac:dyDescent="0.25">
      <c r="A431" s="5">
        <v>44162</v>
      </c>
      <c r="B431">
        <v>12.6036</v>
      </c>
      <c r="C431">
        <v>12.952999999999999</v>
      </c>
      <c r="D431">
        <v>11.945399999999999</v>
      </c>
      <c r="E431">
        <v>12.498900000000001</v>
      </c>
      <c r="F431">
        <v>9129104.4399999995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9.8650258038907118E-2</v>
      </c>
      <c r="Q431">
        <f t="shared" si="975"/>
        <v>900588.50867013261</v>
      </c>
      <c r="R431">
        <f t="shared" si="976"/>
        <v>436735416.4683494</v>
      </c>
      <c r="S431">
        <f t="shared" si="977"/>
        <v>4367.3541646834938</v>
      </c>
      <c r="T431">
        <f t="shared" si="978"/>
        <v>4.3673541646834941</v>
      </c>
    </row>
    <row r="432" spans="1:20" x14ac:dyDescent="0.25">
      <c r="A432" s="5">
        <v>44161</v>
      </c>
      <c r="B432">
        <v>14.218</v>
      </c>
      <c r="C432">
        <v>14.474299999999999</v>
      </c>
      <c r="D432">
        <v>11.293900000000001</v>
      </c>
      <c r="E432">
        <v>12.603</v>
      </c>
      <c r="F432">
        <v>24596535.809999999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-0.17677021758269429</v>
      </c>
      <c r="Q432">
        <f t="shared" si="975"/>
        <v>-4347934.9869142314</v>
      </c>
      <c r="R432">
        <f t="shared" si="976"/>
        <v>435834827.95967925</v>
      </c>
      <c r="S432">
        <f t="shared" si="977"/>
        <v>4358.3482795967921</v>
      </c>
      <c r="T432">
        <f t="shared" si="978"/>
        <v>4.3583482795967923</v>
      </c>
    </row>
    <row r="433" spans="1:20" x14ac:dyDescent="0.25">
      <c r="A433" s="5">
        <v>44160</v>
      </c>
      <c r="B433">
        <v>15.6637</v>
      </c>
      <c r="C433">
        <v>15.86</v>
      </c>
      <c r="D433">
        <v>13.79</v>
      </c>
      <c r="E433">
        <v>14.201599999999999</v>
      </c>
      <c r="F433">
        <v>9521564.0999999996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-0.60231884057971019</v>
      </c>
      <c r="Q433">
        <f t="shared" si="975"/>
        <v>-5735017.4492173912</v>
      </c>
      <c r="R433">
        <f t="shared" si="976"/>
        <v>440182762.94659346</v>
      </c>
      <c r="S433">
        <f t="shared" si="977"/>
        <v>4401.8276294659345</v>
      </c>
      <c r="T433">
        <f t="shared" si="978"/>
        <v>4.4018276294659344</v>
      </c>
    </row>
    <row r="434" spans="1:20" x14ac:dyDescent="0.25">
      <c r="A434" s="5">
        <v>44159</v>
      </c>
      <c r="B434">
        <v>15.264799999999999</v>
      </c>
      <c r="C434">
        <v>16.39</v>
      </c>
      <c r="D434">
        <v>14.943</v>
      </c>
      <c r="E434">
        <v>15.670299999999999</v>
      </c>
      <c r="F434">
        <v>15636471.17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5.2522460262600344E-3</v>
      </c>
      <c r="Q434">
        <f t="shared" si="975"/>
        <v>82126.593567362084</v>
      </c>
      <c r="R434">
        <f t="shared" si="976"/>
        <v>445917780.39581084</v>
      </c>
      <c r="S434">
        <f t="shared" si="977"/>
        <v>4459.1778039581086</v>
      </c>
      <c r="T434">
        <f t="shared" si="978"/>
        <v>4.4591778039581085</v>
      </c>
    </row>
    <row r="435" spans="1:20" x14ac:dyDescent="0.25">
      <c r="A435" s="5">
        <v>44158</v>
      </c>
      <c r="B435">
        <v>14.5098</v>
      </c>
      <c r="C435">
        <v>15.425000000000001</v>
      </c>
      <c r="D435">
        <v>14.252000000000001</v>
      </c>
      <c r="E435">
        <v>15.2746</v>
      </c>
      <c r="F435">
        <v>12472333.449999999</v>
      </c>
      <c r="G435">
        <v>0</v>
      </c>
      <c r="L435" t="s">
        <v>7</v>
      </c>
      <c r="M435" t="s">
        <v>8</v>
      </c>
      <c r="N435" t="s">
        <v>8</v>
      </c>
      <c r="P435">
        <f t="shared" si="974"/>
        <v>0.74356351236146434</v>
      </c>
      <c r="Q435">
        <f t="shared" si="975"/>
        <v>9273972.0674253795</v>
      </c>
      <c r="R435">
        <f t="shared" si="976"/>
        <v>445835653.80224347</v>
      </c>
      <c r="S435">
        <f t="shared" si="977"/>
        <v>4458.3565380224345</v>
      </c>
      <c r="T435">
        <f t="shared" si="978"/>
        <v>4.4583565380224348</v>
      </c>
    </row>
    <row r="436" spans="1:20" x14ac:dyDescent="0.25">
      <c r="A436" s="5">
        <v>44157</v>
      </c>
      <c r="B436">
        <v>15.440799999999999</v>
      </c>
      <c r="C436">
        <v>15.7179</v>
      </c>
      <c r="D436">
        <v>13.840199999999999</v>
      </c>
      <c r="E436">
        <v>14.5098</v>
      </c>
      <c r="F436">
        <v>14244002.32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-0.28678702668157791</v>
      </c>
      <c r="Q436">
        <f t="shared" si="975"/>
        <v>-4084995.0733982977</v>
      </c>
      <c r="R436">
        <f t="shared" si="976"/>
        <v>436561681.7348181</v>
      </c>
      <c r="S436">
        <f t="shared" si="977"/>
        <v>4365.616817348181</v>
      </c>
      <c r="T436">
        <f t="shared" si="978"/>
        <v>4.3656168173481813</v>
      </c>
    </row>
    <row r="437" spans="1:20" x14ac:dyDescent="0.25">
      <c r="A437" s="5">
        <v>44156</v>
      </c>
      <c r="B437">
        <v>14.0913</v>
      </c>
      <c r="C437">
        <v>15.5</v>
      </c>
      <c r="D437">
        <v>13.6876</v>
      </c>
      <c r="E437">
        <v>15.4511</v>
      </c>
      <c r="F437">
        <v>14003272.57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0.94603840211873791</v>
      </c>
      <c r="Q437">
        <f t="shared" si="975"/>
        <v>13247633.606555954</v>
      </c>
      <c r="R437">
        <f t="shared" si="976"/>
        <v>440646676.80821639</v>
      </c>
      <c r="S437">
        <f t="shared" si="977"/>
        <v>4406.466768082164</v>
      </c>
      <c r="T437">
        <f t="shared" si="978"/>
        <v>4.4064667680821641</v>
      </c>
    </row>
    <row r="438" spans="1:20" x14ac:dyDescent="0.25">
      <c r="A438" s="5">
        <v>44155</v>
      </c>
      <c r="B438">
        <v>13.611700000000001</v>
      </c>
      <c r="C438">
        <v>14.477</v>
      </c>
      <c r="D438">
        <v>13.4618</v>
      </c>
      <c r="E438">
        <v>14.093299999999999</v>
      </c>
      <c r="F438">
        <v>11203096.77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0.24408983451536445</v>
      </c>
      <c r="Q438">
        <f t="shared" si="975"/>
        <v>2734562.0366489138</v>
      </c>
      <c r="R438">
        <f t="shared" si="976"/>
        <v>427399043.20166045</v>
      </c>
      <c r="S438">
        <f t="shared" si="977"/>
        <v>4273.9904320166042</v>
      </c>
      <c r="T438">
        <f t="shared" si="978"/>
        <v>4.2739904320166042</v>
      </c>
    </row>
    <row r="439" spans="1:20" x14ac:dyDescent="0.25">
      <c r="A439" s="5">
        <v>44154</v>
      </c>
      <c r="B439">
        <v>13.5602</v>
      </c>
      <c r="C439">
        <v>14</v>
      </c>
      <c r="D439">
        <v>13.011100000000001</v>
      </c>
      <c r="E439">
        <v>13.6187</v>
      </c>
      <c r="F439">
        <v>9805683.2699999996</v>
      </c>
      <c r="G439">
        <v>0</v>
      </c>
      <c r="L439" t="s">
        <v>7</v>
      </c>
      <c r="M439" t="s">
        <v>8</v>
      </c>
      <c r="N439" t="s">
        <v>8</v>
      </c>
      <c r="P439">
        <f t="shared" si="974"/>
        <v>0.22884012539184989</v>
      </c>
      <c r="Q439">
        <f t="shared" si="975"/>
        <v>2243933.7890595645</v>
      </c>
      <c r="R439">
        <f t="shared" si="976"/>
        <v>424664481.16501153</v>
      </c>
      <c r="S439">
        <f t="shared" si="977"/>
        <v>4246.6448116501151</v>
      </c>
      <c r="T439">
        <f t="shared" si="978"/>
        <v>4.246644811650115</v>
      </c>
    </row>
    <row r="440" spans="1:20" x14ac:dyDescent="0.25">
      <c r="A440" s="5">
        <v>44153</v>
      </c>
      <c r="B440">
        <v>13.394299999999999</v>
      </c>
      <c r="C440">
        <v>14.2669</v>
      </c>
      <c r="D440">
        <v>12.585000000000001</v>
      </c>
      <c r="E440">
        <v>13.559799999999999</v>
      </c>
      <c r="F440">
        <v>18517527.670000002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0.15916522979963019</v>
      </c>
      <c r="Q440">
        <f t="shared" si="975"/>
        <v>2947346.5469165607</v>
      </c>
      <c r="R440">
        <f t="shared" si="976"/>
        <v>422420547.37595195</v>
      </c>
      <c r="S440">
        <f t="shared" si="977"/>
        <v>4224.205473759519</v>
      </c>
      <c r="T440">
        <f t="shared" si="978"/>
        <v>4.2242054737595192</v>
      </c>
    </row>
    <row r="441" spans="1:20" x14ac:dyDescent="0.25">
      <c r="A441" s="5">
        <v>44152</v>
      </c>
      <c r="B441">
        <v>12.6204</v>
      </c>
      <c r="C441">
        <v>13.422800000000001</v>
      </c>
      <c r="D441">
        <v>12.541399999999999</v>
      </c>
      <c r="E441">
        <v>13.394399999999999</v>
      </c>
      <c r="F441">
        <v>11150763.550000001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0.93555706830042829</v>
      </c>
      <c r="Q441">
        <f t="shared" si="975"/>
        <v>10432175.656149277</v>
      </c>
      <c r="R441">
        <f t="shared" si="976"/>
        <v>419473200.8290354</v>
      </c>
      <c r="S441">
        <f t="shared" si="977"/>
        <v>4194.7320082903543</v>
      </c>
      <c r="T441">
        <f t="shared" si="978"/>
        <v>4.1947320082903543</v>
      </c>
    </row>
    <row r="442" spans="1:20" x14ac:dyDescent="0.25">
      <c r="A442" s="5">
        <v>44151</v>
      </c>
      <c r="B442">
        <v>12.119899999999999</v>
      </c>
      <c r="C442">
        <v>12.8132</v>
      </c>
      <c r="D442">
        <v>11.9971</v>
      </c>
      <c r="E442">
        <v>12.622299999999999</v>
      </c>
      <c r="F442">
        <v>5982803.3799999999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0.53216517583629253</v>
      </c>
      <c r="Q442">
        <f t="shared" si="975"/>
        <v>3183839.6127116652</v>
      </c>
      <c r="R442">
        <f t="shared" si="976"/>
        <v>409041025.17288613</v>
      </c>
      <c r="S442">
        <f t="shared" si="977"/>
        <v>4090.4102517288611</v>
      </c>
      <c r="T442">
        <f t="shared" si="978"/>
        <v>4.0904102517288612</v>
      </c>
    </row>
    <row r="443" spans="1:20" x14ac:dyDescent="0.25">
      <c r="A443" s="5">
        <v>44150</v>
      </c>
      <c r="B443">
        <v>12.557</v>
      </c>
      <c r="C443">
        <v>12.648400000000001</v>
      </c>
      <c r="D443">
        <v>11.8156</v>
      </c>
      <c r="E443">
        <v>12.119199999999999</v>
      </c>
      <c r="F443">
        <v>5716347.2400000002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-0.27089337175792705</v>
      </c>
      <c r="Q443">
        <f t="shared" si="975"/>
        <v>-1548520.5779827202</v>
      </c>
      <c r="R443">
        <f t="shared" si="976"/>
        <v>405857185.56017447</v>
      </c>
      <c r="S443">
        <f t="shared" si="977"/>
        <v>4058.5718556017446</v>
      </c>
      <c r="T443">
        <f t="shared" si="978"/>
        <v>4.0585718556017447</v>
      </c>
    </row>
    <row r="444" spans="1:20" x14ac:dyDescent="0.25">
      <c r="A444" s="5">
        <v>44149</v>
      </c>
      <c r="B444">
        <v>12.867900000000001</v>
      </c>
      <c r="C444">
        <v>12.9335</v>
      </c>
      <c r="D444">
        <v>12.3</v>
      </c>
      <c r="E444">
        <v>12.557399999999999</v>
      </c>
      <c r="F444">
        <v>5010394.1100000003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-0.18737174427782524</v>
      </c>
      <c r="Q444">
        <f t="shared" si="975"/>
        <v>-938806.28391004191</v>
      </c>
      <c r="R444">
        <f t="shared" si="976"/>
        <v>407405706.13815719</v>
      </c>
      <c r="S444">
        <f t="shared" si="977"/>
        <v>4074.0570613815721</v>
      </c>
      <c r="T444">
        <f t="shared" si="978"/>
        <v>4.0740570613815725</v>
      </c>
    </row>
    <row r="445" spans="1:20" x14ac:dyDescent="0.25">
      <c r="A445" s="5">
        <v>44148</v>
      </c>
      <c r="B445">
        <v>12.4038</v>
      </c>
      <c r="C445">
        <v>13</v>
      </c>
      <c r="D445">
        <v>12.3079</v>
      </c>
      <c r="E445">
        <v>12.8687</v>
      </c>
      <c r="F445">
        <v>7892649.6200000001</v>
      </c>
      <c r="G445">
        <v>0</v>
      </c>
      <c r="L445" t="s">
        <v>7</v>
      </c>
      <c r="M445" t="s">
        <v>8</v>
      </c>
      <c r="N445" t="s">
        <v>8</v>
      </c>
      <c r="P445">
        <f t="shared" si="974"/>
        <v>0.62057506140731244</v>
      </c>
      <c r="Q445">
        <f t="shared" si="975"/>
        <v>4897981.5225979015</v>
      </c>
      <c r="R445">
        <f t="shared" si="976"/>
        <v>408344512.42206722</v>
      </c>
      <c r="S445">
        <f t="shared" si="977"/>
        <v>4083.4451242206724</v>
      </c>
      <c r="T445">
        <f t="shared" si="978"/>
        <v>4.0834451242206722</v>
      </c>
    </row>
    <row r="446" spans="1:20" x14ac:dyDescent="0.25">
      <c r="A446" s="5">
        <v>44147</v>
      </c>
      <c r="B446">
        <v>12.753</v>
      </c>
      <c r="C446">
        <v>13.095599999999999</v>
      </c>
      <c r="D446">
        <v>12.27</v>
      </c>
      <c r="E446">
        <v>12.4038</v>
      </c>
      <c r="F446">
        <v>8920340.5299999993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-0.67587209302325368</v>
      </c>
      <c r="Q446">
        <f t="shared" si="975"/>
        <v>-6029009.22449126</v>
      </c>
      <c r="R446">
        <f t="shared" si="976"/>
        <v>403446530.89946932</v>
      </c>
      <c r="S446">
        <f t="shared" si="977"/>
        <v>4034.4653089946933</v>
      </c>
      <c r="T446">
        <f t="shared" si="978"/>
        <v>4.0344653089946929</v>
      </c>
    </row>
    <row r="447" spans="1:20" x14ac:dyDescent="0.25">
      <c r="A447" s="5">
        <v>44146</v>
      </c>
      <c r="B447">
        <v>13.0017</v>
      </c>
      <c r="C447">
        <v>13.4293</v>
      </c>
      <c r="D447">
        <v>12.75</v>
      </c>
      <c r="E447">
        <v>12.753</v>
      </c>
      <c r="F447">
        <v>9416548.9199999999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-0.99116737818342382</v>
      </c>
      <c r="Q447">
        <f t="shared" si="975"/>
        <v>-9333376.1045723502</v>
      </c>
      <c r="R447">
        <f t="shared" si="976"/>
        <v>409475540.12396055</v>
      </c>
      <c r="S447">
        <f t="shared" si="977"/>
        <v>4094.7554012396054</v>
      </c>
      <c r="T447">
        <f t="shared" si="978"/>
        <v>4.0947554012396052</v>
      </c>
    </row>
    <row r="448" spans="1:20" x14ac:dyDescent="0.25">
      <c r="A448" s="5">
        <v>44145</v>
      </c>
      <c r="B448">
        <v>12.5182</v>
      </c>
      <c r="C448">
        <v>13.278</v>
      </c>
      <c r="D448">
        <v>12.3156</v>
      </c>
      <c r="E448">
        <v>13.0017</v>
      </c>
      <c r="F448">
        <v>12355950.65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0.42581047381545989</v>
      </c>
      <c r="Q448">
        <f t="shared" si="975"/>
        <v>5261293.2007169398</v>
      </c>
      <c r="R448">
        <f t="shared" si="976"/>
        <v>418808916.22853291</v>
      </c>
      <c r="S448">
        <f t="shared" si="977"/>
        <v>4188.0891622853287</v>
      </c>
      <c r="T448">
        <f t="shared" si="978"/>
        <v>4.1880891622853289</v>
      </c>
    </row>
    <row r="449" spans="1:20" x14ac:dyDescent="0.25">
      <c r="A449" s="5">
        <v>44144</v>
      </c>
      <c r="B449">
        <v>12.708299999999999</v>
      </c>
      <c r="C449">
        <v>13.002599999999999</v>
      </c>
      <c r="D449">
        <v>12.04</v>
      </c>
      <c r="E449">
        <v>12.5107</v>
      </c>
      <c r="F449">
        <v>12660359.23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-2.2023685850819187E-2</v>
      </c>
      <c r="Q449">
        <f t="shared" si="975"/>
        <v>-278827.77444003912</v>
      </c>
      <c r="R449">
        <f t="shared" si="976"/>
        <v>413547623.027816</v>
      </c>
      <c r="S449">
        <f t="shared" si="977"/>
        <v>4135.4762302781601</v>
      </c>
      <c r="T449">
        <f t="shared" si="978"/>
        <v>4.1354762302781598</v>
      </c>
    </row>
    <row r="450" spans="1:20" x14ac:dyDescent="0.25">
      <c r="A450" s="5">
        <v>44143</v>
      </c>
      <c r="B450">
        <v>11.7668</v>
      </c>
      <c r="C450">
        <v>13.1</v>
      </c>
      <c r="D450">
        <v>11.477</v>
      </c>
      <c r="E450">
        <v>12.71</v>
      </c>
      <c r="F450">
        <v>12949524.470000001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0.5194085027726445</v>
      </c>
      <c r="Q450">
        <f t="shared" si="975"/>
        <v>6726093.116580423</v>
      </c>
      <c r="R450">
        <f t="shared" si="976"/>
        <v>413826450.80225605</v>
      </c>
      <c r="S450">
        <f t="shared" si="977"/>
        <v>4138.2645080225602</v>
      </c>
      <c r="T450">
        <f t="shared" si="978"/>
        <v>4.1382645080225604</v>
      </c>
    </row>
    <row r="451" spans="1:20" x14ac:dyDescent="0.25">
      <c r="A451" s="5">
        <v>44142</v>
      </c>
      <c r="B451">
        <v>12.1686</v>
      </c>
      <c r="C451">
        <v>13.595599999999999</v>
      </c>
      <c r="D451">
        <v>11.3123</v>
      </c>
      <c r="E451">
        <v>11.7638</v>
      </c>
      <c r="F451">
        <v>24928180.960000001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-0.60451977401129975</v>
      </c>
      <c r="Q451">
        <f t="shared" si="975"/>
        <v>-15069578.320451986</v>
      </c>
      <c r="R451">
        <f t="shared" si="976"/>
        <v>407100357.68567562</v>
      </c>
      <c r="S451">
        <f t="shared" si="977"/>
        <v>4071.0035768567564</v>
      </c>
      <c r="T451">
        <f t="shared" si="978"/>
        <v>4.0710035768567563</v>
      </c>
    </row>
    <row r="452" spans="1:20" x14ac:dyDescent="0.25">
      <c r="A452" s="5">
        <v>44141</v>
      </c>
      <c r="B452">
        <v>10.982200000000001</v>
      </c>
      <c r="C452">
        <v>12.2813</v>
      </c>
      <c r="D452">
        <v>10.928599999999999</v>
      </c>
      <c r="E452">
        <v>12.168699999999999</v>
      </c>
      <c r="F452">
        <v>10971288.73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0.83351814888740972</v>
      </c>
      <c r="Q452">
        <f t="shared" si="975"/>
        <v>9144768.2731389012</v>
      </c>
      <c r="R452">
        <f t="shared" si="976"/>
        <v>422169936.0061276</v>
      </c>
      <c r="S452">
        <f t="shared" si="977"/>
        <v>4221.6993600612759</v>
      </c>
      <c r="T452">
        <f t="shared" si="978"/>
        <v>4.221699360061276</v>
      </c>
    </row>
    <row r="453" spans="1:20" x14ac:dyDescent="0.25">
      <c r="A453" s="5">
        <v>44140</v>
      </c>
      <c r="B453">
        <v>10.473000000000001</v>
      </c>
      <c r="C453">
        <v>11.274900000000001</v>
      </c>
      <c r="D453">
        <v>10.0764</v>
      </c>
      <c r="E453">
        <v>10.9794</v>
      </c>
      <c r="F453">
        <v>10634722.279999999</v>
      </c>
      <c r="G453">
        <v>0</v>
      </c>
      <c r="L453" t="s">
        <v>8</v>
      </c>
      <c r="M453" t="s">
        <v>7</v>
      </c>
      <c r="N453" t="s">
        <v>8</v>
      </c>
      <c r="P453">
        <f t="shared" si="974"/>
        <v>0.50688360450563152</v>
      </c>
      <c r="Q453">
        <f t="shared" si="975"/>
        <v>5390566.3622027477</v>
      </c>
      <c r="R453">
        <f t="shared" si="976"/>
        <v>413025167.73298872</v>
      </c>
      <c r="S453">
        <f t="shared" si="977"/>
        <v>4130.2516773298876</v>
      </c>
      <c r="T453">
        <f t="shared" si="978"/>
        <v>4.1302516773298876</v>
      </c>
    </row>
    <row r="454" spans="1:20" x14ac:dyDescent="0.25">
      <c r="A454" s="5">
        <v>44139</v>
      </c>
      <c r="B454">
        <v>10.398199999999999</v>
      </c>
      <c r="C454">
        <v>10.675000000000001</v>
      </c>
      <c r="D454">
        <v>9.75</v>
      </c>
      <c r="E454">
        <v>10.471299999999999</v>
      </c>
      <c r="F454">
        <v>8587173.0299999993</v>
      </c>
      <c r="G454">
        <v>0</v>
      </c>
      <c r="L454" t="s">
        <v>7</v>
      </c>
      <c r="M454" t="s">
        <v>7</v>
      </c>
      <c r="N454" t="s">
        <v>8</v>
      </c>
      <c r="P454">
        <f t="shared" ref="P454:P517" si="979">IF(C454=D454,0,((E454-D454)-(C454-E454))/(C454-D454))</f>
        <v>0.55956756756756509</v>
      </c>
      <c r="Q454">
        <f t="shared" ref="Q454:Q517" si="980">F454*P454</f>
        <v>4805103.5246788971</v>
      </c>
      <c r="R454">
        <f t="shared" ref="R454:R517" si="981">R455+Q454</f>
        <v>407634601.37078595</v>
      </c>
      <c r="S454">
        <f t="shared" ref="S454:S517" si="982">R454/100000</f>
        <v>4076.3460137078596</v>
      </c>
      <c r="T454">
        <f t="shared" ref="T454:T517" si="983">S454/1000</f>
        <v>4.0763460137078598</v>
      </c>
    </row>
    <row r="455" spans="1:20" x14ac:dyDescent="0.25">
      <c r="A455" s="5">
        <v>44138</v>
      </c>
      <c r="B455">
        <v>10.7814</v>
      </c>
      <c r="C455">
        <v>10.7814</v>
      </c>
      <c r="D455">
        <v>9.9453999999999994</v>
      </c>
      <c r="E455">
        <v>10.3911</v>
      </c>
      <c r="F455">
        <v>9964299.8599999994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6.6267942583732697E-2</v>
      </c>
      <c r="Q455">
        <f t="shared" si="980"/>
        <v>660313.6510095757</v>
      </c>
      <c r="R455">
        <f t="shared" si="981"/>
        <v>402829497.84610707</v>
      </c>
      <c r="S455">
        <f t="shared" si="982"/>
        <v>4028.2949784610705</v>
      </c>
      <c r="T455">
        <f t="shared" si="983"/>
        <v>4.0282949784610702</v>
      </c>
    </row>
    <row r="456" spans="1:20" x14ac:dyDescent="0.25">
      <c r="A456" s="5">
        <v>44137</v>
      </c>
      <c r="B456">
        <v>11.568099999999999</v>
      </c>
      <c r="C456">
        <v>11.685</v>
      </c>
      <c r="D456">
        <v>10.7049</v>
      </c>
      <c r="E456">
        <v>10.7814</v>
      </c>
      <c r="F456">
        <v>6924910.6900000004</v>
      </c>
      <c r="G456">
        <v>0</v>
      </c>
      <c r="L456" t="s">
        <v>8</v>
      </c>
      <c r="M456" t="s">
        <v>7</v>
      </c>
      <c r="N456" t="s">
        <v>8</v>
      </c>
      <c r="P456">
        <f t="shared" si="979"/>
        <v>-0.84389348025711797</v>
      </c>
      <c r="Q456">
        <f t="shared" si="980"/>
        <v>-5843886.9826538209</v>
      </c>
      <c r="R456">
        <f t="shared" si="981"/>
        <v>402169184.19509751</v>
      </c>
      <c r="S456">
        <f t="shared" si="982"/>
        <v>4021.6918419509752</v>
      </c>
      <c r="T456">
        <f t="shared" si="983"/>
        <v>4.0216918419509753</v>
      </c>
    </row>
    <row r="457" spans="1:20" x14ac:dyDescent="0.25">
      <c r="A457" s="5">
        <v>44136</v>
      </c>
      <c r="B457">
        <v>11.225899999999999</v>
      </c>
      <c r="C457">
        <v>11.5885</v>
      </c>
      <c r="D457">
        <v>11.0181</v>
      </c>
      <c r="E457">
        <v>11.5722</v>
      </c>
      <c r="F457">
        <v>3872679.99</v>
      </c>
      <c r="G457">
        <v>0</v>
      </c>
      <c r="L457" t="s">
        <v>8</v>
      </c>
      <c r="M457" t="s">
        <v>7</v>
      </c>
      <c r="N457" t="s">
        <v>8</v>
      </c>
      <c r="P457">
        <f t="shared" si="979"/>
        <v>0.9428471248246868</v>
      </c>
      <c r="Q457">
        <f t="shared" si="980"/>
        <v>3651345.1939375969</v>
      </c>
      <c r="R457">
        <f t="shared" si="981"/>
        <v>408013071.1777513</v>
      </c>
      <c r="S457">
        <f t="shared" si="982"/>
        <v>4080.1307117775132</v>
      </c>
      <c r="T457">
        <f t="shared" si="983"/>
        <v>4.080130711777513</v>
      </c>
    </row>
    <row r="458" spans="1:20" x14ac:dyDescent="0.25">
      <c r="A458" s="5">
        <v>44135</v>
      </c>
      <c r="B458">
        <v>11.0947</v>
      </c>
      <c r="C458">
        <v>11.398099999999999</v>
      </c>
      <c r="D458">
        <v>10.9053</v>
      </c>
      <c r="E458">
        <v>11.2277</v>
      </c>
      <c r="F458">
        <v>4971547.22</v>
      </c>
      <c r="G458">
        <v>0</v>
      </c>
      <c r="L458" t="s">
        <v>7</v>
      </c>
      <c r="M458" t="s">
        <v>7</v>
      </c>
      <c r="N458" t="s">
        <v>8</v>
      </c>
      <c r="P458">
        <f t="shared" si="979"/>
        <v>0.30844155844156113</v>
      </c>
      <c r="Q458">
        <f t="shared" si="980"/>
        <v>1533431.7724026106</v>
      </c>
      <c r="R458">
        <f t="shared" si="981"/>
        <v>404361725.9838137</v>
      </c>
      <c r="S458">
        <f t="shared" si="982"/>
        <v>4043.6172598381372</v>
      </c>
      <c r="T458">
        <f t="shared" si="983"/>
        <v>4.043617259838137</v>
      </c>
    </row>
    <row r="459" spans="1:20" x14ac:dyDescent="0.25">
      <c r="A459" s="5">
        <v>44134</v>
      </c>
      <c r="B459">
        <v>11.2743</v>
      </c>
      <c r="C459">
        <v>11.4811</v>
      </c>
      <c r="D459">
        <v>10.72</v>
      </c>
      <c r="E459">
        <v>11.09</v>
      </c>
      <c r="F459">
        <v>7960249.9500000002</v>
      </c>
      <c r="G459">
        <v>0</v>
      </c>
      <c r="L459" t="s">
        <v>7</v>
      </c>
      <c r="M459" t="s">
        <v>7</v>
      </c>
      <c r="N459" t="s">
        <v>8</v>
      </c>
      <c r="P459">
        <f t="shared" si="979"/>
        <v>-2.7723032453029286E-2</v>
      </c>
      <c r="Q459">
        <f t="shared" si="980"/>
        <v>-220682.26769807475</v>
      </c>
      <c r="R459">
        <f t="shared" si="981"/>
        <v>402828294.21141112</v>
      </c>
      <c r="S459">
        <f t="shared" si="982"/>
        <v>4028.2829421141114</v>
      </c>
      <c r="T459">
        <f t="shared" si="983"/>
        <v>4.0282829421141111</v>
      </c>
    </row>
    <row r="460" spans="1:20" x14ac:dyDescent="0.25">
      <c r="A460" s="5">
        <v>44133</v>
      </c>
      <c r="B460">
        <v>11.444800000000001</v>
      </c>
      <c r="C460">
        <v>11.81</v>
      </c>
      <c r="D460">
        <v>11.0816</v>
      </c>
      <c r="E460">
        <v>11.277200000000001</v>
      </c>
      <c r="F460">
        <v>8541785.1799999997</v>
      </c>
      <c r="G460">
        <v>0</v>
      </c>
      <c r="L460" t="s">
        <v>7</v>
      </c>
      <c r="M460" t="s">
        <v>8</v>
      </c>
      <c r="N460" t="s">
        <v>8</v>
      </c>
      <c r="P460">
        <f t="shared" si="979"/>
        <v>-0.46293245469522104</v>
      </c>
      <c r="Q460">
        <f t="shared" si="980"/>
        <v>-3954269.5808566604</v>
      </c>
      <c r="R460">
        <f t="shared" si="981"/>
        <v>403048976.47910917</v>
      </c>
      <c r="S460">
        <f t="shared" si="982"/>
        <v>4030.4897647910916</v>
      </c>
      <c r="T460">
        <f t="shared" si="983"/>
        <v>4.030489764791092</v>
      </c>
    </row>
    <row r="461" spans="1:20" x14ac:dyDescent="0.25">
      <c r="A461" s="5">
        <v>44132</v>
      </c>
      <c r="B461">
        <v>11.920999999999999</v>
      </c>
      <c r="C461">
        <v>12.16</v>
      </c>
      <c r="D461">
        <v>11.15</v>
      </c>
      <c r="E461">
        <v>11.440300000000001</v>
      </c>
      <c r="F461">
        <v>8020300.25</v>
      </c>
      <c r="G461">
        <v>0</v>
      </c>
      <c r="L461" t="s">
        <v>7</v>
      </c>
      <c r="M461" t="s">
        <v>8</v>
      </c>
      <c r="N461" t="s">
        <v>8</v>
      </c>
      <c r="P461">
        <f t="shared" si="979"/>
        <v>-0.42514851485148458</v>
      </c>
      <c r="Q461">
        <f t="shared" si="980"/>
        <v>-3409818.7399504906</v>
      </c>
      <c r="R461">
        <f t="shared" si="981"/>
        <v>407003246.05996585</v>
      </c>
      <c r="S461">
        <f t="shared" si="982"/>
        <v>4070.0324605996584</v>
      </c>
      <c r="T461">
        <f t="shared" si="983"/>
        <v>4.0700324605996583</v>
      </c>
    </row>
    <row r="462" spans="1:20" x14ac:dyDescent="0.25">
      <c r="A462" s="5">
        <v>44131</v>
      </c>
      <c r="B462">
        <v>11.708600000000001</v>
      </c>
      <c r="C462">
        <v>12.477399999999999</v>
      </c>
      <c r="D462">
        <v>11.49</v>
      </c>
      <c r="E462">
        <v>11.9224</v>
      </c>
      <c r="F462">
        <v>7621232.4299999997</v>
      </c>
      <c r="G462">
        <v>0</v>
      </c>
      <c r="L462" t="s">
        <v>8</v>
      </c>
      <c r="M462" t="s">
        <v>8</v>
      </c>
      <c r="N462" t="s">
        <v>8</v>
      </c>
      <c r="P462">
        <f t="shared" si="979"/>
        <v>-0.12416447235163092</v>
      </c>
      <c r="Q462">
        <f t="shared" si="980"/>
        <v>-946286.30334008788</v>
      </c>
      <c r="R462">
        <f t="shared" si="981"/>
        <v>410413064.79991633</v>
      </c>
      <c r="S462">
        <f t="shared" si="982"/>
        <v>4104.1306479991636</v>
      </c>
      <c r="T462">
        <f t="shared" si="983"/>
        <v>4.1041306479991633</v>
      </c>
    </row>
    <row r="463" spans="1:20" x14ac:dyDescent="0.25">
      <c r="A463" s="5">
        <v>44130</v>
      </c>
      <c r="B463">
        <v>12.148</v>
      </c>
      <c r="C463">
        <v>12.4472</v>
      </c>
      <c r="D463">
        <v>11.259399999999999</v>
      </c>
      <c r="E463">
        <v>11.7096</v>
      </c>
      <c r="F463">
        <v>8858167.8200000003</v>
      </c>
      <c r="G463">
        <v>0</v>
      </c>
      <c r="L463" t="s">
        <v>7</v>
      </c>
      <c r="M463" t="s">
        <v>8</v>
      </c>
      <c r="N463" t="s">
        <v>8</v>
      </c>
      <c r="P463">
        <f t="shared" si="979"/>
        <v>-0.24195992591345311</v>
      </c>
      <c r="Q463">
        <f t="shared" si="980"/>
        <v>-2143321.6294561345</v>
      </c>
      <c r="R463">
        <f t="shared" si="981"/>
        <v>411359351.1032564</v>
      </c>
      <c r="S463">
        <f t="shared" si="982"/>
        <v>4113.5935110325645</v>
      </c>
      <c r="T463">
        <f t="shared" si="983"/>
        <v>4.1135935110325645</v>
      </c>
    </row>
    <row r="464" spans="1:20" x14ac:dyDescent="0.25">
      <c r="A464" s="5">
        <v>44129</v>
      </c>
      <c r="B464">
        <v>12.700200000000001</v>
      </c>
      <c r="C464">
        <v>12.8574</v>
      </c>
      <c r="D464">
        <v>11.907999999999999</v>
      </c>
      <c r="E464">
        <v>12.148099999999999</v>
      </c>
      <c r="F464">
        <v>7000941.96</v>
      </c>
      <c r="G464">
        <v>0</v>
      </c>
      <c r="L464" t="s">
        <v>7</v>
      </c>
      <c r="M464" t="s">
        <v>8</v>
      </c>
      <c r="N464" t="s">
        <v>8</v>
      </c>
      <c r="P464">
        <f t="shared" si="979"/>
        <v>-0.49420686749526055</v>
      </c>
      <c r="Q464">
        <f t="shared" si="980"/>
        <v>-3459913.5955677298</v>
      </c>
      <c r="R464">
        <f t="shared" si="981"/>
        <v>413502672.73271257</v>
      </c>
      <c r="S464">
        <f t="shared" si="982"/>
        <v>4135.0267273271256</v>
      </c>
      <c r="T464">
        <f t="shared" si="983"/>
        <v>4.1350267273271255</v>
      </c>
    </row>
    <row r="465" spans="1:20" x14ac:dyDescent="0.25">
      <c r="A465" s="5">
        <v>44128</v>
      </c>
      <c r="B465">
        <v>12.1592</v>
      </c>
      <c r="C465">
        <v>12.95</v>
      </c>
      <c r="D465">
        <v>11.9839</v>
      </c>
      <c r="E465">
        <v>12.700100000000001</v>
      </c>
      <c r="F465">
        <v>7538193.4800000004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0.48266225028465232</v>
      </c>
      <c r="Q465">
        <f t="shared" si="980"/>
        <v>3638401.4281378943</v>
      </c>
      <c r="R465">
        <f t="shared" si="981"/>
        <v>416962586.32828027</v>
      </c>
      <c r="S465">
        <f t="shared" si="982"/>
        <v>4169.625863282803</v>
      </c>
      <c r="T465">
        <f t="shared" si="983"/>
        <v>4.1696258632828034</v>
      </c>
    </row>
    <row r="466" spans="1:20" x14ac:dyDescent="0.25">
      <c r="A466" s="5">
        <v>44127</v>
      </c>
      <c r="B466">
        <v>11.9551</v>
      </c>
      <c r="C466">
        <v>12.263999999999999</v>
      </c>
      <c r="D466">
        <v>11.5784</v>
      </c>
      <c r="E466">
        <v>12.1586</v>
      </c>
      <c r="F466">
        <v>8789968.2100000009</v>
      </c>
      <c r="G466">
        <v>0</v>
      </c>
      <c r="L466" t="s">
        <v>7</v>
      </c>
      <c r="M466" t="s">
        <v>8</v>
      </c>
      <c r="N466" t="s">
        <v>8</v>
      </c>
      <c r="P466">
        <f t="shared" si="979"/>
        <v>0.692532088681448</v>
      </c>
      <c r="Q466">
        <f t="shared" si="980"/>
        <v>6087335.0439148294</v>
      </c>
      <c r="R466">
        <f t="shared" si="981"/>
        <v>413324184.90014237</v>
      </c>
      <c r="S466">
        <f t="shared" si="982"/>
        <v>4133.2418490014234</v>
      </c>
      <c r="T466">
        <f t="shared" si="983"/>
        <v>4.1332418490014238</v>
      </c>
    </row>
    <row r="467" spans="1:20" x14ac:dyDescent="0.25">
      <c r="A467" s="5">
        <v>44126</v>
      </c>
      <c r="B467">
        <v>10.7805</v>
      </c>
      <c r="C467">
        <v>12.417299999999999</v>
      </c>
      <c r="D467">
        <v>10.7142</v>
      </c>
      <c r="E467">
        <v>11.953900000000001</v>
      </c>
      <c r="F467">
        <v>10308176.43</v>
      </c>
      <c r="G467">
        <v>0</v>
      </c>
      <c r="L467" t="s">
        <v>8</v>
      </c>
      <c r="M467" t="s">
        <v>8</v>
      </c>
      <c r="N467" t="s">
        <v>8</v>
      </c>
      <c r="P467">
        <f t="shared" si="979"/>
        <v>0.45581586518701372</v>
      </c>
      <c r="Q467">
        <f t="shared" si="980"/>
        <v>4698630.3579408322</v>
      </c>
      <c r="R467">
        <f t="shared" si="981"/>
        <v>407236849.85622752</v>
      </c>
      <c r="S467">
        <f t="shared" si="982"/>
        <v>4072.3684985622754</v>
      </c>
      <c r="T467">
        <f t="shared" si="983"/>
        <v>4.072368498562275</v>
      </c>
    </row>
    <row r="468" spans="1:20" x14ac:dyDescent="0.25">
      <c r="A468" s="5">
        <v>44125</v>
      </c>
      <c r="B468">
        <v>9.8589000000000002</v>
      </c>
      <c r="C468">
        <v>11.1372</v>
      </c>
      <c r="D468">
        <v>9.7864000000000004</v>
      </c>
      <c r="E468">
        <v>10.786300000000001</v>
      </c>
      <c r="F468">
        <v>8276637.4199999999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0.48045602605863275</v>
      </c>
      <c r="Q468">
        <f t="shared" si="980"/>
        <v>3976560.3239413747</v>
      </c>
      <c r="R468">
        <f t="shared" si="981"/>
        <v>402538219.49828666</v>
      </c>
      <c r="S468">
        <f t="shared" si="982"/>
        <v>4025.3821949828666</v>
      </c>
      <c r="T468">
        <f t="shared" si="983"/>
        <v>4.0253821949828668</v>
      </c>
    </row>
    <row r="469" spans="1:20" x14ac:dyDescent="0.25">
      <c r="A469" s="5">
        <v>44124</v>
      </c>
      <c r="B469">
        <v>10.9116</v>
      </c>
      <c r="C469">
        <v>10.934900000000001</v>
      </c>
      <c r="D469">
        <v>9.7665000000000006</v>
      </c>
      <c r="E469">
        <v>9.8589000000000002</v>
      </c>
      <c r="F469">
        <v>7095706.5899999999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-0.84183498801780288</v>
      </c>
      <c r="Q469">
        <f t="shared" si="980"/>
        <v>-5973414.0721704951</v>
      </c>
      <c r="R469">
        <f t="shared" si="981"/>
        <v>398561659.17434531</v>
      </c>
      <c r="S469">
        <f t="shared" si="982"/>
        <v>3985.6165917434532</v>
      </c>
      <c r="T469">
        <f t="shared" si="983"/>
        <v>3.9856165917434532</v>
      </c>
    </row>
    <row r="470" spans="1:20" x14ac:dyDescent="0.25">
      <c r="A470" s="5">
        <v>44123</v>
      </c>
      <c r="B470">
        <v>10.9435</v>
      </c>
      <c r="C470">
        <v>11.2226</v>
      </c>
      <c r="D470">
        <v>10.651</v>
      </c>
      <c r="E470">
        <v>10.9147</v>
      </c>
      <c r="F470">
        <v>4474849.3099999996</v>
      </c>
      <c r="G470">
        <v>0</v>
      </c>
      <c r="L470" t="s">
        <v>8</v>
      </c>
      <c r="M470" t="s">
        <v>8</v>
      </c>
      <c r="N470" t="s">
        <v>8</v>
      </c>
      <c r="P470">
        <f t="shared" si="979"/>
        <v>-7.7326801959412189E-2</v>
      </c>
      <c r="Q470">
        <f t="shared" si="980"/>
        <v>-346025.78639258223</v>
      </c>
      <c r="R470">
        <f t="shared" si="981"/>
        <v>404535073.24651581</v>
      </c>
      <c r="S470">
        <f t="shared" si="982"/>
        <v>4045.3507324651582</v>
      </c>
      <c r="T470">
        <f t="shared" si="983"/>
        <v>4.0453507324651579</v>
      </c>
    </row>
    <row r="471" spans="1:20" x14ac:dyDescent="0.25">
      <c r="A471" s="5">
        <v>44122</v>
      </c>
      <c r="B471">
        <v>10.625400000000001</v>
      </c>
      <c r="C471">
        <v>11</v>
      </c>
      <c r="D471">
        <v>10.6</v>
      </c>
      <c r="E471">
        <v>10.940899999999999</v>
      </c>
      <c r="F471">
        <v>3679623.94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0.70449999999999613</v>
      </c>
      <c r="Q471">
        <f t="shared" si="980"/>
        <v>2592295.0657299859</v>
      </c>
      <c r="R471">
        <f t="shared" si="981"/>
        <v>404881099.03290838</v>
      </c>
      <c r="S471">
        <f t="shared" si="982"/>
        <v>4048.8109903290838</v>
      </c>
      <c r="T471">
        <f t="shared" si="983"/>
        <v>4.0488109903290841</v>
      </c>
    </row>
    <row r="472" spans="1:20" x14ac:dyDescent="0.25">
      <c r="A472" s="5">
        <v>44121</v>
      </c>
      <c r="B472">
        <v>10.5867</v>
      </c>
      <c r="C472">
        <v>10.7149</v>
      </c>
      <c r="D472">
        <v>10.408200000000001</v>
      </c>
      <c r="E472">
        <v>10.6267</v>
      </c>
      <c r="F472">
        <v>3322174.05</v>
      </c>
      <c r="G472">
        <v>0</v>
      </c>
      <c r="L472" t="s">
        <v>7</v>
      </c>
      <c r="M472" t="s">
        <v>8</v>
      </c>
      <c r="N472" t="s">
        <v>8</v>
      </c>
      <c r="P472">
        <f t="shared" si="979"/>
        <v>0.42484512552982917</v>
      </c>
      <c r="Q472">
        <f t="shared" si="980"/>
        <v>1411409.4513041908</v>
      </c>
      <c r="R472">
        <f t="shared" si="981"/>
        <v>402288803.9671784</v>
      </c>
      <c r="S472">
        <f t="shared" si="982"/>
        <v>4022.8880396717841</v>
      </c>
      <c r="T472">
        <f t="shared" si="983"/>
        <v>4.0228880396717841</v>
      </c>
    </row>
    <row r="473" spans="1:20" x14ac:dyDescent="0.25">
      <c r="A473" s="5">
        <v>44120</v>
      </c>
      <c r="B473">
        <v>10.747199999999999</v>
      </c>
      <c r="C473">
        <v>10.8935</v>
      </c>
      <c r="D473">
        <v>10.269399999999999</v>
      </c>
      <c r="E473">
        <v>10.5877</v>
      </c>
      <c r="F473">
        <v>6662666.8600000003</v>
      </c>
      <c r="G473">
        <v>0</v>
      </c>
      <c r="L473" t="s">
        <v>7</v>
      </c>
      <c r="M473" t="s">
        <v>8</v>
      </c>
      <c r="N473" t="s">
        <v>8</v>
      </c>
      <c r="P473">
        <f t="shared" si="979"/>
        <v>2.0028841531807499E-2</v>
      </c>
      <c r="Q473">
        <f t="shared" si="980"/>
        <v>133445.49871816547</v>
      </c>
      <c r="R473">
        <f t="shared" si="981"/>
        <v>400877394.51587421</v>
      </c>
      <c r="S473">
        <f t="shared" si="982"/>
        <v>4008.7739451587422</v>
      </c>
      <c r="T473">
        <f t="shared" si="983"/>
        <v>4.0087739451587421</v>
      </c>
    </row>
    <row r="474" spans="1:20" x14ac:dyDescent="0.25">
      <c r="A474" s="5">
        <v>44119</v>
      </c>
      <c r="B474">
        <v>10.8896</v>
      </c>
      <c r="C474">
        <v>10.931699999999999</v>
      </c>
      <c r="D474">
        <v>10.455</v>
      </c>
      <c r="E474">
        <v>10.7483</v>
      </c>
      <c r="F474">
        <v>6983355.7599999998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0.23054331864904892</v>
      </c>
      <c r="Q474">
        <f t="shared" si="980"/>
        <v>1609966.0122173512</v>
      </c>
      <c r="R474">
        <f t="shared" si="981"/>
        <v>400743949.01715606</v>
      </c>
      <c r="S474">
        <f t="shared" si="982"/>
        <v>4007.4394901715605</v>
      </c>
      <c r="T474">
        <f t="shared" si="983"/>
        <v>4.0074394901715609</v>
      </c>
    </row>
    <row r="475" spans="1:20" x14ac:dyDescent="0.25">
      <c r="A475" s="5">
        <v>44118</v>
      </c>
      <c r="B475">
        <v>11.0016</v>
      </c>
      <c r="C475">
        <v>11.3536</v>
      </c>
      <c r="D475">
        <v>10.620100000000001</v>
      </c>
      <c r="E475">
        <v>10.8896</v>
      </c>
      <c r="F475">
        <v>7758446.6100000003</v>
      </c>
      <c r="G475">
        <v>0</v>
      </c>
      <c r="L475" t="s">
        <v>8</v>
      </c>
      <c r="M475" t="s">
        <v>8</v>
      </c>
      <c r="N475" t="s">
        <v>8</v>
      </c>
      <c r="P475">
        <f t="shared" si="979"/>
        <v>-0.26516700749829802</v>
      </c>
      <c r="Q475">
        <f t="shared" si="980"/>
        <v>-2057284.0704090151</v>
      </c>
      <c r="R475">
        <f t="shared" si="981"/>
        <v>399133983.00493872</v>
      </c>
      <c r="S475">
        <f t="shared" si="982"/>
        <v>3991.3398300493873</v>
      </c>
      <c r="T475">
        <f t="shared" si="983"/>
        <v>3.9913398300493874</v>
      </c>
    </row>
    <row r="476" spans="1:20" x14ac:dyDescent="0.25">
      <c r="A476" s="5">
        <v>44117</v>
      </c>
      <c r="B476">
        <v>11.4259</v>
      </c>
      <c r="C476">
        <v>11.583299999999999</v>
      </c>
      <c r="D476">
        <v>10.5221</v>
      </c>
      <c r="E476">
        <v>11.0016</v>
      </c>
      <c r="F476">
        <v>9695225.6500000004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-9.6306068601583014E-2</v>
      </c>
      <c r="Q476">
        <f t="shared" si="980"/>
        <v>-933709.06655672728</v>
      </c>
      <c r="R476">
        <f t="shared" si="981"/>
        <v>401191267.07534772</v>
      </c>
      <c r="S476">
        <f t="shared" si="982"/>
        <v>4011.9126707534774</v>
      </c>
      <c r="T476">
        <f t="shared" si="983"/>
        <v>4.0119126707534774</v>
      </c>
    </row>
    <row r="477" spans="1:20" x14ac:dyDescent="0.25">
      <c r="A477" s="5">
        <v>44116</v>
      </c>
      <c r="B477">
        <v>10.8515</v>
      </c>
      <c r="C477">
        <v>11.8028</v>
      </c>
      <c r="D477">
        <v>10.6807</v>
      </c>
      <c r="E477">
        <v>11.4259</v>
      </c>
      <c r="F477">
        <v>11882241.470000001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0.32822386596560155</v>
      </c>
      <c r="Q477">
        <f t="shared" si="980"/>
        <v>3900035.2316201925</v>
      </c>
      <c r="R477">
        <f t="shared" si="981"/>
        <v>402124976.14190447</v>
      </c>
      <c r="S477">
        <f t="shared" si="982"/>
        <v>4021.2497614190447</v>
      </c>
      <c r="T477">
        <f t="shared" si="983"/>
        <v>4.0212497614190443</v>
      </c>
    </row>
    <row r="478" spans="1:20" x14ac:dyDescent="0.25">
      <c r="A478" s="5">
        <v>44115</v>
      </c>
      <c r="B478">
        <v>10.5168</v>
      </c>
      <c r="C478">
        <v>11.0258</v>
      </c>
      <c r="D478">
        <v>10.15</v>
      </c>
      <c r="E478">
        <v>10.8515</v>
      </c>
      <c r="F478">
        <v>8174876.8600000003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0.60196391870289889</v>
      </c>
      <c r="Q478">
        <f t="shared" si="980"/>
        <v>4920980.9095592499</v>
      </c>
      <c r="R478">
        <f t="shared" si="981"/>
        <v>398224940.91028428</v>
      </c>
      <c r="S478">
        <f t="shared" si="982"/>
        <v>3982.2494091028429</v>
      </c>
      <c r="T478">
        <f t="shared" si="983"/>
        <v>3.9822494091028431</v>
      </c>
    </row>
    <row r="479" spans="1:20" x14ac:dyDescent="0.25">
      <c r="A479" s="5">
        <v>44114</v>
      </c>
      <c r="B479">
        <v>10.392300000000001</v>
      </c>
      <c r="C479">
        <v>10.92</v>
      </c>
      <c r="D479">
        <v>10.37</v>
      </c>
      <c r="E479">
        <v>10.5198</v>
      </c>
      <c r="F479">
        <v>9504046.9700000007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-0.455272727272725</v>
      </c>
      <c r="Q479">
        <f t="shared" si="980"/>
        <v>-4326933.3841599785</v>
      </c>
      <c r="R479">
        <f t="shared" si="981"/>
        <v>393303960.00072503</v>
      </c>
      <c r="S479">
        <f t="shared" si="982"/>
        <v>3933.0396000072501</v>
      </c>
      <c r="T479">
        <f t="shared" si="983"/>
        <v>3.9330396000072501</v>
      </c>
    </row>
    <row r="480" spans="1:20" x14ac:dyDescent="0.25">
      <c r="A480" s="5">
        <v>44113</v>
      </c>
      <c r="B480">
        <v>9.5518999999999998</v>
      </c>
      <c r="C480">
        <v>10.525399999999999</v>
      </c>
      <c r="D480">
        <v>9.3701000000000008</v>
      </c>
      <c r="E480">
        <v>10.395899999999999</v>
      </c>
      <c r="F480">
        <v>11276147.449999999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0.77581580541850548</v>
      </c>
      <c r="Q480">
        <f t="shared" si="980"/>
        <v>8748213.4159395769</v>
      </c>
      <c r="R480">
        <f t="shared" si="981"/>
        <v>397630893.38488501</v>
      </c>
      <c r="S480">
        <f t="shared" si="982"/>
        <v>3976.3089338488503</v>
      </c>
      <c r="T480">
        <f t="shared" si="983"/>
        <v>3.9763089338488502</v>
      </c>
    </row>
    <row r="481" spans="1:20" x14ac:dyDescent="0.25">
      <c r="A481" s="5">
        <v>44112</v>
      </c>
      <c r="B481">
        <v>8.9801000000000002</v>
      </c>
      <c r="C481">
        <v>9.6908999999999992</v>
      </c>
      <c r="D481">
        <v>8.4016000000000002</v>
      </c>
      <c r="E481">
        <v>9.5594000000000001</v>
      </c>
      <c r="F481">
        <v>10913109.33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0.79601334057240491</v>
      </c>
      <c r="Q481">
        <f t="shared" si="980"/>
        <v>8686980.6138051804</v>
      </c>
      <c r="R481">
        <f t="shared" si="981"/>
        <v>388882679.96894544</v>
      </c>
      <c r="S481">
        <f t="shared" si="982"/>
        <v>3888.8267996894542</v>
      </c>
      <c r="T481">
        <f t="shared" si="983"/>
        <v>3.8888267996894541</v>
      </c>
    </row>
    <row r="482" spans="1:20" x14ac:dyDescent="0.25">
      <c r="A482" s="5">
        <v>44111</v>
      </c>
      <c r="B482">
        <v>8.7690000000000001</v>
      </c>
      <c r="C482">
        <v>9.01</v>
      </c>
      <c r="D482">
        <v>8.3817000000000004</v>
      </c>
      <c r="E482">
        <v>8.9799000000000007</v>
      </c>
      <c r="F482">
        <v>7543306.9800000004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0.90418589845615416</v>
      </c>
      <c r="Q482">
        <f t="shared" si="980"/>
        <v>6820551.7990418794</v>
      </c>
      <c r="R482">
        <f t="shared" si="981"/>
        <v>380195699.35514027</v>
      </c>
      <c r="S482">
        <f t="shared" si="982"/>
        <v>3801.9569935514028</v>
      </c>
      <c r="T482">
        <f t="shared" si="983"/>
        <v>3.8019569935514026</v>
      </c>
    </row>
    <row r="483" spans="1:20" x14ac:dyDescent="0.25">
      <c r="A483" s="5">
        <v>44110</v>
      </c>
      <c r="B483">
        <v>9.6134000000000004</v>
      </c>
      <c r="C483">
        <v>9.6579999999999995</v>
      </c>
      <c r="D483">
        <v>8.5630000000000006</v>
      </c>
      <c r="E483">
        <v>8.7689000000000004</v>
      </c>
      <c r="F483">
        <v>7424722.6200000001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-0.62392694063926946</v>
      </c>
      <c r="Q483">
        <f t="shared" si="980"/>
        <v>-4632484.4693917809</v>
      </c>
      <c r="R483">
        <f t="shared" si="981"/>
        <v>373375147.5560984</v>
      </c>
      <c r="S483">
        <f t="shared" si="982"/>
        <v>3733.7514755609841</v>
      </c>
      <c r="T483">
        <f t="shared" si="983"/>
        <v>3.7337514755609842</v>
      </c>
    </row>
    <row r="484" spans="1:20" x14ac:dyDescent="0.25">
      <c r="A484" s="5">
        <v>44109</v>
      </c>
      <c r="B484">
        <v>9.3905999999999992</v>
      </c>
      <c r="C484">
        <v>9.7200000000000006</v>
      </c>
      <c r="D484">
        <v>9.2629000000000001</v>
      </c>
      <c r="E484">
        <v>9.6175999999999995</v>
      </c>
      <c r="F484">
        <v>6217366.6699999999</v>
      </c>
      <c r="G484">
        <v>0</v>
      </c>
      <c r="L484" t="s">
        <v>8</v>
      </c>
      <c r="M484" t="s">
        <v>7</v>
      </c>
      <c r="N484" t="s">
        <v>8</v>
      </c>
      <c r="P484">
        <f t="shared" si="979"/>
        <v>0.55195799606212625</v>
      </c>
      <c r="Q484">
        <f t="shared" si="980"/>
        <v>3431725.247956655</v>
      </c>
      <c r="R484">
        <f t="shared" si="981"/>
        <v>378007632.02549016</v>
      </c>
      <c r="S484">
        <f t="shared" si="982"/>
        <v>3780.0763202549015</v>
      </c>
      <c r="T484">
        <f t="shared" si="983"/>
        <v>3.7800763202549015</v>
      </c>
    </row>
    <row r="485" spans="1:20" x14ac:dyDescent="0.25">
      <c r="A485" s="5">
        <v>44108</v>
      </c>
      <c r="B485">
        <v>9.2685999999999993</v>
      </c>
      <c r="C485">
        <v>9.4659999999999993</v>
      </c>
      <c r="D485">
        <v>9.1141000000000005</v>
      </c>
      <c r="E485">
        <v>9.3922000000000008</v>
      </c>
      <c r="F485">
        <v>4665626.6900000004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0.5805626598465542</v>
      </c>
      <c r="Q485">
        <f t="shared" si="980"/>
        <v>2708688.640997475</v>
      </c>
      <c r="R485">
        <f t="shared" si="981"/>
        <v>374575906.77753353</v>
      </c>
      <c r="S485">
        <f t="shared" si="982"/>
        <v>3745.7590677753351</v>
      </c>
      <c r="T485">
        <f t="shared" si="983"/>
        <v>3.7457590677753352</v>
      </c>
    </row>
    <row r="486" spans="1:20" x14ac:dyDescent="0.25">
      <c r="A486" s="5">
        <v>44107</v>
      </c>
      <c r="B486">
        <v>9.2132000000000005</v>
      </c>
      <c r="C486">
        <v>9.5555000000000003</v>
      </c>
      <c r="D486">
        <v>9.1039999999999992</v>
      </c>
      <c r="E486">
        <v>9.2690000000000001</v>
      </c>
      <c r="F486">
        <v>4805191.5199999996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-0.2691029900332203</v>
      </c>
      <c r="Q486">
        <f t="shared" si="980"/>
        <v>-1293091.4057142746</v>
      </c>
      <c r="R486">
        <f t="shared" si="981"/>
        <v>371867218.13653606</v>
      </c>
      <c r="S486">
        <f t="shared" si="982"/>
        <v>3718.6721813653608</v>
      </c>
      <c r="T486">
        <f t="shared" si="983"/>
        <v>3.7186721813653607</v>
      </c>
    </row>
    <row r="487" spans="1:20" x14ac:dyDescent="0.25">
      <c r="A487" s="5">
        <v>44106</v>
      </c>
      <c r="B487">
        <v>9.6394000000000002</v>
      </c>
      <c r="C487">
        <v>9.8449000000000009</v>
      </c>
      <c r="D487">
        <v>8.7974999999999994</v>
      </c>
      <c r="E487">
        <v>9.2166999999999994</v>
      </c>
      <c r="F487">
        <v>11180624.68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-0.1995417223601309</v>
      </c>
      <c r="Q487">
        <f t="shared" si="980"/>
        <v>-2231001.1057093875</v>
      </c>
      <c r="R487">
        <f t="shared" si="981"/>
        <v>373160309.54225034</v>
      </c>
      <c r="S487">
        <f t="shared" si="982"/>
        <v>3731.6030954225034</v>
      </c>
      <c r="T487">
        <f t="shared" si="983"/>
        <v>3.7316030954225035</v>
      </c>
    </row>
    <row r="488" spans="1:20" x14ac:dyDescent="0.25">
      <c r="A488" s="5">
        <v>44105</v>
      </c>
      <c r="B488">
        <v>9.8727</v>
      </c>
      <c r="C488">
        <v>10.411899999999999</v>
      </c>
      <c r="D488">
        <v>9.2456999999999994</v>
      </c>
      <c r="E488">
        <v>9.6394000000000002</v>
      </c>
      <c r="F488">
        <v>9704023.9199999999</v>
      </c>
      <c r="G488">
        <v>0</v>
      </c>
      <c r="L488" t="s">
        <v>8</v>
      </c>
      <c r="M488" t="s">
        <v>7</v>
      </c>
      <c r="N488" t="s">
        <v>8</v>
      </c>
      <c r="P488">
        <f t="shared" si="979"/>
        <v>-0.32481564054192957</v>
      </c>
      <c r="Q488">
        <f t="shared" si="980"/>
        <v>-3152018.7454090063</v>
      </c>
      <c r="R488">
        <f t="shared" si="981"/>
        <v>375391310.64795971</v>
      </c>
      <c r="S488">
        <f t="shared" si="982"/>
        <v>3753.913106479597</v>
      </c>
      <c r="T488">
        <f t="shared" si="983"/>
        <v>3.753913106479597</v>
      </c>
    </row>
    <row r="489" spans="1:20" x14ac:dyDescent="0.25">
      <c r="A489" s="5">
        <v>44104</v>
      </c>
      <c r="B489">
        <v>10.1356</v>
      </c>
      <c r="C489">
        <v>10.231400000000001</v>
      </c>
      <c r="D489">
        <v>9.5768000000000004</v>
      </c>
      <c r="E489">
        <v>9.8694000000000006</v>
      </c>
      <c r="F489">
        <v>6665669.7800000003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-0.1060189428658721</v>
      </c>
      <c r="Q489">
        <f t="shared" si="980"/>
        <v>-706687.26356859028</v>
      </c>
      <c r="R489">
        <f t="shared" si="981"/>
        <v>378543329.39336872</v>
      </c>
      <c r="S489">
        <f t="shared" si="982"/>
        <v>3785.4332939336873</v>
      </c>
      <c r="T489">
        <f t="shared" si="983"/>
        <v>3.7854332939336874</v>
      </c>
    </row>
    <row r="490" spans="1:20" x14ac:dyDescent="0.25">
      <c r="A490" s="5">
        <v>44103</v>
      </c>
      <c r="B490">
        <v>10.280900000000001</v>
      </c>
      <c r="C490">
        <v>10.388199999999999</v>
      </c>
      <c r="D490">
        <v>9.4502000000000006</v>
      </c>
      <c r="E490">
        <v>10.135</v>
      </c>
      <c r="F490">
        <v>13378180.789999999</v>
      </c>
      <c r="G490">
        <v>0</v>
      </c>
      <c r="L490" t="s">
        <v>7</v>
      </c>
      <c r="M490" t="s">
        <v>8</v>
      </c>
      <c r="N490" t="s">
        <v>8</v>
      </c>
      <c r="P490">
        <f t="shared" si="979"/>
        <v>0.46012793176972289</v>
      </c>
      <c r="Q490">
        <f t="shared" si="980"/>
        <v>6155674.6577441366</v>
      </c>
      <c r="R490">
        <f t="shared" si="981"/>
        <v>379250016.6569373</v>
      </c>
      <c r="S490">
        <f t="shared" si="982"/>
        <v>3792.5001665693731</v>
      </c>
      <c r="T490">
        <f t="shared" si="983"/>
        <v>3.7925001665693729</v>
      </c>
    </row>
    <row r="491" spans="1:20" x14ac:dyDescent="0.25">
      <c r="A491" s="5">
        <v>44102</v>
      </c>
      <c r="B491">
        <v>10.8</v>
      </c>
      <c r="C491">
        <v>11.07</v>
      </c>
      <c r="D491">
        <v>10.15</v>
      </c>
      <c r="E491">
        <v>10.282999999999999</v>
      </c>
      <c r="F491">
        <v>8731492.4199999999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-0.7108695652173932</v>
      </c>
      <c r="Q491">
        <f t="shared" si="980"/>
        <v>-6206952.2203043643</v>
      </c>
      <c r="R491">
        <f t="shared" si="981"/>
        <v>373094341.99919319</v>
      </c>
      <c r="S491">
        <f t="shared" si="982"/>
        <v>3730.9434199919319</v>
      </c>
      <c r="T491">
        <f t="shared" si="983"/>
        <v>3.7309434199919318</v>
      </c>
    </row>
    <row r="492" spans="1:20" x14ac:dyDescent="0.25">
      <c r="A492" s="5">
        <v>44101</v>
      </c>
      <c r="B492">
        <v>10.3079</v>
      </c>
      <c r="C492">
        <v>10.991</v>
      </c>
      <c r="D492">
        <v>9.9122000000000003</v>
      </c>
      <c r="E492">
        <v>10.793900000000001</v>
      </c>
      <c r="F492">
        <v>10053108.710000001</v>
      </c>
      <c r="G492">
        <v>0</v>
      </c>
      <c r="L492" t="s">
        <v>7</v>
      </c>
      <c r="M492" t="s">
        <v>8</v>
      </c>
      <c r="N492" t="s">
        <v>8</v>
      </c>
      <c r="P492">
        <f t="shared" si="979"/>
        <v>0.63459399332591937</v>
      </c>
      <c r="Q492">
        <f t="shared" si="980"/>
        <v>6379642.4016184825</v>
      </c>
      <c r="R492">
        <f t="shared" si="981"/>
        <v>379301294.21949756</v>
      </c>
      <c r="S492">
        <f t="shared" si="982"/>
        <v>3793.0129421949755</v>
      </c>
      <c r="T492">
        <f t="shared" si="983"/>
        <v>3.7930129421949754</v>
      </c>
    </row>
    <row r="493" spans="1:20" x14ac:dyDescent="0.25">
      <c r="A493" s="5">
        <v>44100</v>
      </c>
      <c r="B493">
        <v>10.7218</v>
      </c>
      <c r="C493">
        <v>11.1</v>
      </c>
      <c r="D493">
        <v>9.9756999999999998</v>
      </c>
      <c r="E493">
        <v>10.3169</v>
      </c>
      <c r="F493">
        <v>12020281.92</v>
      </c>
      <c r="G493">
        <v>0</v>
      </c>
      <c r="L493" t="s">
        <v>7</v>
      </c>
      <c r="M493" t="s">
        <v>8</v>
      </c>
      <c r="N493" t="s">
        <v>8</v>
      </c>
      <c r="P493">
        <f t="shared" si="979"/>
        <v>-0.39304456106021407</v>
      </c>
      <c r="Q493">
        <f t="shared" si="980"/>
        <v>-4724506.4310664274</v>
      </c>
      <c r="R493">
        <f t="shared" si="981"/>
        <v>372921651.81787908</v>
      </c>
      <c r="S493">
        <f t="shared" si="982"/>
        <v>3729.2165181787909</v>
      </c>
      <c r="T493">
        <f t="shared" si="983"/>
        <v>3.7292165181787911</v>
      </c>
    </row>
    <row r="494" spans="1:20" x14ac:dyDescent="0.25">
      <c r="A494" s="5">
        <v>44099</v>
      </c>
      <c r="B494">
        <v>9.8701000000000008</v>
      </c>
      <c r="C494">
        <v>11.199</v>
      </c>
      <c r="D494">
        <v>9.3771000000000004</v>
      </c>
      <c r="E494">
        <v>10.7279</v>
      </c>
      <c r="F494">
        <v>20220142.07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0.48284757670563699</v>
      </c>
      <c r="Q494">
        <f t="shared" si="980"/>
        <v>9763246.5991432033</v>
      </c>
      <c r="R494">
        <f t="shared" si="981"/>
        <v>377646158.24894553</v>
      </c>
      <c r="S494">
        <f t="shared" si="982"/>
        <v>3776.4615824894554</v>
      </c>
      <c r="T494">
        <f t="shared" si="983"/>
        <v>3.7764615824894552</v>
      </c>
    </row>
    <row r="495" spans="1:20" x14ac:dyDescent="0.25">
      <c r="A495" s="5">
        <v>44098</v>
      </c>
      <c r="B495">
        <v>7.6403999999999996</v>
      </c>
      <c r="C495">
        <v>10.53</v>
      </c>
      <c r="D495">
        <v>7.4760999999999997</v>
      </c>
      <c r="E495">
        <v>9.8699999999999992</v>
      </c>
      <c r="F495">
        <v>26948146.309999999</v>
      </c>
      <c r="G495">
        <v>0</v>
      </c>
      <c r="L495" t="s">
        <v>8</v>
      </c>
      <c r="M495" t="s">
        <v>8</v>
      </c>
      <c r="N495" t="s">
        <v>8</v>
      </c>
      <c r="P495">
        <f t="shared" si="979"/>
        <v>0.56776580765578422</v>
      </c>
      <c r="Q495">
        <f t="shared" si="980"/>
        <v>15300236.05452339</v>
      </c>
      <c r="R495">
        <f t="shared" si="981"/>
        <v>367882911.64980233</v>
      </c>
      <c r="S495">
        <f t="shared" si="982"/>
        <v>3678.8291164980233</v>
      </c>
      <c r="T495">
        <f t="shared" si="983"/>
        <v>3.6788291164980231</v>
      </c>
    </row>
    <row r="496" spans="1:20" x14ac:dyDescent="0.25">
      <c r="A496" s="5">
        <v>44097</v>
      </c>
      <c r="B496">
        <v>8.7439999999999998</v>
      </c>
      <c r="C496">
        <v>8.8016000000000005</v>
      </c>
      <c r="D496">
        <v>7.2869000000000002</v>
      </c>
      <c r="E496">
        <v>7.6364000000000001</v>
      </c>
      <c r="F496">
        <v>18221835.52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-0.53852247969895051</v>
      </c>
      <c r="Q496">
        <f t="shared" si="980"/>
        <v>-9812868.0488968156</v>
      </c>
      <c r="R496">
        <f t="shared" si="981"/>
        <v>352582675.59527892</v>
      </c>
      <c r="S496">
        <f t="shared" si="982"/>
        <v>3525.826755952789</v>
      </c>
      <c r="T496">
        <f t="shared" si="983"/>
        <v>3.5258267559527892</v>
      </c>
    </row>
    <row r="497" spans="1:20" x14ac:dyDescent="0.25">
      <c r="A497" s="5">
        <v>44096</v>
      </c>
      <c r="B497">
        <v>8.7162000000000006</v>
      </c>
      <c r="C497">
        <v>9.08</v>
      </c>
      <c r="D497">
        <v>8.5399999999999991</v>
      </c>
      <c r="E497">
        <v>8.7401</v>
      </c>
      <c r="F497">
        <v>8384112.3700000001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-0.25888888888888706</v>
      </c>
      <c r="Q497">
        <f t="shared" si="980"/>
        <v>-2170553.5357888737</v>
      </c>
      <c r="R497">
        <f t="shared" si="981"/>
        <v>362395543.64417571</v>
      </c>
      <c r="S497">
        <f t="shared" si="982"/>
        <v>3623.9554364417572</v>
      </c>
      <c r="T497">
        <f t="shared" si="983"/>
        <v>3.6239554364417574</v>
      </c>
    </row>
    <row r="498" spans="1:20" x14ac:dyDescent="0.25">
      <c r="A498" s="5">
        <v>44095</v>
      </c>
      <c r="B498">
        <v>9.7393999999999998</v>
      </c>
      <c r="C498">
        <v>9.9235000000000007</v>
      </c>
      <c r="D498">
        <v>8.5012000000000008</v>
      </c>
      <c r="E498">
        <v>8.7113999999999994</v>
      </c>
      <c r="F498">
        <v>15761415.85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-0.70442241439921449</v>
      </c>
      <c r="Q498">
        <f t="shared" si="980"/>
        <v>-11102694.607407046</v>
      </c>
      <c r="R498">
        <f t="shared" si="981"/>
        <v>364566097.1799646</v>
      </c>
      <c r="S498">
        <f t="shared" si="982"/>
        <v>3645.6609717996462</v>
      </c>
      <c r="T498">
        <f t="shared" si="983"/>
        <v>3.645660971799646</v>
      </c>
    </row>
    <row r="499" spans="1:20" x14ac:dyDescent="0.25">
      <c r="A499" s="5">
        <v>44094</v>
      </c>
      <c r="B499">
        <v>10.119199999999999</v>
      </c>
      <c r="C499">
        <v>10.619899999999999</v>
      </c>
      <c r="D499">
        <v>9.5</v>
      </c>
      <c r="E499">
        <v>9.7356999999999996</v>
      </c>
      <c r="F499">
        <v>7500145.6100000003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-0.57906955978212393</v>
      </c>
      <c r="Q499">
        <f t="shared" si="980"/>
        <v>-4343106.0166845294</v>
      </c>
      <c r="R499">
        <f t="shared" si="981"/>
        <v>375668791.78737164</v>
      </c>
      <c r="S499">
        <f t="shared" si="982"/>
        <v>3756.6879178737163</v>
      </c>
      <c r="T499">
        <f t="shared" si="983"/>
        <v>3.7566879178737165</v>
      </c>
    </row>
    <row r="500" spans="1:20" x14ac:dyDescent="0.25">
      <c r="A500" s="5">
        <v>44093</v>
      </c>
      <c r="B500">
        <v>10.0938</v>
      </c>
      <c r="C500">
        <v>10.4969</v>
      </c>
      <c r="D500">
        <v>9.8756000000000004</v>
      </c>
      <c r="E500">
        <v>10.120900000000001</v>
      </c>
      <c r="F500">
        <v>5596803.0800000001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-0.21036536294865477</v>
      </c>
      <c r="Q500">
        <f t="shared" si="980"/>
        <v>-1177373.511276349</v>
      </c>
      <c r="R500">
        <f t="shared" si="981"/>
        <v>380011897.80405617</v>
      </c>
      <c r="S500">
        <f t="shared" si="982"/>
        <v>3800.1189780405616</v>
      </c>
      <c r="T500">
        <f t="shared" si="983"/>
        <v>3.8001189780405618</v>
      </c>
    </row>
    <row r="501" spans="1:20" x14ac:dyDescent="0.25">
      <c r="A501" s="5">
        <v>44092</v>
      </c>
      <c r="B501">
        <v>11.0139</v>
      </c>
      <c r="C501">
        <v>11.131500000000001</v>
      </c>
      <c r="D501">
        <v>9.7863000000000007</v>
      </c>
      <c r="E501">
        <v>10.093999999999999</v>
      </c>
      <c r="F501">
        <v>8890206.0700000003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-0.5425215581326216</v>
      </c>
      <c r="Q501">
        <f t="shared" si="980"/>
        <v>-4823128.4492164906</v>
      </c>
      <c r="R501">
        <f t="shared" si="981"/>
        <v>381189271.31533253</v>
      </c>
      <c r="S501">
        <f t="shared" si="982"/>
        <v>3811.8927131533255</v>
      </c>
      <c r="T501">
        <f t="shared" si="983"/>
        <v>3.8118927131533256</v>
      </c>
    </row>
    <row r="502" spans="1:20" x14ac:dyDescent="0.25">
      <c r="A502" s="5">
        <v>44091</v>
      </c>
      <c r="B502">
        <v>10.736700000000001</v>
      </c>
      <c r="C502">
        <v>11.6759</v>
      </c>
      <c r="D502">
        <v>10.472</v>
      </c>
      <c r="E502">
        <v>11.0139</v>
      </c>
      <c r="F502">
        <v>10163046.460000001</v>
      </c>
      <c r="G502">
        <v>0</v>
      </c>
      <c r="L502" t="s">
        <v>8</v>
      </c>
      <c r="M502" t="s">
        <v>7</v>
      </c>
      <c r="N502" t="s">
        <v>8</v>
      </c>
      <c r="P502">
        <f t="shared" si="979"/>
        <v>-9.975911620566548E-2</v>
      </c>
      <c r="Q502">
        <f t="shared" si="980"/>
        <v>-1013856.5328067173</v>
      </c>
      <c r="R502">
        <f t="shared" si="981"/>
        <v>386012399.76454902</v>
      </c>
      <c r="S502">
        <f t="shared" si="982"/>
        <v>3860.1239976454904</v>
      </c>
      <c r="T502">
        <f t="shared" si="983"/>
        <v>3.8601239976454904</v>
      </c>
    </row>
    <row r="503" spans="1:20" x14ac:dyDescent="0.25">
      <c r="A503" s="5">
        <v>44090</v>
      </c>
      <c r="B503">
        <v>10.930099999999999</v>
      </c>
      <c r="C503">
        <v>11.3002</v>
      </c>
      <c r="D503">
        <v>10.4771</v>
      </c>
      <c r="E503">
        <v>10.736700000000001</v>
      </c>
      <c r="F503">
        <v>10362445.08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-0.36921394727250478</v>
      </c>
      <c r="Q503">
        <f t="shared" si="980"/>
        <v>-3825959.2513813465</v>
      </c>
      <c r="R503">
        <f t="shared" si="981"/>
        <v>387026256.29735571</v>
      </c>
      <c r="S503">
        <f t="shared" si="982"/>
        <v>3870.2625629735571</v>
      </c>
      <c r="T503">
        <f t="shared" si="983"/>
        <v>3.870262562973557</v>
      </c>
    </row>
    <row r="504" spans="1:20" x14ac:dyDescent="0.25">
      <c r="A504" s="5">
        <v>44089</v>
      </c>
      <c r="B504">
        <v>12.13</v>
      </c>
      <c r="C504">
        <v>12.24</v>
      </c>
      <c r="D504">
        <v>10.75</v>
      </c>
      <c r="E504">
        <v>10.9314</v>
      </c>
      <c r="F504">
        <v>11413633.630000001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-0.75651006711409396</v>
      </c>
      <c r="Q504">
        <f t="shared" si="980"/>
        <v>-8634528.7434469797</v>
      </c>
      <c r="R504">
        <f t="shared" si="981"/>
        <v>390852215.54873705</v>
      </c>
      <c r="S504">
        <f t="shared" si="982"/>
        <v>3908.5221554873706</v>
      </c>
      <c r="T504">
        <f t="shared" si="983"/>
        <v>3.9085221554873706</v>
      </c>
    </row>
    <row r="505" spans="1:20" x14ac:dyDescent="0.25">
      <c r="A505" s="5">
        <v>44088</v>
      </c>
      <c r="B505">
        <v>12.075699999999999</v>
      </c>
      <c r="C505">
        <v>12.3863</v>
      </c>
      <c r="D505">
        <v>11.6349</v>
      </c>
      <c r="E505">
        <v>12.1374</v>
      </c>
      <c r="F505">
        <v>8830940.1600000001</v>
      </c>
      <c r="G505">
        <v>0</v>
      </c>
      <c r="L505" t="s">
        <v>7</v>
      </c>
      <c r="M505" t="s">
        <v>8</v>
      </c>
      <c r="N505" t="s">
        <v>8</v>
      </c>
      <c r="P505">
        <f t="shared" si="979"/>
        <v>0.33750332712270242</v>
      </c>
      <c r="Q505">
        <f t="shared" si="980"/>
        <v>2980471.6856214902</v>
      </c>
      <c r="R505">
        <f t="shared" si="981"/>
        <v>399486744.29218405</v>
      </c>
      <c r="S505">
        <f t="shared" si="982"/>
        <v>3994.8674429218404</v>
      </c>
      <c r="T505">
        <f t="shared" si="983"/>
        <v>3.9948674429218403</v>
      </c>
    </row>
    <row r="506" spans="1:20" x14ac:dyDescent="0.25">
      <c r="A506" s="5">
        <v>44087</v>
      </c>
      <c r="B506">
        <v>12.7194</v>
      </c>
      <c r="C506">
        <v>13.23</v>
      </c>
      <c r="D506">
        <v>11.7658</v>
      </c>
      <c r="E506">
        <v>12.067</v>
      </c>
      <c r="F506">
        <v>11107099.48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-0.58858079497336468</v>
      </c>
      <c r="Q506">
        <f t="shared" si="980"/>
        <v>-6537425.4417866459</v>
      </c>
      <c r="R506">
        <f t="shared" si="981"/>
        <v>396506272.60656255</v>
      </c>
      <c r="S506">
        <f t="shared" si="982"/>
        <v>3965.0627260656256</v>
      </c>
      <c r="T506">
        <f t="shared" si="983"/>
        <v>3.9650627260656255</v>
      </c>
    </row>
    <row r="507" spans="1:20" x14ac:dyDescent="0.25">
      <c r="A507" s="5">
        <v>44086</v>
      </c>
      <c r="B507">
        <v>12.4406</v>
      </c>
      <c r="C507">
        <v>12.747</v>
      </c>
      <c r="D507">
        <v>12.093400000000001</v>
      </c>
      <c r="E507">
        <v>12.7187</v>
      </c>
      <c r="F507">
        <v>6270783.4500000002</v>
      </c>
      <c r="G507">
        <v>0</v>
      </c>
      <c r="L507" t="s">
        <v>7</v>
      </c>
      <c r="M507" t="s">
        <v>8</v>
      </c>
      <c r="N507" t="s">
        <v>8</v>
      </c>
      <c r="P507">
        <f t="shared" si="979"/>
        <v>0.91340269277845831</v>
      </c>
      <c r="Q507">
        <f t="shared" si="980"/>
        <v>5727750.489060591</v>
      </c>
      <c r="R507">
        <f t="shared" si="981"/>
        <v>403043698.0483492</v>
      </c>
      <c r="S507">
        <f t="shared" si="982"/>
        <v>4030.4369804834919</v>
      </c>
      <c r="T507">
        <f t="shared" si="983"/>
        <v>4.0304369804834916</v>
      </c>
    </row>
    <row r="508" spans="1:20" x14ac:dyDescent="0.25">
      <c r="A508" s="5">
        <v>44085</v>
      </c>
      <c r="B508">
        <v>12.4948</v>
      </c>
      <c r="C508">
        <v>12.696</v>
      </c>
      <c r="D508">
        <v>12.019</v>
      </c>
      <c r="E508">
        <v>12.4406</v>
      </c>
      <c r="F508">
        <v>7498865.1600000001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0.24549483013293943</v>
      </c>
      <c r="Q508">
        <f t="shared" si="980"/>
        <v>1840932.6286440177</v>
      </c>
      <c r="R508">
        <f t="shared" si="981"/>
        <v>397315947.55928862</v>
      </c>
      <c r="S508">
        <f t="shared" si="982"/>
        <v>3973.1594755928863</v>
      </c>
      <c r="T508">
        <f t="shared" si="983"/>
        <v>3.9731594755928863</v>
      </c>
    </row>
    <row r="509" spans="1:20" x14ac:dyDescent="0.25">
      <c r="A509" s="5">
        <v>44084</v>
      </c>
      <c r="B509">
        <v>12.3452</v>
      </c>
      <c r="C509">
        <v>13.28</v>
      </c>
      <c r="D509">
        <v>12.18</v>
      </c>
      <c r="E509">
        <v>12.495699999999999</v>
      </c>
      <c r="F509">
        <v>15073295.029999999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-0.42600000000000043</v>
      </c>
      <c r="Q509">
        <f t="shared" si="980"/>
        <v>-6421223.682780006</v>
      </c>
      <c r="R509">
        <f t="shared" si="981"/>
        <v>395475014.93064463</v>
      </c>
      <c r="S509">
        <f t="shared" si="982"/>
        <v>3954.7501493064465</v>
      </c>
      <c r="T509">
        <f t="shared" si="983"/>
        <v>3.9547501493064465</v>
      </c>
    </row>
    <row r="510" spans="1:20" x14ac:dyDescent="0.25">
      <c r="A510" s="5">
        <v>44083</v>
      </c>
      <c r="B510">
        <v>11.735900000000001</v>
      </c>
      <c r="C510">
        <v>12.656599999999999</v>
      </c>
      <c r="D510">
        <v>11.435600000000001</v>
      </c>
      <c r="E510">
        <v>12.3444</v>
      </c>
      <c r="F510">
        <v>10649791.43</v>
      </c>
      <c r="G510">
        <v>0</v>
      </c>
      <c r="L510" t="s">
        <v>7</v>
      </c>
      <c r="M510" t="s">
        <v>8</v>
      </c>
      <c r="N510" t="s">
        <v>8</v>
      </c>
      <c r="P510">
        <f t="shared" si="979"/>
        <v>0.48861588861588967</v>
      </c>
      <c r="Q510">
        <f t="shared" si="980"/>
        <v>5203657.3031433364</v>
      </c>
      <c r="R510">
        <f t="shared" si="981"/>
        <v>401896238.61342466</v>
      </c>
      <c r="S510">
        <f t="shared" si="982"/>
        <v>4018.9623861342466</v>
      </c>
      <c r="T510">
        <f t="shared" si="983"/>
        <v>4.0189623861342465</v>
      </c>
    </row>
    <row r="511" spans="1:20" x14ac:dyDescent="0.25">
      <c r="A511" s="5">
        <v>44082</v>
      </c>
      <c r="B511">
        <v>12.474399999999999</v>
      </c>
      <c r="C511">
        <v>12.7362</v>
      </c>
      <c r="D511">
        <v>11.0284</v>
      </c>
      <c r="E511">
        <v>11.746</v>
      </c>
      <c r="F511">
        <v>14832129.810000001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-0.15962056446890663</v>
      </c>
      <c r="Q511">
        <f t="shared" si="980"/>
        <v>-2367512.9325482971</v>
      </c>
      <c r="R511">
        <f t="shared" si="981"/>
        <v>396692581.31028134</v>
      </c>
      <c r="S511">
        <f t="shared" si="982"/>
        <v>3966.9258131028132</v>
      </c>
      <c r="T511">
        <f t="shared" si="983"/>
        <v>3.9669258131028133</v>
      </c>
    </row>
    <row r="512" spans="1:20" x14ac:dyDescent="0.25">
      <c r="A512" s="5">
        <v>44081</v>
      </c>
      <c r="B512">
        <v>12.805999999999999</v>
      </c>
      <c r="C512">
        <v>13.1747</v>
      </c>
      <c r="D512">
        <v>11.17</v>
      </c>
      <c r="E512">
        <v>12.47</v>
      </c>
      <c r="F512">
        <v>21235045.25</v>
      </c>
      <c r="G512">
        <v>0</v>
      </c>
      <c r="L512" t="s">
        <v>7</v>
      </c>
      <c r="M512" t="s">
        <v>8</v>
      </c>
      <c r="N512" t="s">
        <v>8</v>
      </c>
      <c r="P512">
        <f t="shared" si="979"/>
        <v>0.29695216241831784</v>
      </c>
      <c r="Q512">
        <f t="shared" si="980"/>
        <v>6305792.6060383292</v>
      </c>
      <c r="R512">
        <f t="shared" si="981"/>
        <v>399060094.24282962</v>
      </c>
      <c r="S512">
        <f t="shared" si="982"/>
        <v>3990.6009424282961</v>
      </c>
      <c r="T512">
        <f t="shared" si="983"/>
        <v>3.990600942428296</v>
      </c>
    </row>
    <row r="513" spans="1:20" x14ac:dyDescent="0.25">
      <c r="A513" s="5">
        <v>44080</v>
      </c>
      <c r="B513">
        <v>10.608700000000001</v>
      </c>
      <c r="C513">
        <v>13.24</v>
      </c>
      <c r="D513">
        <v>9.7155000000000005</v>
      </c>
      <c r="E513">
        <v>12.804399999999999</v>
      </c>
      <c r="F513">
        <v>21900428.59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0.75281600226982504</v>
      </c>
      <c r="Q513">
        <f t="shared" si="980"/>
        <v>16486993.099119581</v>
      </c>
      <c r="R513">
        <f t="shared" si="981"/>
        <v>392754301.63679129</v>
      </c>
      <c r="S513">
        <f t="shared" si="982"/>
        <v>3927.543016367913</v>
      </c>
      <c r="T513">
        <f t="shared" si="983"/>
        <v>3.9275430163679128</v>
      </c>
    </row>
    <row r="514" spans="1:20" x14ac:dyDescent="0.25">
      <c r="A514" s="5">
        <v>44079</v>
      </c>
      <c r="B514">
        <v>12.3804</v>
      </c>
      <c r="C514">
        <v>12.765499999999999</v>
      </c>
      <c r="D514">
        <v>9.1</v>
      </c>
      <c r="E514">
        <v>10.601699999999999</v>
      </c>
      <c r="F514">
        <v>25530147.879999999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-0.18063020051834691</v>
      </c>
      <c r="Q514">
        <f t="shared" si="980"/>
        <v>-4611515.7308274489</v>
      </c>
      <c r="R514">
        <f t="shared" si="981"/>
        <v>376267308.53767169</v>
      </c>
      <c r="S514">
        <f t="shared" si="982"/>
        <v>3762.6730853767167</v>
      </c>
      <c r="T514">
        <f t="shared" si="983"/>
        <v>3.7626730853767167</v>
      </c>
    </row>
    <row r="515" spans="1:20" x14ac:dyDescent="0.25">
      <c r="A515" s="5">
        <v>44078</v>
      </c>
      <c r="B515">
        <v>11.8802</v>
      </c>
      <c r="C515">
        <v>12.904</v>
      </c>
      <c r="D515">
        <v>11</v>
      </c>
      <c r="E515">
        <v>12.370799999999999</v>
      </c>
      <c r="F515">
        <v>18649479.710000001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0.43991596638655378</v>
      </c>
      <c r="Q515">
        <f t="shared" si="980"/>
        <v>8204203.8892310774</v>
      </c>
      <c r="R515">
        <f t="shared" si="981"/>
        <v>380878824.26849914</v>
      </c>
      <c r="S515">
        <f t="shared" si="982"/>
        <v>3808.7882426849915</v>
      </c>
      <c r="T515">
        <f t="shared" si="983"/>
        <v>3.8087882426849915</v>
      </c>
    </row>
    <row r="516" spans="1:20" x14ac:dyDescent="0.25">
      <c r="A516" s="5">
        <v>44077</v>
      </c>
      <c r="B516">
        <v>14.792199999999999</v>
      </c>
      <c r="C516">
        <v>14.998900000000001</v>
      </c>
      <c r="D516">
        <v>10.8261</v>
      </c>
      <c r="E516">
        <v>11.8895</v>
      </c>
      <c r="F516">
        <v>17461923.93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-0.49031825153374253</v>
      </c>
      <c r="Q516">
        <f t="shared" si="980"/>
        <v>-8561900.0097728185</v>
      </c>
      <c r="R516">
        <f t="shared" si="981"/>
        <v>372674620.37926805</v>
      </c>
      <c r="S516">
        <f t="shared" si="982"/>
        <v>3726.7462037926807</v>
      </c>
      <c r="T516">
        <f t="shared" si="983"/>
        <v>3.7267462037926808</v>
      </c>
    </row>
    <row r="517" spans="1:20" x14ac:dyDescent="0.25">
      <c r="A517" s="5">
        <v>44076</v>
      </c>
      <c r="B517">
        <v>16.028400000000001</v>
      </c>
      <c r="C517">
        <v>16.358699999999999</v>
      </c>
      <c r="D517">
        <v>14</v>
      </c>
      <c r="E517">
        <v>14.7982</v>
      </c>
      <c r="F517">
        <v>10432171.58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-0.32318650103870783</v>
      </c>
      <c r="Q517">
        <f t="shared" si="980"/>
        <v>-3371537.0311756483</v>
      </c>
      <c r="R517">
        <f t="shared" si="981"/>
        <v>381236520.38904089</v>
      </c>
      <c r="S517">
        <f t="shared" si="982"/>
        <v>3812.3652038904088</v>
      </c>
      <c r="T517">
        <f t="shared" si="983"/>
        <v>3.8123652038904088</v>
      </c>
    </row>
    <row r="518" spans="1:20" x14ac:dyDescent="0.25">
      <c r="A518" s="5">
        <v>44075</v>
      </c>
      <c r="B518">
        <v>15.5746</v>
      </c>
      <c r="C518">
        <v>16.505299999999998</v>
      </c>
      <c r="D518">
        <v>15.062900000000001</v>
      </c>
      <c r="E518">
        <v>16.033300000000001</v>
      </c>
      <c r="F518">
        <v>9246701.5899999999</v>
      </c>
      <c r="G518">
        <v>0</v>
      </c>
      <c r="L518" t="s">
        <v>7</v>
      </c>
      <c r="M518" t="s">
        <v>8</v>
      </c>
      <c r="N518" t="s">
        <v>8</v>
      </c>
      <c r="P518">
        <f t="shared" ref="P518:P581" si="984">IF(C518=D518,0,((E518-D518)-(C518-E518))/(C518-D518))</f>
        <v>0.34553521907931423</v>
      </c>
      <c r="Q518">
        <f t="shared" ref="Q518:Q581" si="985">F518*P518</f>
        <v>3195061.0596616929</v>
      </c>
      <c r="R518">
        <f t="shared" ref="R518:R581" si="986">R519+Q518</f>
        <v>384608057.42021656</v>
      </c>
      <c r="S518">
        <f t="shared" ref="S518:S581" si="987">R518/100000</f>
        <v>3846.0805742021657</v>
      </c>
      <c r="T518">
        <f t="shared" ref="T518:T581" si="988">S518/1000</f>
        <v>3.8460805742021655</v>
      </c>
    </row>
    <row r="519" spans="1:20" x14ac:dyDescent="0.25">
      <c r="A519" s="5">
        <v>44074</v>
      </c>
      <c r="B519">
        <v>16.478200000000001</v>
      </c>
      <c r="C519">
        <v>16.9495</v>
      </c>
      <c r="D519">
        <v>15.4451</v>
      </c>
      <c r="E519">
        <v>15.577199999999999</v>
      </c>
      <c r="F519">
        <v>9615963.2699999996</v>
      </c>
      <c r="G519">
        <v>0</v>
      </c>
      <c r="L519" t="s">
        <v>7</v>
      </c>
      <c r="M519" t="s">
        <v>8</v>
      </c>
      <c r="N519" t="s">
        <v>8</v>
      </c>
      <c r="P519">
        <f t="shared" si="984"/>
        <v>-0.8243818133475147</v>
      </c>
      <c r="Q519">
        <f t="shared" si="985"/>
        <v>-7927225.2376056965</v>
      </c>
      <c r="R519">
        <f t="shared" si="986"/>
        <v>381412996.36055487</v>
      </c>
      <c r="S519">
        <f t="shared" si="987"/>
        <v>3814.1299636055487</v>
      </c>
      <c r="T519">
        <f t="shared" si="988"/>
        <v>3.8141299636055486</v>
      </c>
    </row>
    <row r="520" spans="1:20" x14ac:dyDescent="0.25">
      <c r="A520" s="5">
        <v>44073</v>
      </c>
      <c r="B520">
        <v>16.3612</v>
      </c>
      <c r="C520">
        <v>17.777699999999999</v>
      </c>
      <c r="D520">
        <v>16.354700000000001</v>
      </c>
      <c r="E520">
        <v>16.4788</v>
      </c>
      <c r="F520">
        <v>12067693.460000001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-0.82557976106816766</v>
      </c>
      <c r="Q520">
        <f t="shared" si="985"/>
        <v>-9962843.4833506905</v>
      </c>
      <c r="R520">
        <f t="shared" si="986"/>
        <v>389340221.59816056</v>
      </c>
      <c r="S520">
        <f t="shared" si="987"/>
        <v>3893.4022159816054</v>
      </c>
      <c r="T520">
        <f t="shared" si="988"/>
        <v>3.8934022159816055</v>
      </c>
    </row>
    <row r="521" spans="1:20" x14ac:dyDescent="0.25">
      <c r="A521" s="5">
        <v>44072</v>
      </c>
      <c r="B521">
        <v>15.1136</v>
      </c>
      <c r="C521">
        <v>17.0305</v>
      </c>
      <c r="D521">
        <v>14.9565</v>
      </c>
      <c r="E521">
        <v>16.3612</v>
      </c>
      <c r="F521">
        <v>12476977.779999999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0.35458052073288349</v>
      </c>
      <c r="Q521">
        <f t="shared" si="985"/>
        <v>4424093.2784050163</v>
      </c>
      <c r="R521">
        <f t="shared" si="986"/>
        <v>399303065.08151126</v>
      </c>
      <c r="S521">
        <f t="shared" si="987"/>
        <v>3993.0306508151125</v>
      </c>
      <c r="T521">
        <f t="shared" si="988"/>
        <v>3.9930306508151125</v>
      </c>
    </row>
    <row r="522" spans="1:20" x14ac:dyDescent="0.25">
      <c r="A522" s="5">
        <v>44071</v>
      </c>
      <c r="B522">
        <v>14.523400000000001</v>
      </c>
      <c r="C522">
        <v>15.498900000000001</v>
      </c>
      <c r="D522">
        <v>14.236000000000001</v>
      </c>
      <c r="E522">
        <v>15.120699999999999</v>
      </c>
      <c r="F522">
        <v>7263858.0099999998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0.40106104996436553</v>
      </c>
      <c r="Q522">
        <f t="shared" si="985"/>
        <v>2913250.5202826667</v>
      </c>
      <c r="R522">
        <f t="shared" si="986"/>
        <v>394878971.80310625</v>
      </c>
      <c r="S522">
        <f t="shared" si="987"/>
        <v>3948.7897180310624</v>
      </c>
      <c r="T522">
        <f t="shared" si="988"/>
        <v>3.9487897180310623</v>
      </c>
    </row>
    <row r="523" spans="1:20" x14ac:dyDescent="0.25">
      <c r="A523" s="5">
        <v>44070</v>
      </c>
      <c r="B523">
        <v>15.2088</v>
      </c>
      <c r="C523">
        <v>15.5215</v>
      </c>
      <c r="D523">
        <v>13.9679</v>
      </c>
      <c r="E523">
        <v>14.523400000000001</v>
      </c>
      <c r="F523">
        <v>11695421.1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-0.28488671472708477</v>
      </c>
      <c r="Q523">
        <f t="shared" si="985"/>
        <v>-3331870.0945288278</v>
      </c>
      <c r="R523">
        <f t="shared" si="986"/>
        <v>391965721.28282356</v>
      </c>
      <c r="S523">
        <f t="shared" si="987"/>
        <v>3919.6572128282355</v>
      </c>
      <c r="T523">
        <f t="shared" si="988"/>
        <v>3.9196572128282354</v>
      </c>
    </row>
    <row r="524" spans="1:20" x14ac:dyDescent="0.25">
      <c r="A524" s="5">
        <v>44069</v>
      </c>
      <c r="B524">
        <v>14.117100000000001</v>
      </c>
      <c r="C524">
        <v>15.666399999999999</v>
      </c>
      <c r="D524">
        <v>14.053699999999999</v>
      </c>
      <c r="E524">
        <v>15.2</v>
      </c>
      <c r="F524">
        <v>11417184.57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0.42159112048118053</v>
      </c>
      <c r="Q524">
        <f t="shared" si="985"/>
        <v>4813383.6356067453</v>
      </c>
      <c r="R524">
        <f t="shared" si="986"/>
        <v>395297591.37735242</v>
      </c>
      <c r="S524">
        <f t="shared" si="987"/>
        <v>3952.9759137735241</v>
      </c>
      <c r="T524">
        <f t="shared" si="988"/>
        <v>3.9529759137735243</v>
      </c>
    </row>
    <row r="525" spans="1:20" x14ac:dyDescent="0.25">
      <c r="A525" s="5">
        <v>44068</v>
      </c>
      <c r="B525">
        <v>15.1363</v>
      </c>
      <c r="C525">
        <v>15.3743</v>
      </c>
      <c r="D525">
        <v>13.457800000000001</v>
      </c>
      <c r="E525">
        <v>14.116400000000001</v>
      </c>
      <c r="F525">
        <v>12813252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-0.31270545264805621</v>
      </c>
      <c r="Q525">
        <f t="shared" si="985"/>
        <v>-4006773.7665536115</v>
      </c>
      <c r="R525">
        <f t="shared" si="986"/>
        <v>390484207.74174565</v>
      </c>
      <c r="S525">
        <f t="shared" si="987"/>
        <v>3904.8420774174565</v>
      </c>
      <c r="T525">
        <f t="shared" si="988"/>
        <v>3.9048420774174564</v>
      </c>
    </row>
    <row r="526" spans="1:20" x14ac:dyDescent="0.25">
      <c r="A526" s="5">
        <v>44067</v>
      </c>
      <c r="B526">
        <v>15.1572</v>
      </c>
      <c r="C526">
        <v>15.8797</v>
      </c>
      <c r="D526">
        <v>14.7</v>
      </c>
      <c r="E526">
        <v>15.1419</v>
      </c>
      <c r="F526">
        <v>8460822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-0.25082648130880691</v>
      </c>
      <c r="Q526">
        <f t="shared" si="985"/>
        <v>-2122198.2112401421</v>
      </c>
      <c r="R526">
        <f t="shared" si="986"/>
        <v>394490981.50829929</v>
      </c>
      <c r="S526">
        <f t="shared" si="987"/>
        <v>3944.9098150829927</v>
      </c>
      <c r="T526">
        <f t="shared" si="988"/>
        <v>3.9449098150829927</v>
      </c>
    </row>
    <row r="527" spans="1:20" x14ac:dyDescent="0.25">
      <c r="A527" s="5">
        <v>44066</v>
      </c>
      <c r="B527">
        <v>15.8085</v>
      </c>
      <c r="C527">
        <v>16.004200000000001</v>
      </c>
      <c r="D527">
        <v>14.653600000000001</v>
      </c>
      <c r="E527">
        <v>15.142799999999999</v>
      </c>
      <c r="F527">
        <v>10766009.01</v>
      </c>
      <c r="G527">
        <v>0</v>
      </c>
      <c r="L527" t="s">
        <v>7</v>
      </c>
      <c r="M527" t="s">
        <v>8</v>
      </c>
      <c r="N527" t="s">
        <v>7</v>
      </c>
      <c r="P527">
        <f t="shared" si="984"/>
        <v>-0.27558122316007921</v>
      </c>
      <c r="Q527">
        <f t="shared" si="985"/>
        <v>-2966909.9315282335</v>
      </c>
      <c r="R527">
        <f t="shared" si="986"/>
        <v>396613179.7195394</v>
      </c>
      <c r="S527">
        <f t="shared" si="987"/>
        <v>3966.131797195394</v>
      </c>
      <c r="T527">
        <f t="shared" si="988"/>
        <v>3.966131797195394</v>
      </c>
    </row>
    <row r="528" spans="1:20" x14ac:dyDescent="0.25">
      <c r="A528" s="5">
        <v>44065</v>
      </c>
      <c r="B528">
        <v>13.834199999999999</v>
      </c>
      <c r="C528">
        <v>16.329999999999998</v>
      </c>
      <c r="D528">
        <v>13.66</v>
      </c>
      <c r="E528">
        <v>15.8078</v>
      </c>
      <c r="F528">
        <v>16713843.17</v>
      </c>
      <c r="G528">
        <v>0</v>
      </c>
      <c r="L528" t="s">
        <v>8</v>
      </c>
      <c r="M528" t="s">
        <v>8</v>
      </c>
      <c r="N528" t="s">
        <v>7</v>
      </c>
      <c r="P528">
        <f t="shared" si="984"/>
        <v>0.60883895131086263</v>
      </c>
      <c r="Q528">
        <f t="shared" si="985"/>
        <v>10176038.747997023</v>
      </c>
      <c r="R528">
        <f t="shared" si="986"/>
        <v>399580089.65106761</v>
      </c>
      <c r="S528">
        <f t="shared" si="987"/>
        <v>3995.800896510676</v>
      </c>
      <c r="T528">
        <f t="shared" si="988"/>
        <v>3.9958008965106759</v>
      </c>
    </row>
    <row r="529" spans="1:20" x14ac:dyDescent="0.25">
      <c r="A529" s="5">
        <v>44064</v>
      </c>
      <c r="B529">
        <v>16.047599999999999</v>
      </c>
      <c r="C529">
        <v>16.142099999999999</v>
      </c>
      <c r="D529">
        <v>12.89</v>
      </c>
      <c r="E529">
        <v>13.8325</v>
      </c>
      <c r="F529">
        <v>26181371.600000001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-0.42037452722856039</v>
      </c>
      <c r="Q529">
        <f t="shared" si="985"/>
        <v>-11005981.708545258</v>
      </c>
      <c r="R529">
        <f t="shared" si="986"/>
        <v>389404050.90307057</v>
      </c>
      <c r="S529">
        <f t="shared" si="987"/>
        <v>3894.0405090307058</v>
      </c>
      <c r="T529">
        <f t="shared" si="988"/>
        <v>3.894040509030706</v>
      </c>
    </row>
    <row r="530" spans="1:20" x14ac:dyDescent="0.25">
      <c r="A530" s="5">
        <v>44063</v>
      </c>
      <c r="B530">
        <v>16.188400000000001</v>
      </c>
      <c r="C530">
        <v>16.786200000000001</v>
      </c>
      <c r="D530">
        <v>15.7232</v>
      </c>
      <c r="E530">
        <v>16.048300000000001</v>
      </c>
      <c r="F530">
        <v>11077161.689999999</v>
      </c>
      <c r="G530">
        <v>0</v>
      </c>
      <c r="L530" t="s">
        <v>7</v>
      </c>
      <c r="M530" t="s">
        <v>7</v>
      </c>
      <c r="N530" t="s">
        <v>8</v>
      </c>
      <c r="P530">
        <f t="shared" si="984"/>
        <v>-0.38833490122295267</v>
      </c>
      <c r="Q530">
        <f t="shared" si="985"/>
        <v>-4301648.4907168252</v>
      </c>
      <c r="R530">
        <f t="shared" si="986"/>
        <v>400410032.61161584</v>
      </c>
      <c r="S530">
        <f t="shared" si="987"/>
        <v>4004.1003261161582</v>
      </c>
      <c r="T530">
        <f t="shared" si="988"/>
        <v>4.0041003261161583</v>
      </c>
    </row>
    <row r="531" spans="1:20" x14ac:dyDescent="0.25">
      <c r="A531" s="5">
        <v>44062</v>
      </c>
      <c r="B531">
        <v>16.1846</v>
      </c>
      <c r="C531">
        <v>17.255400000000002</v>
      </c>
      <c r="D531">
        <v>14.8653</v>
      </c>
      <c r="E531">
        <v>16.186299999999999</v>
      </c>
      <c r="F531">
        <v>18401947.050000001</v>
      </c>
      <c r="G531">
        <v>0</v>
      </c>
      <c r="L531" t="s">
        <v>8</v>
      </c>
      <c r="M531" t="s">
        <v>7</v>
      </c>
      <c r="N531" t="s">
        <v>8</v>
      </c>
      <c r="P531">
        <f t="shared" si="984"/>
        <v>0.10539307978745539</v>
      </c>
      <c r="Q531">
        <f t="shared" si="985"/>
        <v>1939437.8736851795</v>
      </c>
      <c r="R531">
        <f t="shared" si="986"/>
        <v>404711681.10233265</v>
      </c>
      <c r="S531">
        <f t="shared" si="987"/>
        <v>4047.1168110233266</v>
      </c>
      <c r="T531">
        <f t="shared" si="988"/>
        <v>4.0471168110233267</v>
      </c>
    </row>
    <row r="532" spans="1:20" x14ac:dyDescent="0.25">
      <c r="A532" s="5">
        <v>44061</v>
      </c>
      <c r="B532">
        <v>16.8064</v>
      </c>
      <c r="C532">
        <v>17.6738</v>
      </c>
      <c r="D532">
        <v>14.69</v>
      </c>
      <c r="E532">
        <v>16.192699999999999</v>
      </c>
      <c r="F532">
        <v>27088057.760000002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7.2390910918954414E-3</v>
      </c>
      <c r="Q532">
        <f t="shared" si="985"/>
        <v>196092.91762716518</v>
      </c>
      <c r="R532">
        <f t="shared" si="986"/>
        <v>402772243.22864747</v>
      </c>
      <c r="S532">
        <f t="shared" si="987"/>
        <v>4027.7224322864745</v>
      </c>
      <c r="T532">
        <f t="shared" si="988"/>
        <v>4.0277224322864749</v>
      </c>
    </row>
    <row r="533" spans="1:20" x14ac:dyDescent="0.25">
      <c r="A533" s="5">
        <v>44060</v>
      </c>
      <c r="B533">
        <v>18.8096</v>
      </c>
      <c r="C533">
        <v>19.711099999999998</v>
      </c>
      <c r="D533">
        <v>15.5</v>
      </c>
      <c r="E533">
        <v>16.819600000000001</v>
      </c>
      <c r="F533">
        <v>13542369.789999999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-0.37327539122794434</v>
      </c>
      <c r="Q533">
        <f t="shared" si="985"/>
        <v>-5055033.3815157441</v>
      </c>
      <c r="R533">
        <f t="shared" si="986"/>
        <v>402576150.31102031</v>
      </c>
      <c r="S533">
        <f t="shared" si="987"/>
        <v>4025.7615031102032</v>
      </c>
      <c r="T533">
        <f t="shared" si="988"/>
        <v>4.0257615031102034</v>
      </c>
    </row>
    <row r="534" spans="1:20" x14ac:dyDescent="0.25">
      <c r="A534" s="5">
        <v>44059</v>
      </c>
      <c r="B534">
        <v>19.210799999999999</v>
      </c>
      <c r="C534">
        <v>20.1111</v>
      </c>
      <c r="D534">
        <v>18.514399999999998</v>
      </c>
      <c r="E534">
        <v>18.806100000000001</v>
      </c>
      <c r="F534">
        <v>10757844.390000001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-0.63462140665121569</v>
      </c>
      <c r="Q534">
        <f t="shared" si="985"/>
        <v>-6827158.3393166894</v>
      </c>
      <c r="R534">
        <f t="shared" si="986"/>
        <v>407631183.69253606</v>
      </c>
      <c r="S534">
        <f t="shared" si="987"/>
        <v>4076.3118369253607</v>
      </c>
      <c r="T534">
        <f t="shared" si="988"/>
        <v>4.0763118369253606</v>
      </c>
    </row>
    <row r="535" spans="1:20" x14ac:dyDescent="0.25">
      <c r="A535" s="5">
        <v>44058</v>
      </c>
      <c r="B535">
        <v>16.944700000000001</v>
      </c>
      <c r="C535">
        <v>19.830300000000001</v>
      </c>
      <c r="D535">
        <v>16.555399999999999</v>
      </c>
      <c r="E535">
        <v>19.2285</v>
      </c>
      <c r="F535">
        <v>17941112.010000002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0.63247732755198616</v>
      </c>
      <c r="Q535">
        <f t="shared" si="985"/>
        <v>11347346.577395644</v>
      </c>
      <c r="R535">
        <f t="shared" si="986"/>
        <v>414458342.03185272</v>
      </c>
      <c r="S535">
        <f t="shared" si="987"/>
        <v>4144.5834203185268</v>
      </c>
      <c r="T535">
        <f t="shared" si="988"/>
        <v>4.1445834203185266</v>
      </c>
    </row>
    <row r="536" spans="1:20" x14ac:dyDescent="0.25">
      <c r="A536" s="5">
        <v>44057</v>
      </c>
      <c r="B536">
        <v>17.172799999999999</v>
      </c>
      <c r="C536">
        <v>17.599799999999998</v>
      </c>
      <c r="D536">
        <v>16.3</v>
      </c>
      <c r="E536">
        <v>16.9574</v>
      </c>
      <c r="F536">
        <v>11352121.050000001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1.1540236959532693E-2</v>
      </c>
      <c r="Q536">
        <f t="shared" si="985"/>
        <v>131006.1669102991</v>
      </c>
      <c r="R536">
        <f t="shared" si="986"/>
        <v>403110995.4544571</v>
      </c>
      <c r="S536">
        <f t="shared" si="987"/>
        <v>4031.1099545445709</v>
      </c>
      <c r="T536">
        <f t="shared" si="988"/>
        <v>4.0311099545445712</v>
      </c>
    </row>
    <row r="537" spans="1:20" x14ac:dyDescent="0.25">
      <c r="A537" s="5">
        <v>44056</v>
      </c>
      <c r="B537">
        <v>16.4634</v>
      </c>
      <c r="C537">
        <v>18.348800000000001</v>
      </c>
      <c r="D537">
        <v>15.9175</v>
      </c>
      <c r="E537">
        <v>17.188300000000002</v>
      </c>
      <c r="F537">
        <v>30941693.960000001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4.5366676263728159E-2</v>
      </c>
      <c r="Q537">
        <f t="shared" si="985"/>
        <v>1403721.8129346729</v>
      </c>
      <c r="R537">
        <f t="shared" si="986"/>
        <v>402979989.28754681</v>
      </c>
      <c r="S537">
        <f t="shared" si="987"/>
        <v>4029.7998928754682</v>
      </c>
      <c r="T537">
        <f t="shared" si="988"/>
        <v>4.0297998928754684</v>
      </c>
    </row>
    <row r="538" spans="1:20" x14ac:dyDescent="0.25">
      <c r="A538" s="5">
        <v>44055</v>
      </c>
      <c r="B538">
        <v>12.9999</v>
      </c>
      <c r="C538">
        <v>16.8</v>
      </c>
      <c r="D538">
        <v>12.5936</v>
      </c>
      <c r="E538">
        <v>16.4635</v>
      </c>
      <c r="F538">
        <v>23116748.129999999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0.84000570559147925</v>
      </c>
      <c r="Q538">
        <f t="shared" si="985"/>
        <v>19418200.323921159</v>
      </c>
      <c r="R538">
        <f t="shared" si="986"/>
        <v>401576267.47461212</v>
      </c>
      <c r="S538">
        <f t="shared" si="987"/>
        <v>4015.7626747461213</v>
      </c>
      <c r="T538">
        <f t="shared" si="988"/>
        <v>4.0157626747461217</v>
      </c>
    </row>
    <row r="539" spans="1:20" x14ac:dyDescent="0.25">
      <c r="A539" s="5">
        <v>44054</v>
      </c>
      <c r="B539">
        <v>13.472200000000001</v>
      </c>
      <c r="C539">
        <v>13.5403</v>
      </c>
      <c r="D539">
        <v>12.0905</v>
      </c>
      <c r="E539">
        <v>12.9971</v>
      </c>
      <c r="F539">
        <v>17514622.420000002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0.25065526279486733</v>
      </c>
      <c r="Q539">
        <f t="shared" si="985"/>
        <v>4390132.285437976</v>
      </c>
      <c r="R539">
        <f t="shared" si="986"/>
        <v>382158067.15069097</v>
      </c>
      <c r="S539">
        <f t="shared" si="987"/>
        <v>3821.5806715069098</v>
      </c>
      <c r="T539">
        <f t="shared" si="988"/>
        <v>3.8215806715069096</v>
      </c>
    </row>
    <row r="540" spans="1:20" x14ac:dyDescent="0.25">
      <c r="A540" s="5">
        <v>44053</v>
      </c>
      <c r="B540">
        <v>13.810499999999999</v>
      </c>
      <c r="C540">
        <v>14.055099999999999</v>
      </c>
      <c r="D540">
        <v>12.52</v>
      </c>
      <c r="E540">
        <v>13.472200000000001</v>
      </c>
      <c r="F540">
        <v>17912553.32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0.24057064686339824</v>
      </c>
      <c r="Q540">
        <f t="shared" si="985"/>
        <v>4309234.5391675122</v>
      </c>
      <c r="R540">
        <f t="shared" si="986"/>
        <v>377767934.86525297</v>
      </c>
      <c r="S540">
        <f t="shared" si="987"/>
        <v>3777.6793486525298</v>
      </c>
      <c r="T540">
        <f t="shared" si="988"/>
        <v>3.77767934865253</v>
      </c>
    </row>
    <row r="541" spans="1:20" x14ac:dyDescent="0.25">
      <c r="A541" s="5">
        <v>44052</v>
      </c>
      <c r="B541">
        <v>12.7095</v>
      </c>
      <c r="C541">
        <v>14.458600000000001</v>
      </c>
      <c r="D541">
        <v>12</v>
      </c>
      <c r="E541">
        <v>13.8104</v>
      </c>
      <c r="F541">
        <v>28455039.719999999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0.4727080452289914</v>
      </c>
      <c r="Q541">
        <f t="shared" si="985"/>
        <v>13450926.202954507</v>
      </c>
      <c r="R541">
        <f t="shared" si="986"/>
        <v>373458700.32608545</v>
      </c>
      <c r="S541">
        <f t="shared" si="987"/>
        <v>3734.5870032608545</v>
      </c>
      <c r="T541">
        <f t="shared" si="988"/>
        <v>3.7345870032608546</v>
      </c>
    </row>
    <row r="542" spans="1:20" x14ac:dyDescent="0.25">
      <c r="A542" s="5">
        <v>44051</v>
      </c>
      <c r="B542">
        <v>10.1286</v>
      </c>
      <c r="C542">
        <v>13.879899999999999</v>
      </c>
      <c r="D542">
        <v>9.9286999999999992</v>
      </c>
      <c r="E542">
        <v>12.709300000000001</v>
      </c>
      <c r="F542">
        <v>28681387.91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0.40747114800566991</v>
      </c>
      <c r="Q542">
        <f t="shared" si="985"/>
        <v>11686838.058083642</v>
      </c>
      <c r="R542">
        <f t="shared" si="986"/>
        <v>360007774.12313092</v>
      </c>
      <c r="S542">
        <f t="shared" si="987"/>
        <v>3600.0777412313091</v>
      </c>
      <c r="T542">
        <f t="shared" si="988"/>
        <v>3.600077741231309</v>
      </c>
    </row>
    <row r="543" spans="1:20" x14ac:dyDescent="0.25">
      <c r="A543" s="5">
        <v>44050</v>
      </c>
      <c r="B543">
        <v>10.228400000000001</v>
      </c>
      <c r="C543">
        <v>10.2615</v>
      </c>
      <c r="D543">
        <v>9.0500000000000007</v>
      </c>
      <c r="E543">
        <v>10.1286</v>
      </c>
      <c r="F543">
        <v>11737996.619999999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0.78060255881139173</v>
      </c>
      <c r="Q543">
        <f t="shared" si="985"/>
        <v>9162710.1968914662</v>
      </c>
      <c r="R543">
        <f t="shared" si="986"/>
        <v>348320936.06504726</v>
      </c>
      <c r="S543">
        <f t="shared" si="987"/>
        <v>3483.2093606504727</v>
      </c>
      <c r="T543">
        <f t="shared" si="988"/>
        <v>3.4832093606504726</v>
      </c>
    </row>
    <row r="544" spans="1:20" x14ac:dyDescent="0.25">
      <c r="A544" s="5">
        <v>44049</v>
      </c>
      <c r="B544">
        <v>9.5265000000000004</v>
      </c>
      <c r="C544">
        <v>10.291700000000001</v>
      </c>
      <c r="D544">
        <v>9.4514999999999993</v>
      </c>
      <c r="E544">
        <v>10.234299999999999</v>
      </c>
      <c r="F544">
        <v>9041552.5999999996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0.86336586527017101</v>
      </c>
      <c r="Q544">
        <f t="shared" si="985"/>
        <v>7806167.8838847643</v>
      </c>
      <c r="R544">
        <f t="shared" si="986"/>
        <v>339158225.86815578</v>
      </c>
      <c r="S544">
        <f t="shared" si="987"/>
        <v>3391.582258681558</v>
      </c>
      <c r="T544">
        <f t="shared" si="988"/>
        <v>3.391582258681558</v>
      </c>
    </row>
    <row r="545" spans="1:20" x14ac:dyDescent="0.25">
      <c r="A545" s="5">
        <v>44048</v>
      </c>
      <c r="B545">
        <v>9.8686000000000007</v>
      </c>
      <c r="C545">
        <v>9.8686000000000007</v>
      </c>
      <c r="D545">
        <v>9.3207000000000004</v>
      </c>
      <c r="E545">
        <v>9.5252999999999997</v>
      </c>
      <c r="F545">
        <v>9682088.7699999996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-0.25314838474174439</v>
      </c>
      <c r="Q545">
        <f t="shared" si="985"/>
        <v>-2451005.1330516827</v>
      </c>
      <c r="R545">
        <f t="shared" si="986"/>
        <v>331352057.98427099</v>
      </c>
      <c r="S545">
        <f t="shared" si="987"/>
        <v>3313.52057984271</v>
      </c>
      <c r="T545">
        <f t="shared" si="988"/>
        <v>3.3135205798427099</v>
      </c>
    </row>
    <row r="546" spans="1:20" x14ac:dyDescent="0.25">
      <c r="A546" s="5">
        <v>44047</v>
      </c>
      <c r="B546">
        <v>9.2501999999999995</v>
      </c>
      <c r="C546">
        <v>9.9644999999999992</v>
      </c>
      <c r="D546">
        <v>9.0807000000000002</v>
      </c>
      <c r="E546">
        <v>9.8687000000000005</v>
      </c>
      <c r="F546">
        <v>18485930.370000001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0.78320887078524803</v>
      </c>
      <c r="Q546">
        <f t="shared" si="985"/>
        <v>14478344.650502423</v>
      </c>
      <c r="R546">
        <f t="shared" si="986"/>
        <v>333803063.11732268</v>
      </c>
      <c r="S546">
        <f t="shared" si="987"/>
        <v>3338.030631173227</v>
      </c>
      <c r="T546">
        <f t="shared" si="988"/>
        <v>3.3380306311732268</v>
      </c>
    </row>
    <row r="547" spans="1:20" x14ac:dyDescent="0.25">
      <c r="A547" s="5">
        <v>44046</v>
      </c>
      <c r="B547">
        <v>8.2850999999999999</v>
      </c>
      <c r="C547">
        <v>9.2706999999999997</v>
      </c>
      <c r="D547">
        <v>8.1408000000000005</v>
      </c>
      <c r="E547">
        <v>9.2501999999999995</v>
      </c>
      <c r="F547">
        <v>12814524.98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0.96371360297371411</v>
      </c>
      <c r="Q547">
        <f t="shared" si="985"/>
        <v>12349532.038872462</v>
      </c>
      <c r="R547">
        <f t="shared" si="986"/>
        <v>319324718.46682024</v>
      </c>
      <c r="S547">
        <f t="shared" si="987"/>
        <v>3193.2471846682024</v>
      </c>
      <c r="T547">
        <f t="shared" si="988"/>
        <v>3.1932471846682025</v>
      </c>
    </row>
    <row r="548" spans="1:20" x14ac:dyDescent="0.25">
      <c r="A548" s="5">
        <v>44045</v>
      </c>
      <c r="B548">
        <v>8.3216000000000001</v>
      </c>
      <c r="C548">
        <v>8.7972000000000001</v>
      </c>
      <c r="D548">
        <v>6.87</v>
      </c>
      <c r="E548">
        <v>8.2813999999999997</v>
      </c>
      <c r="F548">
        <v>22647614.34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0.464715649647156</v>
      </c>
      <c r="Q548">
        <f t="shared" si="985"/>
        <v>10524700.810971346</v>
      </c>
      <c r="R548">
        <f t="shared" si="986"/>
        <v>306975186.42794776</v>
      </c>
      <c r="S548">
        <f t="shared" si="987"/>
        <v>3069.7518642794776</v>
      </c>
      <c r="T548">
        <f t="shared" si="988"/>
        <v>3.0697518642794774</v>
      </c>
    </row>
    <row r="549" spans="1:20" x14ac:dyDescent="0.25">
      <c r="A549" s="5">
        <v>44044</v>
      </c>
      <c r="B549">
        <v>7.8025000000000002</v>
      </c>
      <c r="C549">
        <v>8.4719999999999995</v>
      </c>
      <c r="D549">
        <v>7.6372999999999998</v>
      </c>
      <c r="E549">
        <v>8.3247999999999998</v>
      </c>
      <c r="F549">
        <v>9345076.4000000004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0.64729843057385927</v>
      </c>
      <c r="Q549">
        <f t="shared" si="985"/>
        <v>6049053.2873128112</v>
      </c>
      <c r="R549">
        <f t="shared" si="986"/>
        <v>296450485.61697644</v>
      </c>
      <c r="S549">
        <f t="shared" si="987"/>
        <v>2964.5048561697645</v>
      </c>
      <c r="T549">
        <f t="shared" si="988"/>
        <v>2.9645048561697647</v>
      </c>
    </row>
    <row r="550" spans="1:20" x14ac:dyDescent="0.25">
      <c r="A550" s="5">
        <v>44043</v>
      </c>
      <c r="B550">
        <v>7.4093</v>
      </c>
      <c r="C550">
        <v>7.8648999999999996</v>
      </c>
      <c r="D550">
        <v>7.4085000000000001</v>
      </c>
      <c r="E550">
        <v>7.8033000000000001</v>
      </c>
      <c r="F550">
        <v>7419454.2599999998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0.73006134969325376</v>
      </c>
      <c r="Q550">
        <f t="shared" si="985"/>
        <v>5416656.7910429612</v>
      </c>
      <c r="R550">
        <f t="shared" si="986"/>
        <v>290401432.32966363</v>
      </c>
      <c r="S550">
        <f t="shared" si="987"/>
        <v>2904.0143232966361</v>
      </c>
      <c r="T550">
        <f t="shared" si="988"/>
        <v>2.9040143232966362</v>
      </c>
    </row>
    <row r="551" spans="1:20" x14ac:dyDescent="0.25">
      <c r="A551" s="5">
        <v>44042</v>
      </c>
      <c r="B551">
        <v>7.0876000000000001</v>
      </c>
      <c r="C551">
        <v>7.5757000000000003</v>
      </c>
      <c r="D551">
        <v>7.0252999999999997</v>
      </c>
      <c r="E551">
        <v>7.4093</v>
      </c>
      <c r="F551">
        <v>7673434.4699999997</v>
      </c>
      <c r="G551">
        <v>0</v>
      </c>
      <c r="L551" t="s">
        <v>8</v>
      </c>
      <c r="M551" t="s">
        <v>7</v>
      </c>
      <c r="N551" t="s">
        <v>8</v>
      </c>
      <c r="P551">
        <f t="shared" si="984"/>
        <v>0.39534883720930186</v>
      </c>
      <c r="Q551">
        <f t="shared" si="985"/>
        <v>3033683.3951162756</v>
      </c>
      <c r="R551">
        <f t="shared" si="986"/>
        <v>284984775.53862065</v>
      </c>
      <c r="S551">
        <f t="shared" si="987"/>
        <v>2849.8477553862067</v>
      </c>
      <c r="T551">
        <f t="shared" si="988"/>
        <v>2.8498477553862065</v>
      </c>
    </row>
    <row r="552" spans="1:20" x14ac:dyDescent="0.25">
      <c r="A552" s="5">
        <v>44041</v>
      </c>
      <c r="B552">
        <v>7.2332000000000001</v>
      </c>
      <c r="C552">
        <v>7.4870999999999999</v>
      </c>
      <c r="D552">
        <v>6.9866999999999999</v>
      </c>
      <c r="E552">
        <v>7.0876000000000001</v>
      </c>
      <c r="F552">
        <v>7058913.79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-0.59672262190247716</v>
      </c>
      <c r="Q552">
        <f t="shared" si="985"/>
        <v>-4212213.5445523523</v>
      </c>
      <c r="R552">
        <f t="shared" si="986"/>
        <v>281951092.14350438</v>
      </c>
      <c r="S552">
        <f t="shared" si="987"/>
        <v>2819.5109214350437</v>
      </c>
      <c r="T552">
        <f t="shared" si="988"/>
        <v>2.8195109214350436</v>
      </c>
    </row>
    <row r="553" spans="1:20" x14ac:dyDescent="0.25">
      <c r="A553" s="5">
        <v>44040</v>
      </c>
      <c r="B553">
        <v>7.0990000000000002</v>
      </c>
      <c r="C553">
        <v>7.4242999999999997</v>
      </c>
      <c r="D553">
        <v>6.9105999999999996</v>
      </c>
      <c r="E553">
        <v>7.2332999999999998</v>
      </c>
      <c r="F553">
        <v>8500726.8300000001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0.2563753163324905</v>
      </c>
      <c r="Q553">
        <f t="shared" si="985"/>
        <v>2179376.5300973393</v>
      </c>
      <c r="R553">
        <f t="shared" si="986"/>
        <v>286163305.68805671</v>
      </c>
      <c r="S553">
        <f t="shared" si="987"/>
        <v>2861.633056880567</v>
      </c>
      <c r="T553">
        <f t="shared" si="988"/>
        <v>2.8616330568805668</v>
      </c>
    </row>
    <row r="554" spans="1:20" x14ac:dyDescent="0.25">
      <c r="A554" s="5">
        <v>44039</v>
      </c>
      <c r="B554">
        <v>7.5008999999999997</v>
      </c>
      <c r="C554">
        <v>7.5045000000000002</v>
      </c>
      <c r="D554">
        <v>6.5101000000000004</v>
      </c>
      <c r="E554">
        <v>7.1</v>
      </c>
      <c r="F554">
        <v>16681214.34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0.18644408688656347</v>
      </c>
      <c r="Q554">
        <f t="shared" si="985"/>
        <v>3110113.7757803486</v>
      </c>
      <c r="R554">
        <f t="shared" si="986"/>
        <v>283983929.15795934</v>
      </c>
      <c r="S554">
        <f t="shared" si="987"/>
        <v>2839.8392915795935</v>
      </c>
      <c r="T554">
        <f t="shared" si="988"/>
        <v>2.8398392915795934</v>
      </c>
    </row>
    <row r="555" spans="1:20" x14ac:dyDescent="0.25">
      <c r="A555" s="5">
        <v>44038</v>
      </c>
      <c r="B555">
        <v>7.6737000000000002</v>
      </c>
      <c r="C555">
        <v>7.9450000000000003</v>
      </c>
      <c r="D555">
        <v>7.1885000000000003</v>
      </c>
      <c r="E555">
        <v>7.5022000000000002</v>
      </c>
      <c r="F555">
        <v>10637660.32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-0.17065432914738959</v>
      </c>
      <c r="Q555">
        <f t="shared" si="985"/>
        <v>-1815362.7856074057</v>
      </c>
      <c r="R555">
        <f t="shared" si="986"/>
        <v>280873815.38217902</v>
      </c>
      <c r="S555">
        <f t="shared" si="987"/>
        <v>2808.7381538217901</v>
      </c>
      <c r="T555">
        <f t="shared" si="988"/>
        <v>2.8087381538217899</v>
      </c>
    </row>
    <row r="556" spans="1:20" x14ac:dyDescent="0.25">
      <c r="A556" s="5">
        <v>44037</v>
      </c>
      <c r="B556">
        <v>7.4283999999999999</v>
      </c>
      <c r="C556">
        <v>7.8009000000000004</v>
      </c>
      <c r="D556">
        <v>7.3743999999999996</v>
      </c>
      <c r="E556">
        <v>7.6719999999999997</v>
      </c>
      <c r="F556">
        <v>7507174.9000000004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0.39554513481828629</v>
      </c>
      <c r="Q556">
        <f t="shared" si="985"/>
        <v>2969426.5079249549</v>
      </c>
      <c r="R556">
        <f t="shared" si="986"/>
        <v>282689178.16778642</v>
      </c>
      <c r="S556">
        <f t="shared" si="987"/>
        <v>2826.8917816778644</v>
      </c>
      <c r="T556">
        <f t="shared" si="988"/>
        <v>2.8268917816778645</v>
      </c>
    </row>
    <row r="557" spans="1:20" x14ac:dyDescent="0.25">
      <c r="A557" s="5">
        <v>44036</v>
      </c>
      <c r="B557">
        <v>7.8982000000000001</v>
      </c>
      <c r="C557">
        <v>7.9303999999999997</v>
      </c>
      <c r="D557">
        <v>7.3840000000000003</v>
      </c>
      <c r="E557">
        <v>7.4283999999999999</v>
      </c>
      <c r="F557">
        <v>7314721.8700000001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-0.83748169838945974</v>
      </c>
      <c r="Q557">
        <f t="shared" si="985"/>
        <v>-6125945.6949341251</v>
      </c>
      <c r="R557">
        <f t="shared" si="986"/>
        <v>279719751.65986145</v>
      </c>
      <c r="S557">
        <f t="shared" si="987"/>
        <v>2797.1975165986146</v>
      </c>
      <c r="T557">
        <f t="shared" si="988"/>
        <v>2.7971975165986147</v>
      </c>
    </row>
    <row r="558" spans="1:20" x14ac:dyDescent="0.25">
      <c r="A558" s="5">
        <v>44035</v>
      </c>
      <c r="B558">
        <v>7.4690000000000003</v>
      </c>
      <c r="C558">
        <v>8.0990000000000002</v>
      </c>
      <c r="D558">
        <v>7.4028999999999998</v>
      </c>
      <c r="E558">
        <v>7.8982999999999999</v>
      </c>
      <c r="F558">
        <v>10917062.939999999</v>
      </c>
      <c r="G558">
        <v>0</v>
      </c>
      <c r="L558" t="s">
        <v>8</v>
      </c>
      <c r="M558" t="s">
        <v>7</v>
      </c>
      <c r="N558" t="s">
        <v>8</v>
      </c>
      <c r="P558">
        <f t="shared" si="984"/>
        <v>0.42335871282861598</v>
      </c>
      <c r="Q558">
        <f t="shared" si="985"/>
        <v>4621833.7141473861</v>
      </c>
      <c r="R558">
        <f t="shared" si="986"/>
        <v>285845697.35479558</v>
      </c>
      <c r="S558">
        <f t="shared" si="987"/>
        <v>2858.4569735479558</v>
      </c>
      <c r="T558">
        <f t="shared" si="988"/>
        <v>2.8584569735479559</v>
      </c>
    </row>
    <row r="559" spans="1:20" x14ac:dyDescent="0.25">
      <c r="A559" s="5">
        <v>44034</v>
      </c>
      <c r="B559">
        <v>7.3086000000000002</v>
      </c>
      <c r="C559">
        <v>7.6364999999999998</v>
      </c>
      <c r="D559">
        <v>7.0831999999999997</v>
      </c>
      <c r="E559">
        <v>7.4688999999999997</v>
      </c>
      <c r="F559">
        <v>9599551.1400000006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0.39418037231158448</v>
      </c>
      <c r="Q559">
        <f t="shared" si="985"/>
        <v>3783954.6423892956</v>
      </c>
      <c r="R559">
        <f t="shared" si="986"/>
        <v>281223863.64064819</v>
      </c>
      <c r="S559">
        <f t="shared" si="987"/>
        <v>2812.2386364064819</v>
      </c>
      <c r="T559">
        <f t="shared" si="988"/>
        <v>2.812238636406482</v>
      </c>
    </row>
    <row r="560" spans="1:20" x14ac:dyDescent="0.25">
      <c r="A560" s="5">
        <v>44033</v>
      </c>
      <c r="B560">
        <v>7.2301000000000002</v>
      </c>
      <c r="C560">
        <v>7.6787999999999998</v>
      </c>
      <c r="D560">
        <v>6.9231999999999996</v>
      </c>
      <c r="E560">
        <v>7.3101000000000003</v>
      </c>
      <c r="F560">
        <v>10937153.27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2.4086818422447191E-2</v>
      </c>
      <c r="Q560">
        <f t="shared" si="985"/>
        <v>263441.22487296455</v>
      </c>
      <c r="R560">
        <f t="shared" si="986"/>
        <v>277439908.99825889</v>
      </c>
      <c r="S560">
        <f t="shared" si="987"/>
        <v>2774.399089982589</v>
      </c>
      <c r="T560">
        <f t="shared" si="988"/>
        <v>2.7743990899825888</v>
      </c>
    </row>
    <row r="561" spans="1:104" x14ac:dyDescent="0.25">
      <c r="A561" s="5">
        <v>44032</v>
      </c>
      <c r="B561">
        <v>8.0847999999999995</v>
      </c>
      <c r="C561">
        <v>8.1387999999999998</v>
      </c>
      <c r="D561">
        <v>7.1210000000000004</v>
      </c>
      <c r="E561">
        <v>7.2301000000000002</v>
      </c>
      <c r="F561">
        <v>11043721.17</v>
      </c>
      <c r="G561">
        <v>0</v>
      </c>
      <c r="L561" t="s">
        <v>7</v>
      </c>
      <c r="M561" t="s">
        <v>7</v>
      </c>
      <c r="N561" t="s">
        <v>8</v>
      </c>
      <c r="P561">
        <f t="shared" si="984"/>
        <v>-0.7856160345843981</v>
      </c>
      <c r="Q561">
        <f t="shared" si="985"/>
        <v>-8676124.4326311685</v>
      </c>
      <c r="R561">
        <f t="shared" si="986"/>
        <v>277176467.77338594</v>
      </c>
      <c r="S561">
        <f t="shared" si="987"/>
        <v>2771.7646777338596</v>
      </c>
      <c r="T561">
        <f t="shared" si="988"/>
        <v>2.7717646777338594</v>
      </c>
      <c r="CZ561" t="s">
        <v>7</v>
      </c>
    </row>
    <row r="562" spans="1:104" x14ac:dyDescent="0.25">
      <c r="A562" s="5">
        <v>44031</v>
      </c>
      <c r="B562">
        <v>7.9730999999999996</v>
      </c>
      <c r="C562">
        <v>8.2100000000000009</v>
      </c>
      <c r="D562">
        <v>7.7782</v>
      </c>
      <c r="E562">
        <v>8.0784000000000002</v>
      </c>
      <c r="F562">
        <v>6896213.3099999996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0.390458545622972</v>
      </c>
      <c r="Q562">
        <f t="shared" si="985"/>
        <v>2692685.4193283818</v>
      </c>
      <c r="R562">
        <f t="shared" si="986"/>
        <v>285852592.20601714</v>
      </c>
      <c r="S562">
        <f t="shared" si="987"/>
        <v>2858.5259220601715</v>
      </c>
      <c r="T562">
        <f t="shared" si="988"/>
        <v>2.8585259220601715</v>
      </c>
      <c r="CZ562" t="s">
        <v>7</v>
      </c>
    </row>
    <row r="563" spans="1:104" x14ac:dyDescent="0.25">
      <c r="A563" s="5">
        <v>44030</v>
      </c>
      <c r="B563">
        <v>8.2589000000000006</v>
      </c>
      <c r="C563">
        <v>8.2647999999999993</v>
      </c>
      <c r="D563">
        <v>7.657</v>
      </c>
      <c r="E563">
        <v>7.9733999999999998</v>
      </c>
      <c r="F563">
        <v>11416632.85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4.1131951299770299E-2</v>
      </c>
      <c r="Q563">
        <f t="shared" si="985"/>
        <v>469588.38639355777</v>
      </c>
      <c r="R563">
        <f t="shared" si="986"/>
        <v>283159906.78668875</v>
      </c>
      <c r="S563">
        <f t="shared" si="987"/>
        <v>2831.5990678668873</v>
      </c>
      <c r="T563">
        <f t="shared" si="988"/>
        <v>2.8315990678668874</v>
      </c>
      <c r="CZ563" t="s">
        <v>7</v>
      </c>
    </row>
    <row r="564" spans="1:104" x14ac:dyDescent="0.25">
      <c r="A564" s="5">
        <v>44029</v>
      </c>
      <c r="B564">
        <v>8.3544999999999998</v>
      </c>
      <c r="C564">
        <v>8.6443999999999992</v>
      </c>
      <c r="D564">
        <v>8.1999999999999993</v>
      </c>
      <c r="E564">
        <v>8.2605000000000004</v>
      </c>
      <c r="F564">
        <v>8727930.8300000001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-0.72772277227722271</v>
      </c>
      <c r="Q564">
        <f t="shared" si="985"/>
        <v>-6351514.0198514415</v>
      </c>
      <c r="R564">
        <f t="shared" si="986"/>
        <v>282690318.4002952</v>
      </c>
      <c r="S564">
        <f t="shared" si="987"/>
        <v>2826.903184002952</v>
      </c>
      <c r="T564">
        <f t="shared" si="988"/>
        <v>2.8269031840029522</v>
      </c>
    </row>
    <row r="565" spans="1:104" x14ac:dyDescent="0.25">
      <c r="A565" s="5">
        <v>44028</v>
      </c>
      <c r="B565">
        <v>8.6486000000000001</v>
      </c>
      <c r="C565">
        <v>8.8821999999999992</v>
      </c>
      <c r="D565">
        <v>7.9427000000000003</v>
      </c>
      <c r="E565">
        <v>8.3539999999999992</v>
      </c>
      <c r="F565">
        <v>20705851.789999999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-0.12442788717403007</v>
      </c>
      <c r="Q565">
        <f t="shared" si="985"/>
        <v>-2576385.3903683084</v>
      </c>
      <c r="R565">
        <f t="shared" si="986"/>
        <v>289041832.42014664</v>
      </c>
      <c r="S565">
        <f t="shared" si="987"/>
        <v>2890.4183242014665</v>
      </c>
      <c r="T565">
        <f t="shared" si="988"/>
        <v>2.8904183242014665</v>
      </c>
    </row>
    <row r="566" spans="1:104" x14ac:dyDescent="0.25">
      <c r="A566" s="5">
        <v>44027</v>
      </c>
      <c r="B566">
        <v>8.1315000000000008</v>
      </c>
      <c r="C566">
        <v>8.9079999999999995</v>
      </c>
      <c r="D566">
        <v>7.8308999999999997</v>
      </c>
      <c r="E566">
        <v>8.6494</v>
      </c>
      <c r="F566">
        <v>20518883.219999999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0.51982174357069988</v>
      </c>
      <c r="Q566">
        <f t="shared" si="985"/>
        <v>10666161.651543977</v>
      </c>
      <c r="R566">
        <f t="shared" si="986"/>
        <v>291618217.81051493</v>
      </c>
      <c r="S566">
        <f t="shared" si="987"/>
        <v>2916.1821781051494</v>
      </c>
      <c r="T566">
        <f t="shared" si="988"/>
        <v>2.9161821781051493</v>
      </c>
    </row>
    <row r="567" spans="1:104" x14ac:dyDescent="0.25">
      <c r="A567" s="5">
        <v>44026</v>
      </c>
      <c r="B567">
        <v>7.1616</v>
      </c>
      <c r="C567">
        <v>8.3445999999999998</v>
      </c>
      <c r="D567">
        <v>6.9649999999999999</v>
      </c>
      <c r="E567">
        <v>8.1320999999999994</v>
      </c>
      <c r="F567">
        <v>25153380.41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0.69193969266453992</v>
      </c>
      <c r="Q567">
        <f t="shared" si="985"/>
        <v>17404622.310369659</v>
      </c>
      <c r="R567">
        <f t="shared" si="986"/>
        <v>280952056.15897095</v>
      </c>
      <c r="S567">
        <f t="shared" si="987"/>
        <v>2809.5205615897094</v>
      </c>
      <c r="T567">
        <f t="shared" si="988"/>
        <v>2.8095205615897094</v>
      </c>
    </row>
    <row r="568" spans="1:104" x14ac:dyDescent="0.25">
      <c r="A568" s="5">
        <v>44025</v>
      </c>
      <c r="B568">
        <v>7.3446999999999996</v>
      </c>
      <c r="C568">
        <v>8.48</v>
      </c>
      <c r="D568">
        <v>6.8525</v>
      </c>
      <c r="E568">
        <v>7.1630000000000003</v>
      </c>
      <c r="F568">
        <v>30737550.960000001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-0.61843317972350209</v>
      </c>
      <c r="Q568">
        <f t="shared" si="985"/>
        <v>-19009121.377105985</v>
      </c>
      <c r="R568">
        <f t="shared" si="986"/>
        <v>263547433.84860131</v>
      </c>
      <c r="S568">
        <f t="shared" si="987"/>
        <v>2635.474338486013</v>
      </c>
      <c r="T568">
        <f t="shared" si="988"/>
        <v>2.6354743384860129</v>
      </c>
    </row>
    <row r="569" spans="1:104" x14ac:dyDescent="0.25">
      <c r="A569" s="5">
        <v>44024</v>
      </c>
      <c r="B569">
        <v>6.1043000000000003</v>
      </c>
      <c r="C569">
        <v>7.3898000000000001</v>
      </c>
      <c r="D569">
        <v>6.0975000000000001</v>
      </c>
      <c r="E569">
        <v>7.3345000000000002</v>
      </c>
      <c r="F569">
        <v>18949318.620000001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0.91441615723903136</v>
      </c>
      <c r="Q569">
        <f t="shared" si="985"/>
        <v>17327563.114798427</v>
      </c>
      <c r="R569">
        <f t="shared" si="986"/>
        <v>282556555.22570729</v>
      </c>
      <c r="S569">
        <f t="shared" si="987"/>
        <v>2825.5655522570728</v>
      </c>
      <c r="T569">
        <f t="shared" si="988"/>
        <v>2.8255655522570726</v>
      </c>
    </row>
    <row r="570" spans="1:104" x14ac:dyDescent="0.25">
      <c r="A570" s="5">
        <v>44023</v>
      </c>
      <c r="B570">
        <v>6.15</v>
      </c>
      <c r="C570">
        <v>6.27</v>
      </c>
      <c r="D570">
        <v>5.9610000000000003</v>
      </c>
      <c r="E570">
        <v>6.0994000000000002</v>
      </c>
      <c r="F570">
        <v>5442718.2199999997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-0.10420711974109916</v>
      </c>
      <c r="Q570">
        <f t="shared" si="985"/>
        <v>-567169.98926860199</v>
      </c>
      <c r="R570">
        <f t="shared" si="986"/>
        <v>265228992.1109089</v>
      </c>
      <c r="S570">
        <f t="shared" si="987"/>
        <v>2652.2899211090889</v>
      </c>
      <c r="T570">
        <f t="shared" si="988"/>
        <v>2.6522899211090891</v>
      </c>
    </row>
    <row r="571" spans="1:104" x14ac:dyDescent="0.25">
      <c r="A571" s="5">
        <v>44022</v>
      </c>
      <c r="B571">
        <v>6.0819999999999999</v>
      </c>
      <c r="C571">
        <v>6.2008999999999999</v>
      </c>
      <c r="D571">
        <v>5.7096</v>
      </c>
      <c r="E571">
        <v>6.1487999999999996</v>
      </c>
      <c r="F571">
        <v>9946933.5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0.78790962751882654</v>
      </c>
      <c r="Q571">
        <f t="shared" si="985"/>
        <v>7837284.6689395374</v>
      </c>
      <c r="R571">
        <f t="shared" si="986"/>
        <v>265796162.1001775</v>
      </c>
      <c r="S571">
        <f t="shared" si="987"/>
        <v>2657.9616210017748</v>
      </c>
      <c r="T571">
        <f t="shared" si="988"/>
        <v>2.6579616210017747</v>
      </c>
    </row>
    <row r="572" spans="1:104" x14ac:dyDescent="0.25">
      <c r="A572" s="5">
        <v>44021</v>
      </c>
      <c r="B572">
        <v>6.5000999999999998</v>
      </c>
      <c r="C572">
        <v>6.5006000000000004</v>
      </c>
      <c r="D572">
        <v>5.7028999999999996</v>
      </c>
      <c r="E572">
        <v>6.0819999999999999</v>
      </c>
      <c r="F572">
        <v>12955549.779999999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-4.9517362416949075E-2</v>
      </c>
      <c r="Q572">
        <f t="shared" si="985"/>
        <v>-641524.65376708482</v>
      </c>
      <c r="R572">
        <f t="shared" si="986"/>
        <v>257958877.43123797</v>
      </c>
      <c r="S572">
        <f t="shared" si="987"/>
        <v>2579.5887743123799</v>
      </c>
      <c r="T572">
        <f t="shared" si="988"/>
        <v>2.5795887743123798</v>
      </c>
    </row>
    <row r="573" spans="1:104" x14ac:dyDescent="0.25">
      <c r="A573" s="5">
        <v>44020</v>
      </c>
      <c r="B573">
        <v>5.7244999999999999</v>
      </c>
      <c r="C573">
        <v>6.5781999999999998</v>
      </c>
      <c r="D573">
        <v>5.5919999999999996</v>
      </c>
      <c r="E573">
        <v>6.4987000000000004</v>
      </c>
      <c r="F573">
        <v>16816910.789999999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0.8387750963293461</v>
      </c>
      <c r="Q573">
        <f t="shared" si="985"/>
        <v>14105605.967844268</v>
      </c>
      <c r="R573">
        <f t="shared" si="986"/>
        <v>258600402.08500504</v>
      </c>
      <c r="S573">
        <f t="shared" si="987"/>
        <v>2586.0040208500504</v>
      </c>
      <c r="T573">
        <f t="shared" si="988"/>
        <v>2.5860040208500505</v>
      </c>
    </row>
    <row r="574" spans="1:104" x14ac:dyDescent="0.25">
      <c r="A574" s="5">
        <v>44019</v>
      </c>
      <c r="B574">
        <v>5.3613</v>
      </c>
      <c r="C574">
        <v>5.8890000000000002</v>
      </c>
      <c r="D574">
        <v>5.33</v>
      </c>
      <c r="E574">
        <v>5.7248000000000001</v>
      </c>
      <c r="F574">
        <v>13786031.789999999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0.41252236135957038</v>
      </c>
      <c r="Q574">
        <f t="shared" si="985"/>
        <v>5687046.3877889048</v>
      </c>
      <c r="R574">
        <f t="shared" si="986"/>
        <v>244494796.11716077</v>
      </c>
      <c r="S574">
        <f t="shared" si="987"/>
        <v>2444.9479611716079</v>
      </c>
      <c r="T574">
        <f t="shared" si="988"/>
        <v>2.4449479611716081</v>
      </c>
    </row>
    <row r="575" spans="1:104" x14ac:dyDescent="0.25">
      <c r="A575" s="5">
        <v>44018</v>
      </c>
      <c r="B575">
        <v>4.7426000000000004</v>
      </c>
      <c r="C575">
        <v>5.5</v>
      </c>
      <c r="D575">
        <v>4.7362000000000002</v>
      </c>
      <c r="E575">
        <v>5.3616999999999999</v>
      </c>
      <c r="F575">
        <v>12032948.970000001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0.63786331500392746</v>
      </c>
      <c r="Q575">
        <f t="shared" si="985"/>
        <v>7675376.7192772953</v>
      </c>
      <c r="R575">
        <f t="shared" si="986"/>
        <v>238807749.72937188</v>
      </c>
      <c r="S575">
        <f t="shared" si="987"/>
        <v>2388.0774972937188</v>
      </c>
      <c r="T575">
        <f t="shared" si="988"/>
        <v>2.3880774972937187</v>
      </c>
    </row>
    <row r="576" spans="1:104" x14ac:dyDescent="0.25">
      <c r="A576" s="5">
        <v>44017</v>
      </c>
      <c r="B576">
        <v>4.8197999999999999</v>
      </c>
      <c r="C576">
        <v>4.8324999999999996</v>
      </c>
      <c r="D576">
        <v>4.6117999999999997</v>
      </c>
      <c r="E576">
        <v>4.7439</v>
      </c>
      <c r="F576">
        <v>3650974.38</v>
      </c>
      <c r="G576">
        <v>0</v>
      </c>
      <c r="L576" t="s">
        <v>8</v>
      </c>
      <c r="M576" t="s">
        <v>8</v>
      </c>
      <c r="N576" t="s">
        <v>8</v>
      </c>
      <c r="P576">
        <f t="shared" si="984"/>
        <v>0.19710013593113176</v>
      </c>
      <c r="Q576">
        <f t="shared" si="985"/>
        <v>719607.54657907947</v>
      </c>
      <c r="R576">
        <f t="shared" si="986"/>
        <v>231132373.01009458</v>
      </c>
      <c r="S576">
        <f t="shared" si="987"/>
        <v>2311.3237301009458</v>
      </c>
      <c r="T576">
        <f t="shared" si="988"/>
        <v>2.3113237301009457</v>
      </c>
    </row>
    <row r="577" spans="1:20" x14ac:dyDescent="0.25">
      <c r="A577" s="5">
        <v>44016</v>
      </c>
      <c r="B577">
        <v>4.7300000000000004</v>
      </c>
      <c r="C577">
        <v>4.8539000000000003</v>
      </c>
      <c r="D577">
        <v>4.7186000000000003</v>
      </c>
      <c r="E577">
        <v>4.82</v>
      </c>
      <c r="F577">
        <v>2884275.22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0.49889135254988842</v>
      </c>
      <c r="Q577">
        <f t="shared" si="985"/>
        <v>1438939.9656319271</v>
      </c>
      <c r="R577">
        <f t="shared" si="986"/>
        <v>230412765.46351549</v>
      </c>
      <c r="S577">
        <f t="shared" si="987"/>
        <v>2304.1276546351551</v>
      </c>
      <c r="T577">
        <f t="shared" si="988"/>
        <v>2.3041276546351552</v>
      </c>
    </row>
    <row r="578" spans="1:20" x14ac:dyDescent="0.25">
      <c r="A578" s="5">
        <v>44015</v>
      </c>
      <c r="B578">
        <v>4.7998000000000003</v>
      </c>
      <c r="C578">
        <v>4.8963999999999999</v>
      </c>
      <c r="D578">
        <v>4.7031000000000001</v>
      </c>
      <c r="E578">
        <v>4.7309000000000001</v>
      </c>
      <c r="F578">
        <v>4622377.34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-0.71236420072426199</v>
      </c>
      <c r="Q578">
        <f t="shared" si="985"/>
        <v>-3292816.1392550399</v>
      </c>
      <c r="R578">
        <f t="shared" si="986"/>
        <v>228973825.49788356</v>
      </c>
      <c r="S578">
        <f t="shared" si="987"/>
        <v>2289.7382549788354</v>
      </c>
      <c r="T578">
        <f t="shared" si="988"/>
        <v>2.2897382549788352</v>
      </c>
    </row>
    <row r="579" spans="1:20" x14ac:dyDescent="0.25">
      <c r="A579" s="5">
        <v>44014</v>
      </c>
      <c r="B579">
        <v>4.7068000000000003</v>
      </c>
      <c r="C579">
        <v>4.9180999999999999</v>
      </c>
      <c r="D579">
        <v>4.6025</v>
      </c>
      <c r="E579">
        <v>4.7995999999999999</v>
      </c>
      <c r="F579">
        <v>7638387.3499999996</v>
      </c>
      <c r="G579">
        <v>0</v>
      </c>
      <c r="L579" t="s">
        <v>8</v>
      </c>
      <c r="M579" t="s">
        <v>8</v>
      </c>
      <c r="N579" t="s">
        <v>8</v>
      </c>
      <c r="P579">
        <f t="shared" si="984"/>
        <v>0.24904942965779409</v>
      </c>
      <c r="Q579">
        <f t="shared" si="985"/>
        <v>1902336.0130228091</v>
      </c>
      <c r="R579">
        <f t="shared" si="986"/>
        <v>232266641.63713861</v>
      </c>
      <c r="S579">
        <f t="shared" si="987"/>
        <v>2322.6664163713863</v>
      </c>
      <c r="T579">
        <f t="shared" si="988"/>
        <v>2.3226664163713862</v>
      </c>
    </row>
    <row r="580" spans="1:20" x14ac:dyDescent="0.25">
      <c r="A580" s="5">
        <v>44013</v>
      </c>
      <c r="B580">
        <v>4.5625</v>
      </c>
      <c r="C580">
        <v>4.7300000000000004</v>
      </c>
      <c r="D580">
        <v>4.5217000000000001</v>
      </c>
      <c r="E580">
        <v>4.7066999999999997</v>
      </c>
      <c r="F580">
        <v>4096719.3</v>
      </c>
      <c r="G580">
        <v>0</v>
      </c>
      <c r="L580" t="s">
        <v>8</v>
      </c>
      <c r="M580" t="s">
        <v>8</v>
      </c>
      <c r="N580" t="s">
        <v>8</v>
      </c>
      <c r="P580">
        <f t="shared" si="984"/>
        <v>0.77628420547286869</v>
      </c>
      <c r="Q580">
        <f t="shared" si="985"/>
        <v>3180218.4868458668</v>
      </c>
      <c r="R580">
        <f t="shared" si="986"/>
        <v>230364305.62411579</v>
      </c>
      <c r="S580">
        <f t="shared" si="987"/>
        <v>2303.6430562411579</v>
      </c>
      <c r="T580">
        <f t="shared" si="988"/>
        <v>2.3036430562411581</v>
      </c>
    </row>
    <row r="581" spans="1:20" x14ac:dyDescent="0.25">
      <c r="A581" s="5">
        <v>44012</v>
      </c>
      <c r="B581">
        <v>4.6192000000000002</v>
      </c>
      <c r="C581">
        <v>4.6622000000000003</v>
      </c>
      <c r="D581">
        <v>4.5336999999999996</v>
      </c>
      <c r="E581">
        <v>4.5625999999999998</v>
      </c>
      <c r="F581">
        <v>3008041.61</v>
      </c>
      <c r="G581">
        <v>0</v>
      </c>
      <c r="L581" t="s">
        <v>8</v>
      </c>
      <c r="M581" t="s">
        <v>8</v>
      </c>
      <c r="N581" t="s">
        <v>8</v>
      </c>
      <c r="P581">
        <f t="shared" si="984"/>
        <v>-0.55019455252918315</v>
      </c>
      <c r="Q581">
        <f t="shared" si="985"/>
        <v>-1655008.1076031136</v>
      </c>
      <c r="R581">
        <f t="shared" si="986"/>
        <v>227184087.13726991</v>
      </c>
      <c r="S581">
        <f t="shared" si="987"/>
        <v>2271.840871372699</v>
      </c>
      <c r="T581">
        <f t="shared" si="988"/>
        <v>2.271840871372699</v>
      </c>
    </row>
    <row r="582" spans="1:20" x14ac:dyDescent="0.25">
      <c r="A582" s="5">
        <v>44011</v>
      </c>
      <c r="B582">
        <v>4.5658000000000003</v>
      </c>
      <c r="C582">
        <v>4.6500000000000004</v>
      </c>
      <c r="D582">
        <v>4.4231999999999996</v>
      </c>
      <c r="E582">
        <v>4.6186999999999996</v>
      </c>
      <c r="F582">
        <v>4789663.32</v>
      </c>
      <c r="G582">
        <v>0</v>
      </c>
      <c r="L582" t="s">
        <v>8</v>
      </c>
      <c r="M582" t="s">
        <v>8</v>
      </c>
      <c r="N582" t="s">
        <v>8</v>
      </c>
      <c r="P582">
        <f t="shared" ref="P582:P645" si="989">IF(C582=D582,0,((E582-D582)-(C582-E582))/(C582-D582))</f>
        <v>0.72398589065255148</v>
      </c>
      <c r="Q582">
        <f t="shared" ref="Q582:Q645" si="990">F582*P582</f>
        <v>3467648.664656057</v>
      </c>
      <c r="R582">
        <f t="shared" ref="R582:R645" si="991">R583+Q582</f>
        <v>228839095.24487302</v>
      </c>
      <c r="S582">
        <f t="shared" ref="S582:S645" si="992">R582/100000</f>
        <v>2288.3909524487303</v>
      </c>
      <c r="T582">
        <f t="shared" ref="T582:T645" si="993">S582/1000</f>
        <v>2.2883909524487303</v>
      </c>
    </row>
    <row r="583" spans="1:20" x14ac:dyDescent="0.25">
      <c r="A583" s="5">
        <v>44010</v>
      </c>
      <c r="B583">
        <v>4.4051</v>
      </c>
      <c r="C583">
        <v>4.62</v>
      </c>
      <c r="D583">
        <v>4.3647</v>
      </c>
      <c r="E583">
        <v>4.5667999999999997</v>
      </c>
      <c r="F583">
        <v>4751931.74</v>
      </c>
      <c r="G583">
        <v>0</v>
      </c>
      <c r="L583" t="s">
        <v>8</v>
      </c>
      <c r="M583" t="s">
        <v>8</v>
      </c>
      <c r="N583" t="s">
        <v>8</v>
      </c>
      <c r="P583">
        <f t="shared" si="989"/>
        <v>0.58323540932236317</v>
      </c>
      <c r="Q583">
        <f t="shared" si="990"/>
        <v>2771494.8534508296</v>
      </c>
      <c r="R583">
        <f t="shared" si="991"/>
        <v>225371446.58021697</v>
      </c>
      <c r="S583">
        <f t="shared" si="992"/>
        <v>2253.7144658021698</v>
      </c>
      <c r="T583">
        <f t="shared" si="993"/>
        <v>2.2537144658021697</v>
      </c>
    </row>
    <row r="584" spans="1:20" x14ac:dyDescent="0.25">
      <c r="A584" s="5">
        <v>44009</v>
      </c>
      <c r="B584">
        <v>4.6829999999999998</v>
      </c>
      <c r="C584">
        <v>4.6957000000000004</v>
      </c>
      <c r="D584">
        <v>4.3</v>
      </c>
      <c r="E584">
        <v>4.4058000000000002</v>
      </c>
      <c r="F584">
        <v>6165533.0499999998</v>
      </c>
      <c r="G584">
        <v>0</v>
      </c>
      <c r="L584" t="s">
        <v>7</v>
      </c>
      <c r="M584" t="s">
        <v>8</v>
      </c>
      <c r="N584" t="s">
        <v>8</v>
      </c>
      <c r="P584">
        <f t="shared" si="989"/>
        <v>-0.46525145312105043</v>
      </c>
      <c r="Q584">
        <f t="shared" si="990"/>
        <v>-2868523.2107783621</v>
      </c>
      <c r="R584">
        <f t="shared" si="991"/>
        <v>222599951.72676614</v>
      </c>
      <c r="S584">
        <f t="shared" si="992"/>
        <v>2225.9995172676613</v>
      </c>
      <c r="T584">
        <f t="shared" si="993"/>
        <v>2.2259995172676614</v>
      </c>
    </row>
    <row r="585" spans="1:20" x14ac:dyDescent="0.25">
      <c r="A585" s="5">
        <v>44008</v>
      </c>
      <c r="B585">
        <v>4.8129</v>
      </c>
      <c r="C585">
        <v>4.8586999999999998</v>
      </c>
      <c r="D585">
        <v>4.6424000000000003</v>
      </c>
      <c r="E585">
        <v>4.6813000000000002</v>
      </c>
      <c r="F585">
        <v>5532469.5099999998</v>
      </c>
      <c r="G585">
        <v>0</v>
      </c>
      <c r="L585" t="s">
        <v>8</v>
      </c>
      <c r="M585" t="s">
        <v>8</v>
      </c>
      <c r="N585" t="s">
        <v>8</v>
      </c>
      <c r="P585">
        <f t="shared" si="989"/>
        <v>-0.6403143781784556</v>
      </c>
      <c r="Q585">
        <f t="shared" si="990"/>
        <v>-3542519.774086915</v>
      </c>
      <c r="R585">
        <f t="shared" si="991"/>
        <v>225468474.93754449</v>
      </c>
      <c r="S585">
        <f t="shared" si="992"/>
        <v>2254.6847493754449</v>
      </c>
      <c r="T585">
        <f t="shared" si="993"/>
        <v>2.2546847493754449</v>
      </c>
    </row>
    <row r="586" spans="1:20" x14ac:dyDescent="0.25">
      <c r="A586" s="5">
        <v>44007</v>
      </c>
      <c r="B586">
        <v>4.7074999999999996</v>
      </c>
      <c r="C586">
        <v>4.8407</v>
      </c>
      <c r="D586">
        <v>4.5033000000000003</v>
      </c>
      <c r="E586">
        <v>4.8133999999999997</v>
      </c>
      <c r="F586">
        <v>7030842.1500000004</v>
      </c>
      <c r="G586">
        <v>0</v>
      </c>
      <c r="L586" t="s">
        <v>8</v>
      </c>
      <c r="M586" t="s">
        <v>8</v>
      </c>
      <c r="N586" t="s">
        <v>8</v>
      </c>
      <c r="P586">
        <f t="shared" si="989"/>
        <v>0.83817427385891907</v>
      </c>
      <c r="Q586">
        <f t="shared" si="990"/>
        <v>5893071.0136929313</v>
      </c>
      <c r="R586">
        <f t="shared" si="991"/>
        <v>229010994.71163142</v>
      </c>
      <c r="S586">
        <f t="shared" si="992"/>
        <v>2290.1099471163143</v>
      </c>
      <c r="T586">
        <f t="shared" si="993"/>
        <v>2.2901099471163144</v>
      </c>
    </row>
    <row r="587" spans="1:20" x14ac:dyDescent="0.25">
      <c r="A587" s="5">
        <v>44006</v>
      </c>
      <c r="B587">
        <v>4.8060999999999998</v>
      </c>
      <c r="C587">
        <v>4.9410999999999996</v>
      </c>
      <c r="D587">
        <v>4.4985999999999997</v>
      </c>
      <c r="E587">
        <v>4.7074999999999996</v>
      </c>
      <c r="F587">
        <v>10253258.210000001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-5.5819209039548415E-2</v>
      </c>
      <c r="Q587">
        <f t="shared" si="990"/>
        <v>-572328.7633604561</v>
      </c>
      <c r="R587">
        <f t="shared" si="991"/>
        <v>223117923.69793847</v>
      </c>
      <c r="S587">
        <f t="shared" si="992"/>
        <v>2231.1792369793848</v>
      </c>
      <c r="T587">
        <f t="shared" si="993"/>
        <v>2.2311792369793846</v>
      </c>
    </row>
    <row r="588" spans="1:20" x14ac:dyDescent="0.25">
      <c r="A588" s="5">
        <v>44005</v>
      </c>
      <c r="B588">
        <v>4.484</v>
      </c>
      <c r="C588">
        <v>4.9421999999999997</v>
      </c>
      <c r="D588">
        <v>4.4253999999999998</v>
      </c>
      <c r="E588">
        <v>4.8051000000000004</v>
      </c>
      <c r="F588">
        <v>10884418.779999999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0.46942724458204582</v>
      </c>
      <c r="Q588">
        <f t="shared" si="990"/>
        <v>5109442.7167724725</v>
      </c>
      <c r="R588">
        <f t="shared" si="991"/>
        <v>223690252.46129894</v>
      </c>
      <c r="S588">
        <f t="shared" si="992"/>
        <v>2236.9025246129895</v>
      </c>
      <c r="T588">
        <f t="shared" si="993"/>
        <v>2.2369025246129897</v>
      </c>
    </row>
    <row r="589" spans="1:20" x14ac:dyDescent="0.25">
      <c r="A589" s="5">
        <v>44004</v>
      </c>
      <c r="B589">
        <v>4.1818999999999997</v>
      </c>
      <c r="C589">
        <v>4.4859</v>
      </c>
      <c r="D589">
        <v>4.1760000000000002</v>
      </c>
      <c r="E589">
        <v>4.4840999999999998</v>
      </c>
      <c r="F589">
        <v>4659609.05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0.98838334946756856</v>
      </c>
      <c r="Q589">
        <f t="shared" si="990"/>
        <v>4605480.0000483952</v>
      </c>
      <c r="R589">
        <f t="shared" si="991"/>
        <v>218580809.74452648</v>
      </c>
      <c r="S589">
        <f t="shared" si="992"/>
        <v>2185.8080974452646</v>
      </c>
      <c r="T589">
        <f t="shared" si="993"/>
        <v>2.1858080974452645</v>
      </c>
    </row>
    <row r="590" spans="1:20" x14ac:dyDescent="0.25">
      <c r="A590" s="5">
        <v>44003</v>
      </c>
      <c r="B590">
        <v>4.1761999999999997</v>
      </c>
      <c r="C590">
        <v>4.2058</v>
      </c>
      <c r="D590">
        <v>4.1395</v>
      </c>
      <c r="E590">
        <v>4.1811999999999996</v>
      </c>
      <c r="F590">
        <v>1336859.5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0.25791855203618735</v>
      </c>
      <c r="Q590">
        <f t="shared" si="990"/>
        <v>344800.86651582143</v>
      </c>
      <c r="R590">
        <f t="shared" si="991"/>
        <v>213975329.74447808</v>
      </c>
      <c r="S590">
        <f t="shared" si="992"/>
        <v>2139.7532974447809</v>
      </c>
      <c r="T590">
        <f t="shared" si="993"/>
        <v>2.139753297444781</v>
      </c>
    </row>
    <row r="591" spans="1:20" x14ac:dyDescent="0.25">
      <c r="A591" s="5">
        <v>44002</v>
      </c>
      <c r="B591">
        <v>4.0978000000000003</v>
      </c>
      <c r="C591">
        <v>4.2072000000000003</v>
      </c>
      <c r="D591">
        <v>4.0654000000000003</v>
      </c>
      <c r="E591">
        <v>4.1764999999999999</v>
      </c>
      <c r="F591">
        <v>2414698.62</v>
      </c>
      <c r="G591">
        <v>0</v>
      </c>
      <c r="L591" t="s">
        <v>8</v>
      </c>
      <c r="M591" t="s">
        <v>7</v>
      </c>
      <c r="N591" t="s">
        <v>8</v>
      </c>
      <c r="P591">
        <f t="shared" si="989"/>
        <v>0.5669957686882876</v>
      </c>
      <c r="Q591">
        <f t="shared" si="990"/>
        <v>1369123.9001974473</v>
      </c>
      <c r="R591">
        <f t="shared" si="991"/>
        <v>213630528.87796226</v>
      </c>
      <c r="S591">
        <f t="shared" si="992"/>
        <v>2136.3052887796225</v>
      </c>
      <c r="T591">
        <f t="shared" si="993"/>
        <v>2.1363052887796226</v>
      </c>
    </row>
    <row r="592" spans="1:20" x14ac:dyDescent="0.25">
      <c r="A592" s="5">
        <v>44001</v>
      </c>
      <c r="B592">
        <v>4.1417000000000002</v>
      </c>
      <c r="C592">
        <v>4.1839000000000004</v>
      </c>
      <c r="D592">
        <v>4.0521000000000003</v>
      </c>
      <c r="E592">
        <v>4.0979999999999999</v>
      </c>
      <c r="F592">
        <v>2424386.7000000002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-0.30349013657056817</v>
      </c>
      <c r="Q592">
        <f t="shared" si="990"/>
        <v>-735777.45068286918</v>
      </c>
      <c r="R592">
        <f t="shared" si="991"/>
        <v>212261404.97776482</v>
      </c>
      <c r="S592">
        <f t="shared" si="992"/>
        <v>2122.6140497776482</v>
      </c>
      <c r="T592">
        <f t="shared" si="993"/>
        <v>2.1226140497776482</v>
      </c>
    </row>
    <row r="593" spans="1:20" x14ac:dyDescent="0.25">
      <c r="A593" s="5">
        <v>44000</v>
      </c>
      <c r="B593">
        <v>4.1662999999999997</v>
      </c>
      <c r="C593">
        <v>4.2491000000000003</v>
      </c>
      <c r="D593">
        <v>4.0956999999999999</v>
      </c>
      <c r="E593">
        <v>4.1414999999999997</v>
      </c>
      <c r="F593">
        <v>3348384.08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-0.40286831812255913</v>
      </c>
      <c r="Q593">
        <f t="shared" si="990"/>
        <v>-1348957.8627379525</v>
      </c>
      <c r="R593">
        <f t="shared" si="991"/>
        <v>212997182.42844769</v>
      </c>
      <c r="S593">
        <f t="shared" si="992"/>
        <v>2129.971824284477</v>
      </c>
      <c r="T593">
        <f t="shared" si="993"/>
        <v>2.129971824284477</v>
      </c>
    </row>
    <row r="594" spans="1:20" x14ac:dyDescent="0.25">
      <c r="A594" s="5">
        <v>43999</v>
      </c>
      <c r="B594">
        <v>4.0502000000000002</v>
      </c>
      <c r="C594">
        <v>4.2</v>
      </c>
      <c r="D594">
        <v>3.9569999999999999</v>
      </c>
      <c r="E594">
        <v>4.1658999999999997</v>
      </c>
      <c r="F594">
        <v>4301280.9800000004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0.71934156378600478</v>
      </c>
      <c r="Q594">
        <f t="shared" si="990"/>
        <v>3094090.1864361996</v>
      </c>
      <c r="R594">
        <f t="shared" si="991"/>
        <v>214346140.29118565</v>
      </c>
      <c r="S594">
        <f t="shared" si="992"/>
        <v>2143.4614029118566</v>
      </c>
      <c r="T594">
        <f t="shared" si="993"/>
        <v>2.1434614029118566</v>
      </c>
    </row>
    <row r="595" spans="1:20" x14ac:dyDescent="0.25">
      <c r="A595" s="5">
        <v>43998</v>
      </c>
      <c r="B595">
        <v>3.9253999999999998</v>
      </c>
      <c r="C595">
        <v>4.0918000000000001</v>
      </c>
      <c r="D595">
        <v>3.8935</v>
      </c>
      <c r="E595">
        <v>4.0502000000000002</v>
      </c>
      <c r="F595">
        <v>3623759.71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0.58043368633383929</v>
      </c>
      <c r="Q595">
        <f t="shared" si="990"/>
        <v>2103352.2068633446</v>
      </c>
      <c r="R595">
        <f t="shared" si="991"/>
        <v>211252050.10474944</v>
      </c>
      <c r="S595">
        <f t="shared" si="992"/>
        <v>2112.5205010474942</v>
      </c>
      <c r="T595">
        <f t="shared" si="993"/>
        <v>2.1125205010474941</v>
      </c>
    </row>
    <row r="596" spans="1:20" x14ac:dyDescent="0.25">
      <c r="A596" s="5">
        <v>43997</v>
      </c>
      <c r="B596">
        <v>3.9394999999999998</v>
      </c>
      <c r="C596">
        <v>3.9889000000000001</v>
      </c>
      <c r="D596">
        <v>3.6551</v>
      </c>
      <c r="E596">
        <v>3.9274</v>
      </c>
      <c r="F596">
        <v>6850306.1100000003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0.63151587777111984</v>
      </c>
      <c r="Q596">
        <f t="shared" si="990"/>
        <v>4326077.076057516</v>
      </c>
      <c r="R596">
        <f t="shared" si="991"/>
        <v>209148697.8978861</v>
      </c>
      <c r="S596">
        <f t="shared" si="992"/>
        <v>2091.4869789788609</v>
      </c>
      <c r="T596">
        <f t="shared" si="993"/>
        <v>2.0914869789788608</v>
      </c>
    </row>
    <row r="597" spans="1:20" x14ac:dyDescent="0.25">
      <c r="A597" s="5">
        <v>43996</v>
      </c>
      <c r="B597">
        <v>4.1100000000000003</v>
      </c>
      <c r="C597">
        <v>4.1134000000000004</v>
      </c>
      <c r="D597">
        <v>3.9142999999999999</v>
      </c>
      <c r="E597">
        <v>3.9371</v>
      </c>
      <c r="F597">
        <v>1710213.36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-0.77096936212958211</v>
      </c>
      <c r="Q597">
        <f t="shared" si="990"/>
        <v>-1318522.1032646894</v>
      </c>
      <c r="R597">
        <f t="shared" si="991"/>
        <v>204822620.82182857</v>
      </c>
      <c r="S597">
        <f t="shared" si="992"/>
        <v>2048.2262082182856</v>
      </c>
      <c r="T597">
        <f t="shared" si="993"/>
        <v>2.0482262082182854</v>
      </c>
    </row>
    <row r="598" spans="1:20" x14ac:dyDescent="0.25">
      <c r="A598" s="5">
        <v>43995</v>
      </c>
      <c r="B598">
        <v>4.0807000000000002</v>
      </c>
      <c r="C598">
        <v>4.1345999999999998</v>
      </c>
      <c r="D598">
        <v>4.0053999999999998</v>
      </c>
      <c r="E598">
        <v>4.1100000000000003</v>
      </c>
      <c r="F598">
        <v>1604660.74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0.61919504643963597</v>
      </c>
      <c r="Q598">
        <f t="shared" si="990"/>
        <v>993597.98142416065</v>
      </c>
      <c r="R598">
        <f t="shared" si="991"/>
        <v>206141142.92509326</v>
      </c>
      <c r="S598">
        <f t="shared" si="992"/>
        <v>2061.4114292509325</v>
      </c>
      <c r="T598">
        <f t="shared" si="993"/>
        <v>2.0614114292509327</v>
      </c>
    </row>
    <row r="599" spans="1:20" x14ac:dyDescent="0.25">
      <c r="A599" s="5">
        <v>43994</v>
      </c>
      <c r="B599">
        <v>3.9529999999999998</v>
      </c>
      <c r="C599">
        <v>4.1874000000000002</v>
      </c>
      <c r="D599">
        <v>3.8573</v>
      </c>
      <c r="E599">
        <v>4.0819000000000001</v>
      </c>
      <c r="F599">
        <v>4837530.74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0.36079975764919686</v>
      </c>
      <c r="Q599">
        <f t="shared" si="990"/>
        <v>1745379.91861254</v>
      </c>
      <c r="R599">
        <f t="shared" si="991"/>
        <v>205147544.94366911</v>
      </c>
      <c r="S599">
        <f t="shared" si="992"/>
        <v>2051.4754494366912</v>
      </c>
      <c r="T599">
        <f t="shared" si="993"/>
        <v>2.0514754494366914</v>
      </c>
    </row>
    <row r="600" spans="1:20" x14ac:dyDescent="0.25">
      <c r="A600" s="5">
        <v>43993</v>
      </c>
      <c r="B600">
        <v>4.4207000000000001</v>
      </c>
      <c r="C600">
        <v>4.4503000000000004</v>
      </c>
      <c r="D600">
        <v>3.91</v>
      </c>
      <c r="E600">
        <v>3.9565000000000001</v>
      </c>
      <c r="F600">
        <v>6610463.3399999999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-0.82787340366463091</v>
      </c>
      <c r="Q600">
        <f t="shared" si="990"/>
        <v>-5472626.7850860646</v>
      </c>
      <c r="R600">
        <f t="shared" si="991"/>
        <v>203402165.02505657</v>
      </c>
      <c r="S600">
        <f t="shared" si="992"/>
        <v>2034.0216502505657</v>
      </c>
      <c r="T600">
        <f t="shared" si="993"/>
        <v>2.0340216502505659</v>
      </c>
    </row>
    <row r="601" spans="1:20" x14ac:dyDescent="0.25">
      <c r="A601" s="5">
        <v>43992</v>
      </c>
      <c r="B601">
        <v>4.4374000000000002</v>
      </c>
      <c r="C601">
        <v>4.4404000000000003</v>
      </c>
      <c r="D601">
        <v>4.3426</v>
      </c>
      <c r="E601">
        <v>4.4225000000000003</v>
      </c>
      <c r="F601">
        <v>2236477.86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0.6339468302658493</v>
      </c>
      <c r="Q601">
        <f t="shared" si="990"/>
        <v>1417808.0503067498</v>
      </c>
      <c r="R601">
        <f t="shared" si="991"/>
        <v>208874791.81014264</v>
      </c>
      <c r="S601">
        <f t="shared" si="992"/>
        <v>2088.7479181014264</v>
      </c>
      <c r="T601">
        <f t="shared" si="993"/>
        <v>2.0887479181014266</v>
      </c>
    </row>
    <row r="602" spans="1:20" x14ac:dyDescent="0.25">
      <c r="A602" s="5">
        <v>43991</v>
      </c>
      <c r="B602">
        <v>4.4752999999999998</v>
      </c>
      <c r="C602">
        <v>4.5061999999999998</v>
      </c>
      <c r="D602">
        <v>4.3605</v>
      </c>
      <c r="E602">
        <v>4.4349999999999996</v>
      </c>
      <c r="F602">
        <v>2296314.2599999998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2.26492793411079E-2</v>
      </c>
      <c r="Q602">
        <f t="shared" si="990"/>
        <v>52009.863129709469</v>
      </c>
      <c r="R602">
        <f t="shared" si="991"/>
        <v>207456983.7598359</v>
      </c>
      <c r="S602">
        <f t="shared" si="992"/>
        <v>2074.5698375983588</v>
      </c>
      <c r="T602">
        <f t="shared" si="993"/>
        <v>2.074569837598359</v>
      </c>
    </row>
    <row r="603" spans="1:20" x14ac:dyDescent="0.25">
      <c r="A603" s="5">
        <v>43990</v>
      </c>
      <c r="B603">
        <v>4.3487</v>
      </c>
      <c r="C603">
        <v>4.4759000000000002</v>
      </c>
      <c r="D603">
        <v>4.3250000000000002</v>
      </c>
      <c r="E603">
        <v>4.4729999999999999</v>
      </c>
      <c r="F603">
        <v>2037163.21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0.96156394963551561</v>
      </c>
      <c r="Q603">
        <f t="shared" si="990"/>
        <v>1958862.7022597652</v>
      </c>
      <c r="R603">
        <f t="shared" si="991"/>
        <v>207404973.89670619</v>
      </c>
      <c r="S603">
        <f t="shared" si="992"/>
        <v>2074.0497389670618</v>
      </c>
      <c r="T603">
        <f t="shared" si="993"/>
        <v>2.0740497389670618</v>
      </c>
    </row>
    <row r="604" spans="1:20" x14ac:dyDescent="0.25">
      <c r="A604" s="5">
        <v>43989</v>
      </c>
      <c r="B604">
        <v>4.3513000000000002</v>
      </c>
      <c r="C604">
        <v>4.41</v>
      </c>
      <c r="D604">
        <v>4.2068000000000003</v>
      </c>
      <c r="E604">
        <v>4.3464999999999998</v>
      </c>
      <c r="F604">
        <v>2146650.66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0.37499999999999617</v>
      </c>
      <c r="Q604">
        <f t="shared" si="990"/>
        <v>804993.99749999179</v>
      </c>
      <c r="R604">
        <f t="shared" si="991"/>
        <v>205446111.19444641</v>
      </c>
      <c r="S604">
        <f t="shared" si="992"/>
        <v>2054.4611119444639</v>
      </c>
      <c r="T604">
        <f t="shared" si="993"/>
        <v>2.0544611119444638</v>
      </c>
    </row>
    <row r="605" spans="1:20" x14ac:dyDescent="0.25">
      <c r="A605" s="5">
        <v>43988</v>
      </c>
      <c r="B605">
        <v>4.3569000000000004</v>
      </c>
      <c r="C605">
        <v>4.3978999999999999</v>
      </c>
      <c r="D605">
        <v>4.3033999999999999</v>
      </c>
      <c r="E605">
        <v>4.3512000000000004</v>
      </c>
      <c r="F605">
        <v>1377160.26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1.1640211640222104E-2</v>
      </c>
      <c r="Q605">
        <f t="shared" si="990"/>
        <v>16030.436888903299</v>
      </c>
      <c r="R605">
        <f t="shared" si="991"/>
        <v>204641117.19694641</v>
      </c>
      <c r="S605">
        <f t="shared" si="992"/>
        <v>2046.411171969464</v>
      </c>
      <c r="T605">
        <f t="shared" si="993"/>
        <v>2.046411171969464</v>
      </c>
    </row>
    <row r="606" spans="1:20" x14ac:dyDescent="0.25">
      <c r="A606" s="5">
        <v>43987</v>
      </c>
      <c r="B606">
        <v>4.4263000000000003</v>
      </c>
      <c r="C606">
        <v>4.4859999999999998</v>
      </c>
      <c r="D606">
        <v>4.3404999999999996</v>
      </c>
      <c r="E606">
        <v>4.3579999999999997</v>
      </c>
      <c r="F606">
        <v>2316069.89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-0.75945017182130514</v>
      </c>
      <c r="Q606">
        <f t="shared" si="990"/>
        <v>-1758939.6759106515</v>
      </c>
      <c r="R606">
        <f t="shared" si="991"/>
        <v>204625086.76005751</v>
      </c>
      <c r="S606">
        <f t="shared" si="992"/>
        <v>2046.250867600575</v>
      </c>
      <c r="T606">
        <f t="shared" si="993"/>
        <v>2.0462508676005751</v>
      </c>
    </row>
    <row r="607" spans="1:20" x14ac:dyDescent="0.25">
      <c r="A607" s="5">
        <v>43986</v>
      </c>
      <c r="B607">
        <v>4.4881000000000002</v>
      </c>
      <c r="C607">
        <v>4.5080999999999998</v>
      </c>
      <c r="D607">
        <v>4.2864000000000004</v>
      </c>
      <c r="E607">
        <v>4.4242999999999997</v>
      </c>
      <c r="F607">
        <v>3231902.99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0.24402345511952778</v>
      </c>
      <c r="Q607">
        <f t="shared" si="990"/>
        <v>788660.13423093269</v>
      </c>
      <c r="R607">
        <f t="shared" si="991"/>
        <v>206384026.43596816</v>
      </c>
      <c r="S607">
        <f t="shared" si="992"/>
        <v>2063.8402643596814</v>
      </c>
      <c r="T607">
        <f t="shared" si="993"/>
        <v>2.0638402643596816</v>
      </c>
    </row>
    <row r="608" spans="1:20" x14ac:dyDescent="0.25">
      <c r="A608" s="5">
        <v>43985</v>
      </c>
      <c r="B608">
        <v>4.3986999999999998</v>
      </c>
      <c r="C608">
        <v>4.53</v>
      </c>
      <c r="D608">
        <v>4.2897999999999996</v>
      </c>
      <c r="E608">
        <v>4.4892000000000003</v>
      </c>
      <c r="F608">
        <v>4215824.76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0.66028309741881896</v>
      </c>
      <c r="Q608">
        <f t="shared" si="990"/>
        <v>2783637.8307077489</v>
      </c>
      <c r="R608">
        <f t="shared" si="991"/>
        <v>205595366.30173722</v>
      </c>
      <c r="S608">
        <f t="shared" si="992"/>
        <v>2055.953663017372</v>
      </c>
      <c r="T608">
        <f t="shared" si="993"/>
        <v>2.0559536630173723</v>
      </c>
    </row>
    <row r="609" spans="1:20" x14ac:dyDescent="0.25">
      <c r="A609" s="5">
        <v>43984</v>
      </c>
      <c r="B609">
        <v>4.3795000000000002</v>
      </c>
      <c r="C609">
        <v>4.6185</v>
      </c>
      <c r="D609">
        <v>4.1074999999999999</v>
      </c>
      <c r="E609">
        <v>4.3975999999999997</v>
      </c>
      <c r="F609">
        <v>8182461.0499999998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0.13542074363992068</v>
      </c>
      <c r="Q609">
        <f t="shared" si="990"/>
        <v>1108074.9601956862</v>
      </c>
      <c r="R609">
        <f t="shared" si="991"/>
        <v>202811728.47102946</v>
      </c>
      <c r="S609">
        <f t="shared" si="992"/>
        <v>2028.1172847102946</v>
      </c>
      <c r="T609">
        <f t="shared" si="993"/>
        <v>2.0281172847102944</v>
      </c>
    </row>
    <row r="610" spans="1:20" x14ac:dyDescent="0.25">
      <c r="A610" s="5">
        <v>43983</v>
      </c>
      <c r="B610">
        <v>4.1277999999999997</v>
      </c>
      <c r="C610">
        <v>4.4800000000000004</v>
      </c>
      <c r="D610">
        <v>4.1174999999999997</v>
      </c>
      <c r="E610">
        <v>4.3784999999999998</v>
      </c>
      <c r="F610">
        <v>8703425.4700000007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0.43999999999999784</v>
      </c>
      <c r="Q610">
        <f t="shared" si="990"/>
        <v>3829507.2067999816</v>
      </c>
      <c r="R610">
        <f t="shared" si="991"/>
        <v>201703653.51083377</v>
      </c>
      <c r="S610">
        <f t="shared" si="992"/>
        <v>2017.0365351083376</v>
      </c>
      <c r="T610">
        <f t="shared" si="993"/>
        <v>2.0170365351083377</v>
      </c>
    </row>
    <row r="611" spans="1:20" x14ac:dyDescent="0.25">
      <c r="A611" s="5">
        <v>43982</v>
      </c>
      <c r="B611">
        <v>4.1779999999999999</v>
      </c>
      <c r="C611">
        <v>4.2838000000000003</v>
      </c>
      <c r="D611">
        <v>4.0410000000000004</v>
      </c>
      <c r="E611">
        <v>4.1310000000000002</v>
      </c>
      <c r="F611">
        <v>6223457.9900000002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-0.25864909390444901</v>
      </c>
      <c r="Q611">
        <f t="shared" si="990"/>
        <v>-1609691.7700659037</v>
      </c>
      <c r="R611">
        <f t="shared" si="991"/>
        <v>197874146.30403379</v>
      </c>
      <c r="S611">
        <f t="shared" si="992"/>
        <v>1978.7414630403377</v>
      </c>
      <c r="T611">
        <f t="shared" si="993"/>
        <v>1.9787414630403377</v>
      </c>
    </row>
    <row r="612" spans="1:20" x14ac:dyDescent="0.25">
      <c r="A612" s="5">
        <v>43981</v>
      </c>
      <c r="B612">
        <v>3.9820000000000002</v>
      </c>
      <c r="C612">
        <v>4.18</v>
      </c>
      <c r="D612">
        <v>3.9430000000000001</v>
      </c>
      <c r="E612">
        <v>4.1763000000000003</v>
      </c>
      <c r="F612">
        <v>4734058.34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0.96877637130802219</v>
      </c>
      <c r="Q612">
        <f t="shared" si="990"/>
        <v>4586243.860185679</v>
      </c>
      <c r="R612">
        <f t="shared" si="991"/>
        <v>199483838.07409969</v>
      </c>
      <c r="S612">
        <f t="shared" si="992"/>
        <v>1994.8383807409969</v>
      </c>
      <c r="T612">
        <f t="shared" si="993"/>
        <v>1.9948383807409968</v>
      </c>
    </row>
    <row r="613" spans="1:20" x14ac:dyDescent="0.25">
      <c r="A613" s="5">
        <v>43980</v>
      </c>
      <c r="B613">
        <v>4.0461999999999998</v>
      </c>
      <c r="C613">
        <v>4.13</v>
      </c>
      <c r="D613">
        <v>3.9487999999999999</v>
      </c>
      <c r="E613">
        <v>3.98</v>
      </c>
      <c r="F613">
        <v>5243291.12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-0.65562913907284648</v>
      </c>
      <c r="Q613">
        <f t="shared" si="990"/>
        <v>-3437654.4429139011</v>
      </c>
      <c r="R613">
        <f t="shared" si="991"/>
        <v>194897594.21391401</v>
      </c>
      <c r="S613">
        <f t="shared" si="992"/>
        <v>1948.97594213914</v>
      </c>
      <c r="T613">
        <f t="shared" si="993"/>
        <v>1.9489759421391399</v>
      </c>
    </row>
    <row r="614" spans="1:20" x14ac:dyDescent="0.25">
      <c r="A614" s="5">
        <v>43979</v>
      </c>
      <c r="B614">
        <v>3.8542000000000001</v>
      </c>
      <c r="C614">
        <v>4.0601000000000003</v>
      </c>
      <c r="D614">
        <v>3.827</v>
      </c>
      <c r="E614">
        <v>4.0461</v>
      </c>
      <c r="F614">
        <v>4242354.59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0.87987987987987804</v>
      </c>
      <c r="Q614">
        <f t="shared" si="990"/>
        <v>3732762.4470570493</v>
      </c>
      <c r="R614">
        <f t="shared" si="991"/>
        <v>198335248.6568279</v>
      </c>
      <c r="S614">
        <f t="shared" si="992"/>
        <v>1983.3524865682789</v>
      </c>
      <c r="T614">
        <f t="shared" si="993"/>
        <v>1.9833524865682788</v>
      </c>
    </row>
    <row r="615" spans="1:20" x14ac:dyDescent="0.25">
      <c r="A615" s="5">
        <v>43978</v>
      </c>
      <c r="B615">
        <v>3.8435999999999999</v>
      </c>
      <c r="C615">
        <v>3.9142999999999999</v>
      </c>
      <c r="D615">
        <v>3.8065000000000002</v>
      </c>
      <c r="E615">
        <v>3.8525999999999998</v>
      </c>
      <c r="F615">
        <v>3795380.76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-0.14471243042672124</v>
      </c>
      <c r="Q615">
        <f t="shared" si="990"/>
        <v>-549238.77417441632</v>
      </c>
      <c r="R615">
        <f t="shared" si="991"/>
        <v>194602486.20977086</v>
      </c>
      <c r="S615">
        <f t="shared" si="992"/>
        <v>1946.0248620977086</v>
      </c>
      <c r="T615">
        <f t="shared" si="993"/>
        <v>1.9460248620977085</v>
      </c>
    </row>
    <row r="616" spans="1:20" x14ac:dyDescent="0.25">
      <c r="A616" s="5">
        <v>43977</v>
      </c>
      <c r="B616">
        <v>3.8633999999999999</v>
      </c>
      <c r="C616">
        <v>3.8816000000000002</v>
      </c>
      <c r="D616">
        <v>3.7688999999999999</v>
      </c>
      <c r="E616">
        <v>3.8439999999999999</v>
      </c>
      <c r="F616">
        <v>3774200.83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0.33274179236911766</v>
      </c>
      <c r="Q616">
        <f t="shared" si="990"/>
        <v>1255834.3489352115</v>
      </c>
      <c r="R616">
        <f t="shared" si="991"/>
        <v>195151724.98394528</v>
      </c>
      <c r="S616">
        <f t="shared" si="992"/>
        <v>1951.5172498394529</v>
      </c>
      <c r="T616">
        <f t="shared" si="993"/>
        <v>1.9515172498394528</v>
      </c>
    </row>
    <row r="617" spans="1:20" x14ac:dyDescent="0.25">
      <c r="A617" s="5">
        <v>43976</v>
      </c>
      <c r="B617">
        <v>3.7877999999999998</v>
      </c>
      <c r="C617">
        <v>3.9073000000000002</v>
      </c>
      <c r="D617">
        <v>3.77</v>
      </c>
      <c r="E617">
        <v>3.8614000000000002</v>
      </c>
      <c r="F617">
        <v>4443996.51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0.33139111434814295</v>
      </c>
      <c r="Q617">
        <f t="shared" si="990"/>
        <v>1472700.9556081581</v>
      </c>
      <c r="R617">
        <f t="shared" si="991"/>
        <v>193895890.63501006</v>
      </c>
      <c r="S617">
        <f t="shared" si="992"/>
        <v>1938.9589063501007</v>
      </c>
      <c r="T617">
        <f t="shared" si="993"/>
        <v>1.9389589063501007</v>
      </c>
    </row>
    <row r="618" spans="1:20" x14ac:dyDescent="0.25">
      <c r="A618" s="5">
        <v>43975</v>
      </c>
      <c r="B618">
        <v>3.9241999999999999</v>
      </c>
      <c r="C618">
        <v>4.0262000000000002</v>
      </c>
      <c r="D618">
        <v>3.7844000000000002</v>
      </c>
      <c r="E618">
        <v>3.7917000000000001</v>
      </c>
      <c r="F618">
        <v>6236647.0199999996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-0.93961952026468265</v>
      </c>
      <c r="Q618">
        <f t="shared" si="990"/>
        <v>-5860075.280992562</v>
      </c>
      <c r="R618">
        <f t="shared" si="991"/>
        <v>192423189.6794019</v>
      </c>
      <c r="S618">
        <f t="shared" si="992"/>
        <v>1924.2318967940191</v>
      </c>
      <c r="T618">
        <f t="shared" si="993"/>
        <v>1.9242318967940191</v>
      </c>
    </row>
    <row r="619" spans="1:20" x14ac:dyDescent="0.25">
      <c r="A619" s="5">
        <v>43974</v>
      </c>
      <c r="B619">
        <v>4.0620000000000003</v>
      </c>
      <c r="C619">
        <v>4.1071999999999997</v>
      </c>
      <c r="D619">
        <v>3.91</v>
      </c>
      <c r="E619">
        <v>3.9249999999999998</v>
      </c>
      <c r="F619">
        <v>5867357.0700000003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-0.84787018255578384</v>
      </c>
      <c r="Q619">
        <f t="shared" si="990"/>
        <v>-4974757.1100608688</v>
      </c>
      <c r="R619">
        <f t="shared" si="991"/>
        <v>198283264.96039447</v>
      </c>
      <c r="S619">
        <f t="shared" si="992"/>
        <v>1982.8326496039447</v>
      </c>
      <c r="T619">
        <f t="shared" si="993"/>
        <v>1.9828326496039446</v>
      </c>
    </row>
    <row r="620" spans="1:20" x14ac:dyDescent="0.25">
      <c r="A620" s="5">
        <v>43973</v>
      </c>
      <c r="B620">
        <v>3.8307000000000002</v>
      </c>
      <c r="C620">
        <v>4.1447000000000003</v>
      </c>
      <c r="D620">
        <v>3.7932000000000001</v>
      </c>
      <c r="E620">
        <v>4.0610999999999997</v>
      </c>
      <c r="F620">
        <v>7194944.8899999997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0.5243243243243213</v>
      </c>
      <c r="Q620">
        <f t="shared" si="990"/>
        <v>3772484.6179999779</v>
      </c>
      <c r="R620">
        <f t="shared" si="991"/>
        <v>203258022.07045534</v>
      </c>
      <c r="S620">
        <f t="shared" si="992"/>
        <v>2032.5802207045533</v>
      </c>
      <c r="T620">
        <f t="shared" si="993"/>
        <v>2.0325802207045531</v>
      </c>
    </row>
    <row r="621" spans="1:20" x14ac:dyDescent="0.25">
      <c r="A621" s="5">
        <v>43972</v>
      </c>
      <c r="B621">
        <v>4.0880000000000001</v>
      </c>
      <c r="C621">
        <v>4.1740000000000004</v>
      </c>
      <c r="D621">
        <v>3.7292000000000001</v>
      </c>
      <c r="E621">
        <v>3.8298000000000001</v>
      </c>
      <c r="F621">
        <v>10446021.859999999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-0.54766187050359738</v>
      </c>
      <c r="Q621">
        <f t="shared" si="990"/>
        <v>-5720887.871169067</v>
      </c>
      <c r="R621">
        <f t="shared" si="991"/>
        <v>199485537.45245537</v>
      </c>
      <c r="S621">
        <f t="shared" si="992"/>
        <v>1994.8553745245538</v>
      </c>
      <c r="T621">
        <f t="shared" si="993"/>
        <v>1.9948553745245539</v>
      </c>
    </row>
    <row r="622" spans="1:20" x14ac:dyDescent="0.25">
      <c r="A622" s="5">
        <v>43971</v>
      </c>
      <c r="B622">
        <v>3.9466000000000001</v>
      </c>
      <c r="C622">
        <v>4.1387999999999998</v>
      </c>
      <c r="D622">
        <v>3.8955000000000002</v>
      </c>
      <c r="E622">
        <v>4.0865999999999998</v>
      </c>
      <c r="F622">
        <v>9821300.6099999994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0.57090012330456141</v>
      </c>
      <c r="Q622">
        <f t="shared" si="990"/>
        <v>5606981.7292601643</v>
      </c>
      <c r="R622">
        <f t="shared" si="991"/>
        <v>205206425.32362443</v>
      </c>
      <c r="S622">
        <f t="shared" si="992"/>
        <v>2052.0642532362444</v>
      </c>
      <c r="T622">
        <f t="shared" si="993"/>
        <v>2.0520642532362445</v>
      </c>
    </row>
    <row r="623" spans="1:20" x14ac:dyDescent="0.25">
      <c r="A623" s="5">
        <v>43970</v>
      </c>
      <c r="B623">
        <v>3.8895</v>
      </c>
      <c r="C623">
        <v>3.9487999999999999</v>
      </c>
      <c r="D623">
        <v>3.7734000000000001</v>
      </c>
      <c r="E623">
        <v>3.9470000000000001</v>
      </c>
      <c r="F623">
        <v>3771880.28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0.97947548460661571</v>
      </c>
      <c r="Q623">
        <f t="shared" si="990"/>
        <v>3694464.2651311373</v>
      </c>
      <c r="R623">
        <f t="shared" si="991"/>
        <v>199599443.59436426</v>
      </c>
      <c r="S623">
        <f t="shared" si="992"/>
        <v>1995.9944359436427</v>
      </c>
      <c r="T623">
        <f t="shared" si="993"/>
        <v>1.9959944359436426</v>
      </c>
    </row>
    <row r="624" spans="1:20" x14ac:dyDescent="0.25">
      <c r="A624" s="5">
        <v>43969</v>
      </c>
      <c r="B624">
        <v>3.7814999999999999</v>
      </c>
      <c r="C624">
        <v>3.95</v>
      </c>
      <c r="D624">
        <v>3.7786</v>
      </c>
      <c r="E624">
        <v>3.8895</v>
      </c>
      <c r="F624">
        <v>5744922.71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0.29404900816802632</v>
      </c>
      <c r="Q624">
        <f t="shared" si="990"/>
        <v>1689288.8248774698</v>
      </c>
      <c r="R624">
        <f t="shared" si="991"/>
        <v>195904979.32923311</v>
      </c>
      <c r="S624">
        <f t="shared" si="992"/>
        <v>1959.0497932923311</v>
      </c>
      <c r="T624">
        <f t="shared" si="993"/>
        <v>1.959049793292331</v>
      </c>
    </row>
    <row r="625" spans="1:20" x14ac:dyDescent="0.25">
      <c r="A625" s="5">
        <v>43968</v>
      </c>
      <c r="B625">
        <v>3.7621000000000002</v>
      </c>
      <c r="C625">
        <v>3.8523999999999998</v>
      </c>
      <c r="D625">
        <v>3.7526000000000002</v>
      </c>
      <c r="E625">
        <v>3.7814999999999999</v>
      </c>
      <c r="F625">
        <v>3636901.86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-0.4208416833667375</v>
      </c>
      <c r="Q625">
        <f t="shared" si="990"/>
        <v>-1530559.9010020187</v>
      </c>
      <c r="R625">
        <f t="shared" si="991"/>
        <v>194215690.50435564</v>
      </c>
      <c r="S625">
        <f t="shared" si="992"/>
        <v>1942.1569050435564</v>
      </c>
      <c r="T625">
        <f t="shared" si="993"/>
        <v>1.9421569050435565</v>
      </c>
    </row>
    <row r="626" spans="1:20" x14ac:dyDescent="0.25">
      <c r="A626" s="5">
        <v>43967</v>
      </c>
      <c r="B626">
        <v>3.6625999999999999</v>
      </c>
      <c r="C626">
        <v>3.79</v>
      </c>
      <c r="D626">
        <v>3.6168</v>
      </c>
      <c r="E626">
        <v>3.7614000000000001</v>
      </c>
      <c r="F626">
        <v>4045380.2</v>
      </c>
      <c r="G626">
        <v>0</v>
      </c>
      <c r="L626" t="s">
        <v>7</v>
      </c>
      <c r="M626" t="s">
        <v>7</v>
      </c>
      <c r="N626" t="s">
        <v>8</v>
      </c>
      <c r="P626">
        <f t="shared" si="989"/>
        <v>0.66974595842956175</v>
      </c>
      <c r="Q626">
        <f t="shared" si="990"/>
        <v>2709377.0392609723</v>
      </c>
      <c r="R626">
        <f t="shared" si="991"/>
        <v>195746250.40535766</v>
      </c>
      <c r="S626">
        <f t="shared" si="992"/>
        <v>1957.4625040535766</v>
      </c>
      <c r="T626">
        <f t="shared" si="993"/>
        <v>1.9574625040535767</v>
      </c>
    </row>
    <row r="627" spans="1:20" x14ac:dyDescent="0.25">
      <c r="A627" s="5">
        <v>43966</v>
      </c>
      <c r="B627">
        <v>3.8092999999999999</v>
      </c>
      <c r="C627">
        <v>3.8336999999999999</v>
      </c>
      <c r="D627">
        <v>3.6143999999999998</v>
      </c>
      <c r="E627">
        <v>3.6615000000000002</v>
      </c>
      <c r="F627">
        <v>5572562.8899999997</v>
      </c>
      <c r="G627">
        <v>0</v>
      </c>
      <c r="L627" t="s">
        <v>7</v>
      </c>
      <c r="M627" t="s">
        <v>7</v>
      </c>
      <c r="N627" t="s">
        <v>8</v>
      </c>
      <c r="P627">
        <f t="shared" si="989"/>
        <v>-0.57045143638850571</v>
      </c>
      <c r="Q627">
        <f t="shared" si="990"/>
        <v>-3178876.5049657822</v>
      </c>
      <c r="R627">
        <f t="shared" si="991"/>
        <v>193036873.36609668</v>
      </c>
      <c r="S627">
        <f t="shared" si="992"/>
        <v>1930.3687336609667</v>
      </c>
      <c r="T627">
        <f t="shared" si="993"/>
        <v>1.9303687336609667</v>
      </c>
    </row>
    <row r="628" spans="1:20" x14ac:dyDescent="0.25">
      <c r="A628" s="5">
        <v>43965</v>
      </c>
      <c r="B628">
        <v>3.7654000000000001</v>
      </c>
      <c r="C628">
        <v>3.8582999999999998</v>
      </c>
      <c r="D628">
        <v>3.6947000000000001</v>
      </c>
      <c r="E628">
        <v>3.8096000000000001</v>
      </c>
      <c r="F628">
        <v>7333655.8099999996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0.40464547677261836</v>
      </c>
      <c r="Q628">
        <f t="shared" si="990"/>
        <v>2967530.6517237327</v>
      </c>
      <c r="R628">
        <f t="shared" si="991"/>
        <v>196215749.87106246</v>
      </c>
      <c r="S628">
        <f t="shared" si="992"/>
        <v>1962.1574987106246</v>
      </c>
      <c r="T628">
        <f t="shared" si="993"/>
        <v>1.9621574987106247</v>
      </c>
    </row>
    <row r="629" spans="1:20" x14ac:dyDescent="0.25">
      <c r="A629" s="5">
        <v>43964</v>
      </c>
      <c r="B629">
        <v>3.6938</v>
      </c>
      <c r="C629">
        <v>3.8149999999999999</v>
      </c>
      <c r="D629">
        <v>3.6366000000000001</v>
      </c>
      <c r="E629">
        <v>3.7654999999999998</v>
      </c>
      <c r="F629">
        <v>5989489.1399999997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0.4450672645739896</v>
      </c>
      <c r="Q629">
        <f t="shared" si="990"/>
        <v>2665725.5477354173</v>
      </c>
      <c r="R629">
        <f t="shared" si="991"/>
        <v>193248219.21933872</v>
      </c>
      <c r="S629">
        <f t="shared" si="992"/>
        <v>1932.4821921933872</v>
      </c>
      <c r="T629">
        <f t="shared" si="993"/>
        <v>1.9324821921933872</v>
      </c>
    </row>
    <row r="630" spans="1:20" x14ac:dyDescent="0.25">
      <c r="A630" s="5">
        <v>43963</v>
      </c>
      <c r="B630">
        <v>3.5838000000000001</v>
      </c>
      <c r="C630">
        <v>3.7932000000000001</v>
      </c>
      <c r="D630">
        <v>3.54</v>
      </c>
      <c r="E630">
        <v>3.6943000000000001</v>
      </c>
      <c r="F630">
        <v>7797486.4299999997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0.218799368088468</v>
      </c>
      <c r="Q630">
        <f t="shared" si="990"/>
        <v>1706085.1035624042</v>
      </c>
      <c r="R630">
        <f t="shared" si="991"/>
        <v>190582493.67160329</v>
      </c>
      <c r="S630">
        <f t="shared" si="992"/>
        <v>1905.8249367160329</v>
      </c>
      <c r="T630">
        <f t="shared" si="993"/>
        <v>1.9058249367160329</v>
      </c>
    </row>
    <row r="631" spans="1:20" x14ac:dyDescent="0.25">
      <c r="A631" s="5">
        <v>43962</v>
      </c>
      <c r="B631">
        <v>3.7574000000000001</v>
      </c>
      <c r="C631">
        <v>3.8319999999999999</v>
      </c>
      <c r="D631">
        <v>3.2865000000000002</v>
      </c>
      <c r="E631">
        <v>3.5836999999999999</v>
      </c>
      <c r="F631">
        <v>13273873.619999999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8.9642529789183786E-2</v>
      </c>
      <c r="Q631">
        <f t="shared" si="990"/>
        <v>1189903.6113987106</v>
      </c>
      <c r="R631">
        <f t="shared" si="991"/>
        <v>188876408.56804088</v>
      </c>
      <c r="S631">
        <f t="shared" si="992"/>
        <v>1888.7640856804087</v>
      </c>
      <c r="T631">
        <f t="shared" si="993"/>
        <v>1.8887640856804087</v>
      </c>
    </row>
    <row r="632" spans="1:20" x14ac:dyDescent="0.25">
      <c r="A632" s="5">
        <v>43961</v>
      </c>
      <c r="B632">
        <v>4.0148999999999999</v>
      </c>
      <c r="C632">
        <v>4.0197000000000003</v>
      </c>
      <c r="D632">
        <v>3.4601999999999999</v>
      </c>
      <c r="E632">
        <v>3.7582</v>
      </c>
      <c r="F632">
        <v>19818388.73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6.5236818588024548E-2</v>
      </c>
      <c r="Q632">
        <f t="shared" si="990"/>
        <v>1292888.6302859602</v>
      </c>
      <c r="R632">
        <f t="shared" si="991"/>
        <v>187686504.95664218</v>
      </c>
      <c r="S632">
        <f t="shared" si="992"/>
        <v>1876.8650495664217</v>
      </c>
      <c r="T632">
        <f t="shared" si="993"/>
        <v>1.8768650495664216</v>
      </c>
    </row>
    <row r="633" spans="1:20" x14ac:dyDescent="0.25">
      <c r="A633" s="5">
        <v>43960</v>
      </c>
      <c r="B633">
        <v>3.8001</v>
      </c>
      <c r="C633">
        <v>4.2129000000000003</v>
      </c>
      <c r="D633">
        <v>3.7601</v>
      </c>
      <c r="E633">
        <v>4.0149999999999997</v>
      </c>
      <c r="F633">
        <v>15240721.630000001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0.12588339222614622</v>
      </c>
      <c r="Q633">
        <f t="shared" si="990"/>
        <v>1918553.7387588008</v>
      </c>
      <c r="R633">
        <f t="shared" si="991"/>
        <v>186393616.32635623</v>
      </c>
      <c r="S633">
        <f t="shared" si="992"/>
        <v>1863.9361632635623</v>
      </c>
      <c r="T633">
        <f t="shared" si="993"/>
        <v>1.8639361632635623</v>
      </c>
    </row>
    <row r="634" spans="1:20" x14ac:dyDescent="0.25">
      <c r="A634" s="5">
        <v>43959</v>
      </c>
      <c r="B634">
        <v>3.758</v>
      </c>
      <c r="C634">
        <v>3.859</v>
      </c>
      <c r="D634">
        <v>3.6873999999999998</v>
      </c>
      <c r="E634">
        <v>3.8010000000000002</v>
      </c>
      <c r="F634">
        <v>7383724.4800000004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0.32400932400932675</v>
      </c>
      <c r="Q634">
        <f t="shared" si="990"/>
        <v>2392395.5774359177</v>
      </c>
      <c r="R634">
        <f t="shared" si="991"/>
        <v>184475062.58759743</v>
      </c>
      <c r="S634">
        <f t="shared" si="992"/>
        <v>1844.7506258759743</v>
      </c>
      <c r="T634">
        <f t="shared" si="993"/>
        <v>1.8447506258759743</v>
      </c>
    </row>
    <row r="635" spans="1:20" x14ac:dyDescent="0.25">
      <c r="A635" s="5">
        <v>43958</v>
      </c>
      <c r="B635">
        <v>3.5874000000000001</v>
      </c>
      <c r="C635">
        <v>3.85</v>
      </c>
      <c r="D635">
        <v>3.5632999999999999</v>
      </c>
      <c r="E635">
        <v>3.7559999999999998</v>
      </c>
      <c r="F635">
        <v>8481271.5899999999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0.34426229508196549</v>
      </c>
      <c r="Q635">
        <f t="shared" si="990"/>
        <v>2919782.0227868706</v>
      </c>
      <c r="R635">
        <f t="shared" si="991"/>
        <v>182082667.01016152</v>
      </c>
      <c r="S635">
        <f t="shared" si="992"/>
        <v>1820.8266701016153</v>
      </c>
      <c r="T635">
        <f t="shared" si="993"/>
        <v>1.8208266701016154</v>
      </c>
    </row>
    <row r="636" spans="1:20" x14ac:dyDescent="0.25">
      <c r="A636" s="5">
        <v>43957</v>
      </c>
      <c r="B636">
        <v>3.6819999999999999</v>
      </c>
      <c r="C636">
        <v>3.7654000000000001</v>
      </c>
      <c r="D636">
        <v>3.57</v>
      </c>
      <c r="E636">
        <v>3.5872000000000002</v>
      </c>
      <c r="F636">
        <v>5299802.59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-0.82395087001023226</v>
      </c>
      <c r="Q636">
        <f t="shared" si="990"/>
        <v>-4366776.9549129819</v>
      </c>
      <c r="R636">
        <f t="shared" si="991"/>
        <v>179162884.98737463</v>
      </c>
      <c r="S636">
        <f t="shared" si="992"/>
        <v>1791.6288498737463</v>
      </c>
      <c r="T636">
        <f t="shared" si="993"/>
        <v>1.7916288498737463</v>
      </c>
    </row>
    <row r="637" spans="1:20" x14ac:dyDescent="0.25">
      <c r="A637" s="5">
        <v>43956</v>
      </c>
      <c r="B637">
        <v>3.7496</v>
      </c>
      <c r="C637">
        <v>3.8140000000000001</v>
      </c>
      <c r="D637">
        <v>3.6539999999999999</v>
      </c>
      <c r="E637">
        <v>3.6833</v>
      </c>
      <c r="F637">
        <v>4730504.58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-0.63374999999999904</v>
      </c>
      <c r="Q637">
        <f t="shared" si="990"/>
        <v>-2997957.2775749955</v>
      </c>
      <c r="R637">
        <f t="shared" si="991"/>
        <v>183529661.94228762</v>
      </c>
      <c r="S637">
        <f t="shared" si="992"/>
        <v>1835.2966194228763</v>
      </c>
      <c r="T637">
        <f t="shared" si="993"/>
        <v>1.8352966194228764</v>
      </c>
    </row>
    <row r="638" spans="1:20" x14ac:dyDescent="0.25">
      <c r="A638" s="5">
        <v>43955</v>
      </c>
      <c r="B638">
        <v>3.7098</v>
      </c>
      <c r="C638">
        <v>3.8271999999999999</v>
      </c>
      <c r="D638">
        <v>3.5032999999999999</v>
      </c>
      <c r="E638">
        <v>3.7498999999999998</v>
      </c>
      <c r="F638">
        <v>10973722.27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0.52269218894720515</v>
      </c>
      <c r="Q638">
        <f t="shared" si="990"/>
        <v>5735878.9142049924</v>
      </c>
      <c r="R638">
        <f t="shared" si="991"/>
        <v>186527619.21986261</v>
      </c>
      <c r="S638">
        <f t="shared" si="992"/>
        <v>1865.2761921986262</v>
      </c>
      <c r="T638">
        <f t="shared" si="993"/>
        <v>1.8652761921986263</v>
      </c>
    </row>
    <row r="639" spans="1:20" x14ac:dyDescent="0.25">
      <c r="A639" s="5">
        <v>43954</v>
      </c>
      <c r="B639">
        <v>3.8186</v>
      </c>
      <c r="C639">
        <v>3.86</v>
      </c>
      <c r="D639">
        <v>3.6379000000000001</v>
      </c>
      <c r="E639">
        <v>3.7092000000000001</v>
      </c>
      <c r="F639">
        <v>5570724.79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-0.35794687077892839</v>
      </c>
      <c r="Q639">
        <f t="shared" si="990"/>
        <v>-1994023.506551103</v>
      </c>
      <c r="R639">
        <f t="shared" si="991"/>
        <v>180791740.30565763</v>
      </c>
      <c r="S639">
        <f t="shared" si="992"/>
        <v>1807.9174030565762</v>
      </c>
      <c r="T639">
        <f t="shared" si="993"/>
        <v>1.8079174030565761</v>
      </c>
    </row>
    <row r="640" spans="1:20" x14ac:dyDescent="0.25">
      <c r="A640" s="5">
        <v>43953</v>
      </c>
      <c r="B640">
        <v>3.7570999999999999</v>
      </c>
      <c r="C640">
        <v>3.86</v>
      </c>
      <c r="D640">
        <v>3.73</v>
      </c>
      <c r="E640">
        <v>3.8182</v>
      </c>
      <c r="F640">
        <v>4467234.01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0.3569230769230789</v>
      </c>
      <c r="Q640">
        <f t="shared" si="990"/>
        <v>1594458.908184624</v>
      </c>
      <c r="R640">
        <f t="shared" si="991"/>
        <v>182785763.81220874</v>
      </c>
      <c r="S640">
        <f t="shared" si="992"/>
        <v>1827.8576381220873</v>
      </c>
      <c r="T640">
        <f t="shared" si="993"/>
        <v>1.8278576381220872</v>
      </c>
    </row>
    <row r="641" spans="1:20" x14ac:dyDescent="0.25">
      <c r="A641" s="5">
        <v>43952</v>
      </c>
      <c r="B641">
        <v>3.7014</v>
      </c>
      <c r="C641">
        <v>3.9161999999999999</v>
      </c>
      <c r="D641">
        <v>3.7002999999999999</v>
      </c>
      <c r="E641">
        <v>3.7570999999999999</v>
      </c>
      <c r="F641">
        <v>8084328.3600000003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-0.47383047707271914</v>
      </c>
      <c r="Q641">
        <f t="shared" si="990"/>
        <v>-3830601.1636313135</v>
      </c>
      <c r="R641">
        <f t="shared" si="991"/>
        <v>181191304.90402412</v>
      </c>
      <c r="S641">
        <f t="shared" si="992"/>
        <v>1811.9130490402413</v>
      </c>
      <c r="T641">
        <f t="shared" si="993"/>
        <v>1.8119130490402413</v>
      </c>
    </row>
    <row r="642" spans="1:20" x14ac:dyDescent="0.25">
      <c r="A642" s="5">
        <v>43951</v>
      </c>
      <c r="B642">
        <v>3.8881000000000001</v>
      </c>
      <c r="C642">
        <v>3.9741</v>
      </c>
      <c r="D642">
        <v>3.62</v>
      </c>
      <c r="E642">
        <v>3.7025000000000001</v>
      </c>
      <c r="F642">
        <v>13545136.02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-0.53402993504659668</v>
      </c>
      <c r="Q642">
        <f t="shared" si="990"/>
        <v>-7233508.1089579165</v>
      </c>
      <c r="R642">
        <f t="shared" si="991"/>
        <v>185021906.06765544</v>
      </c>
      <c r="S642">
        <f t="shared" si="992"/>
        <v>1850.2190606765544</v>
      </c>
      <c r="T642">
        <f t="shared" si="993"/>
        <v>1.8502190606765543</v>
      </c>
    </row>
    <row r="643" spans="1:20" x14ac:dyDescent="0.25">
      <c r="A643" s="5">
        <v>43950</v>
      </c>
      <c r="B643">
        <v>3.6421999999999999</v>
      </c>
      <c r="C643">
        <v>3.9918</v>
      </c>
      <c r="D643">
        <v>3.63</v>
      </c>
      <c r="E643">
        <v>3.8879000000000001</v>
      </c>
      <c r="F643">
        <v>15125283.539999999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0.42564953012714291</v>
      </c>
      <c r="Q643">
        <f t="shared" si="990"/>
        <v>6438069.8318408085</v>
      </c>
      <c r="R643">
        <f t="shared" si="991"/>
        <v>192255414.17661336</v>
      </c>
      <c r="S643">
        <f t="shared" si="992"/>
        <v>1922.5541417661336</v>
      </c>
      <c r="T643">
        <f t="shared" si="993"/>
        <v>1.9225541417661336</v>
      </c>
    </row>
    <row r="644" spans="1:20" x14ac:dyDescent="0.25">
      <c r="A644" s="5">
        <v>43949</v>
      </c>
      <c r="B644">
        <v>3.6373000000000002</v>
      </c>
      <c r="C644">
        <v>3.7353999999999998</v>
      </c>
      <c r="D644">
        <v>3.5554000000000001</v>
      </c>
      <c r="E644">
        <v>3.6413000000000002</v>
      </c>
      <c r="F644">
        <v>7379317.2300000004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-4.555555555555308E-2</v>
      </c>
      <c r="Q644">
        <f t="shared" si="990"/>
        <v>-336168.8960333151</v>
      </c>
      <c r="R644">
        <f t="shared" si="991"/>
        <v>185817344.34477255</v>
      </c>
      <c r="S644">
        <f t="shared" si="992"/>
        <v>1858.1734434477255</v>
      </c>
      <c r="T644">
        <f t="shared" si="993"/>
        <v>1.8581734434477255</v>
      </c>
    </row>
    <row r="645" spans="1:20" x14ac:dyDescent="0.25">
      <c r="A645" s="5">
        <v>43948</v>
      </c>
      <c r="B645">
        <v>3.7212000000000001</v>
      </c>
      <c r="C645">
        <v>3.7385000000000002</v>
      </c>
      <c r="D645">
        <v>3.4621</v>
      </c>
      <c r="E645">
        <v>3.6383000000000001</v>
      </c>
      <c r="F645">
        <v>11371929.859999999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0.27496382054992768</v>
      </c>
      <c r="Q645">
        <f t="shared" si="990"/>
        <v>3126869.2813314041</v>
      </c>
      <c r="R645">
        <f t="shared" si="991"/>
        <v>186153513.24080586</v>
      </c>
      <c r="S645">
        <f t="shared" si="992"/>
        <v>1861.5351324080586</v>
      </c>
      <c r="T645">
        <f t="shared" si="993"/>
        <v>1.8615351324080587</v>
      </c>
    </row>
    <row r="646" spans="1:20" x14ac:dyDescent="0.25">
      <c r="A646" s="5">
        <v>43947</v>
      </c>
      <c r="B646">
        <v>3.7865000000000002</v>
      </c>
      <c r="C646">
        <v>3.8159999999999998</v>
      </c>
      <c r="D646">
        <v>3.6432000000000002</v>
      </c>
      <c r="E646">
        <v>3.7210000000000001</v>
      </c>
      <c r="F646">
        <v>8246658.1299999999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-9.9537037037036577E-2</v>
      </c>
      <c r="Q646">
        <f t="shared" ref="Q646:Q709" si="995">F646*P646</f>
        <v>-820847.91571758874</v>
      </c>
      <c r="R646">
        <f t="shared" ref="R646:R709" si="996">R647+Q646</f>
        <v>183026643.95947447</v>
      </c>
      <c r="S646">
        <f t="shared" ref="S646:S709" si="997">R646/100000</f>
        <v>1830.2664395947447</v>
      </c>
      <c r="T646">
        <f t="shared" ref="T646:T709" si="998">S646/1000</f>
        <v>1.8302664395947448</v>
      </c>
    </row>
    <row r="647" spans="1:20" x14ac:dyDescent="0.25">
      <c r="A647" s="5">
        <v>43946</v>
      </c>
      <c r="B647">
        <v>3.7734999999999999</v>
      </c>
      <c r="C647">
        <v>3.9062000000000001</v>
      </c>
      <c r="D647">
        <v>3.742</v>
      </c>
      <c r="E647">
        <v>3.7865000000000002</v>
      </c>
      <c r="F647">
        <v>6095069.3799999999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-0.45797807551765929</v>
      </c>
      <c r="Q647">
        <f t="shared" si="995"/>
        <v>-2791408.1447990127</v>
      </c>
      <c r="R647">
        <f t="shared" si="996"/>
        <v>183847491.87519208</v>
      </c>
      <c r="S647">
        <f t="shared" si="997"/>
        <v>1838.4749187519208</v>
      </c>
      <c r="T647">
        <f t="shared" si="998"/>
        <v>1.8384749187519207</v>
      </c>
    </row>
    <row r="648" spans="1:20" x14ac:dyDescent="0.25">
      <c r="A648" s="5">
        <v>43945</v>
      </c>
      <c r="B648">
        <v>3.7551000000000001</v>
      </c>
      <c r="C648">
        <v>3.8874</v>
      </c>
      <c r="D648">
        <v>3.7364000000000002</v>
      </c>
      <c r="E648">
        <v>3.7734999999999999</v>
      </c>
      <c r="F648">
        <v>7951365.7699999996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-0.50860927152318225</v>
      </c>
      <c r="Q648">
        <f t="shared" si="995"/>
        <v>-4044138.3518940667</v>
      </c>
      <c r="R648">
        <f t="shared" si="996"/>
        <v>186638900.0199911</v>
      </c>
      <c r="S648">
        <f t="shared" si="997"/>
        <v>1866.3890001999109</v>
      </c>
      <c r="T648">
        <f t="shared" si="998"/>
        <v>1.8663890001999108</v>
      </c>
    </row>
    <row r="649" spans="1:20" x14ac:dyDescent="0.25">
      <c r="A649" s="5">
        <v>43944</v>
      </c>
      <c r="B649">
        <v>3.6787000000000001</v>
      </c>
      <c r="C649">
        <v>3.9100999999999999</v>
      </c>
      <c r="D649">
        <v>3.5968</v>
      </c>
      <c r="E649">
        <v>3.7532999999999999</v>
      </c>
      <c r="F649">
        <v>14233201.390000001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-9.5754867539160258E-4</v>
      </c>
      <c r="Q649">
        <f t="shared" si="995"/>
        <v>-13628.983137576417</v>
      </c>
      <c r="R649">
        <f t="shared" si="996"/>
        <v>190683038.37188518</v>
      </c>
      <c r="S649">
        <f t="shared" si="997"/>
        <v>1906.8303837188519</v>
      </c>
      <c r="T649">
        <f t="shared" si="998"/>
        <v>1.9068303837188518</v>
      </c>
    </row>
    <row r="650" spans="1:20" x14ac:dyDescent="0.25">
      <c r="A650" s="5">
        <v>43943</v>
      </c>
      <c r="B650">
        <v>3.4592999999999998</v>
      </c>
      <c r="C650">
        <v>3.6903999999999999</v>
      </c>
      <c r="D650">
        <v>3.4327000000000001</v>
      </c>
      <c r="E650">
        <v>3.6785999999999999</v>
      </c>
      <c r="F650">
        <v>11953381.82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0.90842064415987556</v>
      </c>
      <c r="Q650">
        <f t="shared" si="995"/>
        <v>10858698.812813345</v>
      </c>
      <c r="R650">
        <f t="shared" si="996"/>
        <v>190696667.35502276</v>
      </c>
      <c r="S650">
        <f t="shared" si="997"/>
        <v>1906.9666735502276</v>
      </c>
      <c r="T650">
        <f t="shared" si="998"/>
        <v>1.9069666735502275</v>
      </c>
    </row>
    <row r="651" spans="1:20" x14ac:dyDescent="0.25">
      <c r="A651" s="5">
        <v>43942</v>
      </c>
      <c r="B651">
        <v>3.4317000000000002</v>
      </c>
      <c r="C651">
        <v>3.5718999999999999</v>
      </c>
      <c r="D651">
        <v>3.3902999999999999</v>
      </c>
      <c r="E651">
        <v>3.4577</v>
      </c>
      <c r="F651">
        <v>13887634.41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-0.25770925110132015</v>
      </c>
      <c r="Q651">
        <f t="shared" si="995"/>
        <v>-3578971.8633700241</v>
      </c>
      <c r="R651">
        <f t="shared" si="996"/>
        <v>179837968.54220942</v>
      </c>
      <c r="S651">
        <f t="shared" si="997"/>
        <v>1798.3796854220941</v>
      </c>
      <c r="T651">
        <f t="shared" si="998"/>
        <v>1.7983796854220941</v>
      </c>
    </row>
    <row r="652" spans="1:20" x14ac:dyDescent="0.25">
      <c r="A652" s="5">
        <v>43941</v>
      </c>
      <c r="B652">
        <v>3.5884999999999998</v>
      </c>
      <c r="C652">
        <v>3.7919999999999998</v>
      </c>
      <c r="D652">
        <v>3.3719999999999999</v>
      </c>
      <c r="E652">
        <v>3.4321999999999999</v>
      </c>
      <c r="F652">
        <v>20566086.809999999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-0.71333333333333315</v>
      </c>
      <c r="Q652">
        <f t="shared" si="995"/>
        <v>-14670475.257799996</v>
      </c>
      <c r="R652">
        <f t="shared" si="996"/>
        <v>183416940.40557945</v>
      </c>
      <c r="S652">
        <f t="shared" si="997"/>
        <v>1834.1694040557945</v>
      </c>
      <c r="T652">
        <f t="shared" si="998"/>
        <v>1.8341694040557945</v>
      </c>
    </row>
    <row r="653" spans="1:20" x14ac:dyDescent="0.25">
      <c r="A653" s="5">
        <v>43940</v>
      </c>
      <c r="B653">
        <v>3.7814000000000001</v>
      </c>
      <c r="C653">
        <v>3.8102</v>
      </c>
      <c r="D653">
        <v>3.5131000000000001</v>
      </c>
      <c r="E653">
        <v>3.5901999999999998</v>
      </c>
      <c r="F653">
        <v>16350496.02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-0.48098283406260689</v>
      </c>
      <c r="Q653">
        <f t="shared" si="995"/>
        <v>-7864307.9140289742</v>
      </c>
      <c r="R653">
        <f t="shared" si="996"/>
        <v>198087415.66337943</v>
      </c>
      <c r="S653">
        <f t="shared" si="997"/>
        <v>1980.8741566337942</v>
      </c>
      <c r="T653">
        <f t="shared" si="998"/>
        <v>1.9808741566337942</v>
      </c>
    </row>
    <row r="654" spans="1:20" x14ac:dyDescent="0.25">
      <c r="A654" s="5">
        <v>43939</v>
      </c>
      <c r="B654">
        <v>3.4525000000000001</v>
      </c>
      <c r="C654">
        <v>3.83</v>
      </c>
      <c r="D654">
        <v>3.4470000000000001</v>
      </c>
      <c r="E654">
        <v>3.7805</v>
      </c>
      <c r="F654">
        <v>16406819.220000001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0.74151436031331541</v>
      </c>
      <c r="Q654">
        <f t="shared" si="995"/>
        <v>12165892.05869451</v>
      </c>
      <c r="R654">
        <f t="shared" si="996"/>
        <v>205951723.5774084</v>
      </c>
      <c r="S654">
        <f t="shared" si="997"/>
        <v>2059.5172357740839</v>
      </c>
      <c r="T654">
        <f t="shared" si="998"/>
        <v>2.0595172357740839</v>
      </c>
    </row>
    <row r="655" spans="1:20" x14ac:dyDescent="0.25">
      <c r="A655" s="5">
        <v>43938</v>
      </c>
      <c r="B655">
        <v>3.4830999999999999</v>
      </c>
      <c r="C655">
        <v>3.5249999999999999</v>
      </c>
      <c r="D655">
        <v>3.3778000000000001</v>
      </c>
      <c r="E655">
        <v>3.4523000000000001</v>
      </c>
      <c r="F655">
        <v>12689070.26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1.2228260869566906E-2</v>
      </c>
      <c r="Q655">
        <f t="shared" si="995"/>
        <v>155165.26133154315</v>
      </c>
      <c r="R655">
        <f t="shared" si="996"/>
        <v>193785831.51871389</v>
      </c>
      <c r="S655">
        <f t="shared" si="997"/>
        <v>1937.8583151871389</v>
      </c>
      <c r="T655">
        <f t="shared" si="998"/>
        <v>1.9378583151871389</v>
      </c>
    </row>
    <row r="656" spans="1:20" x14ac:dyDescent="0.25">
      <c r="A656" s="5">
        <v>43937</v>
      </c>
      <c r="B656">
        <v>3.1212</v>
      </c>
      <c r="C656">
        <v>3.5554999999999999</v>
      </c>
      <c r="D656">
        <v>2.9761000000000002</v>
      </c>
      <c r="E656">
        <v>3.4851000000000001</v>
      </c>
      <c r="F656">
        <v>24817961.649999999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0.7569899896444604</v>
      </c>
      <c r="Q656">
        <f t="shared" si="995"/>
        <v>18786948.532430116</v>
      </c>
      <c r="R656">
        <f t="shared" si="996"/>
        <v>193630666.25738236</v>
      </c>
      <c r="S656">
        <f t="shared" si="997"/>
        <v>1936.3066625738236</v>
      </c>
      <c r="T656">
        <f t="shared" si="998"/>
        <v>1.9363066625738237</v>
      </c>
    </row>
    <row r="657" spans="1:20" x14ac:dyDescent="0.25">
      <c r="A657" s="5">
        <v>43936</v>
      </c>
      <c r="B657">
        <v>3.2517</v>
      </c>
      <c r="C657">
        <v>3.3060999999999998</v>
      </c>
      <c r="D657">
        <v>3.1084999999999998</v>
      </c>
      <c r="E657">
        <v>3.1212</v>
      </c>
      <c r="F657">
        <v>15635873.109999999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-0.87145748987854088</v>
      </c>
      <c r="Q657">
        <f t="shared" si="995"/>
        <v>-13625998.732499974</v>
      </c>
      <c r="R657">
        <f t="shared" si="996"/>
        <v>174843717.72495225</v>
      </c>
      <c r="S657">
        <f t="shared" si="997"/>
        <v>1748.4371772495226</v>
      </c>
      <c r="T657">
        <f t="shared" si="998"/>
        <v>1.7484371772495226</v>
      </c>
    </row>
    <row r="658" spans="1:20" x14ac:dyDescent="0.25">
      <c r="A658" s="5">
        <v>43935</v>
      </c>
      <c r="B658">
        <v>3.3719000000000001</v>
      </c>
      <c r="C658">
        <v>3.4437000000000002</v>
      </c>
      <c r="D658">
        <v>3.21</v>
      </c>
      <c r="E658">
        <v>3.2519999999999998</v>
      </c>
      <c r="F658">
        <v>17078827.010000002</v>
      </c>
      <c r="G658">
        <v>0</v>
      </c>
      <c r="L658" t="s">
        <v>8</v>
      </c>
      <c r="M658" t="s">
        <v>8</v>
      </c>
      <c r="N658" t="s">
        <v>8</v>
      </c>
      <c r="P658">
        <f t="shared" si="994"/>
        <v>-0.64056482670090054</v>
      </c>
      <c r="Q658">
        <f t="shared" si="995"/>
        <v>-10940095.863915311</v>
      </c>
      <c r="R658">
        <f t="shared" si="996"/>
        <v>188469716.45745224</v>
      </c>
      <c r="S658">
        <f t="shared" si="997"/>
        <v>1884.6971645745223</v>
      </c>
      <c r="T658">
        <f t="shared" si="998"/>
        <v>1.8846971645745223</v>
      </c>
    </row>
    <row r="659" spans="1:20" x14ac:dyDescent="0.25">
      <c r="A659" s="5">
        <v>43934</v>
      </c>
      <c r="B659">
        <v>3.4117000000000002</v>
      </c>
      <c r="C659">
        <v>3.4601999999999999</v>
      </c>
      <c r="D659">
        <v>3.2</v>
      </c>
      <c r="E659">
        <v>3.3702000000000001</v>
      </c>
      <c r="F659">
        <v>29488744.48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0.30822444273635713</v>
      </c>
      <c r="Q659">
        <f t="shared" si="995"/>
        <v>9089151.834342828</v>
      </c>
      <c r="R659">
        <f t="shared" si="996"/>
        <v>199409812.32136756</v>
      </c>
      <c r="S659">
        <f t="shared" si="997"/>
        <v>1994.0981232136755</v>
      </c>
      <c r="T659">
        <f t="shared" si="998"/>
        <v>1.9940981232136756</v>
      </c>
    </row>
    <row r="660" spans="1:20" x14ac:dyDescent="0.25">
      <c r="A660" s="5">
        <v>43933</v>
      </c>
      <c r="B660">
        <v>3.2911999999999999</v>
      </c>
      <c r="C660">
        <v>3.6412</v>
      </c>
      <c r="D660">
        <v>3.1669999999999998</v>
      </c>
      <c r="E660">
        <v>3.4188999999999998</v>
      </c>
      <c r="F660">
        <v>32589266.789999999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6.2420919443272535E-2</v>
      </c>
      <c r="Q660">
        <f t="shared" si="995"/>
        <v>2034251.9970139069</v>
      </c>
      <c r="R660">
        <f t="shared" si="996"/>
        <v>190320660.48702472</v>
      </c>
      <c r="S660">
        <f t="shared" si="997"/>
        <v>1903.2066048702472</v>
      </c>
      <c r="T660">
        <f t="shared" si="998"/>
        <v>1.9032066048702472</v>
      </c>
    </row>
    <row r="661" spans="1:20" x14ac:dyDescent="0.25">
      <c r="A661" s="5">
        <v>43932</v>
      </c>
      <c r="B661">
        <v>3.2206999999999999</v>
      </c>
      <c r="C661">
        <v>3.4363999999999999</v>
      </c>
      <c r="D661">
        <v>3.0629</v>
      </c>
      <c r="E661">
        <v>3.29</v>
      </c>
      <c r="F661">
        <v>30487430.82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0.21606425702811305</v>
      </c>
      <c r="Q661">
        <f t="shared" si="995"/>
        <v>6587244.0888192952</v>
      </c>
      <c r="R661">
        <f t="shared" si="996"/>
        <v>188286408.49001083</v>
      </c>
      <c r="S661">
        <f t="shared" si="997"/>
        <v>1882.8640849001083</v>
      </c>
      <c r="T661">
        <f t="shared" si="998"/>
        <v>1.8828640849001084</v>
      </c>
    </row>
    <row r="662" spans="1:20" x14ac:dyDescent="0.25">
      <c r="A662" s="5">
        <v>43931</v>
      </c>
      <c r="B662">
        <v>3.3098999999999998</v>
      </c>
      <c r="C662">
        <v>3.3199000000000001</v>
      </c>
      <c r="D662">
        <v>2.9449999999999998</v>
      </c>
      <c r="E662">
        <v>3.22</v>
      </c>
      <c r="F662">
        <v>43621490.600000001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0.46705788210189481</v>
      </c>
      <c r="Q662">
        <f t="shared" si="995"/>
        <v>20373761.013763715</v>
      </c>
      <c r="R662">
        <f t="shared" si="996"/>
        <v>181699164.40119153</v>
      </c>
      <c r="S662">
        <f t="shared" si="997"/>
        <v>1816.9916440119152</v>
      </c>
      <c r="T662">
        <f t="shared" si="998"/>
        <v>1.8169916440119152</v>
      </c>
    </row>
    <row r="663" spans="1:20" x14ac:dyDescent="0.25">
      <c r="A663" s="5">
        <v>43930</v>
      </c>
      <c r="B663">
        <v>3.1695000000000002</v>
      </c>
      <c r="C663">
        <v>3.4741</v>
      </c>
      <c r="D663">
        <v>3.1223999999999998</v>
      </c>
      <c r="E663">
        <v>3.3098999999999998</v>
      </c>
      <c r="F663">
        <v>37011877.659999996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6.6249644583451436E-2</v>
      </c>
      <c r="Q663">
        <f t="shared" si="995"/>
        <v>2452023.7403411861</v>
      </c>
      <c r="R663">
        <f t="shared" si="996"/>
        <v>161325403.38742781</v>
      </c>
      <c r="S663">
        <f t="shared" si="997"/>
        <v>1613.2540338742781</v>
      </c>
      <c r="T663">
        <f t="shared" si="998"/>
        <v>1.613254033874278</v>
      </c>
    </row>
    <row r="664" spans="1:20" x14ac:dyDescent="0.25">
      <c r="A664" s="5">
        <v>43929</v>
      </c>
      <c r="B664">
        <v>2.7294999999999998</v>
      </c>
      <c r="C664">
        <v>3.2747999999999999</v>
      </c>
      <c r="D664">
        <v>2.7124000000000001</v>
      </c>
      <c r="E664">
        <v>3.1692999999999998</v>
      </c>
      <c r="F664">
        <v>27092993.239999998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0.62482219061166366</v>
      </c>
      <c r="Q664">
        <f t="shared" si="995"/>
        <v>16928303.386443794</v>
      </c>
      <c r="R664">
        <f t="shared" si="996"/>
        <v>158873379.64708662</v>
      </c>
      <c r="S664">
        <f t="shared" si="997"/>
        <v>1588.7337964708663</v>
      </c>
      <c r="T664">
        <f t="shared" si="998"/>
        <v>1.5887337964708663</v>
      </c>
    </row>
    <row r="665" spans="1:20" x14ac:dyDescent="0.25">
      <c r="A665" s="5">
        <v>43928</v>
      </c>
      <c r="B665">
        <v>2.5556000000000001</v>
      </c>
      <c r="C665">
        <v>2.9079999999999999</v>
      </c>
      <c r="D665">
        <v>2.5550000000000002</v>
      </c>
      <c r="E665">
        <v>2.7303000000000002</v>
      </c>
      <c r="F665">
        <v>30449781.010000002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-6.7988668555233351E-3</v>
      </c>
      <c r="Q665">
        <f t="shared" si="995"/>
        <v>-207024.00686683287</v>
      </c>
      <c r="R665">
        <f t="shared" si="996"/>
        <v>141945076.26064283</v>
      </c>
      <c r="S665">
        <f t="shared" si="997"/>
        <v>1419.4507626064283</v>
      </c>
      <c r="T665">
        <f t="shared" si="998"/>
        <v>1.4194507626064283</v>
      </c>
    </row>
    <row r="666" spans="1:20" x14ac:dyDescent="0.25">
      <c r="A666" s="5">
        <v>43927</v>
      </c>
      <c r="B666">
        <v>2.2637999999999998</v>
      </c>
      <c r="C666">
        <v>2.5676999999999999</v>
      </c>
      <c r="D666">
        <v>2.2621000000000002</v>
      </c>
      <c r="E666">
        <v>2.5554999999999999</v>
      </c>
      <c r="F666">
        <v>12222925.810000001</v>
      </c>
      <c r="G666">
        <v>0</v>
      </c>
      <c r="L666" t="s">
        <v>8</v>
      </c>
      <c r="M666" t="s">
        <v>8</v>
      </c>
      <c r="N666" t="s">
        <v>7</v>
      </c>
      <c r="P666">
        <f t="shared" si="994"/>
        <v>0.92015706806282715</v>
      </c>
      <c r="Q666">
        <f t="shared" si="995"/>
        <v>11247011.576479057</v>
      </c>
      <c r="R666">
        <f t="shared" si="996"/>
        <v>142152100.26750967</v>
      </c>
      <c r="S666">
        <f t="shared" si="997"/>
        <v>1421.5210026750967</v>
      </c>
      <c r="T666">
        <f t="shared" si="998"/>
        <v>1.4215210026750966</v>
      </c>
    </row>
    <row r="667" spans="1:20" x14ac:dyDescent="0.25">
      <c r="A667" s="5">
        <v>43926</v>
      </c>
      <c r="B667">
        <v>2.3155000000000001</v>
      </c>
      <c r="C667">
        <v>2.3218999999999999</v>
      </c>
      <c r="D667">
        <v>2.2437</v>
      </c>
      <c r="E667">
        <v>2.2635000000000001</v>
      </c>
      <c r="F667">
        <v>3228659.23</v>
      </c>
      <c r="G667">
        <v>0</v>
      </c>
      <c r="L667" t="s">
        <v>7</v>
      </c>
      <c r="M667" t="s">
        <v>8</v>
      </c>
      <c r="N667" t="s">
        <v>7</v>
      </c>
      <c r="P667">
        <f t="shared" si="994"/>
        <v>-0.49360613810741472</v>
      </c>
      <c r="Q667">
        <f t="shared" si="995"/>
        <v>-1593686.0137851592</v>
      </c>
      <c r="R667">
        <f t="shared" si="996"/>
        <v>130905088.69103062</v>
      </c>
      <c r="S667">
        <f t="shared" si="997"/>
        <v>1309.0508869103062</v>
      </c>
      <c r="T667">
        <f t="shared" si="998"/>
        <v>1.3090508869103061</v>
      </c>
    </row>
    <row r="668" spans="1:20" x14ac:dyDescent="0.25">
      <c r="A668" s="5">
        <v>43925</v>
      </c>
      <c r="B668">
        <v>2.2995000000000001</v>
      </c>
      <c r="C668">
        <v>2.3422999999999998</v>
      </c>
      <c r="D668">
        <v>2.2545000000000002</v>
      </c>
      <c r="E668">
        <v>2.3155000000000001</v>
      </c>
      <c r="F668">
        <v>6143193.2800000003</v>
      </c>
      <c r="G668">
        <v>0</v>
      </c>
      <c r="L668" t="s">
        <v>7</v>
      </c>
      <c r="M668" t="s">
        <v>8</v>
      </c>
      <c r="N668" t="s">
        <v>7</v>
      </c>
      <c r="P668">
        <f t="shared" si="994"/>
        <v>0.38952164009112034</v>
      </c>
      <c r="Q668">
        <f t="shared" si="995"/>
        <v>2392906.7218223494</v>
      </c>
      <c r="R668">
        <f t="shared" si="996"/>
        <v>132498774.70481578</v>
      </c>
      <c r="S668">
        <f t="shared" si="997"/>
        <v>1324.9877470481576</v>
      </c>
      <c r="T668">
        <f t="shared" si="998"/>
        <v>1.3249877470481577</v>
      </c>
    </row>
    <row r="669" spans="1:20" x14ac:dyDescent="0.25">
      <c r="A669" s="5">
        <v>43924</v>
      </c>
      <c r="B669">
        <v>2.294</v>
      </c>
      <c r="C669">
        <v>2.3837000000000002</v>
      </c>
      <c r="D669">
        <v>2.2652000000000001</v>
      </c>
      <c r="E669">
        <v>2.3012999999999999</v>
      </c>
      <c r="F669">
        <v>8452189.4499999993</v>
      </c>
      <c r="G669">
        <v>0</v>
      </c>
      <c r="L669" t="s">
        <v>7</v>
      </c>
      <c r="M669" t="s">
        <v>8</v>
      </c>
      <c r="N669" t="s">
        <v>7</v>
      </c>
      <c r="P669">
        <f t="shared" si="994"/>
        <v>-0.39071729957806273</v>
      </c>
      <c r="Q669">
        <f t="shared" si="995"/>
        <v>-3302416.637426191</v>
      </c>
      <c r="R669">
        <f t="shared" si="996"/>
        <v>130105867.98299342</v>
      </c>
      <c r="S669">
        <f t="shared" si="997"/>
        <v>1301.0586798299341</v>
      </c>
      <c r="T669">
        <f t="shared" si="998"/>
        <v>1.3010586798299342</v>
      </c>
    </row>
    <row r="670" spans="1:20" x14ac:dyDescent="0.25">
      <c r="A670" s="5">
        <v>43923</v>
      </c>
      <c r="B670">
        <v>2.2764000000000002</v>
      </c>
      <c r="C670">
        <v>2.4849999999999999</v>
      </c>
      <c r="D670">
        <v>2.2566000000000002</v>
      </c>
      <c r="E670">
        <v>2.2940999999999998</v>
      </c>
      <c r="F670">
        <v>13266669.390000001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-0.6716287215411586</v>
      </c>
      <c r="Q670">
        <f t="shared" si="995"/>
        <v>-8910276.2015149221</v>
      </c>
      <c r="R670">
        <f t="shared" si="996"/>
        <v>133408284.62041962</v>
      </c>
      <c r="S670">
        <f t="shared" si="997"/>
        <v>1334.0828462041961</v>
      </c>
      <c r="T670">
        <f t="shared" si="998"/>
        <v>1.334082846204196</v>
      </c>
    </row>
    <row r="671" spans="1:20" x14ac:dyDescent="0.25">
      <c r="A671" s="5">
        <v>43922</v>
      </c>
      <c r="B671">
        <v>2.2656999999999998</v>
      </c>
      <c r="C671">
        <v>2.2999000000000001</v>
      </c>
      <c r="D671">
        <v>2.14</v>
      </c>
      <c r="E671">
        <v>2.2753000000000001</v>
      </c>
      <c r="F671">
        <v>13433598.33</v>
      </c>
      <c r="G671">
        <v>0</v>
      </c>
      <c r="L671" t="s">
        <v>7</v>
      </c>
      <c r="M671" t="s">
        <v>8</v>
      </c>
      <c r="N671" t="s">
        <v>7</v>
      </c>
      <c r="P671">
        <f t="shared" si="994"/>
        <v>0.69230769230769273</v>
      </c>
      <c r="Q671">
        <f t="shared" si="995"/>
        <v>9300183.459230775</v>
      </c>
      <c r="R671">
        <f t="shared" si="996"/>
        <v>142318560.82193455</v>
      </c>
      <c r="S671">
        <f t="shared" si="997"/>
        <v>1423.1856082193456</v>
      </c>
      <c r="T671">
        <f t="shared" si="998"/>
        <v>1.4231856082193455</v>
      </c>
    </row>
    <row r="672" spans="1:20" x14ac:dyDescent="0.25">
      <c r="A672" s="5">
        <v>43921</v>
      </c>
      <c r="B672">
        <v>2.1347999999999998</v>
      </c>
      <c r="C672">
        <v>2.302</v>
      </c>
      <c r="D672">
        <v>2.1101999999999999</v>
      </c>
      <c r="E672">
        <v>2.2658</v>
      </c>
      <c r="F672">
        <v>8612405.9299999997</v>
      </c>
      <c r="G672">
        <v>0</v>
      </c>
      <c r="L672" t="s">
        <v>8</v>
      </c>
      <c r="M672" t="s">
        <v>8</v>
      </c>
      <c r="N672" t="s">
        <v>7</v>
      </c>
      <c r="P672">
        <f t="shared" si="994"/>
        <v>0.62252346193952057</v>
      </c>
      <c r="Q672">
        <f t="shared" si="995"/>
        <v>5361424.7551720561</v>
      </c>
      <c r="R672">
        <f t="shared" si="996"/>
        <v>133018377.36270379</v>
      </c>
      <c r="S672">
        <f t="shared" si="997"/>
        <v>1330.1837736270379</v>
      </c>
      <c r="T672">
        <f t="shared" si="998"/>
        <v>1.3301837736270379</v>
      </c>
    </row>
    <row r="673" spans="1:20" x14ac:dyDescent="0.25">
      <c r="A673" s="5">
        <v>43920</v>
      </c>
      <c r="B673">
        <v>2.0083000000000002</v>
      </c>
      <c r="C673">
        <v>2.2000000000000002</v>
      </c>
      <c r="D673">
        <v>2.0005999999999999</v>
      </c>
      <c r="E673">
        <v>2.1349999999999998</v>
      </c>
      <c r="F673">
        <v>8453846.9000000004</v>
      </c>
      <c r="G673">
        <v>0</v>
      </c>
      <c r="L673" t="s">
        <v>8</v>
      </c>
      <c r="M673" t="s">
        <v>8</v>
      </c>
      <c r="N673" t="s">
        <v>7</v>
      </c>
      <c r="P673">
        <f t="shared" si="994"/>
        <v>0.34804413239718845</v>
      </c>
      <c r="Q673">
        <f t="shared" si="995"/>
        <v>2942311.8097291612</v>
      </c>
      <c r="R673">
        <f t="shared" si="996"/>
        <v>127656952.60753173</v>
      </c>
      <c r="S673">
        <f t="shared" si="997"/>
        <v>1276.5695260753173</v>
      </c>
      <c r="T673">
        <f t="shared" si="998"/>
        <v>1.2765695260753174</v>
      </c>
    </row>
    <row r="674" spans="1:20" x14ac:dyDescent="0.25">
      <c r="A674" s="5">
        <v>43919</v>
      </c>
      <c r="B674">
        <v>2.1356000000000002</v>
      </c>
      <c r="C674">
        <v>2.1520000000000001</v>
      </c>
      <c r="D674">
        <v>2.0070000000000001</v>
      </c>
      <c r="E674">
        <v>2.0083000000000002</v>
      </c>
      <c r="F674">
        <v>6879303.8399999999</v>
      </c>
      <c r="G674">
        <v>0</v>
      </c>
      <c r="L674" t="s">
        <v>7</v>
      </c>
      <c r="M674" t="s">
        <v>8</v>
      </c>
      <c r="N674" t="s">
        <v>7</v>
      </c>
      <c r="P674">
        <f t="shared" si="994"/>
        <v>-0.98206896551724032</v>
      </c>
      <c r="Q674">
        <f t="shared" si="995"/>
        <v>-6755950.8056275789</v>
      </c>
      <c r="R674">
        <f t="shared" si="996"/>
        <v>124714640.79780257</v>
      </c>
      <c r="S674">
        <f t="shared" si="997"/>
        <v>1247.1464079780258</v>
      </c>
      <c r="T674">
        <f t="shared" si="998"/>
        <v>1.2471464079780257</v>
      </c>
    </row>
    <row r="675" spans="1:20" x14ac:dyDescent="0.25">
      <c r="A675" s="5">
        <v>43918</v>
      </c>
      <c r="B675">
        <v>2.1372</v>
      </c>
      <c r="C675">
        <v>2.1543999999999999</v>
      </c>
      <c r="D675">
        <v>2.0371999999999999</v>
      </c>
      <c r="E675">
        <v>2.1364000000000001</v>
      </c>
      <c r="F675">
        <v>11038170.15</v>
      </c>
      <c r="G675">
        <v>0</v>
      </c>
      <c r="L675" t="s">
        <v>7</v>
      </c>
      <c r="M675" t="s">
        <v>8</v>
      </c>
      <c r="N675" t="s">
        <v>7</v>
      </c>
      <c r="P675">
        <f t="shared" si="994"/>
        <v>0.69283276450512288</v>
      </c>
      <c r="Q675">
        <f t="shared" si="995"/>
        <v>7647605.9401024273</v>
      </c>
      <c r="R675">
        <f t="shared" si="996"/>
        <v>131470591.60343015</v>
      </c>
      <c r="S675">
        <f t="shared" si="997"/>
        <v>1314.7059160343015</v>
      </c>
      <c r="T675">
        <f t="shared" si="998"/>
        <v>1.3147059160343015</v>
      </c>
    </row>
    <row r="676" spans="1:20" x14ac:dyDescent="0.25">
      <c r="A676" s="5">
        <v>43917</v>
      </c>
      <c r="B676">
        <v>2.3125</v>
      </c>
      <c r="C676">
        <v>2.3599000000000001</v>
      </c>
      <c r="D676">
        <v>2.1055000000000001</v>
      </c>
      <c r="E676">
        <v>2.1373000000000002</v>
      </c>
      <c r="F676">
        <v>8151561.2000000002</v>
      </c>
      <c r="G676">
        <v>0</v>
      </c>
      <c r="L676" t="s">
        <v>7</v>
      </c>
      <c r="M676" t="s">
        <v>8</v>
      </c>
      <c r="N676" t="s">
        <v>7</v>
      </c>
      <c r="P676">
        <f t="shared" si="994"/>
        <v>-0.74999999999999956</v>
      </c>
      <c r="Q676">
        <f t="shared" si="995"/>
        <v>-6113670.8999999966</v>
      </c>
      <c r="R676">
        <f t="shared" si="996"/>
        <v>123822985.66332772</v>
      </c>
      <c r="S676">
        <f t="shared" si="997"/>
        <v>1238.2298566332772</v>
      </c>
      <c r="T676">
        <f t="shared" si="998"/>
        <v>1.2382298566332772</v>
      </c>
    </row>
    <row r="677" spans="1:20" x14ac:dyDescent="0.25">
      <c r="A677" s="5">
        <v>43916</v>
      </c>
      <c r="B677">
        <v>2.2568999999999999</v>
      </c>
      <c r="C677">
        <v>2.3132000000000001</v>
      </c>
      <c r="D677">
        <v>2.1884000000000001</v>
      </c>
      <c r="E677">
        <v>2.3132000000000001</v>
      </c>
      <c r="F677">
        <v>6818801.71</v>
      </c>
      <c r="G677">
        <v>0</v>
      </c>
      <c r="L677" t="s">
        <v>7</v>
      </c>
      <c r="M677" t="s">
        <v>8</v>
      </c>
      <c r="N677" t="s">
        <v>7</v>
      </c>
      <c r="P677">
        <f t="shared" si="994"/>
        <v>1</v>
      </c>
      <c r="Q677">
        <f t="shared" si="995"/>
        <v>6818801.71</v>
      </c>
      <c r="R677">
        <f t="shared" si="996"/>
        <v>129936656.56332771</v>
      </c>
      <c r="S677">
        <f t="shared" si="997"/>
        <v>1299.3665656332771</v>
      </c>
      <c r="T677">
        <f t="shared" si="998"/>
        <v>1.2993665656332771</v>
      </c>
    </row>
    <row r="678" spans="1:20" x14ac:dyDescent="0.25">
      <c r="A678" s="5">
        <v>43915</v>
      </c>
      <c r="B678">
        <v>2.3109000000000002</v>
      </c>
      <c r="C678">
        <v>2.35</v>
      </c>
      <c r="D678">
        <v>2.1804000000000001</v>
      </c>
      <c r="E678">
        <v>2.2570000000000001</v>
      </c>
      <c r="F678">
        <v>11321064.300000001</v>
      </c>
      <c r="G678">
        <v>0</v>
      </c>
      <c r="L678" t="s">
        <v>7</v>
      </c>
      <c r="M678" t="s">
        <v>8</v>
      </c>
      <c r="N678" t="s">
        <v>7</v>
      </c>
      <c r="P678">
        <f t="shared" si="994"/>
        <v>-9.669811320754701E-2</v>
      </c>
      <c r="Q678">
        <f t="shared" si="995"/>
        <v>-1094725.557311319</v>
      </c>
      <c r="R678">
        <f t="shared" si="996"/>
        <v>123117854.85332772</v>
      </c>
      <c r="S678">
        <f t="shared" si="997"/>
        <v>1231.1785485332773</v>
      </c>
      <c r="T678">
        <f t="shared" si="998"/>
        <v>1.2311785485332774</v>
      </c>
    </row>
    <row r="679" spans="1:20" x14ac:dyDescent="0.25">
      <c r="A679" s="5">
        <v>43914</v>
      </c>
      <c r="B679">
        <v>2.2469999999999999</v>
      </c>
      <c r="C679">
        <v>2.3708999999999998</v>
      </c>
      <c r="D679">
        <v>2.1949999999999998</v>
      </c>
      <c r="E679">
        <v>2.3104</v>
      </c>
      <c r="F679">
        <v>18400021.32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0.31210915292780222</v>
      </c>
      <c r="Q679">
        <f t="shared" si="995"/>
        <v>5742815.0680387011</v>
      </c>
      <c r="R679">
        <f t="shared" si="996"/>
        <v>124212580.41063905</v>
      </c>
      <c r="S679">
        <f t="shared" si="997"/>
        <v>1242.1258041063904</v>
      </c>
      <c r="T679">
        <f t="shared" si="998"/>
        <v>1.2421258041063905</v>
      </c>
    </row>
    <row r="680" spans="1:20" x14ac:dyDescent="0.25">
      <c r="A680" s="5">
        <v>43913</v>
      </c>
      <c r="B680">
        <v>1.9888999999999999</v>
      </c>
      <c r="C680">
        <v>2.2999999999999998</v>
      </c>
      <c r="D680">
        <v>1.9352</v>
      </c>
      <c r="E680">
        <v>2.2467999999999999</v>
      </c>
      <c r="F680">
        <v>23688851.359999999</v>
      </c>
      <c r="G680">
        <v>0</v>
      </c>
      <c r="L680" t="s">
        <v>8</v>
      </c>
      <c r="M680" t="s">
        <v>8</v>
      </c>
      <c r="N680" t="s">
        <v>7</v>
      </c>
      <c r="P680">
        <f t="shared" si="994"/>
        <v>0.70833333333333359</v>
      </c>
      <c r="Q680">
        <f t="shared" si="995"/>
        <v>16779603.046666671</v>
      </c>
      <c r="R680">
        <f t="shared" si="996"/>
        <v>118469765.34260035</v>
      </c>
      <c r="S680">
        <f t="shared" si="997"/>
        <v>1184.6976534260034</v>
      </c>
      <c r="T680">
        <f t="shared" si="998"/>
        <v>1.1846976534260034</v>
      </c>
    </row>
    <row r="681" spans="1:20" x14ac:dyDescent="0.25">
      <c r="A681" s="5">
        <v>43912</v>
      </c>
      <c r="B681">
        <v>2.2753999999999999</v>
      </c>
      <c r="C681">
        <v>2.33</v>
      </c>
      <c r="D681">
        <v>1.9334</v>
      </c>
      <c r="E681">
        <v>1.9898</v>
      </c>
      <c r="F681">
        <v>21634031.690000001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-0.71558245083207261</v>
      </c>
      <c r="Q681">
        <f t="shared" si="995"/>
        <v>-15480933.418108927</v>
      </c>
      <c r="R681">
        <f t="shared" si="996"/>
        <v>101690162.29593368</v>
      </c>
      <c r="S681">
        <f t="shared" si="997"/>
        <v>1016.9016229593368</v>
      </c>
      <c r="T681">
        <f t="shared" si="998"/>
        <v>1.0169016229593368</v>
      </c>
    </row>
    <row r="682" spans="1:20" x14ac:dyDescent="0.25">
      <c r="A682" s="5">
        <v>43911</v>
      </c>
      <c r="B682">
        <v>2.2631000000000001</v>
      </c>
      <c r="C682">
        <v>2.375</v>
      </c>
      <c r="D682">
        <v>2.105</v>
      </c>
      <c r="E682">
        <v>2.2787000000000002</v>
      </c>
      <c r="F682">
        <v>19488573.190000001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0.28666666666666796</v>
      </c>
      <c r="Q682">
        <f t="shared" si="995"/>
        <v>5586724.3144666925</v>
      </c>
      <c r="R682">
        <f t="shared" si="996"/>
        <v>117171095.7140426</v>
      </c>
      <c r="S682">
        <f t="shared" si="997"/>
        <v>1171.710957140426</v>
      </c>
      <c r="T682">
        <f t="shared" si="998"/>
        <v>1.1717109571404261</v>
      </c>
    </row>
    <row r="683" spans="1:20" x14ac:dyDescent="0.25">
      <c r="A683" s="5">
        <v>43910</v>
      </c>
      <c r="B683">
        <v>2.2408999999999999</v>
      </c>
      <c r="C683">
        <v>2.6248999999999998</v>
      </c>
      <c r="D683">
        <v>2.0143</v>
      </c>
      <c r="E683">
        <v>2.2599999999999998</v>
      </c>
      <c r="F683">
        <v>39390658.869999997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-0.19521781853914222</v>
      </c>
      <c r="Q683">
        <f t="shared" si="995"/>
        <v>-7689758.4954209123</v>
      </c>
      <c r="R683">
        <f t="shared" si="996"/>
        <v>111584371.39957592</v>
      </c>
      <c r="S683">
        <f t="shared" si="997"/>
        <v>1115.8437139957591</v>
      </c>
      <c r="T683">
        <f t="shared" si="998"/>
        <v>1.1158437139957591</v>
      </c>
    </row>
    <row r="684" spans="1:20" x14ac:dyDescent="0.25">
      <c r="A684" s="5">
        <v>43909</v>
      </c>
      <c r="B684">
        <v>1.9497</v>
      </c>
      <c r="C684">
        <v>2.37</v>
      </c>
      <c r="D684">
        <v>1.8841000000000001</v>
      </c>
      <c r="E684">
        <v>2.2397999999999998</v>
      </c>
      <c r="F684">
        <v>33408982.34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0.46408726075324008</v>
      </c>
      <c r="Q684">
        <f t="shared" si="995"/>
        <v>15504683.098723972</v>
      </c>
      <c r="R684">
        <f t="shared" si="996"/>
        <v>119274129.89499684</v>
      </c>
      <c r="S684">
        <f t="shared" si="997"/>
        <v>1192.7412989499683</v>
      </c>
      <c r="T684">
        <f t="shared" si="998"/>
        <v>1.1927412989499682</v>
      </c>
    </row>
    <row r="685" spans="1:20" x14ac:dyDescent="0.25">
      <c r="A685" s="5">
        <v>43908</v>
      </c>
      <c r="B685">
        <v>1.8660000000000001</v>
      </c>
      <c r="C685">
        <v>1.9542999999999999</v>
      </c>
      <c r="D685">
        <v>1.762</v>
      </c>
      <c r="E685">
        <v>1.9482999999999999</v>
      </c>
      <c r="F685">
        <v>22313474.300000001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0.93759750390015595</v>
      </c>
      <c r="Q685">
        <f t="shared" si="995"/>
        <v>20921057.807020281</v>
      </c>
      <c r="R685">
        <f t="shared" si="996"/>
        <v>103769446.79627286</v>
      </c>
      <c r="S685">
        <f t="shared" si="997"/>
        <v>1037.6944679627286</v>
      </c>
      <c r="T685">
        <f t="shared" si="998"/>
        <v>1.0376944679627287</v>
      </c>
    </row>
    <row r="686" spans="1:20" x14ac:dyDescent="0.25">
      <c r="A686" s="5">
        <v>43907</v>
      </c>
      <c r="B686">
        <v>1.7831999999999999</v>
      </c>
      <c r="C686">
        <v>2.069</v>
      </c>
      <c r="D686">
        <v>1.73</v>
      </c>
      <c r="E686">
        <v>1.8641000000000001</v>
      </c>
      <c r="F686">
        <v>32839078.68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-0.20884955752212317</v>
      </c>
      <c r="Q686">
        <f t="shared" si="995"/>
        <v>-6858427.0517521882</v>
      </c>
      <c r="R686">
        <f t="shared" si="996"/>
        <v>82848388.989252582</v>
      </c>
      <c r="S686">
        <f t="shared" si="997"/>
        <v>828.48388989252578</v>
      </c>
      <c r="T686">
        <f t="shared" si="998"/>
        <v>0.82848388989252575</v>
      </c>
    </row>
    <row r="687" spans="1:20" x14ac:dyDescent="0.25">
      <c r="A687" s="5">
        <v>43906</v>
      </c>
      <c r="B687">
        <v>2.0868000000000002</v>
      </c>
      <c r="C687">
        <v>2.0897999999999999</v>
      </c>
      <c r="D687">
        <v>1.5570999999999999</v>
      </c>
      <c r="E687">
        <v>1.7831999999999999</v>
      </c>
      <c r="F687">
        <v>47175196.270000003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-0.15111695137976353</v>
      </c>
      <c r="Q687">
        <f t="shared" si="995"/>
        <v>-7128971.8410643917</v>
      </c>
      <c r="R687">
        <f t="shared" si="996"/>
        <v>89706816.041004777</v>
      </c>
      <c r="S687">
        <f t="shared" si="997"/>
        <v>897.06816041004777</v>
      </c>
      <c r="T687">
        <f t="shared" si="998"/>
        <v>0.89706816041004778</v>
      </c>
    </row>
    <row r="688" spans="1:20" x14ac:dyDescent="0.25">
      <c r="A688" s="5">
        <v>43905</v>
      </c>
      <c r="B688">
        <v>2.1400999999999999</v>
      </c>
      <c r="C688">
        <v>2.4</v>
      </c>
      <c r="D688">
        <v>2.0150000000000001</v>
      </c>
      <c r="E688">
        <v>2.0884</v>
      </c>
      <c r="F688">
        <v>24056586.5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-0.61870129870129897</v>
      </c>
      <c r="Q688">
        <f t="shared" si="995"/>
        <v>-14883841.309870137</v>
      </c>
      <c r="R688">
        <f t="shared" si="996"/>
        <v>96835787.88206917</v>
      </c>
      <c r="S688">
        <f t="shared" si="997"/>
        <v>968.35787882069167</v>
      </c>
      <c r="T688">
        <f t="shared" si="998"/>
        <v>0.96835787882069169</v>
      </c>
    </row>
    <row r="689" spans="1:20" x14ac:dyDescent="0.25">
      <c r="A689" s="5">
        <v>43904</v>
      </c>
      <c r="B689">
        <v>2.4327999999999999</v>
      </c>
      <c r="C689">
        <v>2.5141</v>
      </c>
      <c r="D689">
        <v>2.0607000000000002</v>
      </c>
      <c r="E689">
        <v>2.1379000000000001</v>
      </c>
      <c r="F689">
        <v>21644199.579999998</v>
      </c>
      <c r="G689">
        <v>0</v>
      </c>
      <c r="L689" t="s">
        <v>7</v>
      </c>
      <c r="M689" t="s">
        <v>7</v>
      </c>
      <c r="N689" t="s">
        <v>8</v>
      </c>
      <c r="P689">
        <f t="shared" si="994"/>
        <v>-0.65946184384649331</v>
      </c>
      <c r="Q689">
        <f t="shared" si="995"/>
        <v>-14273523.763608295</v>
      </c>
      <c r="R689">
        <f t="shared" si="996"/>
        <v>111719629.19193931</v>
      </c>
      <c r="S689">
        <f t="shared" si="997"/>
        <v>1117.1962919193932</v>
      </c>
      <c r="T689">
        <f t="shared" si="998"/>
        <v>1.1171962919193932</v>
      </c>
    </row>
    <row r="690" spans="1:20" x14ac:dyDescent="0.25">
      <c r="A690" s="5">
        <v>43903</v>
      </c>
      <c r="B690">
        <v>1.9990000000000001</v>
      </c>
      <c r="C690">
        <v>2.7519999999999998</v>
      </c>
      <c r="D690">
        <v>1.36</v>
      </c>
      <c r="E690">
        <v>2.4333</v>
      </c>
      <c r="F690">
        <v>73634341</v>
      </c>
      <c r="G690">
        <v>0</v>
      </c>
      <c r="L690" t="s">
        <v>8</v>
      </c>
      <c r="M690" t="s">
        <v>8</v>
      </c>
      <c r="N690" t="s">
        <v>8</v>
      </c>
      <c r="P690">
        <f t="shared" si="994"/>
        <v>0.54209770114942557</v>
      </c>
      <c r="Q690">
        <f t="shared" si="995"/>
        <v>39917006.981752895</v>
      </c>
      <c r="R690">
        <f t="shared" si="996"/>
        <v>125993152.9555476</v>
      </c>
      <c r="S690">
        <f t="shared" si="997"/>
        <v>1259.9315295554761</v>
      </c>
      <c r="T690">
        <f t="shared" si="998"/>
        <v>1.259931529555476</v>
      </c>
    </row>
    <row r="691" spans="1:20" x14ac:dyDescent="0.25">
      <c r="A691" s="5">
        <v>43902</v>
      </c>
      <c r="B691">
        <v>3.8170000000000002</v>
      </c>
      <c r="C691">
        <v>3.8519000000000001</v>
      </c>
      <c r="D691">
        <v>1E-4</v>
      </c>
      <c r="E691">
        <v>1.9931000000000001</v>
      </c>
      <c r="F691">
        <v>72676626.170000002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3.4840853626875772E-2</v>
      </c>
      <c r="Q691">
        <f t="shared" si="995"/>
        <v>2532115.6944841393</v>
      </c>
      <c r="R691">
        <f t="shared" si="996"/>
        <v>86076145.973794714</v>
      </c>
      <c r="S691">
        <f t="shared" si="997"/>
        <v>860.76145973794712</v>
      </c>
      <c r="T691">
        <f t="shared" si="998"/>
        <v>0.86076145973794715</v>
      </c>
    </row>
    <row r="692" spans="1:20" x14ac:dyDescent="0.25">
      <c r="A692" s="5">
        <v>43901</v>
      </c>
      <c r="B692">
        <v>4.0842000000000001</v>
      </c>
      <c r="C692">
        <v>4.1100000000000003</v>
      </c>
      <c r="D692">
        <v>3.5514000000000001</v>
      </c>
      <c r="E692">
        <v>3.8169</v>
      </c>
      <c r="F692">
        <v>19593491.559999999</v>
      </c>
      <c r="G692">
        <v>0</v>
      </c>
      <c r="L692" t="s">
        <v>7</v>
      </c>
      <c r="M692" t="s">
        <v>7</v>
      </c>
      <c r="N692" t="s">
        <v>8</v>
      </c>
      <c r="P692">
        <f t="shared" si="994"/>
        <v>-4.9409237379163091E-2</v>
      </c>
      <c r="Q692">
        <f t="shared" si="995"/>
        <v>-968099.4755746685</v>
      </c>
      <c r="R692">
        <f t="shared" si="996"/>
        <v>83544030.279310569</v>
      </c>
      <c r="S692">
        <f t="shared" si="997"/>
        <v>835.44030279310573</v>
      </c>
      <c r="T692">
        <f t="shared" si="998"/>
        <v>0.83544030279310577</v>
      </c>
    </row>
    <row r="693" spans="1:20" x14ac:dyDescent="0.25">
      <c r="A693" s="5">
        <v>43900</v>
      </c>
      <c r="B693">
        <v>4.1237000000000004</v>
      </c>
      <c r="C693">
        <v>4.2119</v>
      </c>
      <c r="D693">
        <v>3.9131999999999998</v>
      </c>
      <c r="E693">
        <v>4.0838999999999999</v>
      </c>
      <c r="F693">
        <v>18071323.59</v>
      </c>
      <c r="G693">
        <v>0</v>
      </c>
      <c r="L693" t="s">
        <v>8</v>
      </c>
      <c r="M693" t="s">
        <v>7</v>
      </c>
      <c r="N693" t="s">
        <v>8</v>
      </c>
      <c r="P693">
        <f t="shared" si="994"/>
        <v>0.14295279544693651</v>
      </c>
      <c r="Q693">
        <f t="shared" si="995"/>
        <v>2583346.2246166682</v>
      </c>
      <c r="R693">
        <f t="shared" si="996"/>
        <v>84512129.754885241</v>
      </c>
      <c r="S693">
        <f t="shared" si="997"/>
        <v>845.12129754885245</v>
      </c>
      <c r="T693">
        <f t="shared" si="998"/>
        <v>0.84512129754885246</v>
      </c>
    </row>
    <row r="694" spans="1:20" x14ac:dyDescent="0.25">
      <c r="A694" s="5">
        <v>43899</v>
      </c>
      <c r="B694">
        <v>4.0537000000000001</v>
      </c>
      <c r="C694">
        <v>4.3689999999999998</v>
      </c>
      <c r="D694">
        <v>3.6012</v>
      </c>
      <c r="E694">
        <v>4.1231</v>
      </c>
      <c r="F694">
        <v>29055644.52</v>
      </c>
      <c r="G694">
        <v>0</v>
      </c>
      <c r="L694" t="s">
        <v>7</v>
      </c>
      <c r="M694" t="s">
        <v>7</v>
      </c>
      <c r="N694" t="s">
        <v>8</v>
      </c>
      <c r="P694">
        <f t="shared" si="994"/>
        <v>0.35946861161760918</v>
      </c>
      <c r="Q694">
        <f t="shared" si="995"/>
        <v>10444592.195259195</v>
      </c>
      <c r="R694">
        <f t="shared" si="996"/>
        <v>81928783.53026858</v>
      </c>
      <c r="S694">
        <f t="shared" si="997"/>
        <v>819.28783530268583</v>
      </c>
      <c r="T694">
        <f t="shared" si="998"/>
        <v>0.81928783530268579</v>
      </c>
    </row>
    <row r="695" spans="1:20" x14ac:dyDescent="0.25">
      <c r="A695" s="5">
        <v>43898</v>
      </c>
      <c r="B695">
        <v>4.3468</v>
      </c>
      <c r="C695">
        <v>4.4645999999999999</v>
      </c>
      <c r="D695">
        <v>3.85</v>
      </c>
      <c r="E695">
        <v>4.0537000000000001</v>
      </c>
      <c r="F695">
        <v>18324667.260000002</v>
      </c>
      <c r="G695">
        <v>0</v>
      </c>
      <c r="L695" t="s">
        <v>7</v>
      </c>
      <c r="M695" t="s">
        <v>7</v>
      </c>
      <c r="N695" t="s">
        <v>8</v>
      </c>
      <c r="P695">
        <f t="shared" si="994"/>
        <v>-0.33712984054669687</v>
      </c>
      <c r="Q695">
        <f t="shared" si="995"/>
        <v>-6177792.1514350772</v>
      </c>
      <c r="R695">
        <f t="shared" si="996"/>
        <v>71484191.335009381</v>
      </c>
      <c r="S695">
        <f t="shared" si="997"/>
        <v>714.84191335009382</v>
      </c>
      <c r="T695">
        <f t="shared" si="998"/>
        <v>0.71484191335009384</v>
      </c>
    </row>
    <row r="696" spans="1:20" x14ac:dyDescent="0.25">
      <c r="A696" s="5">
        <v>43897</v>
      </c>
      <c r="B696">
        <v>4.6813000000000002</v>
      </c>
      <c r="C696">
        <v>4.6863000000000001</v>
      </c>
      <c r="D696">
        <v>4.3143000000000002</v>
      </c>
      <c r="E696">
        <v>4.3411999999999997</v>
      </c>
      <c r="F696">
        <v>8209506.8499999996</v>
      </c>
      <c r="G696">
        <v>0</v>
      </c>
      <c r="L696" t="s">
        <v>7</v>
      </c>
      <c r="M696" t="s">
        <v>8</v>
      </c>
      <c r="N696" t="s">
        <v>8</v>
      </c>
      <c r="P696">
        <f t="shared" si="994"/>
        <v>-0.85537634408602425</v>
      </c>
      <c r="Q696">
        <f t="shared" si="995"/>
        <v>-7022217.9561021728</v>
      </c>
      <c r="R696">
        <f t="shared" si="996"/>
        <v>77661983.486444458</v>
      </c>
      <c r="S696">
        <f t="shared" si="997"/>
        <v>776.61983486444456</v>
      </c>
      <c r="T696">
        <f t="shared" si="998"/>
        <v>0.77661983486444452</v>
      </c>
    </row>
    <row r="697" spans="1:20" x14ac:dyDescent="0.25">
      <c r="A697" s="5">
        <v>43896</v>
      </c>
      <c r="B697">
        <v>4.7144000000000004</v>
      </c>
      <c r="C697">
        <v>4.78</v>
      </c>
      <c r="D697">
        <v>4.5429000000000004</v>
      </c>
      <c r="E697">
        <v>4.6814</v>
      </c>
      <c r="F697">
        <v>7667605.1299999999</v>
      </c>
      <c r="G697">
        <v>0</v>
      </c>
      <c r="L697" t="s">
        <v>7</v>
      </c>
      <c r="M697" t="s">
        <v>8</v>
      </c>
      <c r="N697" t="s">
        <v>8</v>
      </c>
      <c r="P697">
        <f t="shared" si="994"/>
        <v>0.16828342471530747</v>
      </c>
      <c r="Q697">
        <f t="shared" si="995"/>
        <v>1290330.8506410604</v>
      </c>
      <c r="R697">
        <f t="shared" si="996"/>
        <v>84684201.442546636</v>
      </c>
      <c r="S697">
        <f t="shared" si="997"/>
        <v>846.84201442546635</v>
      </c>
      <c r="T697">
        <f t="shared" si="998"/>
        <v>0.84684201442546636</v>
      </c>
    </row>
    <row r="698" spans="1:20" x14ac:dyDescent="0.25">
      <c r="A698" s="5">
        <v>43895</v>
      </c>
      <c r="B698">
        <v>4.6387999999999998</v>
      </c>
      <c r="C698">
        <v>4.899</v>
      </c>
      <c r="D698">
        <v>4.6238999999999999</v>
      </c>
      <c r="E698">
        <v>4.7150999999999996</v>
      </c>
      <c r="F698">
        <v>11867449.08</v>
      </c>
      <c r="G698">
        <v>0</v>
      </c>
      <c r="L698" t="s">
        <v>7</v>
      </c>
      <c r="M698" t="s">
        <v>8</v>
      </c>
      <c r="N698" t="s">
        <v>8</v>
      </c>
      <c r="P698">
        <f t="shared" si="994"/>
        <v>-0.33696837513631633</v>
      </c>
      <c r="Q698">
        <f t="shared" si="995"/>
        <v>-3998955.0335005722</v>
      </c>
      <c r="R698">
        <f t="shared" si="996"/>
        <v>83393870.591905579</v>
      </c>
      <c r="S698">
        <f t="shared" si="997"/>
        <v>833.93870591905579</v>
      </c>
      <c r="T698">
        <f t="shared" si="998"/>
        <v>0.83393870591905583</v>
      </c>
    </row>
    <row r="699" spans="1:20" x14ac:dyDescent="0.25">
      <c r="A699" s="5">
        <v>43894</v>
      </c>
      <c r="B699">
        <v>4.5872999999999999</v>
      </c>
      <c r="C699">
        <v>4.9762000000000004</v>
      </c>
      <c r="D699">
        <v>4.5332999999999997</v>
      </c>
      <c r="E699">
        <v>4.6406000000000001</v>
      </c>
      <c r="F699">
        <v>18623299.510000002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-0.51546624520207629</v>
      </c>
      <c r="Q699">
        <f t="shared" si="995"/>
        <v>-9599682.2716933675</v>
      </c>
      <c r="R699">
        <f t="shared" si="996"/>
        <v>87392825.625406146</v>
      </c>
      <c r="S699">
        <f t="shared" si="997"/>
        <v>873.92825625406147</v>
      </c>
      <c r="T699">
        <f t="shared" si="998"/>
        <v>0.87392825625406145</v>
      </c>
    </row>
    <row r="700" spans="1:20" x14ac:dyDescent="0.25">
      <c r="A700" s="5">
        <v>43893</v>
      </c>
      <c r="B700">
        <v>4.2420999999999998</v>
      </c>
      <c r="C700">
        <v>4.68</v>
      </c>
      <c r="D700">
        <v>4.1249000000000002</v>
      </c>
      <c r="E700">
        <v>4.5846</v>
      </c>
      <c r="F700">
        <v>17189323</v>
      </c>
      <c r="G700">
        <v>0</v>
      </c>
      <c r="L700" t="s">
        <v>8</v>
      </c>
      <c r="M700" t="s">
        <v>8</v>
      </c>
      <c r="N700" t="s">
        <v>8</v>
      </c>
      <c r="P700">
        <f t="shared" si="994"/>
        <v>0.65627814808142748</v>
      </c>
      <c r="Q700">
        <f t="shared" si="995"/>
        <v>11280977.065213487</v>
      </c>
      <c r="R700">
        <f t="shared" si="996"/>
        <v>96992507.89709951</v>
      </c>
      <c r="S700">
        <f t="shared" si="997"/>
        <v>969.92507897099506</v>
      </c>
      <c r="T700">
        <f t="shared" si="998"/>
        <v>0.96992507897099511</v>
      </c>
    </row>
    <row r="701" spans="1:20" x14ac:dyDescent="0.25">
      <c r="A701" s="5">
        <v>43892</v>
      </c>
      <c r="B701">
        <v>3.8622000000000001</v>
      </c>
      <c r="C701">
        <v>4.3434999999999997</v>
      </c>
      <c r="D701">
        <v>3.8172999999999999</v>
      </c>
      <c r="E701">
        <v>4.2423000000000002</v>
      </c>
      <c r="F701">
        <v>12656156.050000001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0.61535537818320196</v>
      </c>
      <c r="Q701">
        <f t="shared" si="995"/>
        <v>7788033.6924933698</v>
      </c>
      <c r="R701">
        <f t="shared" si="996"/>
        <v>85711530.831886023</v>
      </c>
      <c r="S701">
        <f t="shared" si="997"/>
        <v>857.11530831886023</v>
      </c>
      <c r="T701">
        <f t="shared" si="998"/>
        <v>0.85711530831886018</v>
      </c>
    </row>
    <row r="702" spans="1:20" x14ac:dyDescent="0.25">
      <c r="A702" s="5">
        <v>43891</v>
      </c>
      <c r="B702">
        <v>4.0599999999999996</v>
      </c>
      <c r="C702">
        <v>4.2385000000000002</v>
      </c>
      <c r="D702">
        <v>3.7606999999999999</v>
      </c>
      <c r="E702">
        <v>3.859</v>
      </c>
      <c r="F702">
        <v>14748523.07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-0.58853076601088317</v>
      </c>
      <c r="Q702">
        <f t="shared" si="995"/>
        <v>-8679959.5799162816</v>
      </c>
      <c r="R702">
        <f t="shared" si="996"/>
        <v>77923497.139392659</v>
      </c>
      <c r="S702">
        <f t="shared" si="997"/>
        <v>779.23497139392657</v>
      </c>
      <c r="T702">
        <f t="shared" si="998"/>
        <v>0.77923497139392661</v>
      </c>
    </row>
    <row r="703" spans="1:20" x14ac:dyDescent="0.25">
      <c r="A703" s="5">
        <v>43890</v>
      </c>
      <c r="B703">
        <v>4.1614000000000004</v>
      </c>
      <c r="C703">
        <v>4.3535000000000004</v>
      </c>
      <c r="D703">
        <v>4.0571999999999999</v>
      </c>
      <c r="E703">
        <v>4.0579000000000001</v>
      </c>
      <c r="F703">
        <v>12512141.060000001</v>
      </c>
      <c r="G703">
        <v>0</v>
      </c>
      <c r="L703" t="s">
        <v>8</v>
      </c>
      <c r="M703" t="s">
        <v>8</v>
      </c>
      <c r="N703" t="s">
        <v>7</v>
      </c>
      <c r="P703">
        <f t="shared" si="994"/>
        <v>-0.99527505906176073</v>
      </c>
      <c r="Q703">
        <f t="shared" si="995"/>
        <v>-12453021.932480581</v>
      </c>
      <c r="R703">
        <f t="shared" si="996"/>
        <v>86603456.719308943</v>
      </c>
      <c r="S703">
        <f t="shared" si="997"/>
        <v>866.0345671930894</v>
      </c>
      <c r="T703">
        <f t="shared" si="998"/>
        <v>0.86603456719308936</v>
      </c>
    </row>
    <row r="704" spans="1:20" x14ac:dyDescent="0.25">
      <c r="A704" s="5">
        <v>43889</v>
      </c>
      <c r="B704">
        <v>3.9567999999999999</v>
      </c>
      <c r="C704">
        <v>4.2394999999999996</v>
      </c>
      <c r="D704">
        <v>3.75</v>
      </c>
      <c r="E704">
        <v>4.1608999999999998</v>
      </c>
      <c r="F704">
        <v>18277736.199999999</v>
      </c>
      <c r="G704">
        <v>0</v>
      </c>
      <c r="L704" t="s">
        <v>8</v>
      </c>
      <c r="M704" t="s">
        <v>8</v>
      </c>
      <c r="N704" t="s">
        <v>7</v>
      </c>
      <c r="P704">
        <f t="shared" si="994"/>
        <v>0.67885597548518961</v>
      </c>
      <c r="Q704">
        <f t="shared" si="995"/>
        <v>12407950.437711962</v>
      </c>
      <c r="R704">
        <f t="shared" si="996"/>
        <v>99056478.651789516</v>
      </c>
      <c r="S704">
        <f t="shared" si="997"/>
        <v>990.56478651789519</v>
      </c>
      <c r="T704">
        <f t="shared" si="998"/>
        <v>0.99056478651789515</v>
      </c>
    </row>
    <row r="705" spans="1:20" x14ac:dyDescent="0.25">
      <c r="A705" s="5">
        <v>43888</v>
      </c>
      <c r="B705">
        <v>3.5648</v>
      </c>
      <c r="C705">
        <v>4.1319999999999997</v>
      </c>
      <c r="D705">
        <v>3.4197000000000002</v>
      </c>
      <c r="E705">
        <v>3.9579</v>
      </c>
      <c r="F705">
        <v>19252934.550000001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0.51116102765688665</v>
      </c>
      <c r="Q705">
        <f t="shared" si="995"/>
        <v>9841349.8099887781</v>
      </c>
      <c r="R705">
        <f t="shared" si="996"/>
        <v>86648528.214077547</v>
      </c>
      <c r="S705">
        <f t="shared" si="997"/>
        <v>866.48528214077544</v>
      </c>
      <c r="T705">
        <f t="shared" si="998"/>
        <v>0.86648528214077547</v>
      </c>
    </row>
    <row r="706" spans="1:20" x14ac:dyDescent="0.25">
      <c r="A706" s="5">
        <v>43887</v>
      </c>
      <c r="B706">
        <v>3.4874000000000001</v>
      </c>
      <c r="C706">
        <v>3.8586999999999998</v>
      </c>
      <c r="D706">
        <v>3.3113000000000001</v>
      </c>
      <c r="E706">
        <v>3.5648</v>
      </c>
      <c r="F706">
        <v>22248039.550000001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-7.3803434417245184E-2</v>
      </c>
      <c r="Q706">
        <f t="shared" si="995"/>
        <v>-1641981.727840702</v>
      </c>
      <c r="R706">
        <f t="shared" si="996"/>
        <v>76807178.404088765</v>
      </c>
      <c r="S706">
        <f t="shared" si="997"/>
        <v>768.07178404088768</v>
      </c>
      <c r="T706">
        <f t="shared" si="998"/>
        <v>0.76807178404088772</v>
      </c>
    </row>
    <row r="707" spans="1:20" x14ac:dyDescent="0.25">
      <c r="A707" s="5">
        <v>43886</v>
      </c>
      <c r="B707">
        <v>3.9178999999999999</v>
      </c>
      <c r="C707">
        <v>3.96</v>
      </c>
      <c r="D707">
        <v>3.4864000000000002</v>
      </c>
      <c r="E707">
        <v>3.4904999999999999</v>
      </c>
      <c r="F707">
        <v>12394531.52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-0.98268581081081174</v>
      </c>
      <c r="Q707">
        <f t="shared" si="995"/>
        <v>-12179930.256351363</v>
      </c>
      <c r="R707">
        <f t="shared" si="996"/>
        <v>78449160.131929472</v>
      </c>
      <c r="S707">
        <f t="shared" si="997"/>
        <v>784.49160131929477</v>
      </c>
      <c r="T707">
        <f t="shared" si="998"/>
        <v>0.78449160131929474</v>
      </c>
    </row>
    <row r="708" spans="1:20" x14ac:dyDescent="0.25">
      <c r="A708" s="5">
        <v>43885</v>
      </c>
      <c r="B708">
        <v>4.2366000000000001</v>
      </c>
      <c r="C708">
        <v>4.2870999999999997</v>
      </c>
      <c r="D708">
        <v>3.7915999999999999</v>
      </c>
      <c r="E708">
        <v>3.9148000000000001</v>
      </c>
      <c r="F708">
        <v>8591286.0700000003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-0.50272452068617457</v>
      </c>
      <c r="Q708">
        <f t="shared" si="995"/>
        <v>-4319050.1716185585</v>
      </c>
      <c r="R708">
        <f t="shared" si="996"/>
        <v>90629090.388280839</v>
      </c>
      <c r="S708">
        <f t="shared" si="997"/>
        <v>906.29090388280838</v>
      </c>
      <c r="T708">
        <f t="shared" si="998"/>
        <v>0.90629090388280842</v>
      </c>
    </row>
    <row r="709" spans="1:20" x14ac:dyDescent="0.25">
      <c r="A709" s="5">
        <v>43884</v>
      </c>
      <c r="B709">
        <v>4.1006</v>
      </c>
      <c r="C709">
        <v>4.3768000000000002</v>
      </c>
      <c r="D709">
        <v>4.0693000000000001</v>
      </c>
      <c r="E709">
        <v>4.2365000000000004</v>
      </c>
      <c r="F709">
        <v>5652318.2400000002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8.7479674796749132E-2</v>
      </c>
      <c r="Q709">
        <f t="shared" si="995"/>
        <v>494462.96148293343</v>
      </c>
      <c r="R709">
        <f t="shared" si="996"/>
        <v>94948140.55989939</v>
      </c>
      <c r="S709">
        <f t="shared" si="997"/>
        <v>949.48140559899389</v>
      </c>
      <c r="T709">
        <f t="shared" si="998"/>
        <v>0.94948140559899386</v>
      </c>
    </row>
    <row r="710" spans="1:20" x14ac:dyDescent="0.25">
      <c r="A710" s="5">
        <v>43883</v>
      </c>
      <c r="B710">
        <v>4.2789000000000001</v>
      </c>
      <c r="C710">
        <v>4.3499999999999996</v>
      </c>
      <c r="D710">
        <v>4.0331999999999999</v>
      </c>
      <c r="E710">
        <v>4.1066000000000003</v>
      </c>
      <c r="F710">
        <v>6716454.0199999996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-0.53661616161615899</v>
      </c>
      <c r="Q710">
        <f t="shared" ref="Q710:Q766" si="1000">F710*P710</f>
        <v>-3604157.7758838204</v>
      </c>
      <c r="R710">
        <f t="shared" ref="R710:R766" si="1001">R711+Q710</f>
        <v>94453677.598416463</v>
      </c>
      <c r="S710">
        <f t="shared" ref="S710:S766" si="1002">R710/100000</f>
        <v>944.53677598416459</v>
      </c>
      <c r="T710">
        <f t="shared" ref="T710:T766" si="1003">S710/1000</f>
        <v>0.94453677598416463</v>
      </c>
    </row>
    <row r="711" spans="1:20" x14ac:dyDescent="0.25">
      <c r="A711" s="5">
        <v>43882</v>
      </c>
      <c r="B711">
        <v>4.2666000000000004</v>
      </c>
      <c r="C711">
        <v>4.5126999999999997</v>
      </c>
      <c r="D711">
        <v>4.1840000000000002</v>
      </c>
      <c r="E711">
        <v>4.2778</v>
      </c>
      <c r="F711">
        <v>7730080.2000000002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-0.42926680864009725</v>
      </c>
      <c r="Q711">
        <f t="shared" si="1000"/>
        <v>-3318266.8579860046</v>
      </c>
      <c r="R711">
        <f t="shared" si="1001"/>
        <v>98057835.374300286</v>
      </c>
      <c r="S711">
        <f t="shared" si="1002"/>
        <v>980.57835374300282</v>
      </c>
      <c r="T711">
        <f t="shared" si="1003"/>
        <v>0.98057835374300284</v>
      </c>
    </row>
    <row r="712" spans="1:20" x14ac:dyDescent="0.25">
      <c r="A712" s="5">
        <v>43881</v>
      </c>
      <c r="B712">
        <v>4.3840000000000003</v>
      </c>
      <c r="C712">
        <v>4.4865000000000004</v>
      </c>
      <c r="D712">
        <v>4.0673000000000004</v>
      </c>
      <c r="E712">
        <v>4.2644000000000002</v>
      </c>
      <c r="F712">
        <v>11478760.65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-5.9637404580153514E-2</v>
      </c>
      <c r="Q712">
        <f t="shared" si="1000"/>
        <v>-684563.49296279589</v>
      </c>
      <c r="R712">
        <f t="shared" si="1001"/>
        <v>101376102.23228629</v>
      </c>
      <c r="S712">
        <f t="shared" si="1002"/>
        <v>1013.7610223228629</v>
      </c>
      <c r="T712">
        <f t="shared" si="1003"/>
        <v>1.0137610223228628</v>
      </c>
    </row>
    <row r="713" spans="1:20" x14ac:dyDescent="0.25">
      <c r="A713" s="5">
        <v>43880</v>
      </c>
      <c r="B713">
        <v>4.5538999999999996</v>
      </c>
      <c r="C713">
        <v>4.8354999999999997</v>
      </c>
      <c r="D713">
        <v>4.1929999999999996</v>
      </c>
      <c r="E713">
        <v>4.3872999999999998</v>
      </c>
      <c r="F713">
        <v>10109760.48</v>
      </c>
      <c r="G713">
        <v>0</v>
      </c>
      <c r="L713" t="s">
        <v>8</v>
      </c>
      <c r="M713" t="s">
        <v>8</v>
      </c>
      <c r="N713" t="s">
        <v>8</v>
      </c>
      <c r="P713">
        <f t="shared" si="999"/>
        <v>-0.39517509727626421</v>
      </c>
      <c r="Q713">
        <f t="shared" si="1000"/>
        <v>-3995125.5811237316</v>
      </c>
      <c r="R713">
        <f t="shared" si="1001"/>
        <v>102060665.72524908</v>
      </c>
      <c r="S713">
        <f t="shared" si="1002"/>
        <v>1020.6066572524908</v>
      </c>
      <c r="T713">
        <f t="shared" si="1003"/>
        <v>1.0206066572524908</v>
      </c>
    </row>
    <row r="714" spans="1:20" x14ac:dyDescent="0.25">
      <c r="A714" s="5">
        <v>43879</v>
      </c>
      <c r="B714">
        <v>4.3059000000000003</v>
      </c>
      <c r="C714">
        <v>4.6360000000000001</v>
      </c>
      <c r="D714">
        <v>4.1416000000000004</v>
      </c>
      <c r="E714">
        <v>4.5522999999999998</v>
      </c>
      <c r="F714">
        <v>11931206.57</v>
      </c>
      <c r="G714">
        <v>0</v>
      </c>
      <c r="L714" t="s">
        <v>8</v>
      </c>
      <c r="M714" t="s">
        <v>8</v>
      </c>
      <c r="N714" t="s">
        <v>8</v>
      </c>
      <c r="P714">
        <f t="shared" si="999"/>
        <v>0.66140776699028969</v>
      </c>
      <c r="Q714">
        <f t="shared" si="1000"/>
        <v>7891392.6949635735</v>
      </c>
      <c r="R714">
        <f t="shared" si="1001"/>
        <v>106055791.30637281</v>
      </c>
      <c r="S714">
        <f t="shared" si="1002"/>
        <v>1060.5579130637282</v>
      </c>
      <c r="T714">
        <f t="shared" si="1003"/>
        <v>1.0605579130637282</v>
      </c>
    </row>
    <row r="715" spans="1:20" x14ac:dyDescent="0.25">
      <c r="A715" s="5">
        <v>43878</v>
      </c>
      <c r="B715">
        <v>4.4562999999999997</v>
      </c>
      <c r="C715">
        <v>4.5522</v>
      </c>
      <c r="D715">
        <v>3.8449</v>
      </c>
      <c r="E715">
        <v>4.3108000000000004</v>
      </c>
      <c r="F715">
        <v>19343142.25</v>
      </c>
      <c r="G715">
        <v>0</v>
      </c>
      <c r="L715" t="s">
        <v>7</v>
      </c>
      <c r="M715" t="s">
        <v>7</v>
      </c>
      <c r="N715" t="s">
        <v>8</v>
      </c>
      <c r="P715">
        <f t="shared" si="999"/>
        <v>0.31740421320514745</v>
      </c>
      <c r="Q715">
        <f t="shared" si="1000"/>
        <v>6139594.8467764957</v>
      </c>
      <c r="R715">
        <f t="shared" si="1001"/>
        <v>98164398.611409232</v>
      </c>
      <c r="S715">
        <f t="shared" si="1002"/>
        <v>981.64398611409229</v>
      </c>
      <c r="T715">
        <f t="shared" si="1003"/>
        <v>0.98164398611409232</v>
      </c>
    </row>
    <row r="716" spans="1:20" x14ac:dyDescent="0.25">
      <c r="A716" s="5">
        <v>43877</v>
      </c>
      <c r="B716">
        <v>4.3215000000000003</v>
      </c>
      <c r="C716">
        <v>4.8670999999999998</v>
      </c>
      <c r="D716">
        <v>4.0384000000000002</v>
      </c>
      <c r="E716">
        <v>4.4565999999999999</v>
      </c>
      <c r="F716">
        <v>22171359.690000001</v>
      </c>
      <c r="G716">
        <v>0</v>
      </c>
      <c r="L716" t="s">
        <v>8</v>
      </c>
      <c r="M716" t="s">
        <v>8</v>
      </c>
      <c r="N716" t="s">
        <v>8</v>
      </c>
      <c r="P716">
        <f t="shared" si="999"/>
        <v>9.2916616387110195E-3</v>
      </c>
      <c r="Q716">
        <f t="shared" si="1000"/>
        <v>206008.77230963684</v>
      </c>
      <c r="R716">
        <f t="shared" si="1001"/>
        <v>92024803.764632732</v>
      </c>
      <c r="S716">
        <f t="shared" si="1002"/>
        <v>920.24803764632736</v>
      </c>
      <c r="T716">
        <f t="shared" si="1003"/>
        <v>0.92024803764632734</v>
      </c>
    </row>
    <row r="717" spans="1:20" x14ac:dyDescent="0.25">
      <c r="A717" s="5">
        <v>43876</v>
      </c>
      <c r="B717">
        <v>4.4261999999999997</v>
      </c>
      <c r="C717">
        <v>4.6210000000000004</v>
      </c>
      <c r="D717">
        <v>4.0650000000000004</v>
      </c>
      <c r="E717">
        <v>4.3240999999999996</v>
      </c>
      <c r="F717">
        <v>15608978.060000001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-6.7985611510794255E-2</v>
      </c>
      <c r="Q717">
        <f t="shared" si="1000"/>
        <v>-1061185.9184676709</v>
      </c>
      <c r="R717">
        <f t="shared" si="1001"/>
        <v>91818794.992323101</v>
      </c>
      <c r="S717">
        <f t="shared" si="1002"/>
        <v>918.18794992323103</v>
      </c>
      <c r="T717">
        <f t="shared" si="1003"/>
        <v>0.91818794992323105</v>
      </c>
    </row>
    <row r="718" spans="1:20" x14ac:dyDescent="0.25">
      <c r="A718" s="5">
        <v>43875</v>
      </c>
      <c r="B718">
        <v>3.8753000000000002</v>
      </c>
      <c r="C718">
        <v>4.4870000000000001</v>
      </c>
      <c r="D718">
        <v>3.7873000000000001</v>
      </c>
      <c r="E718">
        <v>4.4260000000000002</v>
      </c>
      <c r="F718">
        <v>10369344.949999999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0.82563955981134785</v>
      </c>
      <c r="Q718">
        <f t="shared" si="1000"/>
        <v>8561341.4000500217</v>
      </c>
      <c r="R718">
        <f t="shared" si="1001"/>
        <v>92879980.910790771</v>
      </c>
      <c r="S718">
        <f t="shared" si="1002"/>
        <v>928.79980910790766</v>
      </c>
      <c r="T718">
        <f t="shared" si="1003"/>
        <v>0.92879980910790771</v>
      </c>
    </row>
    <row r="719" spans="1:20" x14ac:dyDescent="0.25">
      <c r="A719" s="5">
        <v>43874</v>
      </c>
      <c r="B719">
        <v>3.9929999999999999</v>
      </c>
      <c r="C719">
        <v>4.1147</v>
      </c>
      <c r="D719">
        <v>3.7122999999999999</v>
      </c>
      <c r="E719">
        <v>3.8765000000000001</v>
      </c>
      <c r="F719">
        <v>8232595.29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-0.18389662027832959</v>
      </c>
      <c r="Q719">
        <f t="shared" si="1000"/>
        <v>-1513946.4499502948</v>
      </c>
      <c r="R719">
        <f t="shared" si="1001"/>
        <v>84318639.510740742</v>
      </c>
      <c r="S719">
        <f t="shared" si="1002"/>
        <v>843.18639510740741</v>
      </c>
      <c r="T719">
        <f t="shared" si="1003"/>
        <v>0.84318639510740745</v>
      </c>
    </row>
    <row r="720" spans="1:20" x14ac:dyDescent="0.25">
      <c r="A720" s="5">
        <v>43873</v>
      </c>
      <c r="B720">
        <v>3.9937</v>
      </c>
      <c r="C720">
        <v>4.2</v>
      </c>
      <c r="D720">
        <v>3.8472</v>
      </c>
      <c r="E720">
        <v>3.9952999999999999</v>
      </c>
      <c r="F720">
        <v>13673147.310000001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-0.16043083900226868</v>
      </c>
      <c r="Q720">
        <f t="shared" si="1000"/>
        <v>-2193594.4947449132</v>
      </c>
      <c r="R720">
        <f t="shared" si="1001"/>
        <v>85832585.960691035</v>
      </c>
      <c r="S720">
        <f t="shared" si="1002"/>
        <v>858.3258596069104</v>
      </c>
      <c r="T720">
        <f t="shared" si="1003"/>
        <v>0.85832585960691044</v>
      </c>
    </row>
    <row r="721" spans="1:20" x14ac:dyDescent="0.25">
      <c r="A721" s="5">
        <v>43872</v>
      </c>
      <c r="B721">
        <v>3.3874</v>
      </c>
      <c r="C721">
        <v>3.9964</v>
      </c>
      <c r="D721">
        <v>3.35</v>
      </c>
      <c r="E721">
        <v>3.9931000000000001</v>
      </c>
      <c r="F721">
        <v>11780106.07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0.9897896039603965</v>
      </c>
      <c r="Q721">
        <f t="shared" si="1000"/>
        <v>11659826.521636764</v>
      </c>
      <c r="R721">
        <f t="shared" si="1001"/>
        <v>88026180.455435947</v>
      </c>
      <c r="S721">
        <f t="shared" si="1002"/>
        <v>880.26180455435951</v>
      </c>
      <c r="T721">
        <f t="shared" si="1003"/>
        <v>0.88026180455435954</v>
      </c>
    </row>
    <row r="722" spans="1:20" x14ac:dyDescent="0.25">
      <c r="A722" s="5">
        <v>43871</v>
      </c>
      <c r="B722">
        <v>3.4927000000000001</v>
      </c>
      <c r="C722">
        <v>3.4971999999999999</v>
      </c>
      <c r="D722">
        <v>3.2806000000000002</v>
      </c>
      <c r="E722">
        <v>3.3862000000000001</v>
      </c>
      <c r="F722">
        <v>6758374.3499999996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-2.4930747922437015E-2</v>
      </c>
      <c r="Q722">
        <f t="shared" si="1000"/>
        <v>-168491.3272853141</v>
      </c>
      <c r="R722">
        <f t="shared" si="1001"/>
        <v>76366353.933799177</v>
      </c>
      <c r="S722">
        <f t="shared" si="1002"/>
        <v>763.66353933799178</v>
      </c>
      <c r="T722">
        <f t="shared" si="1003"/>
        <v>0.7636635393379918</v>
      </c>
    </row>
    <row r="723" spans="1:20" x14ac:dyDescent="0.25">
      <c r="A723" s="5">
        <v>43870</v>
      </c>
      <c r="B723">
        <v>3.4178999999999999</v>
      </c>
      <c r="C723">
        <v>3.4984000000000002</v>
      </c>
      <c r="D723">
        <v>3.2330000000000001</v>
      </c>
      <c r="E723">
        <v>3.4944999999999999</v>
      </c>
      <c r="F723">
        <v>6151025.5599999996</v>
      </c>
      <c r="G723">
        <v>0</v>
      </c>
      <c r="L723" t="s">
        <v>7</v>
      </c>
      <c r="M723" t="s">
        <v>8</v>
      </c>
      <c r="N723" t="s">
        <v>8</v>
      </c>
      <c r="P723">
        <f t="shared" si="999"/>
        <v>0.97061039939713467</v>
      </c>
      <c r="Q723">
        <f t="shared" si="1000"/>
        <v>5970249.3754935833</v>
      </c>
      <c r="R723">
        <f t="shared" si="1001"/>
        <v>76534845.261084497</v>
      </c>
      <c r="S723">
        <f t="shared" si="1002"/>
        <v>765.34845261084502</v>
      </c>
      <c r="T723">
        <f t="shared" si="1003"/>
        <v>0.76534845261084505</v>
      </c>
    </row>
    <row r="724" spans="1:20" x14ac:dyDescent="0.25">
      <c r="A724" s="5">
        <v>43869</v>
      </c>
      <c r="B724">
        <v>3.3071000000000002</v>
      </c>
      <c r="C724">
        <v>3.4864999999999999</v>
      </c>
      <c r="D724">
        <v>3.1309999999999998</v>
      </c>
      <c r="E724">
        <v>3.4171</v>
      </c>
      <c r="F724">
        <v>10059760.550000001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0.60956399437412168</v>
      </c>
      <c r="Q724">
        <f t="shared" si="1000"/>
        <v>6132067.823305212</v>
      </c>
      <c r="R724">
        <f t="shared" si="1001"/>
        <v>70564595.885590911</v>
      </c>
      <c r="S724">
        <f t="shared" si="1002"/>
        <v>705.64595885590916</v>
      </c>
      <c r="T724">
        <f t="shared" si="1003"/>
        <v>0.70564595885590919</v>
      </c>
    </row>
    <row r="725" spans="1:20" x14ac:dyDescent="0.25">
      <c r="A725" s="5">
        <v>43868</v>
      </c>
      <c r="B725">
        <v>2.89</v>
      </c>
      <c r="C725">
        <v>3.3681999999999999</v>
      </c>
      <c r="D725">
        <v>2.8881999999999999</v>
      </c>
      <c r="E725">
        <v>3.3071999999999999</v>
      </c>
      <c r="F725">
        <v>14840163.74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0.74583333333333357</v>
      </c>
      <c r="Q725">
        <f t="shared" si="1000"/>
        <v>11068288.789416671</v>
      </c>
      <c r="R725">
        <f t="shared" si="1001"/>
        <v>64432528.062285699</v>
      </c>
      <c r="S725">
        <f t="shared" si="1002"/>
        <v>644.32528062285701</v>
      </c>
      <c r="T725">
        <f t="shared" si="1003"/>
        <v>0.64432528062285699</v>
      </c>
    </row>
    <row r="726" spans="1:20" x14ac:dyDescent="0.25">
      <c r="A726" s="5">
        <v>43867</v>
      </c>
      <c r="B726">
        <v>2.8359999999999999</v>
      </c>
      <c r="C726">
        <v>2.9436</v>
      </c>
      <c r="D726">
        <v>2.79</v>
      </c>
      <c r="E726">
        <v>2.89</v>
      </c>
      <c r="F726">
        <v>4383200.46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0.30208333333333481</v>
      </c>
      <c r="Q726">
        <f t="shared" si="1000"/>
        <v>1324091.8056250066</v>
      </c>
      <c r="R726">
        <f t="shared" si="1001"/>
        <v>53364239.272869028</v>
      </c>
      <c r="S726">
        <f t="shared" si="1002"/>
        <v>533.64239272869031</v>
      </c>
      <c r="T726">
        <f t="shared" si="1003"/>
        <v>0.5336423927286903</v>
      </c>
    </row>
    <row r="727" spans="1:20" x14ac:dyDescent="0.25">
      <c r="A727" s="5">
        <v>43866</v>
      </c>
      <c r="B727">
        <v>2.7397</v>
      </c>
      <c r="C727">
        <v>2.8845000000000001</v>
      </c>
      <c r="D727">
        <v>2.7261000000000002</v>
      </c>
      <c r="E727">
        <v>2.839</v>
      </c>
      <c r="F727">
        <v>4267689.22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0.42550505050504883</v>
      </c>
      <c r="Q727">
        <f t="shared" si="1000"/>
        <v>1815923.3170959523</v>
      </c>
      <c r="R727">
        <f t="shared" si="1001"/>
        <v>52040147.467244022</v>
      </c>
      <c r="S727">
        <f t="shared" si="1002"/>
        <v>520.40147467244026</v>
      </c>
      <c r="T727">
        <f t="shared" si="1003"/>
        <v>0.52040147467244025</v>
      </c>
    </row>
    <row r="728" spans="1:20" x14ac:dyDescent="0.25">
      <c r="A728" s="5">
        <v>43865</v>
      </c>
      <c r="B728">
        <v>2.7713000000000001</v>
      </c>
      <c r="C728">
        <v>2.8037999999999998</v>
      </c>
      <c r="D728">
        <v>2.6751</v>
      </c>
      <c r="E728">
        <v>2.7395</v>
      </c>
      <c r="F728">
        <v>4494415.8899999997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7.7700077700241783E-4</v>
      </c>
      <c r="Q728">
        <f t="shared" si="1000"/>
        <v>3492.1646387020132</v>
      </c>
      <c r="R728">
        <f t="shared" si="1001"/>
        <v>50224224.150148071</v>
      </c>
      <c r="S728">
        <f t="shared" si="1002"/>
        <v>502.24224150148069</v>
      </c>
      <c r="T728">
        <f t="shared" si="1003"/>
        <v>0.50224224150148067</v>
      </c>
    </row>
    <row r="729" spans="1:20" x14ac:dyDescent="0.25">
      <c r="A729" s="5">
        <v>43864</v>
      </c>
      <c r="B729">
        <v>2.8224999999999998</v>
      </c>
      <c r="C729">
        <v>2.879</v>
      </c>
      <c r="D729">
        <v>2.7450999999999999</v>
      </c>
      <c r="E729">
        <v>2.7709999999999999</v>
      </c>
      <c r="F729">
        <v>3106758.86</v>
      </c>
      <c r="G729">
        <v>0</v>
      </c>
      <c r="L729" t="s">
        <v>7</v>
      </c>
      <c r="M729" t="s">
        <v>8</v>
      </c>
      <c r="N729" t="s">
        <v>8</v>
      </c>
      <c r="P729">
        <f t="shared" si="999"/>
        <v>-0.61314413741598195</v>
      </c>
      <c r="Q729">
        <f t="shared" si="1000"/>
        <v>-1904890.9813741595</v>
      </c>
      <c r="R729">
        <f t="shared" si="1001"/>
        <v>50220731.985509366</v>
      </c>
      <c r="S729">
        <f t="shared" si="1002"/>
        <v>502.20731985509366</v>
      </c>
      <c r="T729">
        <f t="shared" si="1003"/>
        <v>0.5022073198550937</v>
      </c>
    </row>
    <row r="730" spans="1:20" x14ac:dyDescent="0.25">
      <c r="A730" s="5">
        <v>43863</v>
      </c>
      <c r="B730">
        <v>2.8372000000000002</v>
      </c>
      <c r="C730">
        <v>2.8868999999999998</v>
      </c>
      <c r="D730">
        <v>2.7313999999999998</v>
      </c>
      <c r="E730">
        <v>2.8267000000000002</v>
      </c>
      <c r="F730">
        <v>3442889.59</v>
      </c>
      <c r="G730">
        <v>0</v>
      </c>
      <c r="L730" t="s">
        <v>7</v>
      </c>
      <c r="M730" t="s">
        <v>8</v>
      </c>
      <c r="N730" t="s">
        <v>8</v>
      </c>
      <c r="P730">
        <f t="shared" si="999"/>
        <v>0.22572347266881546</v>
      </c>
      <c r="Q730">
        <f t="shared" si="1000"/>
        <v>777140.99427011423</v>
      </c>
      <c r="R730">
        <f t="shared" si="1001"/>
        <v>52125622.966883525</v>
      </c>
      <c r="S730">
        <f t="shared" si="1002"/>
        <v>521.2562296688352</v>
      </c>
      <c r="T730">
        <f t="shared" si="1003"/>
        <v>0.52125622966883522</v>
      </c>
    </row>
    <row r="731" spans="1:20" x14ac:dyDescent="0.25">
      <c r="A731" s="5">
        <v>43862</v>
      </c>
      <c r="B731">
        <v>2.8258000000000001</v>
      </c>
      <c r="C731">
        <v>2.88</v>
      </c>
      <c r="D731">
        <v>2.7437999999999998</v>
      </c>
      <c r="E731">
        <v>2.8378000000000001</v>
      </c>
      <c r="F731">
        <v>2737541.77</v>
      </c>
      <c r="G731">
        <v>0</v>
      </c>
      <c r="L731" t="s">
        <v>7</v>
      </c>
      <c r="M731" t="s">
        <v>8</v>
      </c>
      <c r="N731" t="s">
        <v>8</v>
      </c>
      <c r="P731">
        <f t="shared" si="999"/>
        <v>0.38032305433186842</v>
      </c>
      <c r="Q731">
        <f t="shared" si="1000"/>
        <v>1041150.2473274693</v>
      </c>
      <c r="R731">
        <f t="shared" si="1001"/>
        <v>51348481.972613409</v>
      </c>
      <c r="S731">
        <f t="shared" si="1002"/>
        <v>513.48481972613411</v>
      </c>
      <c r="T731">
        <f t="shared" si="1003"/>
        <v>0.51348481972613413</v>
      </c>
    </row>
    <row r="732" spans="1:20" x14ac:dyDescent="0.25">
      <c r="A732" s="5">
        <v>43861</v>
      </c>
      <c r="B732">
        <v>2.9119999999999999</v>
      </c>
      <c r="C732">
        <v>2.9152999999999998</v>
      </c>
      <c r="D732">
        <v>2.7627999999999999</v>
      </c>
      <c r="E732">
        <v>2.8258999999999999</v>
      </c>
      <c r="F732">
        <v>3910431.21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-0.17245901639344272</v>
      </c>
      <c r="Q732">
        <f t="shared" si="1000"/>
        <v>-674389.12015082</v>
      </c>
      <c r="R732">
        <f t="shared" si="1001"/>
        <v>50307331.72528594</v>
      </c>
      <c r="S732">
        <f t="shared" si="1002"/>
        <v>503.0733172528594</v>
      </c>
      <c r="T732">
        <f t="shared" si="1003"/>
        <v>0.50307331725285942</v>
      </c>
    </row>
    <row r="733" spans="1:20" x14ac:dyDescent="0.25">
      <c r="A733" s="5">
        <v>43860</v>
      </c>
      <c r="B733">
        <v>2.7785000000000002</v>
      </c>
      <c r="C733">
        <v>2.9481999999999999</v>
      </c>
      <c r="D733">
        <v>2.7166999999999999</v>
      </c>
      <c r="E733">
        <v>2.9156</v>
      </c>
      <c r="F733">
        <v>5780750.0199999996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0.71835853131749494</v>
      </c>
      <c r="Q733">
        <f t="shared" si="1000"/>
        <v>4152651.0942807794</v>
      </c>
      <c r="R733">
        <f t="shared" si="1001"/>
        <v>50981720.845436759</v>
      </c>
      <c r="S733">
        <f t="shared" si="1002"/>
        <v>509.81720845436757</v>
      </c>
      <c r="T733">
        <f t="shared" si="1003"/>
        <v>0.50981720845436762</v>
      </c>
    </row>
    <row r="734" spans="1:20" x14ac:dyDescent="0.25">
      <c r="A734" s="5">
        <v>43859</v>
      </c>
      <c r="B734">
        <v>2.6543999999999999</v>
      </c>
      <c r="C734">
        <v>2.8348</v>
      </c>
      <c r="D734">
        <v>2.6316000000000002</v>
      </c>
      <c r="E734">
        <v>2.7772999999999999</v>
      </c>
      <c r="F734">
        <v>5269667.72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0.43405511811023467</v>
      </c>
      <c r="Q734">
        <f t="shared" si="1000"/>
        <v>2287326.2446062909</v>
      </c>
      <c r="R734">
        <f t="shared" si="1001"/>
        <v>46829069.75115598</v>
      </c>
      <c r="S734">
        <f t="shared" si="1002"/>
        <v>468.29069751155981</v>
      </c>
      <c r="T734">
        <f t="shared" si="1003"/>
        <v>0.46829069751155983</v>
      </c>
    </row>
    <row r="735" spans="1:20" x14ac:dyDescent="0.25">
      <c r="A735" s="5">
        <v>43858</v>
      </c>
      <c r="B735">
        <v>2.6051000000000002</v>
      </c>
      <c r="C735">
        <v>2.67</v>
      </c>
      <c r="D735">
        <v>2.5868000000000002</v>
      </c>
      <c r="E735">
        <v>2.6558000000000002</v>
      </c>
      <c r="F735">
        <v>3113588.17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0.65865384615385059</v>
      </c>
      <c r="Q735">
        <f t="shared" si="1000"/>
        <v>2050776.8235096291</v>
      </c>
      <c r="R735">
        <f t="shared" si="1001"/>
        <v>44541743.506549686</v>
      </c>
      <c r="S735">
        <f t="shared" si="1002"/>
        <v>445.41743506549687</v>
      </c>
      <c r="T735">
        <f t="shared" si="1003"/>
        <v>0.44541743506549686</v>
      </c>
    </row>
    <row r="736" spans="1:20" x14ac:dyDescent="0.25">
      <c r="A736" s="5">
        <v>43857</v>
      </c>
      <c r="B736">
        <v>2.5764</v>
      </c>
      <c r="C736">
        <v>2.6764000000000001</v>
      </c>
      <c r="D736">
        <v>2.5655999999999999</v>
      </c>
      <c r="E736">
        <v>2.6055000000000001</v>
      </c>
      <c r="F736">
        <v>3426087.65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-0.2797833935018017</v>
      </c>
      <c r="Q736">
        <f t="shared" si="1000"/>
        <v>-958562.42915161303</v>
      </c>
      <c r="R736">
        <f t="shared" si="1001"/>
        <v>42490966.68304006</v>
      </c>
      <c r="S736">
        <f t="shared" si="1002"/>
        <v>424.90966683040062</v>
      </c>
      <c r="T736">
        <f t="shared" si="1003"/>
        <v>0.4249096668304006</v>
      </c>
    </row>
    <row r="737" spans="1:20" x14ac:dyDescent="0.25">
      <c r="A737" s="5">
        <v>43856</v>
      </c>
      <c r="B737">
        <v>2.4424999999999999</v>
      </c>
      <c r="C737">
        <v>2.5764</v>
      </c>
      <c r="D737">
        <v>2.4266000000000001</v>
      </c>
      <c r="E737">
        <v>2.5764</v>
      </c>
      <c r="F737">
        <v>1936836.47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1</v>
      </c>
      <c r="Q737">
        <f t="shared" si="1000"/>
        <v>1936836.47</v>
      </c>
      <c r="R737">
        <f t="shared" si="1001"/>
        <v>43449529.11219167</v>
      </c>
      <c r="S737">
        <f t="shared" si="1002"/>
        <v>434.49529112191669</v>
      </c>
      <c r="T737">
        <f t="shared" si="1003"/>
        <v>0.4344952911219167</v>
      </c>
    </row>
    <row r="738" spans="1:20" x14ac:dyDescent="0.25">
      <c r="A738" s="5">
        <v>43855</v>
      </c>
      <c r="B738">
        <v>2.5024000000000002</v>
      </c>
      <c r="C738">
        <v>2.5099999999999998</v>
      </c>
      <c r="D738">
        <v>2.4209999999999998</v>
      </c>
      <c r="E738">
        <v>2.4468000000000001</v>
      </c>
      <c r="F738">
        <v>1881931.46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-0.42022471910111736</v>
      </c>
      <c r="Q738">
        <f t="shared" si="1000"/>
        <v>-790834.11914605566</v>
      </c>
      <c r="R738">
        <f t="shared" si="1001"/>
        <v>41512692.642191671</v>
      </c>
      <c r="S738">
        <f t="shared" si="1002"/>
        <v>415.12692642191672</v>
      </c>
      <c r="T738">
        <f t="shared" si="1003"/>
        <v>0.41512692642191673</v>
      </c>
    </row>
    <row r="739" spans="1:20" x14ac:dyDescent="0.25">
      <c r="A739" s="5">
        <v>43854</v>
      </c>
      <c r="B739">
        <v>2.4695</v>
      </c>
      <c r="C739">
        <v>2.5329999999999999</v>
      </c>
      <c r="D739">
        <v>2.3637999999999999</v>
      </c>
      <c r="E739">
        <v>2.5024000000000002</v>
      </c>
      <c r="F739">
        <v>4161651.97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0.63829787234042867</v>
      </c>
      <c r="Q739">
        <f t="shared" si="1000"/>
        <v>2656373.5978723536</v>
      </c>
      <c r="R739">
        <f t="shared" si="1001"/>
        <v>42303526.761337727</v>
      </c>
      <c r="S739">
        <f t="shared" si="1002"/>
        <v>423.0352676133773</v>
      </c>
      <c r="T739">
        <f t="shared" si="1003"/>
        <v>0.42303526761337729</v>
      </c>
    </row>
    <row r="740" spans="1:20" x14ac:dyDescent="0.25">
      <c r="A740" s="5">
        <v>43853</v>
      </c>
      <c r="B740">
        <v>2.6425000000000001</v>
      </c>
      <c r="C740">
        <v>2.6469999999999998</v>
      </c>
      <c r="D740">
        <v>2.4256000000000002</v>
      </c>
      <c r="E740">
        <v>2.4698000000000002</v>
      </c>
      <c r="F740">
        <v>4806803.21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-0.60072267389340472</v>
      </c>
      <c r="Q740">
        <f t="shared" si="1000"/>
        <v>-2887555.6771906009</v>
      </c>
      <c r="R740">
        <f t="shared" si="1001"/>
        <v>39647153.163465373</v>
      </c>
      <c r="S740">
        <f t="shared" si="1002"/>
        <v>396.47153163465373</v>
      </c>
      <c r="T740">
        <f t="shared" si="1003"/>
        <v>0.39647153163465371</v>
      </c>
    </row>
    <row r="741" spans="1:20" x14ac:dyDescent="0.25">
      <c r="A741" s="5">
        <v>43852</v>
      </c>
      <c r="B741">
        <v>2.6724000000000001</v>
      </c>
      <c r="C741">
        <v>2.6978</v>
      </c>
      <c r="D741">
        <v>2.6187</v>
      </c>
      <c r="E741">
        <v>2.6425999999999998</v>
      </c>
      <c r="F741">
        <v>1637205.02</v>
      </c>
      <c r="G741">
        <v>0</v>
      </c>
      <c r="L741" t="s">
        <v>7</v>
      </c>
      <c r="M741" t="s">
        <v>8</v>
      </c>
      <c r="N741" t="s">
        <v>8</v>
      </c>
      <c r="P741">
        <f t="shared" si="999"/>
        <v>-0.39570164348925851</v>
      </c>
      <c r="Q741">
        <f t="shared" si="1000"/>
        <v>-647844.71714286436</v>
      </c>
      <c r="R741">
        <f t="shared" si="1001"/>
        <v>42534708.840655975</v>
      </c>
      <c r="S741">
        <f t="shared" si="1002"/>
        <v>425.34708840655975</v>
      </c>
      <c r="T741">
        <f t="shared" si="1003"/>
        <v>0.42534708840655977</v>
      </c>
    </row>
    <row r="742" spans="1:20" x14ac:dyDescent="0.25">
      <c r="A742" s="5">
        <v>43851</v>
      </c>
      <c r="B742">
        <v>2.6880999999999999</v>
      </c>
      <c r="C742">
        <v>2.7440000000000002</v>
      </c>
      <c r="D742">
        <v>2.57</v>
      </c>
      <c r="E742">
        <v>2.6716000000000002</v>
      </c>
      <c r="F742">
        <v>3244654.09</v>
      </c>
      <c r="G742">
        <v>0</v>
      </c>
      <c r="L742" t="s">
        <v>7</v>
      </c>
      <c r="M742" t="s">
        <v>8</v>
      </c>
      <c r="N742" t="s">
        <v>8</v>
      </c>
      <c r="P742">
        <f t="shared" si="999"/>
        <v>0.16781609195402455</v>
      </c>
      <c r="Q742">
        <f t="shared" si="1000"/>
        <v>544505.16912644182</v>
      </c>
      <c r="R742">
        <f t="shared" si="1001"/>
        <v>43182553.55779884</v>
      </c>
      <c r="S742">
        <f t="shared" si="1002"/>
        <v>431.82553557798838</v>
      </c>
      <c r="T742">
        <f t="shared" si="1003"/>
        <v>0.43182553557798836</v>
      </c>
    </row>
    <row r="743" spans="1:20" x14ac:dyDescent="0.25">
      <c r="A743" s="5">
        <v>43850</v>
      </c>
      <c r="B743">
        <v>2.6206999999999998</v>
      </c>
      <c r="C743">
        <v>2.7443</v>
      </c>
      <c r="D743">
        <v>2.5425</v>
      </c>
      <c r="E743">
        <v>2.6880000000000002</v>
      </c>
      <c r="F743">
        <v>4142689.53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0.44202180376610706</v>
      </c>
      <c r="Q743">
        <f t="shared" si="1000"/>
        <v>1831159.0984935663</v>
      </c>
      <c r="R743">
        <f t="shared" si="1001"/>
        <v>42638048.388672397</v>
      </c>
      <c r="S743">
        <f t="shared" si="1002"/>
        <v>426.38048388672399</v>
      </c>
      <c r="T743">
        <f t="shared" si="1003"/>
        <v>0.426380483886724</v>
      </c>
    </row>
    <row r="744" spans="1:20" x14ac:dyDescent="0.25">
      <c r="A744" s="5">
        <v>43849</v>
      </c>
      <c r="B744">
        <v>2.7749000000000001</v>
      </c>
      <c r="C744">
        <v>2.8475000000000001</v>
      </c>
      <c r="D744">
        <v>2.5385</v>
      </c>
      <c r="E744">
        <v>2.6212</v>
      </c>
      <c r="F744">
        <v>6650884.7800000003</v>
      </c>
      <c r="G744">
        <v>0</v>
      </c>
      <c r="L744" t="s">
        <v>8</v>
      </c>
      <c r="M744" t="s">
        <v>8</v>
      </c>
      <c r="N744" t="s">
        <v>8</v>
      </c>
      <c r="P744">
        <f t="shared" si="999"/>
        <v>-0.46472491909385144</v>
      </c>
      <c r="Q744">
        <f t="shared" si="1000"/>
        <v>-3090831.8912880281</v>
      </c>
      <c r="R744">
        <f t="shared" si="1001"/>
        <v>40806889.290178828</v>
      </c>
      <c r="S744">
        <f t="shared" si="1002"/>
        <v>408.06889290178827</v>
      </c>
      <c r="T744">
        <f t="shared" si="1003"/>
        <v>0.40806889290178827</v>
      </c>
    </row>
    <row r="745" spans="1:20" x14ac:dyDescent="0.25">
      <c r="A745" s="5">
        <v>43848</v>
      </c>
      <c r="B745">
        <v>2.7006000000000001</v>
      </c>
      <c r="C745">
        <v>2.7946</v>
      </c>
      <c r="D745">
        <v>2.58</v>
      </c>
      <c r="E745">
        <v>2.7709000000000001</v>
      </c>
      <c r="F745">
        <v>4502826.05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0.77912395153774605</v>
      </c>
      <c r="Q745">
        <f t="shared" si="1000"/>
        <v>3508259.6251631002</v>
      </c>
      <c r="R745">
        <f t="shared" si="1001"/>
        <v>43897721.181466855</v>
      </c>
      <c r="S745">
        <f t="shared" si="1002"/>
        <v>438.97721181466858</v>
      </c>
      <c r="T745">
        <f t="shared" si="1003"/>
        <v>0.43897721181466859</v>
      </c>
    </row>
    <row r="746" spans="1:20" x14ac:dyDescent="0.25">
      <c r="A746" s="5">
        <v>43847</v>
      </c>
      <c r="B746">
        <v>2.4923999999999999</v>
      </c>
      <c r="C746">
        <v>2.86</v>
      </c>
      <c r="D746">
        <v>2.4588999999999999</v>
      </c>
      <c r="E746">
        <v>2.7006000000000001</v>
      </c>
      <c r="F746">
        <v>12221911.1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0.20518573921715402</v>
      </c>
      <c r="Q746">
        <f t="shared" si="1000"/>
        <v>2507761.8636998399</v>
      </c>
      <c r="R746">
        <f t="shared" si="1001"/>
        <v>40389461.556303754</v>
      </c>
      <c r="S746">
        <f t="shared" si="1002"/>
        <v>403.89461556303752</v>
      </c>
      <c r="T746">
        <f t="shared" si="1003"/>
        <v>0.40389461556303752</v>
      </c>
    </row>
    <row r="747" spans="1:20" x14ac:dyDescent="0.25">
      <c r="A747" s="5">
        <v>43846</v>
      </c>
      <c r="B747">
        <v>2.3990999999999998</v>
      </c>
      <c r="C747">
        <v>2.5099999999999998</v>
      </c>
      <c r="D747">
        <v>2.2932000000000001</v>
      </c>
      <c r="E747">
        <v>2.4925000000000002</v>
      </c>
      <c r="F747">
        <v>4944704.42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0.83856088560885933</v>
      </c>
      <c r="Q747">
        <f t="shared" si="1000"/>
        <v>4146435.7175092408</v>
      </c>
      <c r="R747">
        <f t="shared" si="1001"/>
        <v>37881699.692603916</v>
      </c>
      <c r="S747">
        <f t="shared" si="1002"/>
        <v>378.81699692603917</v>
      </c>
      <c r="T747">
        <f t="shared" si="1003"/>
        <v>0.37881699692603915</v>
      </c>
    </row>
    <row r="748" spans="1:20" x14ac:dyDescent="0.25">
      <c r="A748" s="5">
        <v>43845</v>
      </c>
      <c r="B748">
        <v>2.3751000000000002</v>
      </c>
      <c r="C748">
        <v>2.5604</v>
      </c>
      <c r="D748">
        <v>2.3332000000000002</v>
      </c>
      <c r="E748">
        <v>2.3953000000000002</v>
      </c>
      <c r="F748">
        <v>6414464.8600000003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-0.45334507042253447</v>
      </c>
      <c r="Q748">
        <f t="shared" si="1000"/>
        <v>-2907966.0236795726</v>
      </c>
      <c r="R748">
        <f t="shared" si="1001"/>
        <v>33735263.975094676</v>
      </c>
      <c r="S748">
        <f t="shared" si="1002"/>
        <v>337.35263975094676</v>
      </c>
      <c r="T748">
        <f t="shared" si="1003"/>
        <v>0.33735263975094676</v>
      </c>
    </row>
    <row r="749" spans="1:20" x14ac:dyDescent="0.25">
      <c r="A749" s="5">
        <v>43844</v>
      </c>
      <c r="B749">
        <v>2.1903999999999999</v>
      </c>
      <c r="C749">
        <v>2.4701</v>
      </c>
      <c r="D749">
        <v>2.1791999999999998</v>
      </c>
      <c r="E749">
        <v>2.3751000000000002</v>
      </c>
      <c r="F749">
        <v>7062307.4400000004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0.34685458920591478</v>
      </c>
      <c r="Q749">
        <f t="shared" si="1000"/>
        <v>2449593.7459470755</v>
      </c>
      <c r="R749">
        <f t="shared" si="1001"/>
        <v>36643229.998774245</v>
      </c>
      <c r="S749">
        <f t="shared" si="1002"/>
        <v>366.43229998774245</v>
      </c>
      <c r="T749">
        <f t="shared" si="1003"/>
        <v>0.36643229998774246</v>
      </c>
    </row>
    <row r="750" spans="1:20" x14ac:dyDescent="0.25">
      <c r="A750" s="5">
        <v>43843</v>
      </c>
      <c r="B750">
        <v>2.2382</v>
      </c>
      <c r="C750">
        <v>2.2382</v>
      </c>
      <c r="D750">
        <v>2.1560999999999999</v>
      </c>
      <c r="E750">
        <v>2.1901000000000002</v>
      </c>
      <c r="F750">
        <v>1977335.23</v>
      </c>
      <c r="G750">
        <v>0</v>
      </c>
      <c r="L750" t="s">
        <v>7</v>
      </c>
      <c r="M750" t="s">
        <v>8</v>
      </c>
      <c r="N750" t="s">
        <v>8</v>
      </c>
      <c r="P750">
        <f t="shared" si="999"/>
        <v>-0.17174177831911749</v>
      </c>
      <c r="Q750">
        <f t="shared" si="1000"/>
        <v>-339591.06873324118</v>
      </c>
      <c r="R750">
        <f t="shared" si="1001"/>
        <v>34193636.252827168</v>
      </c>
      <c r="S750">
        <f t="shared" si="1002"/>
        <v>341.93636252827167</v>
      </c>
      <c r="T750">
        <f t="shared" si="1003"/>
        <v>0.3419363625282717</v>
      </c>
    </row>
    <row r="751" spans="1:20" x14ac:dyDescent="0.25">
      <c r="A751" s="5">
        <v>43842</v>
      </c>
      <c r="B751">
        <v>2.2730000000000001</v>
      </c>
      <c r="C751">
        <v>2.3212000000000002</v>
      </c>
      <c r="D751">
        <v>2.2120000000000002</v>
      </c>
      <c r="E751">
        <v>2.2383000000000002</v>
      </c>
      <c r="F751">
        <v>2502624.23</v>
      </c>
      <c r="G751">
        <v>0</v>
      </c>
      <c r="L751" t="s">
        <v>8</v>
      </c>
      <c r="M751" t="s">
        <v>8</v>
      </c>
      <c r="N751" t="s">
        <v>8</v>
      </c>
      <c r="P751">
        <f t="shared" si="999"/>
        <v>-0.51831501831501836</v>
      </c>
      <c r="Q751">
        <f t="shared" si="1000"/>
        <v>-1297147.7236080586</v>
      </c>
      <c r="R751">
        <f t="shared" si="1001"/>
        <v>34533227.321560405</v>
      </c>
      <c r="S751">
        <f t="shared" si="1002"/>
        <v>345.33227321560406</v>
      </c>
      <c r="T751">
        <f t="shared" si="1003"/>
        <v>0.34533227321560406</v>
      </c>
    </row>
    <row r="752" spans="1:20" x14ac:dyDescent="0.25">
      <c r="A752" s="5">
        <v>43841</v>
      </c>
      <c r="B752">
        <v>2.2254999999999998</v>
      </c>
      <c r="C752">
        <v>2.3450000000000002</v>
      </c>
      <c r="D752">
        <v>2.218</v>
      </c>
      <c r="E752">
        <v>2.2734000000000001</v>
      </c>
      <c r="F752">
        <v>4347105.0599999996</v>
      </c>
      <c r="G752">
        <v>0</v>
      </c>
      <c r="L752" t="s">
        <v>8</v>
      </c>
      <c r="M752" t="s">
        <v>8</v>
      </c>
      <c r="N752" t="s">
        <v>8</v>
      </c>
      <c r="P752">
        <f t="shared" si="999"/>
        <v>-0.12755905511810994</v>
      </c>
      <c r="Q752">
        <f t="shared" si="1000"/>
        <v>-554512.61395275453</v>
      </c>
      <c r="R752">
        <f t="shared" si="1001"/>
        <v>35830375.045168467</v>
      </c>
      <c r="S752">
        <f t="shared" si="1002"/>
        <v>358.30375045168466</v>
      </c>
      <c r="T752">
        <f t="shared" si="1003"/>
        <v>0.35830375045168467</v>
      </c>
    </row>
    <row r="753" spans="1:20" x14ac:dyDescent="0.25">
      <c r="A753" s="5">
        <v>43840</v>
      </c>
      <c r="B753">
        <v>2.1867000000000001</v>
      </c>
      <c r="C753">
        <v>2.2488999999999999</v>
      </c>
      <c r="D753">
        <v>2.1455000000000002</v>
      </c>
      <c r="E753">
        <v>2.2256999999999998</v>
      </c>
      <c r="F753">
        <v>4235526.03</v>
      </c>
      <c r="G753">
        <v>0</v>
      </c>
      <c r="L753" t="s">
        <v>7</v>
      </c>
      <c r="M753" t="s">
        <v>8</v>
      </c>
      <c r="N753" t="s">
        <v>8</v>
      </c>
      <c r="P753">
        <f t="shared" si="999"/>
        <v>0.55125725338490961</v>
      </c>
      <c r="Q753">
        <f t="shared" si="1000"/>
        <v>2334864.4459380903</v>
      </c>
      <c r="R753">
        <f t="shared" si="1001"/>
        <v>36384887.659121223</v>
      </c>
      <c r="S753">
        <f t="shared" si="1002"/>
        <v>363.84887659121222</v>
      </c>
      <c r="T753">
        <f t="shared" si="1003"/>
        <v>0.36384887659121223</v>
      </c>
    </row>
    <row r="754" spans="1:20" x14ac:dyDescent="0.25">
      <c r="A754" s="5">
        <v>43839</v>
      </c>
      <c r="B754">
        <v>2.1877</v>
      </c>
      <c r="C754">
        <v>2.2343999999999999</v>
      </c>
      <c r="D754">
        <v>2.0977000000000001</v>
      </c>
      <c r="E754">
        <v>2.1886000000000001</v>
      </c>
      <c r="F754">
        <v>5099844.97</v>
      </c>
      <c r="G754">
        <v>0</v>
      </c>
      <c r="L754" t="s">
        <v>7</v>
      </c>
      <c r="M754" t="s">
        <v>8</v>
      </c>
      <c r="N754" t="s">
        <v>8</v>
      </c>
      <c r="P754">
        <f t="shared" si="999"/>
        <v>0.3299195318215084</v>
      </c>
      <c r="Q754">
        <f t="shared" si="1000"/>
        <v>1682538.4648646745</v>
      </c>
      <c r="R754">
        <f t="shared" si="1001"/>
        <v>34050023.213183135</v>
      </c>
      <c r="S754">
        <f t="shared" si="1002"/>
        <v>340.50023213183135</v>
      </c>
      <c r="T754">
        <f t="shared" si="1003"/>
        <v>0.34050023213183134</v>
      </c>
    </row>
    <row r="755" spans="1:20" x14ac:dyDescent="0.25">
      <c r="A755" s="5">
        <v>43838</v>
      </c>
      <c r="B755">
        <v>2.1006</v>
      </c>
      <c r="C755">
        <v>2.3494999999999999</v>
      </c>
      <c r="D755">
        <v>2.1006</v>
      </c>
      <c r="E755">
        <v>2.1892</v>
      </c>
      <c r="F755">
        <v>12147661.699999999</v>
      </c>
      <c r="G755">
        <v>0</v>
      </c>
      <c r="L755" t="s">
        <v>8</v>
      </c>
      <c r="M755" t="s">
        <v>8</v>
      </c>
      <c r="N755" t="s">
        <v>8</v>
      </c>
      <c r="P755">
        <f t="shared" si="999"/>
        <v>-0.28806749698674128</v>
      </c>
      <c r="Q755">
        <f t="shared" si="1000"/>
        <v>-3499346.500160702</v>
      </c>
      <c r="R755">
        <f t="shared" si="1001"/>
        <v>32367484.748318464</v>
      </c>
      <c r="S755">
        <f t="shared" si="1002"/>
        <v>323.67484748318464</v>
      </c>
      <c r="T755">
        <f t="shared" si="1003"/>
        <v>0.32367484748318465</v>
      </c>
    </row>
    <row r="756" spans="1:20" x14ac:dyDescent="0.25">
      <c r="A756" s="5">
        <v>43837</v>
      </c>
      <c r="B756">
        <v>1.9373</v>
      </c>
      <c r="C756">
        <v>2.1398000000000001</v>
      </c>
      <c r="D756">
        <v>1.8993</v>
      </c>
      <c r="E756">
        <v>2.1032999999999999</v>
      </c>
      <c r="F756">
        <v>6873503.3899999997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0.69646569646569501</v>
      </c>
      <c r="Q756">
        <f t="shared" si="1000"/>
        <v>4787159.3256756654</v>
      </c>
      <c r="R756">
        <f t="shared" si="1001"/>
        <v>35866831.248479165</v>
      </c>
      <c r="S756">
        <f t="shared" si="1002"/>
        <v>358.66831248479167</v>
      </c>
      <c r="T756">
        <f t="shared" si="1003"/>
        <v>0.3586683124847917</v>
      </c>
    </row>
    <row r="757" spans="1:20" x14ac:dyDescent="0.25">
      <c r="A757" s="5">
        <v>43836</v>
      </c>
      <c r="B757">
        <v>1.7954000000000001</v>
      </c>
      <c r="C757">
        <v>1.9386000000000001</v>
      </c>
      <c r="D757">
        <v>1.7925</v>
      </c>
      <c r="E757">
        <v>1.9374</v>
      </c>
      <c r="F757">
        <v>3301261.66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0.98357289527720615</v>
      </c>
      <c r="Q757">
        <f t="shared" si="1000"/>
        <v>3247031.4889938361</v>
      </c>
      <c r="R757">
        <f t="shared" si="1001"/>
        <v>31079671.922803499</v>
      </c>
      <c r="S757">
        <f t="shared" si="1002"/>
        <v>310.79671922803499</v>
      </c>
      <c r="T757">
        <f t="shared" si="1003"/>
        <v>0.31079671922803498</v>
      </c>
    </row>
    <row r="758" spans="1:20" x14ac:dyDescent="0.25">
      <c r="A758" s="5">
        <v>43835</v>
      </c>
      <c r="B758">
        <v>1.8243</v>
      </c>
      <c r="C758">
        <v>1.8412999999999999</v>
      </c>
      <c r="D758">
        <v>1.7849999999999999</v>
      </c>
      <c r="E758">
        <v>1.7957000000000001</v>
      </c>
      <c r="F758">
        <v>1524717.4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-0.61989342806393777</v>
      </c>
      <c r="Q758">
        <f t="shared" si="1000"/>
        <v>-945162.29591473413</v>
      </c>
      <c r="R758">
        <f t="shared" si="1001"/>
        <v>27832640.433809664</v>
      </c>
      <c r="S758">
        <f t="shared" si="1002"/>
        <v>278.32640433809667</v>
      </c>
      <c r="T758">
        <f t="shared" si="1003"/>
        <v>0.27832640433809669</v>
      </c>
    </row>
    <row r="759" spans="1:20" x14ac:dyDescent="0.25">
      <c r="A759" s="5">
        <v>43834</v>
      </c>
      <c r="B759">
        <v>1.8029999999999999</v>
      </c>
      <c r="C759">
        <v>1.8446</v>
      </c>
      <c r="D759">
        <v>1.784</v>
      </c>
      <c r="E759">
        <v>1.8242</v>
      </c>
      <c r="F759">
        <v>1241322.81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0.32673267326732747</v>
      </c>
      <c r="Q759">
        <f t="shared" si="1000"/>
        <v>405580.72009901085</v>
      </c>
      <c r="R759">
        <f t="shared" si="1001"/>
        <v>28777802.7297244</v>
      </c>
      <c r="S759">
        <f t="shared" si="1002"/>
        <v>287.77802729724402</v>
      </c>
      <c r="T759">
        <f t="shared" si="1003"/>
        <v>0.287778027297244</v>
      </c>
    </row>
    <row r="760" spans="1:20" x14ac:dyDescent="0.25">
      <c r="A760" s="5">
        <v>43833</v>
      </c>
      <c r="B760">
        <v>1.7365999999999999</v>
      </c>
      <c r="C760">
        <v>1.8291999999999999</v>
      </c>
      <c r="D760">
        <v>1.7013</v>
      </c>
      <c r="E760">
        <v>1.804</v>
      </c>
      <c r="F760">
        <v>1789613.99</v>
      </c>
      <c r="G760">
        <v>0</v>
      </c>
      <c r="L760" t="s">
        <v>8</v>
      </c>
      <c r="M760" t="s">
        <v>8</v>
      </c>
      <c r="N760" t="s">
        <v>7</v>
      </c>
      <c r="P760">
        <f t="shared" si="999"/>
        <v>0.60594214229867227</v>
      </c>
      <c r="Q760">
        <f t="shared" si="1000"/>
        <v>1084402.5349882746</v>
      </c>
      <c r="R760">
        <f t="shared" si="1001"/>
        <v>28372222.00962539</v>
      </c>
      <c r="S760">
        <f t="shared" si="1002"/>
        <v>283.72222009625392</v>
      </c>
      <c r="T760">
        <f t="shared" si="1003"/>
        <v>0.28372222009625392</v>
      </c>
    </row>
    <row r="761" spans="1:20" x14ac:dyDescent="0.25">
      <c r="A761" s="5">
        <v>43832</v>
      </c>
      <c r="B761">
        <v>1.8109</v>
      </c>
      <c r="C761">
        <v>1.8164</v>
      </c>
      <c r="D761">
        <v>1.7064999999999999</v>
      </c>
      <c r="E761">
        <v>1.7365999999999999</v>
      </c>
      <c r="F761">
        <v>1422992.29</v>
      </c>
      <c r="G761">
        <v>0</v>
      </c>
      <c r="L761" t="s">
        <v>7</v>
      </c>
      <c r="M761" t="s">
        <v>8</v>
      </c>
      <c r="N761" t="s">
        <v>7</v>
      </c>
      <c r="P761">
        <f t="shared" si="999"/>
        <v>-0.45222929936305756</v>
      </c>
      <c r="Q761">
        <f t="shared" si="1000"/>
        <v>-643518.80630573281</v>
      </c>
      <c r="R761">
        <f t="shared" si="1001"/>
        <v>27287819.474637117</v>
      </c>
      <c r="S761">
        <f t="shared" si="1002"/>
        <v>272.87819474637115</v>
      </c>
      <c r="T761">
        <f t="shared" si="1003"/>
        <v>0.27287819474637115</v>
      </c>
    </row>
    <row r="762" spans="1:20" x14ac:dyDescent="0.25">
      <c r="A762" s="5">
        <v>43831</v>
      </c>
      <c r="B762">
        <v>1.7678</v>
      </c>
      <c r="C762">
        <v>1.8548</v>
      </c>
      <c r="D762">
        <v>1.7605999999999999</v>
      </c>
      <c r="E762">
        <v>1.8110999999999999</v>
      </c>
      <c r="F762">
        <v>1158748.32</v>
      </c>
      <c r="G762">
        <v>0</v>
      </c>
      <c r="L762" t="s">
        <v>7</v>
      </c>
      <c r="M762" t="s">
        <v>8</v>
      </c>
      <c r="N762" t="s">
        <v>7</v>
      </c>
      <c r="P762">
        <f t="shared" si="999"/>
        <v>7.2186836518045777E-2</v>
      </c>
      <c r="Q762">
        <f t="shared" si="1000"/>
        <v>83646.375541400193</v>
      </c>
      <c r="R762">
        <f t="shared" si="1001"/>
        <v>27931338.28094285</v>
      </c>
      <c r="S762">
        <f t="shared" si="1002"/>
        <v>279.3133828094285</v>
      </c>
      <c r="T762">
        <f t="shared" si="1003"/>
        <v>0.27931338280942852</v>
      </c>
    </row>
    <row r="763" spans="1:20" x14ac:dyDescent="0.25">
      <c r="A763" s="5">
        <v>43830</v>
      </c>
      <c r="B763">
        <v>1.8214999999999999</v>
      </c>
      <c r="C763">
        <v>1.8291999999999999</v>
      </c>
      <c r="D763">
        <v>1.754</v>
      </c>
      <c r="E763">
        <v>1.7673000000000001</v>
      </c>
      <c r="F763">
        <v>1637649.28</v>
      </c>
      <c r="G763">
        <v>0</v>
      </c>
      <c r="L763" t="s">
        <v>7</v>
      </c>
      <c r="M763" t="s">
        <v>8</v>
      </c>
      <c r="N763" t="s">
        <v>7</v>
      </c>
      <c r="P763">
        <f t="shared" si="999"/>
        <v>-0.64627659574467811</v>
      </c>
      <c r="Q763">
        <f t="shared" si="1000"/>
        <v>-1058374.4017021232</v>
      </c>
      <c r="R763">
        <f t="shared" si="1001"/>
        <v>27847691.90540145</v>
      </c>
      <c r="S763">
        <f t="shared" si="1002"/>
        <v>278.4769190540145</v>
      </c>
      <c r="T763">
        <f t="shared" si="1003"/>
        <v>0.2784769190540145</v>
      </c>
    </row>
    <row r="764" spans="1:20" x14ac:dyDescent="0.25">
      <c r="A764" s="5">
        <v>43829</v>
      </c>
      <c r="B764">
        <v>1.8979999999999999</v>
      </c>
      <c r="C764">
        <v>1.8979999999999999</v>
      </c>
      <c r="D764">
        <v>1.8071999999999999</v>
      </c>
      <c r="E764">
        <v>1.8243</v>
      </c>
      <c r="F764">
        <v>1099037.99</v>
      </c>
      <c r="G764">
        <v>0</v>
      </c>
      <c r="L764" t="s">
        <v>7</v>
      </c>
      <c r="M764" t="s">
        <v>8</v>
      </c>
      <c r="N764" t="s">
        <v>7</v>
      </c>
      <c r="P764">
        <f t="shared" si="999"/>
        <v>-0.62334801762114278</v>
      </c>
      <c r="Q764">
        <f t="shared" si="1000"/>
        <v>-685083.1523568253</v>
      </c>
      <c r="R764">
        <f t="shared" si="1001"/>
        <v>28906066.307103574</v>
      </c>
      <c r="S764">
        <f t="shared" si="1002"/>
        <v>289.06066307103572</v>
      </c>
      <c r="T764">
        <f t="shared" si="1003"/>
        <v>0.28906066307103573</v>
      </c>
    </row>
    <row r="765" spans="1:20" x14ac:dyDescent="0.25">
      <c r="A765" s="5">
        <v>43828</v>
      </c>
      <c r="B765">
        <v>1.8715999999999999</v>
      </c>
      <c r="C765">
        <v>1.92</v>
      </c>
      <c r="D765">
        <v>1.8444</v>
      </c>
      <c r="E765">
        <v>1.8976</v>
      </c>
      <c r="F765">
        <v>1411417.05</v>
      </c>
      <c r="G765">
        <v>0</v>
      </c>
      <c r="L765" t="s">
        <v>8</v>
      </c>
      <c r="M765" t="s">
        <v>8</v>
      </c>
      <c r="N765" t="s">
        <v>7</v>
      </c>
      <c r="P765">
        <f t="shared" si="999"/>
        <v>0.40740740740740716</v>
      </c>
      <c r="Q765">
        <f t="shared" si="1000"/>
        <v>575021.7611111108</v>
      </c>
      <c r="R765">
        <f t="shared" si="1001"/>
        <v>29591149.4594604</v>
      </c>
      <c r="S765">
        <f t="shared" si="1002"/>
        <v>295.91149459460399</v>
      </c>
      <c r="T765">
        <f t="shared" si="1003"/>
        <v>0.29591149459460397</v>
      </c>
    </row>
    <row r="766" spans="1:20" x14ac:dyDescent="0.25">
      <c r="A766" s="5">
        <v>43827</v>
      </c>
      <c r="B766">
        <v>1.8776999999999999</v>
      </c>
      <c r="C766">
        <v>1.8994</v>
      </c>
      <c r="D766">
        <v>1.8554999999999999</v>
      </c>
      <c r="E766">
        <v>1.8746</v>
      </c>
      <c r="F766">
        <v>1269364.7</v>
      </c>
      <c r="G766">
        <v>0</v>
      </c>
      <c r="L766" t="s">
        <v>8</v>
      </c>
      <c r="M766" t="s">
        <v>8</v>
      </c>
      <c r="N766" t="s">
        <v>7</v>
      </c>
      <c r="P766">
        <f t="shared" si="999"/>
        <v>-0.1298405466970344</v>
      </c>
      <c r="Q766">
        <f t="shared" si="1000"/>
        <v>-164815.00660591706</v>
      </c>
      <c r="R766">
        <f t="shared" si="1001"/>
        <v>29016127.69834929</v>
      </c>
      <c r="S766">
        <f t="shared" si="1002"/>
        <v>290.16127698349288</v>
      </c>
      <c r="T766">
        <f t="shared" si="1003"/>
        <v>0.29016127698349287</v>
      </c>
    </row>
    <row r="767" spans="1:20" x14ac:dyDescent="0.25">
      <c r="A767" s="5">
        <v>43826</v>
      </c>
      <c r="B767">
        <v>1.8537999999999999</v>
      </c>
      <c r="C767">
        <v>1.9298999999999999</v>
      </c>
      <c r="D767">
        <v>1.8434999999999999</v>
      </c>
      <c r="E767">
        <v>1.8751</v>
      </c>
      <c r="F767">
        <v>2417432.9300000002</v>
      </c>
      <c r="G767">
        <v>0</v>
      </c>
      <c r="L767" t="s">
        <v>8</v>
      </c>
      <c r="M767" t="s">
        <v>8</v>
      </c>
      <c r="N767" t="s">
        <v>7</v>
      </c>
      <c r="P767">
        <f t="shared" ref="P767:P830" si="1004">IF(C767=D767,0,((E767-D767)-(C767-E767))/(C767-D767))</f>
        <v>-0.2685185185185171</v>
      </c>
      <c r="Q767">
        <f t="shared" ref="Q767:Q830" si="1005">F767*P767</f>
        <v>-649125.50898147805</v>
      </c>
      <c r="R767">
        <f t="shared" ref="R767:R830" si="1006">R768+Q767</f>
        <v>29180942.704955205</v>
      </c>
      <c r="S767">
        <f t="shared" ref="S767:S830" si="1007">R767/100000</f>
        <v>291.80942704955203</v>
      </c>
      <c r="T767">
        <f t="shared" ref="T767:T830" si="1008">S767/1000</f>
        <v>0.29180942704955204</v>
      </c>
    </row>
    <row r="768" spans="1:20" x14ac:dyDescent="0.25">
      <c r="A768" s="5">
        <v>43825</v>
      </c>
      <c r="B768">
        <v>1.7836000000000001</v>
      </c>
      <c r="C768">
        <v>1.9603999999999999</v>
      </c>
      <c r="D768">
        <v>1.7702</v>
      </c>
      <c r="E768">
        <v>1.8539000000000001</v>
      </c>
      <c r="F768">
        <v>2674255.35</v>
      </c>
      <c r="G768">
        <v>0</v>
      </c>
      <c r="L768" t="s">
        <v>8</v>
      </c>
      <c r="M768" t="s">
        <v>8</v>
      </c>
      <c r="N768" t="s">
        <v>7</v>
      </c>
      <c r="P768">
        <f t="shared" si="1004"/>
        <v>-0.11987381703469883</v>
      </c>
      <c r="Q768">
        <f t="shared" si="1005"/>
        <v>-320573.19652996451</v>
      </c>
      <c r="R768">
        <f t="shared" si="1006"/>
        <v>29830068.213936683</v>
      </c>
      <c r="S768">
        <f t="shared" si="1007"/>
        <v>298.30068213936681</v>
      </c>
      <c r="T768">
        <f t="shared" si="1008"/>
        <v>0.29830068213936684</v>
      </c>
    </row>
    <row r="769" spans="1:20" x14ac:dyDescent="0.25">
      <c r="A769" s="5">
        <v>43824</v>
      </c>
      <c r="B769">
        <v>1.8433999999999999</v>
      </c>
      <c r="C769">
        <v>1.8462000000000001</v>
      </c>
      <c r="D769">
        <v>1.76</v>
      </c>
      <c r="E769">
        <v>1.7826</v>
      </c>
      <c r="F769">
        <v>1580097.4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-0.47563805104408496</v>
      </c>
      <c r="Q769">
        <f t="shared" si="1005"/>
        <v>-751554.44779582589</v>
      </c>
      <c r="R769">
        <f t="shared" si="1006"/>
        <v>30150641.410466649</v>
      </c>
      <c r="S769">
        <f t="shared" si="1007"/>
        <v>301.50641410466648</v>
      </c>
      <c r="T769">
        <f t="shared" si="1008"/>
        <v>0.3015064141046665</v>
      </c>
    </row>
    <row r="770" spans="1:20" x14ac:dyDescent="0.25">
      <c r="A770" s="5">
        <v>43823</v>
      </c>
      <c r="B770">
        <v>1.8637999999999999</v>
      </c>
      <c r="C770">
        <v>1.8854</v>
      </c>
      <c r="D770">
        <v>1.8153999999999999</v>
      </c>
      <c r="E770">
        <v>1.8434999999999999</v>
      </c>
      <c r="F770">
        <v>2279849.44</v>
      </c>
      <c r="G770">
        <v>0</v>
      </c>
      <c r="L770" t="s">
        <v>8</v>
      </c>
      <c r="M770" t="s">
        <v>8</v>
      </c>
      <c r="N770" t="s">
        <v>7</v>
      </c>
      <c r="P770">
        <f t="shared" si="1004"/>
        <v>-0.19714285714285745</v>
      </c>
      <c r="Q770">
        <f t="shared" si="1005"/>
        <v>-449456.03245714353</v>
      </c>
      <c r="R770">
        <f t="shared" si="1006"/>
        <v>30902195.858262476</v>
      </c>
      <c r="S770">
        <f t="shared" si="1007"/>
        <v>309.02195858262473</v>
      </c>
      <c r="T770">
        <f t="shared" si="1008"/>
        <v>0.30902195858262471</v>
      </c>
    </row>
    <row r="771" spans="1:20" x14ac:dyDescent="0.25">
      <c r="A771" s="5">
        <v>43822</v>
      </c>
      <c r="B771">
        <v>1.9167000000000001</v>
      </c>
      <c r="C771">
        <v>1.9532</v>
      </c>
      <c r="D771">
        <v>1.8460000000000001</v>
      </c>
      <c r="E771">
        <v>1.8629</v>
      </c>
      <c r="F771">
        <v>2832932.76</v>
      </c>
      <c r="G771">
        <v>0</v>
      </c>
      <c r="L771" t="s">
        <v>8</v>
      </c>
      <c r="M771" t="s">
        <v>8</v>
      </c>
      <c r="N771" t="s">
        <v>7</v>
      </c>
      <c r="P771">
        <f t="shared" si="1004"/>
        <v>-0.68470149253731494</v>
      </c>
      <c r="Q771">
        <f t="shared" si="1005"/>
        <v>-1939713.2890298548</v>
      </c>
      <c r="R771">
        <f t="shared" si="1006"/>
        <v>31351651.890719619</v>
      </c>
      <c r="S771">
        <f t="shared" si="1007"/>
        <v>313.5165189071962</v>
      </c>
      <c r="T771">
        <f t="shared" si="1008"/>
        <v>0.31351651890719617</v>
      </c>
    </row>
    <row r="772" spans="1:20" x14ac:dyDescent="0.25">
      <c r="A772" s="5">
        <v>43821</v>
      </c>
      <c r="B772">
        <v>1.8563000000000001</v>
      </c>
      <c r="C772">
        <v>1.94</v>
      </c>
      <c r="D772">
        <v>1.853</v>
      </c>
      <c r="E772">
        <v>1.9180999999999999</v>
      </c>
      <c r="F772">
        <v>2959721.12</v>
      </c>
      <c r="G772">
        <v>0</v>
      </c>
      <c r="L772" t="s">
        <v>8</v>
      </c>
      <c r="M772" t="s">
        <v>8</v>
      </c>
      <c r="N772" t="s">
        <v>7</v>
      </c>
      <c r="P772">
        <f t="shared" si="1004"/>
        <v>0.49655172413793014</v>
      </c>
      <c r="Q772">
        <f t="shared" si="1005"/>
        <v>1469654.6251034457</v>
      </c>
      <c r="R772">
        <f t="shared" si="1006"/>
        <v>33291365.179749474</v>
      </c>
      <c r="S772">
        <f t="shared" si="1007"/>
        <v>332.91365179749477</v>
      </c>
      <c r="T772">
        <f t="shared" si="1008"/>
        <v>0.33291365179749477</v>
      </c>
    </row>
    <row r="773" spans="1:20" x14ac:dyDescent="0.25">
      <c r="A773" s="5">
        <v>43820</v>
      </c>
      <c r="B773">
        <v>1.9181999999999999</v>
      </c>
      <c r="C773">
        <v>1.9204000000000001</v>
      </c>
      <c r="D773">
        <v>1.8544</v>
      </c>
      <c r="E773">
        <v>1.8574999999999999</v>
      </c>
      <c r="F773">
        <v>2246207.92</v>
      </c>
      <c r="G773">
        <v>0</v>
      </c>
      <c r="L773" t="s">
        <v>8</v>
      </c>
      <c r="M773" t="s">
        <v>8</v>
      </c>
      <c r="N773" t="s">
        <v>7</v>
      </c>
      <c r="P773">
        <f t="shared" si="1004"/>
        <v>-0.90606060606060979</v>
      </c>
      <c r="Q773">
        <f t="shared" si="1005"/>
        <v>-2035200.5093333416</v>
      </c>
      <c r="R773">
        <f t="shared" si="1006"/>
        <v>31821710.55464603</v>
      </c>
      <c r="S773">
        <f t="shared" si="1007"/>
        <v>318.21710554646029</v>
      </c>
      <c r="T773">
        <f t="shared" si="1008"/>
        <v>0.31821710554646027</v>
      </c>
    </row>
    <row r="774" spans="1:20" x14ac:dyDescent="0.25">
      <c r="A774" s="5">
        <v>43819</v>
      </c>
      <c r="B774">
        <v>1.8049999999999999</v>
      </c>
      <c r="C774">
        <v>1.9238</v>
      </c>
      <c r="D774">
        <v>1.7848999999999999</v>
      </c>
      <c r="E774">
        <v>1.9181999999999999</v>
      </c>
      <c r="F774">
        <v>3285479.38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0.91936645068394462</v>
      </c>
      <c r="Q774">
        <f t="shared" si="1005"/>
        <v>3020559.5163858868</v>
      </c>
      <c r="R774">
        <f t="shared" si="1006"/>
        <v>33856911.063979372</v>
      </c>
      <c r="S774">
        <f t="shared" si="1007"/>
        <v>338.56911063979373</v>
      </c>
      <c r="T774">
        <f t="shared" si="1008"/>
        <v>0.33856911063979372</v>
      </c>
    </row>
    <row r="775" spans="1:20" x14ac:dyDescent="0.25">
      <c r="A775" s="5">
        <v>43818</v>
      </c>
      <c r="B775">
        <v>1.8703000000000001</v>
      </c>
      <c r="C775">
        <v>1.8900999999999999</v>
      </c>
      <c r="D775">
        <v>1.7490000000000001</v>
      </c>
      <c r="E775">
        <v>1.8049999999999999</v>
      </c>
      <c r="F775">
        <v>5045402.58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-0.20623671155209192</v>
      </c>
      <c r="Q775">
        <f t="shared" si="1005"/>
        <v>-1040547.2365556404</v>
      </c>
      <c r="R775">
        <f t="shared" si="1006"/>
        <v>30836351.547593489</v>
      </c>
      <c r="S775">
        <f t="shared" si="1007"/>
        <v>308.36351547593489</v>
      </c>
      <c r="T775">
        <f t="shared" si="1008"/>
        <v>0.30836351547593488</v>
      </c>
    </row>
    <row r="776" spans="1:20" x14ac:dyDescent="0.25">
      <c r="A776" s="5">
        <v>43817</v>
      </c>
      <c r="B776">
        <v>1.7594000000000001</v>
      </c>
      <c r="C776">
        <v>1.8995</v>
      </c>
      <c r="D776">
        <v>1.5995999999999999</v>
      </c>
      <c r="E776">
        <v>1.8703000000000001</v>
      </c>
      <c r="F776">
        <v>8597518.3100000005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0.80526842280760325</v>
      </c>
      <c r="Q776">
        <f t="shared" si="1005"/>
        <v>6923310.0095531913</v>
      </c>
      <c r="R776">
        <f t="shared" si="1006"/>
        <v>31876898.784149129</v>
      </c>
      <c r="S776">
        <f t="shared" si="1007"/>
        <v>318.76898784149131</v>
      </c>
      <c r="T776">
        <f t="shared" si="1008"/>
        <v>0.31876898784149132</v>
      </c>
    </row>
    <row r="777" spans="1:20" x14ac:dyDescent="0.25">
      <c r="A777" s="5">
        <v>43816</v>
      </c>
      <c r="B777">
        <v>1.9704999999999999</v>
      </c>
      <c r="C777">
        <v>2.0024999999999999</v>
      </c>
      <c r="D777">
        <v>1.7</v>
      </c>
      <c r="E777">
        <v>1.7598</v>
      </c>
      <c r="F777">
        <v>7385844.6600000001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-0.6046280991735532</v>
      </c>
      <c r="Q777">
        <f t="shared" si="1005"/>
        <v>-4465689.2175669381</v>
      </c>
      <c r="R777">
        <f t="shared" si="1006"/>
        <v>24953588.774595939</v>
      </c>
      <c r="S777">
        <f t="shared" si="1007"/>
        <v>249.5358877459594</v>
      </c>
      <c r="T777">
        <f t="shared" si="1008"/>
        <v>0.24953588774595939</v>
      </c>
    </row>
    <row r="778" spans="1:20" x14ac:dyDescent="0.25">
      <c r="A778" s="5">
        <v>43815</v>
      </c>
      <c r="B778">
        <v>2.0722</v>
      </c>
      <c r="C778">
        <v>2.0872999999999999</v>
      </c>
      <c r="D778">
        <v>1.9670000000000001</v>
      </c>
      <c r="E778">
        <v>1.9751000000000001</v>
      </c>
      <c r="F778">
        <v>2569583.5699999998</v>
      </c>
      <c r="G778">
        <v>0</v>
      </c>
      <c r="L778" t="s">
        <v>8</v>
      </c>
      <c r="M778" t="s">
        <v>7</v>
      </c>
      <c r="N778" t="s">
        <v>7</v>
      </c>
      <c r="P778">
        <f t="shared" si="1004"/>
        <v>-0.86533665835411466</v>
      </c>
      <c r="Q778">
        <f t="shared" si="1005"/>
        <v>-2223554.859825436</v>
      </c>
      <c r="R778">
        <f t="shared" si="1006"/>
        <v>29419277.992162876</v>
      </c>
      <c r="S778">
        <f t="shared" si="1007"/>
        <v>294.19277992162876</v>
      </c>
      <c r="T778">
        <f t="shared" si="1008"/>
        <v>0.29419277992162873</v>
      </c>
    </row>
    <row r="779" spans="1:20" x14ac:dyDescent="0.25">
      <c r="A779" s="5">
        <v>43814</v>
      </c>
      <c r="B779">
        <v>1.9946999999999999</v>
      </c>
      <c r="C779">
        <v>2.1168</v>
      </c>
      <c r="D779">
        <v>1.9605999999999999</v>
      </c>
      <c r="E779">
        <v>2.0708000000000002</v>
      </c>
      <c r="F779">
        <v>2576084.2400000002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0.41101152368758276</v>
      </c>
      <c r="Q779">
        <f t="shared" si="1005"/>
        <v>1058800.3086299687</v>
      </c>
      <c r="R779">
        <f t="shared" si="1006"/>
        <v>31642832.851988312</v>
      </c>
      <c r="S779">
        <f t="shared" si="1007"/>
        <v>316.42832851988311</v>
      </c>
      <c r="T779">
        <f t="shared" si="1008"/>
        <v>0.31642832851988312</v>
      </c>
    </row>
    <row r="780" spans="1:20" x14ac:dyDescent="0.25">
      <c r="A780" s="5">
        <v>43813</v>
      </c>
      <c r="B780">
        <v>2.0712999999999999</v>
      </c>
      <c r="C780">
        <v>2.0933000000000002</v>
      </c>
      <c r="D780">
        <v>1.97</v>
      </c>
      <c r="E780">
        <v>1.9945999999999999</v>
      </c>
      <c r="F780">
        <v>1752984.19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-0.60097323600973374</v>
      </c>
      <c r="Q780">
        <f t="shared" si="1005"/>
        <v>-1053496.5813382019</v>
      </c>
      <c r="R780">
        <f t="shared" si="1006"/>
        <v>30584032.543358345</v>
      </c>
      <c r="S780">
        <f t="shared" si="1007"/>
        <v>305.84032543358347</v>
      </c>
      <c r="T780">
        <f t="shared" si="1008"/>
        <v>0.30584032543358347</v>
      </c>
    </row>
    <row r="781" spans="1:20" x14ac:dyDescent="0.25">
      <c r="A781" s="5">
        <v>43812</v>
      </c>
      <c r="B781">
        <v>2.1036999999999999</v>
      </c>
      <c r="C781">
        <v>2.121</v>
      </c>
      <c r="D781">
        <v>2.0575000000000001</v>
      </c>
      <c r="E781">
        <v>2.0709</v>
      </c>
      <c r="F781">
        <v>1963976.04</v>
      </c>
      <c r="G781">
        <v>0</v>
      </c>
      <c r="L781" t="s">
        <v>7</v>
      </c>
      <c r="M781" t="s">
        <v>8</v>
      </c>
      <c r="N781" t="s">
        <v>7</v>
      </c>
      <c r="P781">
        <f t="shared" si="1004"/>
        <v>-0.57795275590551565</v>
      </c>
      <c r="Q781">
        <f t="shared" si="1005"/>
        <v>-1135085.3648504012</v>
      </c>
      <c r="R781">
        <f t="shared" si="1006"/>
        <v>31637529.124696545</v>
      </c>
      <c r="S781">
        <f t="shared" si="1007"/>
        <v>316.37529124696545</v>
      </c>
      <c r="T781">
        <f t="shared" si="1008"/>
        <v>0.31637529124696545</v>
      </c>
    </row>
    <row r="782" spans="1:20" x14ac:dyDescent="0.25">
      <c r="A782" s="5">
        <v>43811</v>
      </c>
      <c r="B782">
        <v>2.1783999999999999</v>
      </c>
      <c r="C782">
        <v>2.1951000000000001</v>
      </c>
      <c r="D782">
        <v>2.0196999999999998</v>
      </c>
      <c r="E782">
        <v>2.1055999999999999</v>
      </c>
      <c r="F782">
        <v>4784990.28</v>
      </c>
      <c r="G782">
        <v>0</v>
      </c>
      <c r="L782" t="s">
        <v>7</v>
      </c>
      <c r="M782" t="s">
        <v>8</v>
      </c>
      <c r="N782" t="s">
        <v>7</v>
      </c>
      <c r="P782">
        <f t="shared" si="1004"/>
        <v>-2.0524515393386792E-2</v>
      </c>
      <c r="Q782">
        <f t="shared" si="1005"/>
        <v>-98209.606659066179</v>
      </c>
      <c r="R782">
        <f t="shared" si="1006"/>
        <v>32772614.489546947</v>
      </c>
      <c r="S782">
        <f t="shared" si="1007"/>
        <v>327.72614489546947</v>
      </c>
      <c r="T782">
        <f t="shared" si="1008"/>
        <v>0.32772614489546947</v>
      </c>
    </row>
    <row r="783" spans="1:20" x14ac:dyDescent="0.25">
      <c r="A783" s="5">
        <v>43810</v>
      </c>
      <c r="B783">
        <v>2.2654999999999998</v>
      </c>
      <c r="C783">
        <v>2.3041999999999998</v>
      </c>
      <c r="D783">
        <v>2.1469999999999998</v>
      </c>
      <c r="E783">
        <v>2.1785999999999999</v>
      </c>
      <c r="F783">
        <v>4814219.68</v>
      </c>
      <c r="G783">
        <v>0</v>
      </c>
      <c r="L783" t="s">
        <v>8</v>
      </c>
      <c r="M783" t="s">
        <v>8</v>
      </c>
      <c r="N783" t="s">
        <v>7</v>
      </c>
      <c r="P783">
        <f t="shared" si="1004"/>
        <v>-0.59796437659032986</v>
      </c>
      <c r="Q783">
        <f t="shared" si="1005"/>
        <v>-2878731.8697200972</v>
      </c>
      <c r="R783">
        <f t="shared" si="1006"/>
        <v>32870824.096206013</v>
      </c>
      <c r="S783">
        <f t="shared" si="1007"/>
        <v>328.70824096206013</v>
      </c>
      <c r="T783">
        <f t="shared" si="1008"/>
        <v>0.32870824096206014</v>
      </c>
    </row>
    <row r="784" spans="1:20" x14ac:dyDescent="0.25">
      <c r="A784" s="5">
        <v>43809</v>
      </c>
      <c r="B784">
        <v>2.0983000000000001</v>
      </c>
      <c r="C784">
        <v>2.2862</v>
      </c>
      <c r="D784">
        <v>2.0611000000000002</v>
      </c>
      <c r="E784">
        <v>2.2656999999999998</v>
      </c>
      <c r="F784">
        <v>10814539.15</v>
      </c>
      <c r="G784">
        <v>0</v>
      </c>
      <c r="L784" t="s">
        <v>8</v>
      </c>
      <c r="M784" t="s">
        <v>7</v>
      </c>
      <c r="N784" t="s">
        <v>7</v>
      </c>
      <c r="P784">
        <f t="shared" si="1004"/>
        <v>0.81785872945357441</v>
      </c>
      <c r="Q784">
        <f t="shared" si="1005"/>
        <v>8844765.2488449384</v>
      </c>
      <c r="R784">
        <f t="shared" si="1006"/>
        <v>35749555.965926111</v>
      </c>
      <c r="S784">
        <f t="shared" si="1007"/>
        <v>357.49555965926112</v>
      </c>
      <c r="T784">
        <f t="shared" si="1008"/>
        <v>0.35749555965926111</v>
      </c>
    </row>
    <row r="785" spans="1:20" x14ac:dyDescent="0.25">
      <c r="A785" s="5">
        <v>43808</v>
      </c>
      <c r="B785">
        <v>2.052</v>
      </c>
      <c r="C785">
        <v>2.0985</v>
      </c>
      <c r="D785">
        <v>2.0150999999999999</v>
      </c>
      <c r="E785">
        <v>2.0983999999999998</v>
      </c>
      <c r="F785">
        <v>2777749.05</v>
      </c>
      <c r="G785">
        <v>0</v>
      </c>
      <c r="L785" t="s">
        <v>8</v>
      </c>
      <c r="M785" t="s">
        <v>7</v>
      </c>
      <c r="N785" t="s">
        <v>7</v>
      </c>
      <c r="P785">
        <f t="shared" si="1004"/>
        <v>0.99760191846522273</v>
      </c>
      <c r="Q785">
        <f t="shared" si="1005"/>
        <v>2771087.7812949498</v>
      </c>
      <c r="R785">
        <f t="shared" si="1006"/>
        <v>26904790.717081171</v>
      </c>
      <c r="S785">
        <f t="shared" si="1007"/>
        <v>269.0479071708117</v>
      </c>
      <c r="T785">
        <f t="shared" si="1008"/>
        <v>0.26904790717081167</v>
      </c>
    </row>
    <row r="786" spans="1:20" x14ac:dyDescent="0.25">
      <c r="A786" s="5">
        <v>43807</v>
      </c>
      <c r="B786">
        <v>2.0402</v>
      </c>
      <c r="C786">
        <v>2.085</v>
      </c>
      <c r="D786">
        <v>2.0011999999999999</v>
      </c>
      <c r="E786">
        <v>2.0528</v>
      </c>
      <c r="F786">
        <v>2020725.98</v>
      </c>
      <c r="G786">
        <v>0</v>
      </c>
      <c r="L786" t="s">
        <v>8</v>
      </c>
      <c r="M786" t="s">
        <v>7</v>
      </c>
      <c r="N786" t="s">
        <v>7</v>
      </c>
      <c r="P786">
        <f t="shared" si="1004"/>
        <v>0.23150357995226803</v>
      </c>
      <c r="Q786">
        <f t="shared" si="1005"/>
        <v>467805.29847255518</v>
      </c>
      <c r="R786">
        <f t="shared" si="1006"/>
        <v>24133702.935786221</v>
      </c>
      <c r="S786">
        <f t="shared" si="1007"/>
        <v>241.33702935786221</v>
      </c>
      <c r="T786">
        <f t="shared" si="1008"/>
        <v>0.24133702935786222</v>
      </c>
    </row>
    <row r="787" spans="1:20" x14ac:dyDescent="0.25">
      <c r="A787" s="5">
        <v>43806</v>
      </c>
      <c r="B787">
        <v>2.0918000000000001</v>
      </c>
      <c r="C787">
        <v>2.1114000000000002</v>
      </c>
      <c r="D787">
        <v>2.0346000000000002</v>
      </c>
      <c r="E787">
        <v>2.044</v>
      </c>
      <c r="F787">
        <v>2405401.8199999998</v>
      </c>
      <c r="G787">
        <v>0</v>
      </c>
      <c r="L787" t="s">
        <v>8</v>
      </c>
      <c r="M787" t="s">
        <v>7</v>
      </c>
      <c r="N787" t="s">
        <v>7</v>
      </c>
      <c r="P787">
        <f t="shared" si="1004"/>
        <v>-0.75520833333333715</v>
      </c>
      <c r="Q787">
        <f t="shared" si="1005"/>
        <v>-1816579.4994791758</v>
      </c>
      <c r="R787">
        <f t="shared" si="1006"/>
        <v>23665897.637313668</v>
      </c>
      <c r="S787">
        <f t="shared" si="1007"/>
        <v>236.65897637313668</v>
      </c>
      <c r="T787">
        <f t="shared" si="1008"/>
        <v>0.23665897637313668</v>
      </c>
    </row>
    <row r="788" spans="1:20" x14ac:dyDescent="0.25">
      <c r="A788" s="5">
        <v>43805</v>
      </c>
      <c r="B788">
        <v>2.0059</v>
      </c>
      <c r="C788">
        <v>2.1042000000000001</v>
      </c>
      <c r="D788">
        <v>1.9684999999999999</v>
      </c>
      <c r="E788">
        <v>2.0943000000000001</v>
      </c>
      <c r="F788">
        <v>3859727.3</v>
      </c>
      <c r="G788">
        <v>0</v>
      </c>
      <c r="L788" t="s">
        <v>8</v>
      </c>
      <c r="M788" t="s">
        <v>7</v>
      </c>
      <c r="N788" t="s">
        <v>7</v>
      </c>
      <c r="P788">
        <f t="shared" si="1004"/>
        <v>0.85408990420044206</v>
      </c>
      <c r="Q788">
        <f t="shared" si="1005"/>
        <v>3296554.1198968305</v>
      </c>
      <c r="R788">
        <f t="shared" si="1006"/>
        <v>25482477.136792842</v>
      </c>
      <c r="S788">
        <f t="shared" si="1007"/>
        <v>254.82477136792843</v>
      </c>
      <c r="T788">
        <f t="shared" si="1008"/>
        <v>0.25482477136792842</v>
      </c>
    </row>
    <row r="789" spans="1:20" x14ac:dyDescent="0.25">
      <c r="A789" s="5">
        <v>43804</v>
      </c>
      <c r="B789">
        <v>2.0282</v>
      </c>
      <c r="C789">
        <v>2.0739999999999998</v>
      </c>
      <c r="D789">
        <v>1.9582999999999999</v>
      </c>
      <c r="E789">
        <v>2.0068000000000001</v>
      </c>
      <c r="F789">
        <v>5364919.99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-0.16162489196196636</v>
      </c>
      <c r="Q789">
        <f t="shared" si="1005"/>
        <v>-867104.6137683437</v>
      </c>
      <c r="R789">
        <f t="shared" si="1006"/>
        <v>22185923.016896013</v>
      </c>
      <c r="S789">
        <f t="shared" si="1007"/>
        <v>221.85923016896012</v>
      </c>
      <c r="T789">
        <f t="shared" si="1008"/>
        <v>0.22185923016896011</v>
      </c>
    </row>
    <row r="790" spans="1:20" x14ac:dyDescent="0.25">
      <c r="A790" s="5">
        <v>43803</v>
      </c>
      <c r="B790">
        <v>2.1221999999999999</v>
      </c>
      <c r="C790">
        <v>2.17</v>
      </c>
      <c r="D790">
        <v>2</v>
      </c>
      <c r="E790">
        <v>2.0289999999999999</v>
      </c>
      <c r="F790">
        <v>6597003.71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-0.65882352941176558</v>
      </c>
      <c r="Q790">
        <f t="shared" si="1005"/>
        <v>-4346261.2677647118</v>
      </c>
      <c r="R790">
        <f t="shared" si="1006"/>
        <v>23053027.630664356</v>
      </c>
      <c r="S790">
        <f t="shared" si="1007"/>
        <v>230.53027630664357</v>
      </c>
      <c r="T790">
        <f t="shared" si="1008"/>
        <v>0.23053027630664358</v>
      </c>
    </row>
    <row r="791" spans="1:20" x14ac:dyDescent="0.25">
      <c r="A791" s="5">
        <v>43802</v>
      </c>
      <c r="B791">
        <v>2.0912999999999999</v>
      </c>
      <c r="C791">
        <v>2.1890999999999998</v>
      </c>
      <c r="D791">
        <v>2.0579999999999998</v>
      </c>
      <c r="E791">
        <v>2.1221999999999999</v>
      </c>
      <c r="F791">
        <v>3779139.53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-2.0594965675056635E-2</v>
      </c>
      <c r="Q791">
        <f t="shared" si="1005"/>
        <v>-77831.248901599654</v>
      </c>
      <c r="R791">
        <f t="shared" si="1006"/>
        <v>27399288.89842907</v>
      </c>
      <c r="S791">
        <f t="shared" si="1007"/>
        <v>273.99288898429069</v>
      </c>
      <c r="T791">
        <f t="shared" si="1008"/>
        <v>0.27399288898429069</v>
      </c>
    </row>
    <row r="792" spans="1:20" x14ac:dyDescent="0.25">
      <c r="A792" s="5">
        <v>43801</v>
      </c>
      <c r="B792">
        <v>2.1634000000000002</v>
      </c>
      <c r="C792">
        <v>2.1659999999999999</v>
      </c>
      <c r="D792">
        <v>2.0524</v>
      </c>
      <c r="E792">
        <v>2.0911</v>
      </c>
      <c r="F792">
        <v>3655978.97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-0.31866197183098621</v>
      </c>
      <c r="Q792">
        <f t="shared" si="1005"/>
        <v>-1165021.4675528181</v>
      </c>
      <c r="R792">
        <f t="shared" si="1006"/>
        <v>27477120.147330668</v>
      </c>
      <c r="S792">
        <f t="shared" si="1007"/>
        <v>274.77120147330669</v>
      </c>
      <c r="T792">
        <f t="shared" si="1008"/>
        <v>0.27477120147330669</v>
      </c>
    </row>
    <row r="793" spans="1:20" x14ac:dyDescent="0.25">
      <c r="A793" s="5">
        <v>43800</v>
      </c>
      <c r="B793">
        <v>2.2360000000000002</v>
      </c>
      <c r="C793">
        <v>2.2385000000000002</v>
      </c>
      <c r="D793">
        <v>2.1274000000000002</v>
      </c>
      <c r="E793">
        <v>2.1638000000000002</v>
      </c>
      <c r="F793">
        <v>3517483.43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-0.34473447344734481</v>
      </c>
      <c r="Q793">
        <f t="shared" si="1005"/>
        <v>-1212597.7981008105</v>
      </c>
      <c r="R793">
        <f t="shared" si="1006"/>
        <v>28642141.614883486</v>
      </c>
      <c r="S793">
        <f t="shared" si="1007"/>
        <v>286.42141614883485</v>
      </c>
      <c r="T793">
        <f t="shared" si="1008"/>
        <v>0.28642141614883487</v>
      </c>
    </row>
    <row r="794" spans="1:20" x14ac:dyDescent="0.25">
      <c r="A794" s="5">
        <v>43799</v>
      </c>
      <c r="B794">
        <v>2.3403</v>
      </c>
      <c r="C794">
        <v>2.3437000000000001</v>
      </c>
      <c r="D794">
        <v>2.1943000000000001</v>
      </c>
      <c r="E794">
        <v>2.2372999999999998</v>
      </c>
      <c r="F794">
        <v>2921785.1</v>
      </c>
      <c r="G794">
        <v>0</v>
      </c>
      <c r="L794" t="s">
        <v>7</v>
      </c>
      <c r="M794" t="s">
        <v>7</v>
      </c>
      <c r="N794" t="s">
        <v>7</v>
      </c>
      <c r="P794">
        <f t="shared" si="1004"/>
        <v>-0.42436412315930772</v>
      </c>
      <c r="Q794">
        <f t="shared" si="1005"/>
        <v>-1239900.7720214303</v>
      </c>
      <c r="R794">
        <f t="shared" si="1006"/>
        <v>29854739.412984297</v>
      </c>
      <c r="S794">
        <f t="shared" si="1007"/>
        <v>298.54739412984298</v>
      </c>
      <c r="T794">
        <f t="shared" si="1008"/>
        <v>0.29854739412984299</v>
      </c>
    </row>
    <row r="795" spans="1:20" x14ac:dyDescent="0.25">
      <c r="A795" s="5">
        <v>43798</v>
      </c>
      <c r="B795">
        <v>2.2715999999999998</v>
      </c>
      <c r="C795">
        <v>2.3763000000000001</v>
      </c>
      <c r="D795">
        <v>2.2610999999999999</v>
      </c>
      <c r="E795">
        <v>2.3403</v>
      </c>
      <c r="F795">
        <v>4135940.21</v>
      </c>
      <c r="G795">
        <v>0</v>
      </c>
      <c r="L795" t="s">
        <v>8</v>
      </c>
      <c r="M795" t="s">
        <v>7</v>
      </c>
      <c r="N795" t="s">
        <v>7</v>
      </c>
      <c r="P795">
        <f t="shared" si="1004"/>
        <v>0.3750000000000005</v>
      </c>
      <c r="Q795">
        <f t="shared" si="1005"/>
        <v>1550977.578750002</v>
      </c>
      <c r="R795">
        <f t="shared" si="1006"/>
        <v>31094640.185005728</v>
      </c>
      <c r="S795">
        <f t="shared" si="1007"/>
        <v>310.94640185005727</v>
      </c>
      <c r="T795">
        <f t="shared" si="1008"/>
        <v>0.31094640185005729</v>
      </c>
    </row>
    <row r="796" spans="1:20" x14ac:dyDescent="0.25">
      <c r="A796" s="5">
        <v>43797</v>
      </c>
      <c r="B796">
        <v>2.2216</v>
      </c>
      <c r="C796">
        <v>2.3248000000000002</v>
      </c>
      <c r="D796">
        <v>2.1711</v>
      </c>
      <c r="E796">
        <v>2.2702</v>
      </c>
      <c r="F796">
        <v>4774519.93</v>
      </c>
      <c r="G796">
        <v>0</v>
      </c>
      <c r="L796" t="s">
        <v>8</v>
      </c>
      <c r="M796" t="s">
        <v>7</v>
      </c>
      <c r="N796" t="s">
        <v>7</v>
      </c>
      <c r="P796">
        <f t="shared" si="1004"/>
        <v>0.28952504879635466</v>
      </c>
      <c r="Q796">
        <f t="shared" si="1005"/>
        <v>1382343.1157124178</v>
      </c>
      <c r="R796">
        <f t="shared" si="1006"/>
        <v>29543662.606255725</v>
      </c>
      <c r="S796">
        <f t="shared" si="1007"/>
        <v>295.43662606255725</v>
      </c>
      <c r="T796">
        <f t="shared" si="1008"/>
        <v>0.29543662606255727</v>
      </c>
    </row>
    <row r="797" spans="1:20" x14ac:dyDescent="0.25">
      <c r="A797" s="5">
        <v>43796</v>
      </c>
      <c r="B797">
        <v>2.2437</v>
      </c>
      <c r="C797">
        <v>2.2881999999999998</v>
      </c>
      <c r="D797">
        <v>2.1002000000000001</v>
      </c>
      <c r="E797">
        <v>2.2242000000000002</v>
      </c>
      <c r="F797">
        <v>7877612.5199999996</v>
      </c>
      <c r="G797">
        <v>0</v>
      </c>
      <c r="L797" t="s">
        <v>7</v>
      </c>
      <c r="M797" t="s">
        <v>7</v>
      </c>
      <c r="N797" t="s">
        <v>7</v>
      </c>
      <c r="P797">
        <f t="shared" si="1004"/>
        <v>0.31914893617021589</v>
      </c>
      <c r="Q797">
        <f t="shared" si="1005"/>
        <v>2514131.6553191734</v>
      </c>
      <c r="R797">
        <f t="shared" si="1006"/>
        <v>28161319.490543306</v>
      </c>
      <c r="S797">
        <f t="shared" si="1007"/>
        <v>281.61319490543303</v>
      </c>
      <c r="T797">
        <f t="shared" si="1008"/>
        <v>0.28161319490543302</v>
      </c>
    </row>
    <row r="798" spans="1:20" x14ac:dyDescent="0.25">
      <c r="A798" s="5">
        <v>43795</v>
      </c>
      <c r="B798">
        <v>2.2553999999999998</v>
      </c>
      <c r="C798">
        <v>2.3578000000000001</v>
      </c>
      <c r="D798">
        <v>2.1459000000000001</v>
      </c>
      <c r="E798">
        <v>2.2423999999999999</v>
      </c>
      <c r="F798">
        <v>7541215.9199999999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-8.9193015573385381E-2</v>
      </c>
      <c r="Q798">
        <f t="shared" si="1005"/>
        <v>-672623.78899482172</v>
      </c>
      <c r="R798">
        <f t="shared" si="1006"/>
        <v>25647187.835224133</v>
      </c>
      <c r="S798">
        <f t="shared" si="1007"/>
        <v>256.47187835224133</v>
      </c>
      <c r="T798">
        <f t="shared" si="1008"/>
        <v>0.25647187835224133</v>
      </c>
    </row>
    <row r="799" spans="1:20" x14ac:dyDescent="0.25">
      <c r="A799" s="5">
        <v>43794</v>
      </c>
      <c r="B799">
        <v>2.2218</v>
      </c>
      <c r="C799">
        <v>2.3976000000000002</v>
      </c>
      <c r="D799">
        <v>2.02</v>
      </c>
      <c r="E799">
        <v>2.2523</v>
      </c>
      <c r="F799">
        <v>8169446.3899999997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0.23040254237288058</v>
      </c>
      <c r="Q799">
        <f t="shared" si="1005"/>
        <v>1882261.2180349512</v>
      </c>
      <c r="R799">
        <f t="shared" si="1006"/>
        <v>26319811.624218956</v>
      </c>
      <c r="S799">
        <f t="shared" si="1007"/>
        <v>263.19811624218954</v>
      </c>
      <c r="T799">
        <f t="shared" si="1008"/>
        <v>0.26319811624218953</v>
      </c>
    </row>
    <row r="800" spans="1:20" x14ac:dyDescent="0.25">
      <c r="A800" s="5">
        <v>43793</v>
      </c>
      <c r="B800">
        <v>2.4272</v>
      </c>
      <c r="C800">
        <v>2.4533</v>
      </c>
      <c r="D800">
        <v>2.2000000000000002</v>
      </c>
      <c r="E800">
        <v>2.2216</v>
      </c>
      <c r="F800">
        <v>4491218.33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-0.82945124358468336</v>
      </c>
      <c r="Q800">
        <f t="shared" si="1005"/>
        <v>-3725246.6290288251</v>
      </c>
      <c r="R800">
        <f t="shared" si="1006"/>
        <v>24437550.406184003</v>
      </c>
      <c r="S800">
        <f t="shared" si="1007"/>
        <v>244.37550406184002</v>
      </c>
      <c r="T800">
        <f t="shared" si="1008"/>
        <v>0.24437550406184003</v>
      </c>
    </row>
    <row r="801" spans="1:20" x14ac:dyDescent="0.25">
      <c r="A801" s="5">
        <v>43792</v>
      </c>
      <c r="B801">
        <v>2.3433999999999999</v>
      </c>
      <c r="C801">
        <v>2.4621</v>
      </c>
      <c r="D801">
        <v>2.2604000000000002</v>
      </c>
      <c r="E801">
        <v>2.4266000000000001</v>
      </c>
      <c r="F801">
        <v>4841617.12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0.64799206742687254</v>
      </c>
      <c r="Q801">
        <f t="shared" si="1005"/>
        <v>3137329.4872781406</v>
      </c>
      <c r="R801">
        <f t="shared" si="1006"/>
        <v>28162797.03521283</v>
      </c>
      <c r="S801">
        <f t="shared" si="1007"/>
        <v>281.62797035212827</v>
      </c>
      <c r="T801">
        <f t="shared" si="1008"/>
        <v>0.28162797035212828</v>
      </c>
    </row>
    <row r="802" spans="1:20" x14ac:dyDescent="0.25">
      <c r="A802" s="5">
        <v>43791</v>
      </c>
      <c r="B802">
        <v>2.5455999999999999</v>
      </c>
      <c r="C802">
        <v>2.5952000000000002</v>
      </c>
      <c r="D802">
        <v>2.1</v>
      </c>
      <c r="E802">
        <v>2.3466</v>
      </c>
      <c r="F802">
        <v>10793729.34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-4.0387722132476239E-3</v>
      </c>
      <c r="Q802">
        <f t="shared" si="1005"/>
        <v>-43593.414135707615</v>
      </c>
      <c r="R802">
        <f t="shared" si="1006"/>
        <v>25025467.547934689</v>
      </c>
      <c r="S802">
        <f t="shared" si="1007"/>
        <v>250.25467547934687</v>
      </c>
      <c r="T802">
        <f t="shared" si="1008"/>
        <v>0.25025467547934688</v>
      </c>
    </row>
    <row r="803" spans="1:20" x14ac:dyDescent="0.25">
      <c r="A803" s="5">
        <v>43790</v>
      </c>
      <c r="B803">
        <v>2.6983000000000001</v>
      </c>
      <c r="C803">
        <v>2.7153</v>
      </c>
      <c r="D803">
        <v>2.4710000000000001</v>
      </c>
      <c r="E803">
        <v>2.5455999999999999</v>
      </c>
      <c r="F803">
        <v>4566589.41</v>
      </c>
      <c r="G803">
        <v>0</v>
      </c>
      <c r="L803" t="s">
        <v>7</v>
      </c>
      <c r="M803" t="s">
        <v>7</v>
      </c>
      <c r="N803" t="s">
        <v>8</v>
      </c>
      <c r="P803">
        <f t="shared" si="1004"/>
        <v>-0.3892754809660271</v>
      </c>
      <c r="Q803">
        <f t="shared" si="1005"/>
        <v>-1777661.2889521159</v>
      </c>
      <c r="R803">
        <f t="shared" si="1006"/>
        <v>25069060.962070398</v>
      </c>
      <c r="S803">
        <f t="shared" si="1007"/>
        <v>250.69060962070398</v>
      </c>
      <c r="T803">
        <f t="shared" si="1008"/>
        <v>0.250690609620704</v>
      </c>
    </row>
    <row r="804" spans="1:20" x14ac:dyDescent="0.25">
      <c r="A804" s="5">
        <v>43789</v>
      </c>
      <c r="B804">
        <v>2.7279</v>
      </c>
      <c r="C804">
        <v>2.7957000000000001</v>
      </c>
      <c r="D804">
        <v>2.63</v>
      </c>
      <c r="E804">
        <v>2.6981999999999999</v>
      </c>
      <c r="F804">
        <v>3588766.35</v>
      </c>
      <c r="G804">
        <v>0</v>
      </c>
      <c r="L804" t="s">
        <v>8</v>
      </c>
      <c r="M804" t="s">
        <v>7</v>
      </c>
      <c r="N804" t="s">
        <v>8</v>
      </c>
      <c r="P804">
        <f t="shared" si="1004"/>
        <v>-0.17682558841279464</v>
      </c>
      <c r="Q804">
        <f t="shared" si="1005"/>
        <v>-634585.72151478729</v>
      </c>
      <c r="R804">
        <f t="shared" si="1006"/>
        <v>26846722.251022514</v>
      </c>
      <c r="S804">
        <f t="shared" si="1007"/>
        <v>268.46722251022516</v>
      </c>
      <c r="T804">
        <f t="shared" si="1008"/>
        <v>0.26846722251022515</v>
      </c>
    </row>
    <row r="805" spans="1:20" x14ac:dyDescent="0.25">
      <c r="A805" s="5">
        <v>43788</v>
      </c>
      <c r="B805">
        <v>2.7886000000000002</v>
      </c>
      <c r="C805">
        <v>2.8069000000000002</v>
      </c>
      <c r="D805">
        <v>2.58</v>
      </c>
      <c r="E805">
        <v>2.7254999999999998</v>
      </c>
      <c r="F805">
        <v>4538639.68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0.28250330542088742</v>
      </c>
      <c r="Q805">
        <f t="shared" si="1005"/>
        <v>1282180.7117143986</v>
      </c>
      <c r="R805">
        <f t="shared" si="1006"/>
        <v>27481307.972537301</v>
      </c>
      <c r="S805">
        <f t="shared" si="1007"/>
        <v>274.81307972537303</v>
      </c>
      <c r="T805">
        <f t="shared" si="1008"/>
        <v>0.27481307972537306</v>
      </c>
    </row>
    <row r="806" spans="1:20" x14ac:dyDescent="0.25">
      <c r="A806" s="5">
        <v>43787</v>
      </c>
      <c r="B806">
        <v>2.91</v>
      </c>
      <c r="C806">
        <v>2.9609999999999999</v>
      </c>
      <c r="D806">
        <v>2.6977000000000002</v>
      </c>
      <c r="E806">
        <v>2.7885</v>
      </c>
      <c r="F806">
        <v>3495345.66</v>
      </c>
      <c r="G806">
        <v>0</v>
      </c>
      <c r="L806" t="s">
        <v>7</v>
      </c>
      <c r="M806" t="s">
        <v>8</v>
      </c>
      <c r="N806" t="s">
        <v>8</v>
      </c>
      <c r="P806">
        <f t="shared" si="1004"/>
        <v>-0.31029244208127693</v>
      </c>
      <c r="Q806">
        <f t="shared" si="1005"/>
        <v>-1084579.3407595928</v>
      </c>
      <c r="R806">
        <f t="shared" si="1006"/>
        <v>26199127.260822903</v>
      </c>
      <c r="S806">
        <f t="shared" si="1007"/>
        <v>261.99127260822905</v>
      </c>
      <c r="T806">
        <f t="shared" si="1008"/>
        <v>0.26199127260822908</v>
      </c>
    </row>
    <row r="807" spans="1:20" x14ac:dyDescent="0.25">
      <c r="A807" s="5">
        <v>43786</v>
      </c>
      <c r="B807">
        <v>2.9893000000000001</v>
      </c>
      <c r="C807">
        <v>2.9893999999999998</v>
      </c>
      <c r="D807">
        <v>2.8643999999999998</v>
      </c>
      <c r="E807">
        <v>2.91</v>
      </c>
      <c r="F807">
        <v>1638489.88</v>
      </c>
      <c r="G807">
        <v>0</v>
      </c>
      <c r="L807" t="s">
        <v>8</v>
      </c>
      <c r="M807" t="s">
        <v>8</v>
      </c>
      <c r="N807" t="s">
        <v>8</v>
      </c>
      <c r="P807">
        <f t="shared" si="1004"/>
        <v>-0.27039999999999509</v>
      </c>
      <c r="Q807">
        <f t="shared" si="1005"/>
        <v>-443047.66355199192</v>
      </c>
      <c r="R807">
        <f t="shared" si="1006"/>
        <v>27283706.601582497</v>
      </c>
      <c r="S807">
        <f t="shared" si="1007"/>
        <v>272.83706601582497</v>
      </c>
      <c r="T807">
        <f t="shared" si="1008"/>
        <v>0.27283706601582497</v>
      </c>
    </row>
    <row r="808" spans="1:20" x14ac:dyDescent="0.25">
      <c r="A808" s="5">
        <v>43785</v>
      </c>
      <c r="B808">
        <v>3.0371999999999999</v>
      </c>
      <c r="C808">
        <v>3.0434999999999999</v>
      </c>
      <c r="D808">
        <v>2.9115000000000002</v>
      </c>
      <c r="E808">
        <v>2.9893999999999998</v>
      </c>
      <c r="F808">
        <v>1973143.82</v>
      </c>
      <c r="G808">
        <v>0</v>
      </c>
      <c r="L808" t="s">
        <v>8</v>
      </c>
      <c r="M808" t="s">
        <v>8</v>
      </c>
      <c r="N808" t="s">
        <v>8</v>
      </c>
      <c r="P808">
        <f t="shared" si="1004"/>
        <v>0.18030303030302772</v>
      </c>
      <c r="Q808">
        <f t="shared" si="1005"/>
        <v>355763.80996969185</v>
      </c>
      <c r="R808">
        <f t="shared" si="1006"/>
        <v>27726754.265134491</v>
      </c>
      <c r="S808">
        <f t="shared" si="1007"/>
        <v>277.26754265134491</v>
      </c>
      <c r="T808">
        <f t="shared" si="1008"/>
        <v>0.2772675426513449</v>
      </c>
    </row>
    <row r="809" spans="1:20" x14ac:dyDescent="0.25">
      <c r="A809" s="5">
        <v>43784</v>
      </c>
      <c r="B809">
        <v>3.0369999999999999</v>
      </c>
      <c r="C809">
        <v>3.07</v>
      </c>
      <c r="D809">
        <v>2.7970000000000002</v>
      </c>
      <c r="E809">
        <v>3.0388999999999999</v>
      </c>
      <c r="F809">
        <v>5650698.6399999997</v>
      </c>
      <c r="G809">
        <v>0</v>
      </c>
      <c r="L809" t="s">
        <v>7</v>
      </c>
      <c r="M809" t="s">
        <v>8</v>
      </c>
      <c r="N809" t="s">
        <v>8</v>
      </c>
      <c r="P809">
        <f t="shared" si="1004"/>
        <v>0.77216117216117264</v>
      </c>
      <c r="Q809">
        <f t="shared" si="1005"/>
        <v>4363250.0853919443</v>
      </c>
      <c r="R809">
        <f t="shared" si="1006"/>
        <v>27370990.455164798</v>
      </c>
      <c r="S809">
        <f t="shared" si="1007"/>
        <v>273.70990455164798</v>
      </c>
      <c r="T809">
        <f t="shared" si="1008"/>
        <v>0.27370990455164795</v>
      </c>
    </row>
    <row r="810" spans="1:20" x14ac:dyDescent="0.25">
      <c r="A810" s="5">
        <v>43783</v>
      </c>
      <c r="B810">
        <v>3.0188999999999999</v>
      </c>
      <c r="C810">
        <v>3.16</v>
      </c>
      <c r="D810">
        <v>2.9666000000000001</v>
      </c>
      <c r="E810">
        <v>3.0390000000000001</v>
      </c>
      <c r="F810">
        <v>6594266.2599999998</v>
      </c>
      <c r="G810">
        <v>0</v>
      </c>
      <c r="L810" t="s">
        <v>8</v>
      </c>
      <c r="M810" t="s">
        <v>8</v>
      </c>
      <c r="N810" t="s">
        <v>8</v>
      </c>
      <c r="P810">
        <f t="shared" si="1004"/>
        <v>-0.25129265770423975</v>
      </c>
      <c r="Q810">
        <f t="shared" si="1005"/>
        <v>-1657090.6940847973</v>
      </c>
      <c r="R810">
        <f t="shared" si="1006"/>
        <v>23007740.369772851</v>
      </c>
      <c r="S810">
        <f t="shared" si="1007"/>
        <v>230.07740369772853</v>
      </c>
      <c r="T810">
        <f t="shared" si="1008"/>
        <v>0.23007740369772853</v>
      </c>
    </row>
    <row r="811" spans="1:20" x14ac:dyDescent="0.25">
      <c r="A811" s="5">
        <v>43782</v>
      </c>
      <c r="B811">
        <v>2.8176999999999999</v>
      </c>
      <c r="C811">
        <v>3.0893999999999999</v>
      </c>
      <c r="D811">
        <v>2.7850999999999999</v>
      </c>
      <c r="E811">
        <v>3.02</v>
      </c>
      <c r="F811">
        <v>6541016.7599999998</v>
      </c>
      <c r="G811">
        <v>0</v>
      </c>
      <c r="L811" t="s">
        <v>8</v>
      </c>
      <c r="M811" t="s">
        <v>8</v>
      </c>
      <c r="N811" t="s">
        <v>8</v>
      </c>
      <c r="P811">
        <f t="shared" si="1004"/>
        <v>0.54387117975681953</v>
      </c>
      <c r="Q811">
        <f t="shared" si="1005"/>
        <v>3557470.5020703292</v>
      </c>
      <c r="R811">
        <f t="shared" si="1006"/>
        <v>24664831.063857649</v>
      </c>
      <c r="S811">
        <f t="shared" si="1007"/>
        <v>246.64831063857648</v>
      </c>
      <c r="T811">
        <f t="shared" si="1008"/>
        <v>0.24664831063857648</v>
      </c>
    </row>
    <row r="812" spans="1:20" x14ac:dyDescent="0.25">
      <c r="A812" s="5">
        <v>43781</v>
      </c>
      <c r="B812">
        <v>2.7437999999999998</v>
      </c>
      <c r="C812">
        <v>2.8733</v>
      </c>
      <c r="D812">
        <v>2.7311000000000001</v>
      </c>
      <c r="E812">
        <v>2.8151999999999999</v>
      </c>
      <c r="F812">
        <v>3219733</v>
      </c>
      <c r="G812">
        <v>0</v>
      </c>
      <c r="L812" t="s">
        <v>8</v>
      </c>
      <c r="M812" t="s">
        <v>7</v>
      </c>
      <c r="N812" t="s">
        <v>8</v>
      </c>
      <c r="P812">
        <f t="shared" si="1004"/>
        <v>0.18284106891701704</v>
      </c>
      <c r="Q812">
        <f t="shared" si="1005"/>
        <v>588699.42334739398</v>
      </c>
      <c r="R812">
        <f t="shared" si="1006"/>
        <v>21107360.561787318</v>
      </c>
      <c r="S812">
        <f t="shared" si="1007"/>
        <v>211.0736056178732</v>
      </c>
      <c r="T812">
        <f t="shared" si="1008"/>
        <v>0.21107360561787319</v>
      </c>
    </row>
    <row r="813" spans="1:20" x14ac:dyDescent="0.25">
      <c r="A813" s="5">
        <v>43780</v>
      </c>
      <c r="B813">
        <v>2.7772999999999999</v>
      </c>
      <c r="C813">
        <v>2.7776999999999998</v>
      </c>
      <c r="D813">
        <v>2.6655000000000002</v>
      </c>
      <c r="E813">
        <v>2.7440000000000002</v>
      </c>
      <c r="F813">
        <v>2141763.75</v>
      </c>
      <c r="G813">
        <v>0</v>
      </c>
      <c r="L813" t="s">
        <v>8</v>
      </c>
      <c r="M813" t="s">
        <v>7</v>
      </c>
      <c r="N813" t="s">
        <v>8</v>
      </c>
      <c r="P813">
        <f t="shared" si="1004"/>
        <v>0.39928698752228647</v>
      </c>
      <c r="Q813">
        <f t="shared" si="1005"/>
        <v>855178.39572193543</v>
      </c>
      <c r="R813">
        <f t="shared" si="1006"/>
        <v>20518661.138439924</v>
      </c>
      <c r="S813">
        <f t="shared" si="1007"/>
        <v>205.18661138439924</v>
      </c>
      <c r="T813">
        <f t="shared" si="1008"/>
        <v>0.20518661138439925</v>
      </c>
    </row>
    <row r="814" spans="1:20" x14ac:dyDescent="0.25">
      <c r="A814" s="5">
        <v>43779</v>
      </c>
      <c r="B814">
        <v>2.8008000000000002</v>
      </c>
      <c r="C814">
        <v>2.8370000000000002</v>
      </c>
      <c r="D814">
        <v>2.7362000000000002</v>
      </c>
      <c r="E814">
        <v>2.7770000000000001</v>
      </c>
      <c r="F814">
        <v>2619550.08</v>
      </c>
      <c r="G814">
        <v>0</v>
      </c>
      <c r="L814" t="s">
        <v>8</v>
      </c>
      <c r="M814" t="s">
        <v>7</v>
      </c>
      <c r="N814" t="s">
        <v>8</v>
      </c>
      <c r="P814">
        <f t="shared" si="1004"/>
        <v>-0.19047619047619152</v>
      </c>
      <c r="Q814">
        <f t="shared" si="1005"/>
        <v>-498961.92000000278</v>
      </c>
      <c r="R814">
        <f t="shared" si="1006"/>
        <v>19663482.742717989</v>
      </c>
      <c r="S814">
        <f t="shared" si="1007"/>
        <v>196.63482742717989</v>
      </c>
      <c r="T814">
        <f t="shared" si="1008"/>
        <v>0.19663482742717989</v>
      </c>
    </row>
    <row r="815" spans="1:20" x14ac:dyDescent="0.25">
      <c r="A815" s="5">
        <v>43778</v>
      </c>
      <c r="B815">
        <v>2.7090999999999998</v>
      </c>
      <c r="C815">
        <v>2.8496999999999999</v>
      </c>
      <c r="D815">
        <v>2.7031000000000001</v>
      </c>
      <c r="E815">
        <v>2.8008999999999999</v>
      </c>
      <c r="F815">
        <v>4656993.4400000004</v>
      </c>
      <c r="G815">
        <v>0</v>
      </c>
      <c r="L815" t="s">
        <v>8</v>
      </c>
      <c r="M815" t="s">
        <v>7</v>
      </c>
      <c r="N815" t="s">
        <v>8</v>
      </c>
      <c r="P815">
        <f t="shared" si="1004"/>
        <v>0.33424283765347873</v>
      </c>
      <c r="Q815">
        <f t="shared" si="1005"/>
        <v>1556566.7023192355</v>
      </c>
      <c r="R815">
        <f t="shared" si="1006"/>
        <v>20162444.662717991</v>
      </c>
      <c r="S815">
        <f t="shared" si="1007"/>
        <v>201.62444662717991</v>
      </c>
      <c r="T815">
        <f t="shared" si="1008"/>
        <v>0.2016244466271799</v>
      </c>
    </row>
    <row r="816" spans="1:20" x14ac:dyDescent="0.25">
      <c r="A816" s="5">
        <v>43777</v>
      </c>
      <c r="B816">
        <v>2.6758000000000002</v>
      </c>
      <c r="C816">
        <v>2.7332999999999998</v>
      </c>
      <c r="D816">
        <v>2.621</v>
      </c>
      <c r="E816">
        <v>2.71</v>
      </c>
      <c r="F816">
        <v>2932879.67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0.58504007123775759</v>
      </c>
      <c r="Q816">
        <f t="shared" si="1005"/>
        <v>1715852.131068571</v>
      </c>
      <c r="R816">
        <f t="shared" si="1006"/>
        <v>18605877.960398756</v>
      </c>
      <c r="S816">
        <f t="shared" si="1007"/>
        <v>186.05877960398755</v>
      </c>
      <c r="T816">
        <f t="shared" si="1008"/>
        <v>0.18605877960398753</v>
      </c>
    </row>
    <row r="817" spans="1:20" x14ac:dyDescent="0.25">
      <c r="A817" s="5">
        <v>43776</v>
      </c>
      <c r="B817">
        <v>2.7446000000000002</v>
      </c>
      <c r="C817">
        <v>2.7549000000000001</v>
      </c>
      <c r="D817">
        <v>2.6021999999999998</v>
      </c>
      <c r="E817">
        <v>2.6757</v>
      </c>
      <c r="F817">
        <v>3498869.77</v>
      </c>
      <c r="G817">
        <v>0</v>
      </c>
      <c r="L817" t="s">
        <v>7</v>
      </c>
      <c r="M817" t="s">
        <v>7</v>
      </c>
      <c r="N817" t="s">
        <v>8</v>
      </c>
      <c r="P817">
        <f t="shared" si="1004"/>
        <v>-3.732809430255421E-2</v>
      </c>
      <c r="Q817">
        <f t="shared" si="1005"/>
        <v>-130606.14072691616</v>
      </c>
      <c r="R817">
        <f t="shared" si="1006"/>
        <v>16890025.829330184</v>
      </c>
      <c r="S817">
        <f t="shared" si="1007"/>
        <v>168.90025829330185</v>
      </c>
      <c r="T817">
        <f t="shared" si="1008"/>
        <v>0.16890025829330185</v>
      </c>
    </row>
    <row r="818" spans="1:20" x14ac:dyDescent="0.25">
      <c r="A818" s="5">
        <v>43775</v>
      </c>
      <c r="B818">
        <v>2.6743000000000001</v>
      </c>
      <c r="C818">
        <v>2.82</v>
      </c>
      <c r="D818">
        <v>2.6478999999999999</v>
      </c>
      <c r="E818">
        <v>2.7448000000000001</v>
      </c>
      <c r="F818">
        <v>3174248.63</v>
      </c>
      <c r="G818">
        <v>0</v>
      </c>
      <c r="L818" t="s">
        <v>8</v>
      </c>
      <c r="M818" t="s">
        <v>7</v>
      </c>
      <c r="N818" t="s">
        <v>8</v>
      </c>
      <c r="P818">
        <f t="shared" si="1004"/>
        <v>0.12608948285880597</v>
      </c>
      <c r="Q818">
        <f t="shared" si="1005"/>
        <v>400239.3682219733</v>
      </c>
      <c r="R818">
        <f t="shared" si="1006"/>
        <v>17020631.9700571</v>
      </c>
      <c r="S818">
        <f t="shared" si="1007"/>
        <v>170.20631970057099</v>
      </c>
      <c r="T818">
        <f t="shared" si="1008"/>
        <v>0.17020631970057098</v>
      </c>
    </row>
    <row r="819" spans="1:20" x14ac:dyDescent="0.25">
      <c r="A819" s="5">
        <v>43774</v>
      </c>
      <c r="B819">
        <v>2.6745999999999999</v>
      </c>
      <c r="C819">
        <v>2.6947000000000001</v>
      </c>
      <c r="D819">
        <v>2.6322000000000001</v>
      </c>
      <c r="E819">
        <v>2.6745999999999999</v>
      </c>
      <c r="F819">
        <v>1985221.73</v>
      </c>
      <c r="G819">
        <v>0</v>
      </c>
      <c r="L819" t="s">
        <v>8</v>
      </c>
      <c r="M819" t="s">
        <v>7</v>
      </c>
      <c r="N819" t="s">
        <v>8</v>
      </c>
      <c r="P819">
        <f t="shared" si="1004"/>
        <v>0.35679999999999268</v>
      </c>
      <c r="Q819">
        <f t="shared" si="1005"/>
        <v>708327.11326398549</v>
      </c>
      <c r="R819">
        <f t="shared" si="1006"/>
        <v>16620392.601835128</v>
      </c>
      <c r="S819">
        <f t="shared" si="1007"/>
        <v>166.20392601835127</v>
      </c>
      <c r="T819">
        <f t="shared" si="1008"/>
        <v>0.16620392601835127</v>
      </c>
    </row>
    <row r="820" spans="1:20" x14ac:dyDescent="0.25">
      <c r="A820" s="5">
        <v>43773</v>
      </c>
      <c r="B820">
        <v>2.6594000000000002</v>
      </c>
      <c r="C820">
        <v>2.73</v>
      </c>
      <c r="D820">
        <v>2.6267</v>
      </c>
      <c r="E820">
        <v>2.6745999999999999</v>
      </c>
      <c r="F820">
        <v>2315985.7400000002</v>
      </c>
      <c r="G820">
        <v>0</v>
      </c>
      <c r="L820" t="s">
        <v>8</v>
      </c>
      <c r="M820" t="s">
        <v>7</v>
      </c>
      <c r="N820" t="s">
        <v>8</v>
      </c>
      <c r="P820">
        <f t="shared" si="1004"/>
        <v>-7.2604065827689135E-2</v>
      </c>
      <c r="Q820">
        <f t="shared" si="1005"/>
        <v>-168149.98112294934</v>
      </c>
      <c r="R820">
        <f t="shared" si="1006"/>
        <v>15912065.488571143</v>
      </c>
      <c r="S820">
        <f t="shared" si="1007"/>
        <v>159.12065488571142</v>
      </c>
      <c r="T820">
        <f t="shared" si="1008"/>
        <v>0.15912065488571142</v>
      </c>
    </row>
    <row r="821" spans="1:20" x14ac:dyDescent="0.25">
      <c r="A821" s="5">
        <v>43772</v>
      </c>
      <c r="B821">
        <v>2.7014999999999998</v>
      </c>
      <c r="C821">
        <v>2.7103999999999999</v>
      </c>
      <c r="D821">
        <v>2.6202000000000001</v>
      </c>
      <c r="E821">
        <v>2.6604999999999999</v>
      </c>
      <c r="F821">
        <v>1676754.85</v>
      </c>
      <c r="G821">
        <v>0</v>
      </c>
      <c r="L821" t="s">
        <v>8</v>
      </c>
      <c r="M821" t="s">
        <v>7</v>
      </c>
      <c r="N821" t="s">
        <v>8</v>
      </c>
      <c r="P821">
        <f t="shared" si="1004"/>
        <v>-0.10643015521064626</v>
      </c>
      <c r="Q821">
        <f t="shared" si="1005"/>
        <v>-178457.27893570391</v>
      </c>
      <c r="R821">
        <f t="shared" si="1006"/>
        <v>16080215.469694093</v>
      </c>
      <c r="S821">
        <f t="shared" si="1007"/>
        <v>160.80215469694093</v>
      </c>
      <c r="T821">
        <f t="shared" si="1008"/>
        <v>0.16080215469694092</v>
      </c>
    </row>
    <row r="822" spans="1:20" x14ac:dyDescent="0.25">
      <c r="A822" s="5">
        <v>43771</v>
      </c>
      <c r="B822">
        <v>2.7092000000000001</v>
      </c>
      <c r="C822">
        <v>2.7399</v>
      </c>
      <c r="D822">
        <v>2.6827999999999999</v>
      </c>
      <c r="E822">
        <v>2.6972999999999998</v>
      </c>
      <c r="F822">
        <v>1945703.47</v>
      </c>
      <c r="G822">
        <v>0</v>
      </c>
      <c r="L822" t="s">
        <v>8</v>
      </c>
      <c r="M822" t="s">
        <v>7</v>
      </c>
      <c r="N822" t="s">
        <v>8</v>
      </c>
      <c r="P822">
        <f t="shared" si="1004"/>
        <v>-0.49211908931699055</v>
      </c>
      <c r="Q822">
        <f t="shared" si="1005"/>
        <v>-957517.81973730843</v>
      </c>
      <c r="R822">
        <f t="shared" si="1006"/>
        <v>16258672.748629797</v>
      </c>
      <c r="S822">
        <f t="shared" si="1007"/>
        <v>162.58672748629797</v>
      </c>
      <c r="T822">
        <f t="shared" si="1008"/>
        <v>0.16258672748629796</v>
      </c>
    </row>
    <row r="823" spans="1:20" x14ac:dyDescent="0.25">
      <c r="A823" s="5">
        <v>43770</v>
      </c>
      <c r="B823">
        <v>2.7233000000000001</v>
      </c>
      <c r="C823">
        <v>2.7951999999999999</v>
      </c>
      <c r="D823">
        <v>2.6427999999999998</v>
      </c>
      <c r="E823">
        <v>2.7090999999999998</v>
      </c>
      <c r="F823">
        <v>3786813.42</v>
      </c>
      <c r="G823">
        <v>0</v>
      </c>
      <c r="L823" t="s">
        <v>8</v>
      </c>
      <c r="M823" t="s">
        <v>7</v>
      </c>
      <c r="N823" t="s">
        <v>8</v>
      </c>
      <c r="P823">
        <f t="shared" si="1004"/>
        <v>-0.12992125984251987</v>
      </c>
      <c r="Q823">
        <f t="shared" si="1005"/>
        <v>-491987.57031496131</v>
      </c>
      <c r="R823">
        <f t="shared" si="1006"/>
        <v>17216190.568367105</v>
      </c>
      <c r="S823">
        <f t="shared" si="1007"/>
        <v>172.16190568367105</v>
      </c>
      <c r="T823">
        <f t="shared" si="1008"/>
        <v>0.17216190568367104</v>
      </c>
    </row>
    <row r="824" spans="1:20" x14ac:dyDescent="0.25">
      <c r="A824" s="5">
        <v>43769</v>
      </c>
      <c r="B824">
        <v>2.6044</v>
      </c>
      <c r="C824">
        <v>2.7572999999999999</v>
      </c>
      <c r="D824">
        <v>2.5365000000000002</v>
      </c>
      <c r="E824">
        <v>2.7219000000000002</v>
      </c>
      <c r="F824">
        <v>4136829.05</v>
      </c>
      <c r="G824">
        <v>0</v>
      </c>
      <c r="L824" t="s">
        <v>8</v>
      </c>
      <c r="M824" t="s">
        <v>7</v>
      </c>
      <c r="N824" t="s">
        <v>8</v>
      </c>
      <c r="P824">
        <f t="shared" si="1004"/>
        <v>0.67934782608695921</v>
      </c>
      <c r="Q824">
        <f t="shared" si="1005"/>
        <v>2810345.8220108803</v>
      </c>
      <c r="R824">
        <f t="shared" si="1006"/>
        <v>17708178.138682067</v>
      </c>
      <c r="S824">
        <f t="shared" si="1007"/>
        <v>177.08178138682067</v>
      </c>
      <c r="T824">
        <f t="shared" si="1008"/>
        <v>0.17708178138682065</v>
      </c>
    </row>
    <row r="825" spans="1:20" x14ac:dyDescent="0.25">
      <c r="A825" s="5">
        <v>43768</v>
      </c>
      <c r="B825">
        <v>2.661</v>
      </c>
      <c r="C825">
        <v>2.6768000000000001</v>
      </c>
      <c r="D825">
        <v>2.5106999999999999</v>
      </c>
      <c r="E825">
        <v>2.6093000000000002</v>
      </c>
      <c r="F825">
        <v>3975481.96</v>
      </c>
      <c r="G825">
        <v>0</v>
      </c>
      <c r="L825" t="s">
        <v>7</v>
      </c>
      <c r="M825" t="s">
        <v>7</v>
      </c>
      <c r="N825" t="s">
        <v>8</v>
      </c>
      <c r="P825">
        <f t="shared" si="1004"/>
        <v>0.18723660445514945</v>
      </c>
      <c r="Q825">
        <f t="shared" si="1005"/>
        <v>744355.74326310225</v>
      </c>
      <c r="R825">
        <f t="shared" si="1006"/>
        <v>14897832.316671187</v>
      </c>
      <c r="S825">
        <f t="shared" si="1007"/>
        <v>148.97832316671187</v>
      </c>
      <c r="T825">
        <f t="shared" si="1008"/>
        <v>0.14897832316671186</v>
      </c>
    </row>
    <row r="826" spans="1:20" x14ac:dyDescent="0.25">
      <c r="A826" s="5">
        <v>43767</v>
      </c>
      <c r="B826">
        <v>2.6600999999999999</v>
      </c>
      <c r="C826">
        <v>2.7690000000000001</v>
      </c>
      <c r="D826">
        <v>2.6320999999999999</v>
      </c>
      <c r="E826">
        <v>2.6619999999999999</v>
      </c>
      <c r="F826">
        <v>3559236.65</v>
      </c>
      <c r="G826">
        <v>0</v>
      </c>
      <c r="L826" t="s">
        <v>7</v>
      </c>
      <c r="M826" t="s">
        <v>8</v>
      </c>
      <c r="N826" t="s">
        <v>8</v>
      </c>
      <c r="P826">
        <f t="shared" si="1004"/>
        <v>-0.56318480642804991</v>
      </c>
      <c r="Q826">
        <f t="shared" si="1005"/>
        <v>-2004508.0037618708</v>
      </c>
      <c r="R826">
        <f t="shared" si="1006"/>
        <v>14153476.573408084</v>
      </c>
      <c r="S826">
        <f t="shared" si="1007"/>
        <v>141.53476573408085</v>
      </c>
      <c r="T826">
        <f t="shared" si="1008"/>
        <v>0.14153476573408086</v>
      </c>
    </row>
    <row r="827" spans="1:20" x14ac:dyDescent="0.25">
      <c r="A827" s="5">
        <v>43766</v>
      </c>
      <c r="B827">
        <v>2.6707000000000001</v>
      </c>
      <c r="C827">
        <v>2.8858999999999999</v>
      </c>
      <c r="D827">
        <v>2.66</v>
      </c>
      <c r="E827">
        <v>2.6610999999999998</v>
      </c>
      <c r="F827">
        <v>7839146.7699999996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-0.99026117751217657</v>
      </c>
      <c r="Q827">
        <f t="shared" si="1005"/>
        <v>-7762802.711150975</v>
      </c>
      <c r="R827">
        <f t="shared" si="1006"/>
        <v>16157984.577169955</v>
      </c>
      <c r="S827">
        <f t="shared" si="1007"/>
        <v>161.57984577169955</v>
      </c>
      <c r="T827">
        <f t="shared" si="1008"/>
        <v>0.16157984577169957</v>
      </c>
    </row>
    <row r="828" spans="1:20" x14ac:dyDescent="0.25">
      <c r="A828" s="5">
        <v>43765</v>
      </c>
      <c r="B828">
        <v>2.7323</v>
      </c>
      <c r="C828">
        <v>2.762</v>
      </c>
      <c r="D828">
        <v>2.6511</v>
      </c>
      <c r="E828">
        <v>2.6646000000000001</v>
      </c>
      <c r="F828">
        <v>5974202.1600000001</v>
      </c>
      <c r="G828">
        <v>0</v>
      </c>
      <c r="L828" t="s">
        <v>7</v>
      </c>
      <c r="M828" t="s">
        <v>8</v>
      </c>
      <c r="N828" t="s">
        <v>8</v>
      </c>
      <c r="P828">
        <f t="shared" si="1004"/>
        <v>-0.75653742110008892</v>
      </c>
      <c r="Q828">
        <f t="shared" si="1005"/>
        <v>-4519707.4952569809</v>
      </c>
      <c r="R828">
        <f t="shared" si="1006"/>
        <v>23920787.288320929</v>
      </c>
      <c r="S828">
        <f t="shared" si="1007"/>
        <v>239.20787288320929</v>
      </c>
      <c r="T828">
        <f t="shared" si="1008"/>
        <v>0.2392078728832093</v>
      </c>
    </row>
    <row r="829" spans="1:20" x14ac:dyDescent="0.25">
      <c r="A829" s="5">
        <v>43764</v>
      </c>
      <c r="B829">
        <v>2.8374000000000001</v>
      </c>
      <c r="C829">
        <v>2.9977</v>
      </c>
      <c r="D829">
        <v>2.6640000000000001</v>
      </c>
      <c r="E829">
        <v>2.7347999999999999</v>
      </c>
      <c r="F829">
        <v>13344088.09</v>
      </c>
      <c r="G829">
        <v>0</v>
      </c>
      <c r="L829" t="s">
        <v>7</v>
      </c>
      <c r="M829" t="s">
        <v>8</v>
      </c>
      <c r="N829" t="s">
        <v>8</v>
      </c>
      <c r="P829">
        <f t="shared" si="1004"/>
        <v>-0.57566676655678883</v>
      </c>
      <c r="Q829">
        <f t="shared" si="1005"/>
        <v>-7681748.0434192559</v>
      </c>
      <c r="R829">
        <f t="shared" si="1006"/>
        <v>28440494.783577912</v>
      </c>
      <c r="S829">
        <f t="shared" si="1007"/>
        <v>284.40494783577913</v>
      </c>
      <c r="T829">
        <f t="shared" si="1008"/>
        <v>0.28440494783577913</v>
      </c>
    </row>
    <row r="830" spans="1:20" x14ac:dyDescent="0.25">
      <c r="A830" s="5">
        <v>43763</v>
      </c>
      <c r="B830">
        <v>2.7201</v>
      </c>
      <c r="C830">
        <v>3.0063</v>
      </c>
      <c r="D830">
        <v>2.6164999999999998</v>
      </c>
      <c r="E830">
        <v>2.8374000000000001</v>
      </c>
      <c r="F830">
        <v>14004511.970000001</v>
      </c>
      <c r="G830">
        <v>0</v>
      </c>
      <c r="L830" t="s">
        <v>8</v>
      </c>
      <c r="M830" t="s">
        <v>8</v>
      </c>
      <c r="N830" t="s">
        <v>8</v>
      </c>
      <c r="P830">
        <f t="shared" si="1004"/>
        <v>0.13340174448435216</v>
      </c>
      <c r="Q830">
        <f t="shared" si="1005"/>
        <v>1868226.3274499914</v>
      </c>
      <c r="R830">
        <f t="shared" si="1006"/>
        <v>36122242.826997168</v>
      </c>
      <c r="S830">
        <f t="shared" si="1007"/>
        <v>361.22242826997166</v>
      </c>
      <c r="T830">
        <f t="shared" si="1008"/>
        <v>0.36122242826997164</v>
      </c>
    </row>
    <row r="831" spans="1:20" x14ac:dyDescent="0.25">
      <c r="A831" s="5">
        <v>43762</v>
      </c>
      <c r="B831">
        <v>2.6071</v>
      </c>
      <c r="C831">
        <v>2.7747999999999999</v>
      </c>
      <c r="D831">
        <v>2.6019999999999999</v>
      </c>
      <c r="E831">
        <v>2.72</v>
      </c>
      <c r="F831">
        <v>9751557.5700000003</v>
      </c>
      <c r="G831">
        <v>0</v>
      </c>
      <c r="L831" t="s">
        <v>8</v>
      </c>
      <c r="M831" t="s">
        <v>7</v>
      </c>
      <c r="N831" t="s">
        <v>8</v>
      </c>
      <c r="P831">
        <f t="shared" ref="P831:P894" si="1009">IF(C831=D831,0,((E831-D831)-(C831-E831))/(C831-D831))</f>
        <v>0.36574074074074403</v>
      </c>
      <c r="Q831">
        <f t="shared" ref="Q831:Q894" si="1010">F831*P831</f>
        <v>3566541.8890278102</v>
      </c>
      <c r="R831">
        <f t="shared" ref="R831:R894" si="1011">R832+Q831</f>
        <v>34254016.499547176</v>
      </c>
      <c r="S831">
        <f t="shared" ref="S831:S894" si="1012">R831/100000</f>
        <v>342.54016499547174</v>
      </c>
      <c r="T831">
        <f t="shared" ref="T831:T894" si="1013">S831/1000</f>
        <v>0.34254016499547174</v>
      </c>
    </row>
    <row r="832" spans="1:20" x14ac:dyDescent="0.25">
      <c r="A832" s="5">
        <v>43761</v>
      </c>
      <c r="B832">
        <v>2.6073</v>
      </c>
      <c r="C832">
        <v>2.6840000000000002</v>
      </c>
      <c r="D832">
        <v>2.3717000000000001</v>
      </c>
      <c r="E832">
        <v>2.6055000000000001</v>
      </c>
      <c r="F832">
        <v>14101549.77</v>
      </c>
      <c r="G832">
        <v>0</v>
      </c>
      <c r="L832" t="s">
        <v>7</v>
      </c>
      <c r="M832" t="s">
        <v>7</v>
      </c>
      <c r="N832" t="s">
        <v>8</v>
      </c>
      <c r="P832">
        <f t="shared" si="1009"/>
        <v>0.49727825808517445</v>
      </c>
      <c r="Q832">
        <f t="shared" si="1010"/>
        <v>7012394.1059269924</v>
      </c>
      <c r="R832">
        <f t="shared" si="1011"/>
        <v>30687474.610519364</v>
      </c>
      <c r="S832">
        <f t="shared" si="1012"/>
        <v>306.87474610519365</v>
      </c>
      <c r="T832">
        <f t="shared" si="1013"/>
        <v>0.30687474610519366</v>
      </c>
    </row>
    <row r="833" spans="1:20" x14ac:dyDescent="0.25">
      <c r="A833" s="5">
        <v>43760</v>
      </c>
      <c r="B833">
        <v>2.6215999999999999</v>
      </c>
      <c r="C833">
        <v>2.8178000000000001</v>
      </c>
      <c r="D833">
        <v>2.5619000000000001</v>
      </c>
      <c r="E833">
        <v>2.6074000000000002</v>
      </c>
      <c r="F833">
        <v>11209530.779999999</v>
      </c>
      <c r="G833">
        <v>0</v>
      </c>
      <c r="L833" t="s">
        <v>8</v>
      </c>
      <c r="M833" t="s">
        <v>8</v>
      </c>
      <c r="N833" t="s">
        <v>8</v>
      </c>
      <c r="P833">
        <f t="shared" si="1009"/>
        <v>-0.64439234075810792</v>
      </c>
      <c r="Q833">
        <f t="shared" si="1010"/>
        <v>-7223335.7781242589</v>
      </c>
      <c r="R833">
        <f t="shared" si="1011"/>
        <v>23675080.504592374</v>
      </c>
      <c r="S833">
        <f t="shared" si="1012"/>
        <v>236.75080504592373</v>
      </c>
      <c r="T833">
        <f t="shared" si="1013"/>
        <v>0.23675080504592372</v>
      </c>
    </row>
    <row r="834" spans="1:20" x14ac:dyDescent="0.25">
      <c r="A834" s="5">
        <v>43759</v>
      </c>
      <c r="B834">
        <v>2.4443000000000001</v>
      </c>
      <c r="C834">
        <v>2.69</v>
      </c>
      <c r="D834">
        <v>2.4346999999999999</v>
      </c>
      <c r="E834">
        <v>2.6223000000000001</v>
      </c>
      <c r="F834">
        <v>11337672.859999999</v>
      </c>
      <c r="G834">
        <v>0</v>
      </c>
      <c r="L834" t="s">
        <v>8</v>
      </c>
      <c r="M834" t="s">
        <v>8</v>
      </c>
      <c r="N834" t="s">
        <v>8</v>
      </c>
      <c r="P834">
        <f t="shared" si="1009"/>
        <v>0.4696435566000795</v>
      </c>
      <c r="Q834">
        <f t="shared" si="1010"/>
        <v>5324665.0055385949</v>
      </c>
      <c r="R834">
        <f t="shared" si="1011"/>
        <v>30898416.282716632</v>
      </c>
      <c r="S834">
        <f t="shared" si="1012"/>
        <v>308.9841628271663</v>
      </c>
      <c r="T834">
        <f t="shared" si="1013"/>
        <v>0.30898416282716629</v>
      </c>
    </row>
    <row r="835" spans="1:20" x14ac:dyDescent="0.25">
      <c r="A835" s="5">
        <v>43758</v>
      </c>
      <c r="B835">
        <v>2.3513000000000002</v>
      </c>
      <c r="C835">
        <v>2.4510000000000001</v>
      </c>
      <c r="D835">
        <v>2.278</v>
      </c>
      <c r="E835">
        <v>2.4443999999999999</v>
      </c>
      <c r="F835">
        <v>4491335.2699999996</v>
      </c>
      <c r="G835">
        <v>0</v>
      </c>
      <c r="L835" t="s">
        <v>8</v>
      </c>
      <c r="M835" t="s">
        <v>7</v>
      </c>
      <c r="N835" t="s">
        <v>8</v>
      </c>
      <c r="P835">
        <f t="shared" si="1009"/>
        <v>0.92369942196531607</v>
      </c>
      <c r="Q835">
        <f t="shared" si="1010"/>
        <v>4148643.7927514366</v>
      </c>
      <c r="R835">
        <f t="shared" si="1011"/>
        <v>25573751.277178038</v>
      </c>
      <c r="S835">
        <f t="shared" si="1012"/>
        <v>255.73751277178039</v>
      </c>
      <c r="T835">
        <f t="shared" si="1013"/>
        <v>0.25573751277178036</v>
      </c>
    </row>
    <row r="836" spans="1:20" x14ac:dyDescent="0.25">
      <c r="A836" s="5">
        <v>43757</v>
      </c>
      <c r="B836">
        <v>2.3521000000000001</v>
      </c>
      <c r="C836">
        <v>2.391</v>
      </c>
      <c r="D836">
        <v>2.2913999999999999</v>
      </c>
      <c r="E836">
        <v>2.3521000000000001</v>
      </c>
      <c r="F836">
        <v>4513732.32</v>
      </c>
      <c r="G836">
        <v>0</v>
      </c>
      <c r="L836" t="s">
        <v>7</v>
      </c>
      <c r="M836" t="s">
        <v>7</v>
      </c>
      <c r="N836" t="s">
        <v>8</v>
      </c>
      <c r="P836">
        <f t="shared" si="1009"/>
        <v>0.21887550200803449</v>
      </c>
      <c r="Q836">
        <f t="shared" si="1010"/>
        <v>987945.42746989022</v>
      </c>
      <c r="R836">
        <f t="shared" si="1011"/>
        <v>21425107.484426603</v>
      </c>
      <c r="S836">
        <f t="shared" si="1012"/>
        <v>214.25107484426601</v>
      </c>
      <c r="T836">
        <f t="shared" si="1013"/>
        <v>0.214251074844266</v>
      </c>
    </row>
    <row r="837" spans="1:20" x14ac:dyDescent="0.25">
      <c r="A837" s="5">
        <v>43756</v>
      </c>
      <c r="B837">
        <v>2.419</v>
      </c>
      <c r="C837">
        <v>2.4998999999999998</v>
      </c>
      <c r="D837">
        <v>2.3163999999999998</v>
      </c>
      <c r="E837">
        <v>2.3546</v>
      </c>
      <c r="F837">
        <v>7264838.2800000003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-0.58365122615803555</v>
      </c>
      <c r="Q837">
        <f t="shared" si="1010"/>
        <v>-4240131.769961834</v>
      </c>
      <c r="R837">
        <f t="shared" si="1011"/>
        <v>20437162.056956712</v>
      </c>
      <c r="S837">
        <f t="shared" si="1012"/>
        <v>204.37162056956711</v>
      </c>
      <c r="T837">
        <f t="shared" si="1013"/>
        <v>0.20437162056956712</v>
      </c>
    </row>
    <row r="838" spans="1:20" x14ac:dyDescent="0.25">
      <c r="A838" s="5">
        <v>43755</v>
      </c>
      <c r="B838">
        <v>2.3736000000000002</v>
      </c>
      <c r="C838">
        <v>2.4900000000000002</v>
      </c>
      <c r="D838">
        <v>2.274</v>
      </c>
      <c r="E838">
        <v>2.4123999999999999</v>
      </c>
      <c r="F838">
        <v>10565628.710000001</v>
      </c>
      <c r="G838">
        <v>0</v>
      </c>
      <c r="L838" t="s">
        <v>8</v>
      </c>
      <c r="M838" t="s">
        <v>7</v>
      </c>
      <c r="N838" t="s">
        <v>8</v>
      </c>
      <c r="P838">
        <f t="shared" si="1009"/>
        <v>0.281481481481479</v>
      </c>
      <c r="Q838">
        <f t="shared" si="1010"/>
        <v>2974028.8220740482</v>
      </c>
      <c r="R838">
        <f t="shared" si="1011"/>
        <v>24677293.826918546</v>
      </c>
      <c r="S838">
        <f t="shared" si="1012"/>
        <v>246.77293826918546</v>
      </c>
      <c r="T838">
        <f t="shared" si="1013"/>
        <v>0.24677293826918545</v>
      </c>
    </row>
    <row r="839" spans="1:20" x14ac:dyDescent="0.25">
      <c r="A839" s="5">
        <v>43754</v>
      </c>
      <c r="B839">
        <v>2.3948999999999998</v>
      </c>
      <c r="C839">
        <v>2.4142999999999999</v>
      </c>
      <c r="D839">
        <v>2.1819999999999999</v>
      </c>
      <c r="E839">
        <v>2.3717000000000001</v>
      </c>
      <c r="F839">
        <v>11864805.050000001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0.63323288850624404</v>
      </c>
      <c r="Q839">
        <f t="shared" si="1010"/>
        <v>7513184.7733749719</v>
      </c>
      <c r="R839">
        <f t="shared" si="1011"/>
        <v>21703265.004844498</v>
      </c>
      <c r="S839">
        <f t="shared" si="1012"/>
        <v>217.03265004844499</v>
      </c>
      <c r="T839">
        <f t="shared" si="1013"/>
        <v>0.21703265004844499</v>
      </c>
    </row>
    <row r="840" spans="1:20" x14ac:dyDescent="0.25">
      <c r="A840" s="5">
        <v>43753</v>
      </c>
      <c r="B840">
        <v>2.5314999999999999</v>
      </c>
      <c r="C840">
        <v>2.597</v>
      </c>
      <c r="D840">
        <v>2.3319999999999999</v>
      </c>
      <c r="E840">
        <v>2.3974000000000002</v>
      </c>
      <c r="F840">
        <v>6236112.7199999997</v>
      </c>
      <c r="G840">
        <v>0</v>
      </c>
      <c r="L840" t="s">
        <v>7</v>
      </c>
      <c r="M840" t="s">
        <v>7</v>
      </c>
      <c r="N840" t="s">
        <v>8</v>
      </c>
      <c r="P840">
        <f t="shared" si="1009"/>
        <v>-0.50641509433962029</v>
      </c>
      <c r="Q840">
        <f t="shared" si="1010"/>
        <v>-3158061.6114113061</v>
      </c>
      <c r="R840">
        <f t="shared" si="1011"/>
        <v>14190080.231469527</v>
      </c>
      <c r="S840">
        <f t="shared" si="1012"/>
        <v>141.90080231469526</v>
      </c>
      <c r="T840">
        <f t="shared" si="1013"/>
        <v>0.14190080231469526</v>
      </c>
    </row>
    <row r="841" spans="1:20" x14ac:dyDescent="0.25">
      <c r="A841" s="5">
        <v>43752</v>
      </c>
      <c r="B841">
        <v>2.4849999999999999</v>
      </c>
      <c r="C841">
        <v>2.6741000000000001</v>
      </c>
      <c r="D841">
        <v>2.4527000000000001</v>
      </c>
      <c r="E841">
        <v>2.5324</v>
      </c>
      <c r="F841">
        <v>5833573.3799999999</v>
      </c>
      <c r="G841">
        <v>0</v>
      </c>
      <c r="L841" t="s">
        <v>8</v>
      </c>
      <c r="M841" t="s">
        <v>7</v>
      </c>
      <c r="N841" t="s">
        <v>8</v>
      </c>
      <c r="P841">
        <f t="shared" si="1009"/>
        <v>-0.28003613369467145</v>
      </c>
      <c r="Q841">
        <f t="shared" si="1010"/>
        <v>-1633611.3349593563</v>
      </c>
      <c r="R841">
        <f t="shared" si="1011"/>
        <v>17348141.842880834</v>
      </c>
      <c r="S841">
        <f t="shared" si="1012"/>
        <v>173.48141842880833</v>
      </c>
      <c r="T841">
        <f t="shared" si="1013"/>
        <v>0.17348141842880832</v>
      </c>
    </row>
    <row r="842" spans="1:20" x14ac:dyDescent="0.25">
      <c r="A842" s="5">
        <v>43751</v>
      </c>
      <c r="B842">
        <v>2.5975000000000001</v>
      </c>
      <c r="C842">
        <v>2.6442999999999999</v>
      </c>
      <c r="D842">
        <v>2.4350999999999998</v>
      </c>
      <c r="E842">
        <v>2.4860000000000002</v>
      </c>
      <c r="F842">
        <v>5534063.1799999997</v>
      </c>
      <c r="G842">
        <v>0</v>
      </c>
      <c r="L842" t="s">
        <v>7</v>
      </c>
      <c r="M842" t="s">
        <v>7</v>
      </c>
      <c r="N842" t="s">
        <v>8</v>
      </c>
      <c r="P842">
        <f t="shared" si="1009"/>
        <v>-0.51338432122370581</v>
      </c>
      <c r="Q842">
        <f t="shared" si="1010"/>
        <v>-2841101.2692734026</v>
      </c>
      <c r="R842">
        <f t="shared" si="1011"/>
        <v>18981753.177840192</v>
      </c>
      <c r="S842">
        <f t="shared" si="1012"/>
        <v>189.81753177840193</v>
      </c>
      <c r="T842">
        <f t="shared" si="1013"/>
        <v>0.18981753177840194</v>
      </c>
    </row>
    <row r="843" spans="1:20" x14ac:dyDescent="0.25">
      <c r="A843" s="5">
        <v>43750</v>
      </c>
      <c r="B843">
        <v>2.7443</v>
      </c>
      <c r="C843">
        <v>2.7572000000000001</v>
      </c>
      <c r="D843">
        <v>2.5518999999999998</v>
      </c>
      <c r="E843">
        <v>2.5975000000000001</v>
      </c>
      <c r="F843">
        <v>6182391.5099999998</v>
      </c>
      <c r="G843">
        <v>0</v>
      </c>
      <c r="L843" t="s">
        <v>7</v>
      </c>
      <c r="M843" t="s">
        <v>7</v>
      </c>
      <c r="N843" t="s">
        <v>8</v>
      </c>
      <c r="P843">
        <f t="shared" si="1009"/>
        <v>-0.55577204091573063</v>
      </c>
      <c r="Q843">
        <f t="shared" si="1010"/>
        <v>-3436000.3472527857</v>
      </c>
      <c r="R843">
        <f t="shared" si="1011"/>
        <v>21822854.447113596</v>
      </c>
      <c r="S843">
        <f t="shared" si="1012"/>
        <v>218.22854447113596</v>
      </c>
      <c r="T843">
        <f t="shared" si="1013"/>
        <v>0.21822854447113596</v>
      </c>
    </row>
    <row r="844" spans="1:20" x14ac:dyDescent="0.25">
      <c r="A844" s="5">
        <v>43749</v>
      </c>
      <c r="B844">
        <v>2.6293000000000002</v>
      </c>
      <c r="C844">
        <v>2.7936000000000001</v>
      </c>
      <c r="D844">
        <v>2.5619000000000001</v>
      </c>
      <c r="E844">
        <v>2.7481</v>
      </c>
      <c r="F844">
        <v>11417701.51</v>
      </c>
      <c r="G844">
        <v>0</v>
      </c>
      <c r="L844" t="s">
        <v>8</v>
      </c>
      <c r="M844" t="s">
        <v>7</v>
      </c>
      <c r="N844" t="s">
        <v>8</v>
      </c>
      <c r="P844">
        <f t="shared" si="1009"/>
        <v>0.60725075528700823</v>
      </c>
      <c r="Q844">
        <f t="shared" si="1010"/>
        <v>6933407.8655891139</v>
      </c>
      <c r="R844">
        <f t="shared" si="1011"/>
        <v>25258854.794366382</v>
      </c>
      <c r="S844">
        <f t="shared" si="1012"/>
        <v>252.58854794366383</v>
      </c>
      <c r="T844">
        <f t="shared" si="1013"/>
        <v>0.25258854794366381</v>
      </c>
    </row>
    <row r="845" spans="1:20" x14ac:dyDescent="0.25">
      <c r="A845" s="5">
        <v>43748</v>
      </c>
      <c r="B845">
        <v>2.7976999999999999</v>
      </c>
      <c r="C845">
        <v>2.8058000000000001</v>
      </c>
      <c r="D845">
        <v>2.4649999999999999</v>
      </c>
      <c r="E845">
        <v>2.6278999999999999</v>
      </c>
      <c r="F845">
        <v>15341951.1</v>
      </c>
      <c r="G845">
        <v>0</v>
      </c>
      <c r="L845" t="s">
        <v>7</v>
      </c>
      <c r="M845" t="s">
        <v>7</v>
      </c>
      <c r="N845" t="s">
        <v>8</v>
      </c>
      <c r="P845">
        <f t="shared" si="1009"/>
        <v>-4.401408450704259E-2</v>
      </c>
      <c r="Q845">
        <f t="shared" si="1010"/>
        <v>-675261.93221831496</v>
      </c>
      <c r="R845">
        <f t="shared" si="1011"/>
        <v>18325446.92877727</v>
      </c>
      <c r="S845">
        <f t="shared" si="1012"/>
        <v>183.25446928777271</v>
      </c>
      <c r="T845">
        <f t="shared" si="1013"/>
        <v>0.1832544692877727</v>
      </c>
    </row>
    <row r="846" spans="1:20" x14ac:dyDescent="0.25">
      <c r="A846" s="5">
        <v>43747</v>
      </c>
      <c r="B846">
        <v>2.577</v>
      </c>
      <c r="C846">
        <v>2.95</v>
      </c>
      <c r="D846">
        <v>2.5009999999999999</v>
      </c>
      <c r="E846">
        <v>2.8010999999999999</v>
      </c>
      <c r="F846">
        <v>21792384.079999998</v>
      </c>
      <c r="G846">
        <v>0</v>
      </c>
      <c r="L846" t="s">
        <v>8</v>
      </c>
      <c r="M846" t="s">
        <v>8</v>
      </c>
      <c r="N846" t="s">
        <v>8</v>
      </c>
      <c r="P846">
        <f t="shared" si="1009"/>
        <v>0.33674832962138013</v>
      </c>
      <c r="Q846">
        <f t="shared" si="1010"/>
        <v>7338548.937407556</v>
      </c>
      <c r="R846">
        <f t="shared" si="1011"/>
        <v>19000708.860995583</v>
      </c>
      <c r="S846">
        <f t="shared" si="1012"/>
        <v>190.00708860995584</v>
      </c>
      <c r="T846">
        <f t="shared" si="1013"/>
        <v>0.19000708860995585</v>
      </c>
    </row>
    <row r="847" spans="1:20" x14ac:dyDescent="0.25">
      <c r="A847" s="5">
        <v>43746</v>
      </c>
      <c r="B847">
        <v>2.3963000000000001</v>
      </c>
      <c r="C847">
        <v>2.65</v>
      </c>
      <c r="D847">
        <v>2.2679999999999998</v>
      </c>
      <c r="E847">
        <v>2.5764999999999998</v>
      </c>
      <c r="F847">
        <v>16096459.09</v>
      </c>
      <c r="G847">
        <v>0</v>
      </c>
      <c r="L847" t="s">
        <v>8</v>
      </c>
      <c r="M847" t="s">
        <v>8</v>
      </c>
      <c r="N847" t="s">
        <v>8</v>
      </c>
      <c r="P847">
        <f t="shared" si="1009"/>
        <v>0.61518324607329788</v>
      </c>
      <c r="Q847">
        <f t="shared" si="1010"/>
        <v>9902271.9532722421</v>
      </c>
      <c r="R847">
        <f t="shared" si="1011"/>
        <v>11662159.923588026</v>
      </c>
      <c r="S847">
        <f t="shared" si="1012"/>
        <v>116.62159923588027</v>
      </c>
      <c r="T847">
        <f t="shared" si="1013"/>
        <v>0.11662159923588027</v>
      </c>
    </row>
    <row r="848" spans="1:20" x14ac:dyDescent="0.25">
      <c r="A848" s="5">
        <v>43745</v>
      </c>
      <c r="B848">
        <v>2.1669</v>
      </c>
      <c r="C848">
        <v>2.4899</v>
      </c>
      <c r="D848">
        <v>2.0971000000000002</v>
      </c>
      <c r="E848">
        <v>2.3963000000000001</v>
      </c>
      <c r="F848">
        <v>12795782.67</v>
      </c>
      <c r="G848">
        <v>0</v>
      </c>
      <c r="L848" t="s">
        <v>8</v>
      </c>
      <c r="M848" t="s">
        <v>8</v>
      </c>
      <c r="N848" t="s">
        <v>8</v>
      </c>
      <c r="P848">
        <f t="shared" si="1009"/>
        <v>0.52342158859470489</v>
      </c>
      <c r="Q848">
        <f t="shared" si="1010"/>
        <v>6697588.8924439941</v>
      </c>
      <c r="R848">
        <f t="shared" si="1011"/>
        <v>1759887.9703157842</v>
      </c>
      <c r="S848">
        <f t="shared" si="1012"/>
        <v>17.598879703157841</v>
      </c>
      <c r="T848">
        <f t="shared" si="1013"/>
        <v>1.7598879703157842E-2</v>
      </c>
    </row>
    <row r="849" spans="1:20" x14ac:dyDescent="0.25">
      <c r="A849" s="5">
        <v>43744</v>
      </c>
      <c r="B849">
        <v>1.9623999999999999</v>
      </c>
      <c r="C849">
        <v>2.2658999999999998</v>
      </c>
      <c r="D849">
        <v>1.9531000000000001</v>
      </c>
      <c r="E849">
        <v>2.1669</v>
      </c>
      <c r="F849">
        <v>9778198.6600000001</v>
      </c>
      <c r="G849">
        <v>0</v>
      </c>
      <c r="L849" t="s">
        <v>8</v>
      </c>
      <c r="M849" t="s">
        <v>8</v>
      </c>
      <c r="N849" t="s">
        <v>8</v>
      </c>
      <c r="P849">
        <f t="shared" si="1009"/>
        <v>0.36700767263427214</v>
      </c>
      <c r="Q849">
        <f t="shared" si="1010"/>
        <v>3588673.9327621586</v>
      </c>
      <c r="R849">
        <f t="shared" si="1011"/>
        <v>-4937700.9221282098</v>
      </c>
      <c r="S849">
        <f t="shared" si="1012"/>
        <v>-49.377009221282101</v>
      </c>
      <c r="T849">
        <f t="shared" si="1013"/>
        <v>-4.9377009221282103E-2</v>
      </c>
    </row>
    <row r="850" spans="1:20" x14ac:dyDescent="0.25">
      <c r="A850" s="5">
        <v>43743</v>
      </c>
      <c r="B850">
        <v>1.9662999999999999</v>
      </c>
      <c r="C850">
        <v>1.9775</v>
      </c>
      <c r="D850">
        <v>1.9113</v>
      </c>
      <c r="E850">
        <v>1.9623999999999999</v>
      </c>
      <c r="F850">
        <v>2233660.2000000002</v>
      </c>
      <c r="G850">
        <v>0</v>
      </c>
      <c r="L850" t="s">
        <v>7</v>
      </c>
      <c r="M850" t="s">
        <v>8</v>
      </c>
      <c r="N850" t="s">
        <v>8</v>
      </c>
      <c r="P850">
        <f t="shared" si="1009"/>
        <v>0.54380664652567656</v>
      </c>
      <c r="Q850">
        <f t="shared" si="1010"/>
        <v>1214679.2628398722</v>
      </c>
      <c r="R850">
        <f t="shared" si="1011"/>
        <v>-8526374.8548903689</v>
      </c>
      <c r="S850">
        <f t="shared" si="1012"/>
        <v>-85.263748548903692</v>
      </c>
      <c r="T850">
        <f t="shared" si="1013"/>
        <v>-8.5263748548903687E-2</v>
      </c>
    </row>
    <row r="851" spans="1:20" x14ac:dyDescent="0.25">
      <c r="A851" s="5">
        <v>43742</v>
      </c>
      <c r="B851">
        <v>1.9442999999999999</v>
      </c>
      <c r="C851">
        <v>1.9948999999999999</v>
      </c>
      <c r="D851">
        <v>1.8879999999999999</v>
      </c>
      <c r="E851">
        <v>1.9662999999999999</v>
      </c>
      <c r="F851">
        <v>3422137.61</v>
      </c>
      <c r="G851">
        <v>0</v>
      </c>
      <c r="L851" t="s">
        <v>7</v>
      </c>
      <c r="M851" t="s">
        <v>8</v>
      </c>
      <c r="N851" t="s">
        <v>8</v>
      </c>
      <c r="P851">
        <f t="shared" si="1009"/>
        <v>0.46492048643592215</v>
      </c>
      <c r="Q851">
        <f t="shared" si="1010"/>
        <v>1591021.8822918639</v>
      </c>
      <c r="R851">
        <f t="shared" si="1011"/>
        <v>-9741054.1177302413</v>
      </c>
      <c r="S851">
        <f t="shared" si="1012"/>
        <v>-97.410541177302406</v>
      </c>
      <c r="T851">
        <f t="shared" si="1013"/>
        <v>-9.7410541177302412E-2</v>
      </c>
    </row>
    <row r="852" spans="1:20" x14ac:dyDescent="0.25">
      <c r="A852" s="5">
        <v>43741</v>
      </c>
      <c r="B852">
        <v>2.0133999999999999</v>
      </c>
      <c r="C852">
        <v>2.0337999999999998</v>
      </c>
      <c r="D852">
        <v>1.88</v>
      </c>
      <c r="E852">
        <v>1.9441999999999999</v>
      </c>
      <c r="F852">
        <v>7013380.2300000004</v>
      </c>
      <c r="G852">
        <v>0</v>
      </c>
      <c r="L852" t="s">
        <v>7</v>
      </c>
      <c r="M852" t="s">
        <v>8</v>
      </c>
      <c r="N852" t="s">
        <v>8</v>
      </c>
      <c r="P852">
        <f t="shared" si="1009"/>
        <v>-0.16514954486345823</v>
      </c>
      <c r="Q852">
        <f t="shared" si="1010"/>
        <v>-1158256.552938876</v>
      </c>
      <c r="R852">
        <f t="shared" si="1011"/>
        <v>-11332076.000022106</v>
      </c>
      <c r="S852">
        <f t="shared" si="1012"/>
        <v>-113.32076000022106</v>
      </c>
      <c r="T852">
        <f t="shared" si="1013"/>
        <v>-0.11332076000022105</v>
      </c>
    </row>
    <row r="853" spans="1:20" x14ac:dyDescent="0.25">
      <c r="A853" s="5">
        <v>43740</v>
      </c>
      <c r="B853">
        <v>1.8285</v>
      </c>
      <c r="C853">
        <v>2.0232999999999999</v>
      </c>
      <c r="D853">
        <v>1.8121</v>
      </c>
      <c r="E853">
        <v>2.0110000000000001</v>
      </c>
      <c r="F853">
        <v>5790547.3399999999</v>
      </c>
      <c r="G853">
        <v>0</v>
      </c>
      <c r="L853" t="s">
        <v>8</v>
      </c>
      <c r="M853" t="s">
        <v>8</v>
      </c>
      <c r="N853" t="s">
        <v>8</v>
      </c>
      <c r="P853">
        <f t="shared" si="1009"/>
        <v>0.88352272727272951</v>
      </c>
      <c r="Q853">
        <f t="shared" si="1010"/>
        <v>5116080.1782386489</v>
      </c>
      <c r="R853">
        <f t="shared" si="1011"/>
        <v>-10173819.447083229</v>
      </c>
      <c r="S853">
        <f t="shared" si="1012"/>
        <v>-101.7381944708323</v>
      </c>
      <c r="T853">
        <f t="shared" si="1013"/>
        <v>-0.10173819447083229</v>
      </c>
    </row>
    <row r="854" spans="1:20" x14ac:dyDescent="0.25">
      <c r="A854" s="5">
        <v>43739</v>
      </c>
      <c r="B854">
        <v>1.7677</v>
      </c>
      <c r="C854">
        <v>1.8819999999999999</v>
      </c>
      <c r="D854">
        <v>1.7522</v>
      </c>
      <c r="E854">
        <v>1.8286</v>
      </c>
      <c r="F854">
        <v>4084117.04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0.17719568567026306</v>
      </c>
      <c r="Q854">
        <f t="shared" si="1010"/>
        <v>723687.91926040524</v>
      </c>
      <c r="R854">
        <f t="shared" si="1011"/>
        <v>-15289899.625321878</v>
      </c>
      <c r="S854">
        <f t="shared" si="1012"/>
        <v>-152.89899625321877</v>
      </c>
      <c r="T854">
        <f t="shared" si="1013"/>
        <v>-0.15289899625321876</v>
      </c>
    </row>
    <row r="855" spans="1:20" x14ac:dyDescent="0.25">
      <c r="A855" s="5">
        <v>43738</v>
      </c>
      <c r="B855">
        <v>1.7003999999999999</v>
      </c>
      <c r="C855">
        <v>1.7689999999999999</v>
      </c>
      <c r="D855">
        <v>1.6404000000000001</v>
      </c>
      <c r="E855">
        <v>1.7677</v>
      </c>
      <c r="F855">
        <v>3573550.83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0.97978227060653411</v>
      </c>
      <c r="Q855">
        <f t="shared" si="1010"/>
        <v>3501301.7463452648</v>
      </c>
      <c r="R855">
        <f t="shared" si="1011"/>
        <v>-16013587.544582283</v>
      </c>
      <c r="S855">
        <f t="shared" si="1012"/>
        <v>-160.13587544582282</v>
      </c>
      <c r="T855">
        <f t="shared" si="1013"/>
        <v>-0.16013587544582281</v>
      </c>
    </row>
    <row r="856" spans="1:20" x14ac:dyDescent="0.25">
      <c r="A856" s="5">
        <v>43737</v>
      </c>
      <c r="B856">
        <v>1.6748000000000001</v>
      </c>
      <c r="C856">
        <v>1.7492000000000001</v>
      </c>
      <c r="D856">
        <v>1.6440999999999999</v>
      </c>
      <c r="E856">
        <v>1.7001999999999999</v>
      </c>
      <c r="F856">
        <v>3307432.07</v>
      </c>
      <c r="G856">
        <v>0</v>
      </c>
      <c r="L856" t="s">
        <v>8</v>
      </c>
      <c r="M856" t="s">
        <v>7</v>
      </c>
      <c r="N856" t="s">
        <v>7</v>
      </c>
      <c r="P856">
        <f t="shared" si="1009"/>
        <v>6.7554709800189072E-2</v>
      </c>
      <c r="Q856">
        <f t="shared" si="1010"/>
        <v>223432.61367268863</v>
      </c>
      <c r="R856">
        <f t="shared" si="1011"/>
        <v>-19514889.290927548</v>
      </c>
      <c r="S856">
        <f t="shared" si="1012"/>
        <v>-195.14889290927547</v>
      </c>
      <c r="T856">
        <f t="shared" si="1013"/>
        <v>-0.19514889290927548</v>
      </c>
    </row>
    <row r="857" spans="1:20" x14ac:dyDescent="0.25">
      <c r="A857" s="5">
        <v>43736</v>
      </c>
      <c r="B857">
        <v>1.6593</v>
      </c>
      <c r="C857">
        <v>1.7017</v>
      </c>
      <c r="D857">
        <v>1.6284000000000001</v>
      </c>
      <c r="E857">
        <v>1.6741999999999999</v>
      </c>
      <c r="F857">
        <v>2378769.19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0.24965893587994245</v>
      </c>
      <c r="Q857">
        <f t="shared" si="1010"/>
        <v>593880.98467939266</v>
      </c>
      <c r="R857">
        <f t="shared" si="1011"/>
        <v>-19738321.904600237</v>
      </c>
      <c r="S857">
        <f t="shared" si="1012"/>
        <v>-197.38321904600235</v>
      </c>
      <c r="T857">
        <f t="shared" si="1013"/>
        <v>-0.19738321904600234</v>
      </c>
    </row>
    <row r="858" spans="1:20" x14ac:dyDescent="0.25">
      <c r="A858" s="5">
        <v>43735</v>
      </c>
      <c r="B858">
        <v>1.6512</v>
      </c>
      <c r="C858">
        <v>1.6786000000000001</v>
      </c>
      <c r="D858">
        <v>1.5572999999999999</v>
      </c>
      <c r="E858">
        <v>1.659</v>
      </c>
      <c r="F858">
        <v>4337039.0599999996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0.67683429513602589</v>
      </c>
      <c r="Q858">
        <f t="shared" si="1010"/>
        <v>2935456.7751525119</v>
      </c>
      <c r="R858">
        <f t="shared" si="1011"/>
        <v>-20332202.88927963</v>
      </c>
      <c r="S858">
        <f t="shared" si="1012"/>
        <v>-203.32202889279631</v>
      </c>
      <c r="T858">
        <f t="shared" si="1013"/>
        <v>-0.20332202889279632</v>
      </c>
    </row>
    <row r="859" spans="1:20" x14ac:dyDescent="0.25">
      <c r="A859" s="5">
        <v>43734</v>
      </c>
      <c r="B859">
        <v>1.7476</v>
      </c>
      <c r="C859">
        <v>1.7584</v>
      </c>
      <c r="D859">
        <v>1.5276000000000001</v>
      </c>
      <c r="E859">
        <v>1.6512</v>
      </c>
      <c r="F859">
        <v>6950205.7599999998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7.1057192374349987E-2</v>
      </c>
      <c r="Q859">
        <f t="shared" si="1010"/>
        <v>493862.10772963532</v>
      </c>
      <c r="R859">
        <f t="shared" si="1011"/>
        <v>-23267659.664432142</v>
      </c>
      <c r="S859">
        <f t="shared" si="1012"/>
        <v>-232.67659664432142</v>
      </c>
      <c r="T859">
        <f t="shared" si="1013"/>
        <v>-0.23267659664432142</v>
      </c>
    </row>
    <row r="860" spans="1:20" x14ac:dyDescent="0.25">
      <c r="A860" s="5">
        <v>43733</v>
      </c>
      <c r="B860">
        <v>1.7135</v>
      </c>
      <c r="C860">
        <v>1.9286000000000001</v>
      </c>
      <c r="D860">
        <v>1.6249</v>
      </c>
      <c r="E860">
        <v>1.7443</v>
      </c>
      <c r="F860">
        <v>8910418.8800000008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-0.21369772802107395</v>
      </c>
      <c r="Q860">
        <f t="shared" si="1010"/>
        <v>-1904136.2703720825</v>
      </c>
      <c r="R860">
        <f t="shared" si="1011"/>
        <v>-23761521.772161778</v>
      </c>
      <c r="S860">
        <f t="shared" si="1012"/>
        <v>-237.61521772161777</v>
      </c>
      <c r="T860">
        <f t="shared" si="1013"/>
        <v>-0.23761521772161776</v>
      </c>
    </row>
    <row r="861" spans="1:20" x14ac:dyDescent="0.25">
      <c r="A861" s="5">
        <v>43732</v>
      </c>
      <c r="B861">
        <v>1.8033999999999999</v>
      </c>
      <c r="C861">
        <v>2.0657000000000001</v>
      </c>
      <c r="D861">
        <v>1.4612000000000001</v>
      </c>
      <c r="E861">
        <v>1.716</v>
      </c>
      <c r="F861">
        <v>16495451.140000001</v>
      </c>
      <c r="G861">
        <v>0</v>
      </c>
      <c r="L861" t="s">
        <v>7</v>
      </c>
      <c r="M861" t="s">
        <v>8</v>
      </c>
      <c r="N861" t="s">
        <v>7</v>
      </c>
      <c r="P861">
        <f t="shared" si="1009"/>
        <v>-0.15698924731182828</v>
      </c>
      <c r="Q861">
        <f t="shared" si="1010"/>
        <v>-2589608.4585376401</v>
      </c>
      <c r="R861">
        <f t="shared" si="1011"/>
        <v>-21857385.501789697</v>
      </c>
      <c r="S861">
        <f t="shared" si="1012"/>
        <v>-218.57385501789696</v>
      </c>
      <c r="T861">
        <f t="shared" si="1013"/>
        <v>-0.21857385501789697</v>
      </c>
    </row>
    <row r="862" spans="1:20" x14ac:dyDescent="0.25">
      <c r="A862" s="5">
        <v>43731</v>
      </c>
      <c r="B862">
        <v>1.8149</v>
      </c>
      <c r="C862">
        <v>1.88</v>
      </c>
      <c r="D862">
        <v>1.7799</v>
      </c>
      <c r="E862">
        <v>1.8048</v>
      </c>
      <c r="F862">
        <v>2670201.16</v>
      </c>
      <c r="G862">
        <v>0</v>
      </c>
      <c r="L862" t="s">
        <v>7</v>
      </c>
      <c r="M862" t="s">
        <v>8</v>
      </c>
      <c r="N862" t="s">
        <v>7</v>
      </c>
      <c r="P862">
        <f t="shared" si="1009"/>
        <v>-0.50249750249750336</v>
      </c>
      <c r="Q862">
        <f t="shared" si="1010"/>
        <v>-1341769.4140659363</v>
      </c>
      <c r="R862">
        <f t="shared" si="1011"/>
        <v>-19267777.043252055</v>
      </c>
      <c r="S862">
        <f t="shared" si="1012"/>
        <v>-192.67777043252053</v>
      </c>
      <c r="T862">
        <f t="shared" si="1013"/>
        <v>-0.19267777043252055</v>
      </c>
    </row>
    <row r="863" spans="1:20" x14ac:dyDescent="0.25">
      <c r="A863" s="5">
        <v>43730</v>
      </c>
      <c r="B863">
        <v>1.8848</v>
      </c>
      <c r="C863">
        <v>1.8868</v>
      </c>
      <c r="D863">
        <v>1.7710999999999999</v>
      </c>
      <c r="E863">
        <v>1.8157000000000001</v>
      </c>
      <c r="F863">
        <v>2311848.65</v>
      </c>
      <c r="G863">
        <v>0</v>
      </c>
      <c r="L863" t="s">
        <v>7</v>
      </c>
      <c r="M863" t="s">
        <v>8</v>
      </c>
      <c r="N863" t="s">
        <v>7</v>
      </c>
      <c r="P863">
        <f t="shared" si="1009"/>
        <v>-0.22904062229904681</v>
      </c>
      <c r="Q863">
        <f t="shared" si="1010"/>
        <v>-529507.25345721131</v>
      </c>
      <c r="R863">
        <f t="shared" si="1011"/>
        <v>-17926007.62918612</v>
      </c>
      <c r="S863">
        <f t="shared" si="1012"/>
        <v>-179.2600762918612</v>
      </c>
      <c r="T863">
        <f t="shared" si="1013"/>
        <v>-0.17926007629186119</v>
      </c>
    </row>
    <row r="864" spans="1:20" x14ac:dyDescent="0.25">
      <c r="A864" s="5">
        <v>43729</v>
      </c>
      <c r="B864">
        <v>1.8214999999999999</v>
      </c>
      <c r="C864">
        <v>1.8888</v>
      </c>
      <c r="D864">
        <v>1.7881</v>
      </c>
      <c r="E864">
        <v>1.8855</v>
      </c>
      <c r="F864">
        <v>2773787.16</v>
      </c>
      <c r="G864">
        <v>0</v>
      </c>
      <c r="L864" t="s">
        <v>8</v>
      </c>
      <c r="M864" t="s">
        <v>8</v>
      </c>
      <c r="N864" t="s">
        <v>7</v>
      </c>
      <c r="P864">
        <f t="shared" si="1009"/>
        <v>0.93445878848063391</v>
      </c>
      <c r="Q864">
        <f t="shared" si="1010"/>
        <v>2591989.7890367382</v>
      </c>
      <c r="R864">
        <f t="shared" si="1011"/>
        <v>-17396500.375728909</v>
      </c>
      <c r="S864">
        <f t="shared" si="1012"/>
        <v>-173.96500375728908</v>
      </c>
      <c r="T864">
        <f t="shared" si="1013"/>
        <v>-0.17396500375728907</v>
      </c>
    </row>
    <row r="865" spans="1:20" x14ac:dyDescent="0.25">
      <c r="A865" s="5">
        <v>43728</v>
      </c>
      <c r="B865">
        <v>1.8743000000000001</v>
      </c>
      <c r="C865">
        <v>1.8772</v>
      </c>
      <c r="D865">
        <v>1.7509999999999999</v>
      </c>
      <c r="E865">
        <v>1.8245</v>
      </c>
      <c r="F865">
        <v>3503491.24</v>
      </c>
      <c r="G865">
        <v>0</v>
      </c>
      <c r="L865" t="s">
        <v>7</v>
      </c>
      <c r="M865" t="s">
        <v>8</v>
      </c>
      <c r="N865" t="s">
        <v>7</v>
      </c>
      <c r="P865">
        <f t="shared" si="1009"/>
        <v>0.16481774960380458</v>
      </c>
      <c r="Q865">
        <f t="shared" si="1010"/>
        <v>577437.54193344282</v>
      </c>
      <c r="R865">
        <f t="shared" si="1011"/>
        <v>-19988490.164765649</v>
      </c>
      <c r="S865">
        <f t="shared" si="1012"/>
        <v>-199.88490164765648</v>
      </c>
      <c r="T865">
        <f t="shared" si="1013"/>
        <v>-0.19988490164765649</v>
      </c>
    </row>
    <row r="866" spans="1:20" x14ac:dyDescent="0.25">
      <c r="A866" s="5">
        <v>43727</v>
      </c>
      <c r="B866">
        <v>1.7994000000000001</v>
      </c>
      <c r="C866">
        <v>1.9075</v>
      </c>
      <c r="D866">
        <v>1.7079</v>
      </c>
      <c r="E866">
        <v>1.8744000000000001</v>
      </c>
      <c r="F866">
        <v>8590087.5199999996</v>
      </c>
      <c r="G866">
        <v>0</v>
      </c>
      <c r="L866" t="s">
        <v>8</v>
      </c>
      <c r="M866" t="s">
        <v>8</v>
      </c>
      <c r="N866" t="s">
        <v>7</v>
      </c>
      <c r="P866">
        <f t="shared" si="1009"/>
        <v>0.66833667334669433</v>
      </c>
      <c r="Q866">
        <f t="shared" si="1010"/>
        <v>5741070.5168737555</v>
      </c>
      <c r="R866">
        <f t="shared" si="1011"/>
        <v>-20565927.706699092</v>
      </c>
      <c r="S866">
        <f t="shared" si="1012"/>
        <v>-205.65927706699091</v>
      </c>
      <c r="T866">
        <f t="shared" si="1013"/>
        <v>-0.20565927706699091</v>
      </c>
    </row>
    <row r="867" spans="1:20" x14ac:dyDescent="0.25">
      <c r="A867" s="5">
        <v>43726</v>
      </c>
      <c r="B867">
        <v>1.6240000000000001</v>
      </c>
      <c r="C867">
        <v>1.8462000000000001</v>
      </c>
      <c r="D867">
        <v>1.6240000000000001</v>
      </c>
      <c r="E867">
        <v>1.8009999999999999</v>
      </c>
      <c r="F867">
        <v>8269809.7300000004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0.59315931593159188</v>
      </c>
      <c r="Q867">
        <f t="shared" si="1010"/>
        <v>4905314.682331223</v>
      </c>
      <c r="R867">
        <f t="shared" si="1011"/>
        <v>-26306998.223572847</v>
      </c>
      <c r="S867">
        <f t="shared" si="1012"/>
        <v>-263.06998223572845</v>
      </c>
      <c r="T867">
        <f t="shared" si="1013"/>
        <v>-0.26306998223572847</v>
      </c>
    </row>
    <row r="868" spans="1:20" x14ac:dyDescent="0.25">
      <c r="A868" s="5">
        <v>43725</v>
      </c>
      <c r="B868">
        <v>1.5806</v>
      </c>
      <c r="C868">
        <v>1.6765000000000001</v>
      </c>
      <c r="D868">
        <v>1.5531999999999999</v>
      </c>
      <c r="E868">
        <v>1.6240000000000001</v>
      </c>
      <c r="F868">
        <v>5393985.8899999997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0.14841849148418634</v>
      </c>
      <c r="Q868">
        <f t="shared" si="1010"/>
        <v>800567.24888078624</v>
      </c>
      <c r="R868">
        <f t="shared" si="1011"/>
        <v>-31212312.90590407</v>
      </c>
      <c r="S868">
        <f t="shared" si="1012"/>
        <v>-312.12312905904071</v>
      </c>
      <c r="T868">
        <f t="shared" si="1013"/>
        <v>-0.31212312905904072</v>
      </c>
    </row>
    <row r="869" spans="1:20" x14ac:dyDescent="0.25">
      <c r="A869" s="5">
        <v>43724</v>
      </c>
      <c r="B869">
        <v>1.611</v>
      </c>
      <c r="C869">
        <v>1.6355</v>
      </c>
      <c r="D869">
        <v>1.5449999999999999</v>
      </c>
      <c r="E869">
        <v>1.5806</v>
      </c>
      <c r="F869">
        <v>3549602.58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-0.21325966850828582</v>
      </c>
      <c r="Q869">
        <f t="shared" si="1010"/>
        <v>-756987.0695469561</v>
      </c>
      <c r="R869">
        <f t="shared" si="1011"/>
        <v>-32012880.154784855</v>
      </c>
      <c r="S869">
        <f t="shared" si="1012"/>
        <v>-320.12880154784852</v>
      </c>
      <c r="T869">
        <f t="shared" si="1013"/>
        <v>-0.32012880154784851</v>
      </c>
    </row>
    <row r="870" spans="1:20" x14ac:dyDescent="0.25">
      <c r="A870" s="5">
        <v>43723</v>
      </c>
      <c r="B870">
        <v>1.5633999999999999</v>
      </c>
      <c r="C870">
        <v>1.6457999999999999</v>
      </c>
      <c r="D870">
        <v>1.56</v>
      </c>
      <c r="E870">
        <v>1.6104000000000001</v>
      </c>
      <c r="F870">
        <v>4049102.77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0.17482517482517654</v>
      </c>
      <c r="Q870">
        <f t="shared" si="1010"/>
        <v>707885.09965035657</v>
      </c>
      <c r="R870">
        <f t="shared" si="1011"/>
        <v>-31255893.085237898</v>
      </c>
      <c r="S870">
        <f t="shared" si="1012"/>
        <v>-312.55893085237898</v>
      </c>
      <c r="T870">
        <f t="shared" si="1013"/>
        <v>-0.31255893085237896</v>
      </c>
    </row>
    <row r="871" spans="1:20" x14ac:dyDescent="0.25">
      <c r="A871" s="5">
        <v>43722</v>
      </c>
      <c r="B871">
        <v>1.5761000000000001</v>
      </c>
      <c r="C871">
        <v>1.6375</v>
      </c>
      <c r="D871">
        <v>1.5239</v>
      </c>
      <c r="E871">
        <v>1.5633999999999999</v>
      </c>
      <c r="F871">
        <v>5719166.79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-0.30457746478873426</v>
      </c>
      <c r="Q871">
        <f t="shared" si="1010"/>
        <v>-1741929.3216021233</v>
      </c>
      <c r="R871">
        <f t="shared" si="1011"/>
        <v>-31963778.184888255</v>
      </c>
      <c r="S871">
        <f t="shared" si="1012"/>
        <v>-319.63778184888253</v>
      </c>
      <c r="T871">
        <f t="shared" si="1013"/>
        <v>-0.31963778184888253</v>
      </c>
    </row>
    <row r="872" spans="1:20" x14ac:dyDescent="0.25">
      <c r="A872" s="5">
        <v>43721</v>
      </c>
      <c r="B872">
        <v>1.7073</v>
      </c>
      <c r="C872">
        <v>1.7099</v>
      </c>
      <c r="D872">
        <v>1.51</v>
      </c>
      <c r="E872">
        <v>1.5759000000000001</v>
      </c>
      <c r="F872">
        <v>6639098.3499999996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-0.34067033516758299</v>
      </c>
      <c r="Q872">
        <f t="shared" si="1010"/>
        <v>-2261743.860105047</v>
      </c>
      <c r="R872">
        <f t="shared" si="1011"/>
        <v>-30221848.86328613</v>
      </c>
      <c r="S872">
        <f t="shared" si="1012"/>
        <v>-302.21848863286129</v>
      </c>
      <c r="T872">
        <f t="shared" si="1013"/>
        <v>-0.30221848863286127</v>
      </c>
    </row>
    <row r="873" spans="1:20" x14ac:dyDescent="0.25">
      <c r="A873" s="5">
        <v>43720</v>
      </c>
      <c r="B873">
        <v>1.7301</v>
      </c>
      <c r="C873">
        <v>1.7458</v>
      </c>
      <c r="D873">
        <v>1.6918</v>
      </c>
      <c r="E873">
        <v>1.7073</v>
      </c>
      <c r="F873">
        <v>2229068.92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-0.42592592592592388</v>
      </c>
      <c r="Q873">
        <f t="shared" si="1010"/>
        <v>-949418.24370369909</v>
      </c>
      <c r="R873">
        <f t="shared" si="1011"/>
        <v>-27960105.003181081</v>
      </c>
      <c r="S873">
        <f t="shared" si="1012"/>
        <v>-279.60105003181081</v>
      </c>
      <c r="T873">
        <f t="shared" si="1013"/>
        <v>-0.27960105003181079</v>
      </c>
    </row>
    <row r="874" spans="1:20" x14ac:dyDescent="0.25">
      <c r="A874" s="5">
        <v>43719</v>
      </c>
      <c r="B874">
        <v>1.7988</v>
      </c>
      <c r="C874">
        <v>1.8258000000000001</v>
      </c>
      <c r="D874">
        <v>1.7136</v>
      </c>
      <c r="E874">
        <v>1.7301</v>
      </c>
      <c r="F874">
        <v>2229727.06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-0.7058823529411774</v>
      </c>
      <c r="Q874">
        <f t="shared" si="1010"/>
        <v>-1573924.9835294138</v>
      </c>
      <c r="R874">
        <f t="shared" si="1011"/>
        <v>-27010686.759477381</v>
      </c>
      <c r="S874">
        <f t="shared" si="1012"/>
        <v>-270.1068675947738</v>
      </c>
      <c r="T874">
        <f t="shared" si="1013"/>
        <v>-0.27010686759477381</v>
      </c>
    </row>
    <row r="875" spans="1:20" x14ac:dyDescent="0.25">
      <c r="A875" s="5">
        <v>43718</v>
      </c>
      <c r="B875">
        <v>1.7883</v>
      </c>
      <c r="C875">
        <v>1.8326</v>
      </c>
      <c r="D875">
        <v>1.7729999999999999</v>
      </c>
      <c r="E875">
        <v>1.7998000000000001</v>
      </c>
      <c r="F875">
        <v>2713368.74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-0.10067114093959352</v>
      </c>
      <c r="Q875">
        <f t="shared" si="1010"/>
        <v>-273157.92684562731</v>
      </c>
      <c r="R875">
        <f t="shared" si="1011"/>
        <v>-25436761.775947966</v>
      </c>
      <c r="S875">
        <f t="shared" si="1012"/>
        <v>-254.36761775947966</v>
      </c>
      <c r="T875">
        <f t="shared" si="1013"/>
        <v>-0.25436761775947964</v>
      </c>
    </row>
    <row r="876" spans="1:20" x14ac:dyDescent="0.25">
      <c r="A876" s="5">
        <v>43717</v>
      </c>
      <c r="B876">
        <v>1.829</v>
      </c>
      <c r="C876">
        <v>1.8731</v>
      </c>
      <c r="D876">
        <v>1.7609999999999999</v>
      </c>
      <c r="E876">
        <v>1.7871999999999999</v>
      </c>
      <c r="F876">
        <v>3483191.16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-0.53256021409455878</v>
      </c>
      <c r="Q876">
        <f t="shared" si="1010"/>
        <v>-1855009.0299018747</v>
      </c>
      <c r="R876">
        <f t="shared" si="1011"/>
        <v>-25163603.849102337</v>
      </c>
      <c r="S876">
        <f t="shared" si="1012"/>
        <v>-251.63603849102336</v>
      </c>
      <c r="T876">
        <f t="shared" si="1013"/>
        <v>-0.25163603849102334</v>
      </c>
    </row>
    <row r="877" spans="1:20" x14ac:dyDescent="0.25">
      <c r="A877" s="5">
        <v>43716</v>
      </c>
      <c r="B877">
        <v>1.7672000000000001</v>
      </c>
      <c r="C877">
        <v>1.9054</v>
      </c>
      <c r="D877">
        <v>1.7609999999999999</v>
      </c>
      <c r="E877">
        <v>1.8274999999999999</v>
      </c>
      <c r="F877">
        <v>3504716.5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-7.8947368421053113E-2</v>
      </c>
      <c r="Q877">
        <f t="shared" si="1010"/>
        <v>-276688.14473684377</v>
      </c>
      <c r="R877">
        <f t="shared" si="1011"/>
        <v>-23308594.819200464</v>
      </c>
      <c r="S877">
        <f t="shared" si="1012"/>
        <v>-233.08594819200462</v>
      </c>
      <c r="T877">
        <f t="shared" si="1013"/>
        <v>-0.23308594819200462</v>
      </c>
    </row>
    <row r="878" spans="1:20" x14ac:dyDescent="0.25">
      <c r="A878" s="5">
        <v>43715</v>
      </c>
      <c r="B878">
        <v>1.7222</v>
      </c>
      <c r="C878">
        <v>1.806</v>
      </c>
      <c r="D878">
        <v>1.7084999999999999</v>
      </c>
      <c r="E878">
        <v>1.7672000000000001</v>
      </c>
      <c r="F878">
        <v>2404181.98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0.20410256410256639</v>
      </c>
      <c r="Q878">
        <f t="shared" si="1010"/>
        <v>490699.70668718498</v>
      </c>
      <c r="R878">
        <f t="shared" si="1011"/>
        <v>-23031906.674463619</v>
      </c>
      <c r="S878">
        <f t="shared" si="1012"/>
        <v>-230.31906674463619</v>
      </c>
      <c r="T878">
        <f t="shared" si="1013"/>
        <v>-0.23031906674463618</v>
      </c>
    </row>
    <row r="879" spans="1:20" x14ac:dyDescent="0.25">
      <c r="A879" s="5">
        <v>43714</v>
      </c>
      <c r="B879">
        <v>1.7919</v>
      </c>
      <c r="C879">
        <v>1.86</v>
      </c>
      <c r="D879">
        <v>1.6767000000000001</v>
      </c>
      <c r="E879">
        <v>1.7225999999999999</v>
      </c>
      <c r="F879">
        <v>3184048.39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-0.49918166939443726</v>
      </c>
      <c r="Q879">
        <f t="shared" si="1010"/>
        <v>-1589418.5907528703</v>
      </c>
      <c r="R879">
        <f t="shared" si="1011"/>
        <v>-23522606.381150804</v>
      </c>
      <c r="S879">
        <f t="shared" si="1012"/>
        <v>-235.22606381150806</v>
      </c>
      <c r="T879">
        <f t="shared" si="1013"/>
        <v>-0.23522606381150807</v>
      </c>
    </row>
    <row r="880" spans="1:20" x14ac:dyDescent="0.25">
      <c r="A880" s="5">
        <v>43713</v>
      </c>
      <c r="B880">
        <v>1.7793000000000001</v>
      </c>
      <c r="C880">
        <v>1.8624000000000001</v>
      </c>
      <c r="D880">
        <v>1.768</v>
      </c>
      <c r="E880">
        <v>1.7921</v>
      </c>
      <c r="F880">
        <v>2744215.93</v>
      </c>
      <c r="G880">
        <v>0</v>
      </c>
      <c r="L880" t="s">
        <v>8</v>
      </c>
      <c r="M880" t="s">
        <v>7</v>
      </c>
      <c r="N880" t="s">
        <v>7</v>
      </c>
      <c r="P880">
        <f t="shared" si="1009"/>
        <v>-0.48940677966101692</v>
      </c>
      <c r="Q880">
        <f t="shared" si="1010"/>
        <v>-1343037.8809957628</v>
      </c>
      <c r="R880">
        <f t="shared" si="1011"/>
        <v>-21933187.790397935</v>
      </c>
      <c r="S880">
        <f t="shared" si="1012"/>
        <v>-219.33187790397935</v>
      </c>
      <c r="T880">
        <f t="shared" si="1013"/>
        <v>-0.21933187790397934</v>
      </c>
    </row>
    <row r="881" spans="1:20" x14ac:dyDescent="0.25">
      <c r="A881" s="5">
        <v>43712</v>
      </c>
      <c r="B881">
        <v>1.8486</v>
      </c>
      <c r="C881">
        <v>1.87</v>
      </c>
      <c r="D881">
        <v>1.7166999999999999</v>
      </c>
      <c r="E881">
        <v>1.7784</v>
      </c>
      <c r="F881">
        <v>3579394.12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-0.19504240052185254</v>
      </c>
      <c r="Q881">
        <f t="shared" si="1010"/>
        <v>-698133.62157860398</v>
      </c>
      <c r="R881">
        <f t="shared" si="1011"/>
        <v>-20590149.909402173</v>
      </c>
      <c r="S881">
        <f t="shared" si="1012"/>
        <v>-205.90149909402172</v>
      </c>
      <c r="T881">
        <f t="shared" si="1013"/>
        <v>-0.20590149909402172</v>
      </c>
    </row>
    <row r="882" spans="1:20" x14ac:dyDescent="0.25">
      <c r="A882" s="5">
        <v>43711</v>
      </c>
      <c r="B882">
        <v>1.8307</v>
      </c>
      <c r="C882">
        <v>1.9423999999999999</v>
      </c>
      <c r="D882">
        <v>1.8147</v>
      </c>
      <c r="E882">
        <v>1.849</v>
      </c>
      <c r="F882">
        <v>3208754.39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-0.46280344557556746</v>
      </c>
      <c r="Q882">
        <f t="shared" si="1010"/>
        <v>-1485022.5876977283</v>
      </c>
      <c r="R882">
        <f t="shared" si="1011"/>
        <v>-19892016.287823569</v>
      </c>
      <c r="S882">
        <f t="shared" si="1012"/>
        <v>-198.92016287823569</v>
      </c>
      <c r="T882">
        <f t="shared" si="1013"/>
        <v>-0.19892016287823569</v>
      </c>
    </row>
    <row r="883" spans="1:20" x14ac:dyDescent="0.25">
      <c r="A883" s="5">
        <v>43710</v>
      </c>
      <c r="B883">
        <v>1.7696000000000001</v>
      </c>
      <c r="C883">
        <v>1.89</v>
      </c>
      <c r="D883">
        <v>1.7272000000000001</v>
      </c>
      <c r="E883">
        <v>1.8287</v>
      </c>
      <c r="F883">
        <v>3044387.69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0.24692874692874725</v>
      </c>
      <c r="Q883">
        <f t="shared" si="1010"/>
        <v>751746.83745700342</v>
      </c>
      <c r="R883">
        <f t="shared" si="1011"/>
        <v>-18406993.70012584</v>
      </c>
      <c r="S883">
        <f t="shared" si="1012"/>
        <v>-184.06993700125841</v>
      </c>
      <c r="T883">
        <f t="shared" si="1013"/>
        <v>-0.1840699370012584</v>
      </c>
    </row>
    <row r="884" spans="1:20" x14ac:dyDescent="0.25">
      <c r="A884" s="5">
        <v>43709</v>
      </c>
      <c r="B884">
        <v>1.7787999999999999</v>
      </c>
      <c r="C884">
        <v>1.8</v>
      </c>
      <c r="D884">
        <v>1.7170000000000001</v>
      </c>
      <c r="E884">
        <v>1.7685999999999999</v>
      </c>
      <c r="F884">
        <v>1332701.68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0.243373493975901</v>
      </c>
      <c r="Q884">
        <f t="shared" si="1010"/>
        <v>324344.2642891531</v>
      </c>
      <c r="R884">
        <f t="shared" si="1011"/>
        <v>-19158740.537582844</v>
      </c>
      <c r="S884">
        <f t="shared" si="1012"/>
        <v>-191.58740537582844</v>
      </c>
      <c r="T884">
        <f t="shared" si="1013"/>
        <v>-0.19158740537582844</v>
      </c>
    </row>
    <row r="885" spans="1:20" x14ac:dyDescent="0.25">
      <c r="A885" s="5">
        <v>43708</v>
      </c>
      <c r="B885">
        <v>1.7958000000000001</v>
      </c>
      <c r="C885">
        <v>1.8534999999999999</v>
      </c>
      <c r="D885">
        <v>1.74</v>
      </c>
      <c r="E885">
        <v>1.7790999999999999</v>
      </c>
      <c r="F885">
        <v>1831969.16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-0.31101321585903197</v>
      </c>
      <c r="Q885">
        <f t="shared" si="1010"/>
        <v>-569766.61980616942</v>
      </c>
      <c r="R885">
        <f t="shared" si="1011"/>
        <v>-19483084.801871996</v>
      </c>
      <c r="S885">
        <f t="shared" si="1012"/>
        <v>-194.83084801871996</v>
      </c>
      <c r="T885">
        <f t="shared" si="1013"/>
        <v>-0.19483084801871997</v>
      </c>
    </row>
    <row r="886" spans="1:20" x14ac:dyDescent="0.25">
      <c r="A886" s="5">
        <v>43707</v>
      </c>
      <c r="B886">
        <v>1.7763</v>
      </c>
      <c r="C886">
        <v>1.8913</v>
      </c>
      <c r="D886">
        <v>1.7364999999999999</v>
      </c>
      <c r="E886">
        <v>1.796</v>
      </c>
      <c r="F886">
        <v>2660522.1</v>
      </c>
      <c r="G886">
        <v>0</v>
      </c>
      <c r="L886" t="s">
        <v>8</v>
      </c>
      <c r="M886" t="s">
        <v>7</v>
      </c>
      <c r="N886" t="s">
        <v>7</v>
      </c>
      <c r="P886">
        <f t="shared" si="1009"/>
        <v>-0.23126614987079988</v>
      </c>
      <c r="Q886">
        <f t="shared" si="1010"/>
        <v>-615288.70271317521</v>
      </c>
      <c r="R886">
        <f t="shared" si="1011"/>
        <v>-18913318.182065826</v>
      </c>
      <c r="S886">
        <f t="shared" si="1012"/>
        <v>-189.13318182065825</v>
      </c>
      <c r="T886">
        <f t="shared" si="1013"/>
        <v>-0.18913318182065825</v>
      </c>
    </row>
    <row r="887" spans="1:20" x14ac:dyDescent="0.25">
      <c r="A887" s="5">
        <v>43706</v>
      </c>
      <c r="B887">
        <v>1.8956</v>
      </c>
      <c r="C887">
        <v>1.8956</v>
      </c>
      <c r="D887">
        <v>1.7253000000000001</v>
      </c>
      <c r="E887">
        <v>1.7744</v>
      </c>
      <c r="F887">
        <v>4211077.18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-0.4233705226071644</v>
      </c>
      <c r="Q887">
        <f t="shared" si="1010"/>
        <v>-1782845.9464357039</v>
      </c>
      <c r="R887">
        <f t="shared" si="1011"/>
        <v>-18298029.479352649</v>
      </c>
      <c r="S887">
        <f t="shared" si="1012"/>
        <v>-182.9802947935265</v>
      </c>
      <c r="T887">
        <f t="shared" si="1013"/>
        <v>-0.18298029479352651</v>
      </c>
    </row>
    <row r="888" spans="1:20" x14ac:dyDescent="0.25">
      <c r="A888" s="5">
        <v>43705</v>
      </c>
      <c r="B888">
        <v>2.1097999999999999</v>
      </c>
      <c r="C888">
        <v>2.1133999999999999</v>
      </c>
      <c r="D888">
        <v>1.875</v>
      </c>
      <c r="E888">
        <v>1.8956999999999999</v>
      </c>
      <c r="F888">
        <v>3217225.93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-0.82634228187919512</v>
      </c>
      <c r="Q888">
        <f t="shared" si="1010"/>
        <v>-2658529.8163171159</v>
      </c>
      <c r="R888">
        <f t="shared" si="1011"/>
        <v>-16515183.532916944</v>
      </c>
      <c r="S888">
        <f t="shared" si="1012"/>
        <v>-165.15183532916944</v>
      </c>
      <c r="T888">
        <f t="shared" si="1013"/>
        <v>-0.16515183532916944</v>
      </c>
    </row>
    <row r="889" spans="1:20" x14ac:dyDescent="0.25">
      <c r="A889" s="5">
        <v>43704</v>
      </c>
      <c r="B889">
        <v>2.0737000000000001</v>
      </c>
      <c r="C889">
        <v>2.1787999999999998</v>
      </c>
      <c r="D889">
        <v>2.0049999999999999</v>
      </c>
      <c r="E889">
        <v>2.1128</v>
      </c>
      <c r="F889">
        <v>3009068.12</v>
      </c>
      <c r="G889">
        <v>0</v>
      </c>
      <c r="L889" t="s">
        <v>8</v>
      </c>
      <c r="M889" t="s">
        <v>7</v>
      </c>
      <c r="N889" t="s">
        <v>7</v>
      </c>
      <c r="P889">
        <f t="shared" si="1009"/>
        <v>0.24050632911392572</v>
      </c>
      <c r="Q889">
        <f t="shared" si="1010"/>
        <v>723699.92759494181</v>
      </c>
      <c r="R889">
        <f t="shared" si="1011"/>
        <v>-13856653.716599829</v>
      </c>
      <c r="S889">
        <f t="shared" si="1012"/>
        <v>-138.56653716599828</v>
      </c>
      <c r="T889">
        <f t="shared" si="1013"/>
        <v>-0.13856653716599829</v>
      </c>
    </row>
    <row r="890" spans="1:20" x14ac:dyDescent="0.25">
      <c r="A890" s="5">
        <v>43703</v>
      </c>
      <c r="B890">
        <v>2.0783</v>
      </c>
      <c r="C890">
        <v>2.1545999999999998</v>
      </c>
      <c r="D890">
        <v>2.0449999999999999</v>
      </c>
      <c r="E890">
        <v>2.0739000000000001</v>
      </c>
      <c r="F890">
        <v>2291314.91</v>
      </c>
      <c r="G890">
        <v>0</v>
      </c>
      <c r="L890" t="s">
        <v>7</v>
      </c>
      <c r="M890" t="s">
        <v>7</v>
      </c>
      <c r="N890" t="s">
        <v>7</v>
      </c>
      <c r="P890">
        <f t="shared" si="1009"/>
        <v>-0.47262773722627427</v>
      </c>
      <c r="Q890">
        <f t="shared" si="1010"/>
        <v>-1082938.9811861243</v>
      </c>
      <c r="R890">
        <f t="shared" si="1011"/>
        <v>-14580353.644194771</v>
      </c>
      <c r="S890">
        <f t="shared" si="1012"/>
        <v>-145.8035364419477</v>
      </c>
      <c r="T890">
        <f t="shared" si="1013"/>
        <v>-0.14580353644194771</v>
      </c>
    </row>
    <row r="891" spans="1:20" x14ac:dyDescent="0.25">
      <c r="A891" s="5">
        <v>43702</v>
      </c>
      <c r="B891">
        <v>2.1703999999999999</v>
      </c>
      <c r="C891">
        <v>2.1804000000000001</v>
      </c>
      <c r="D891">
        <v>2.0255000000000001</v>
      </c>
      <c r="E891">
        <v>2.0779999999999998</v>
      </c>
      <c r="F891">
        <v>2772672.99</v>
      </c>
      <c r="G891">
        <v>0</v>
      </c>
      <c r="L891" t="s">
        <v>7</v>
      </c>
      <c r="M891" t="s">
        <v>7</v>
      </c>
      <c r="N891" t="s">
        <v>7</v>
      </c>
      <c r="P891">
        <f t="shared" si="1009"/>
        <v>-0.32214331826985465</v>
      </c>
      <c r="Q891">
        <f t="shared" si="1010"/>
        <v>-893198.0774757996</v>
      </c>
      <c r="R891">
        <f t="shared" si="1011"/>
        <v>-13497414.663008647</v>
      </c>
      <c r="S891">
        <f t="shared" si="1012"/>
        <v>-134.97414663008647</v>
      </c>
      <c r="T891">
        <f t="shared" si="1013"/>
        <v>-0.13497414663008647</v>
      </c>
    </row>
    <row r="892" spans="1:20" x14ac:dyDescent="0.25">
      <c r="A892" s="5">
        <v>43701</v>
      </c>
      <c r="B892">
        <v>2.234</v>
      </c>
      <c r="C892">
        <v>2.2545000000000002</v>
      </c>
      <c r="D892">
        <v>2.1537000000000002</v>
      </c>
      <c r="E892">
        <v>2.1680999999999999</v>
      </c>
      <c r="F892">
        <v>1634146.8</v>
      </c>
      <c r="G892">
        <v>0</v>
      </c>
      <c r="L892" t="s">
        <v>7</v>
      </c>
      <c r="M892" t="s">
        <v>7</v>
      </c>
      <c r="N892" t="s">
        <v>7</v>
      </c>
      <c r="P892">
        <f t="shared" si="1009"/>
        <v>-0.7142857142857193</v>
      </c>
      <c r="Q892">
        <f t="shared" si="1010"/>
        <v>-1167247.7142857225</v>
      </c>
      <c r="R892">
        <f t="shared" si="1011"/>
        <v>-12604216.585532848</v>
      </c>
      <c r="S892">
        <f t="shared" si="1012"/>
        <v>-126.04216585532848</v>
      </c>
      <c r="T892">
        <f t="shared" si="1013"/>
        <v>-0.12604216585532849</v>
      </c>
    </row>
    <row r="893" spans="1:20" x14ac:dyDescent="0.25">
      <c r="A893" s="5">
        <v>43700</v>
      </c>
      <c r="B893">
        <v>2.2231000000000001</v>
      </c>
      <c r="C893">
        <v>2.2949999999999999</v>
      </c>
      <c r="D893">
        <v>2.1722999999999999</v>
      </c>
      <c r="E893">
        <v>2.2332999999999998</v>
      </c>
      <c r="F893">
        <v>4173130.85</v>
      </c>
      <c r="G893">
        <v>0</v>
      </c>
      <c r="L893" t="s">
        <v>7</v>
      </c>
      <c r="M893" t="s">
        <v>7</v>
      </c>
      <c r="N893" t="s">
        <v>7</v>
      </c>
      <c r="P893">
        <f t="shared" si="1009"/>
        <v>-5.7049714751438042E-3</v>
      </c>
      <c r="Q893">
        <f t="shared" si="1010"/>
        <v>-23807.592461292617</v>
      </c>
      <c r="R893">
        <f t="shared" si="1011"/>
        <v>-11436968.871247126</v>
      </c>
      <c r="S893">
        <f t="shared" si="1012"/>
        <v>-114.36968871247126</v>
      </c>
      <c r="T893">
        <f t="shared" si="1013"/>
        <v>-0.11436968871247126</v>
      </c>
    </row>
    <row r="894" spans="1:20" x14ac:dyDescent="0.25">
      <c r="A894" s="5">
        <v>43699</v>
      </c>
      <c r="B894">
        <v>2.2058</v>
      </c>
      <c r="C894">
        <v>2.2896000000000001</v>
      </c>
      <c r="D894">
        <v>2.1349999999999998</v>
      </c>
      <c r="E894">
        <v>2.2227000000000001</v>
      </c>
      <c r="F894">
        <v>2981137.74</v>
      </c>
      <c r="G894">
        <v>0</v>
      </c>
      <c r="L894" t="s">
        <v>7</v>
      </c>
      <c r="M894" t="s">
        <v>7</v>
      </c>
      <c r="N894" t="s">
        <v>7</v>
      </c>
      <c r="P894">
        <f t="shared" si="1009"/>
        <v>0.13454075032341742</v>
      </c>
      <c r="Q894">
        <f t="shared" si="1010"/>
        <v>401084.50835705688</v>
      </c>
      <c r="R894">
        <f t="shared" si="1011"/>
        <v>-11413161.278785834</v>
      </c>
      <c r="S894">
        <f t="shared" si="1012"/>
        <v>-114.13161278785834</v>
      </c>
      <c r="T894">
        <f t="shared" si="1013"/>
        <v>-0.11413161278785834</v>
      </c>
    </row>
    <row r="895" spans="1:20" x14ac:dyDescent="0.25">
      <c r="A895" s="5">
        <v>43698</v>
      </c>
      <c r="B895">
        <v>2.3622000000000001</v>
      </c>
      <c r="C895">
        <v>2.371</v>
      </c>
      <c r="D895">
        <v>2.15</v>
      </c>
      <c r="E895">
        <v>2.2054</v>
      </c>
      <c r="F895">
        <v>4952696.55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-0.49864253393665076</v>
      </c>
      <c r="Q895">
        <f t="shared" ref="Q895:Q958" si="1015">F895*P895</f>
        <v>-2469625.1575113079</v>
      </c>
      <c r="R895">
        <f t="shared" ref="R895:R958" si="1016">R896+Q895</f>
        <v>-11814245.787142891</v>
      </c>
      <c r="S895">
        <f t="shared" ref="S895:S958" si="1017">R895/100000</f>
        <v>-118.14245787142892</v>
      </c>
      <c r="T895">
        <f t="shared" ref="T895:T958" si="1018">S895/1000</f>
        <v>-0.11814245787142892</v>
      </c>
    </row>
    <row r="896" spans="1:20" x14ac:dyDescent="0.25">
      <c r="A896" s="5">
        <v>43697</v>
      </c>
      <c r="B896">
        <v>2.4943</v>
      </c>
      <c r="C896">
        <v>2.5400999999999998</v>
      </c>
      <c r="D896">
        <v>2.3353999999999999</v>
      </c>
      <c r="E896">
        <v>2.3624000000000001</v>
      </c>
      <c r="F896">
        <v>3477390.83</v>
      </c>
      <c r="G896">
        <v>0</v>
      </c>
      <c r="L896" t="s">
        <v>7</v>
      </c>
      <c r="M896" t="s">
        <v>8</v>
      </c>
      <c r="N896" t="s">
        <v>7</v>
      </c>
      <c r="P896">
        <f t="shared" si="1014"/>
        <v>-0.73619931607229949</v>
      </c>
      <c r="Q896">
        <f t="shared" si="1015"/>
        <v>-2560052.7507620859</v>
      </c>
      <c r="R896">
        <f t="shared" si="1016"/>
        <v>-9344620.6296315826</v>
      </c>
      <c r="S896">
        <f t="shared" si="1017"/>
        <v>-93.446206296315822</v>
      </c>
      <c r="T896">
        <f t="shared" si="1018"/>
        <v>-9.3446206296315823E-2</v>
      </c>
    </row>
    <row r="897" spans="1:20" x14ac:dyDescent="0.25">
      <c r="A897" s="5">
        <v>43696</v>
      </c>
      <c r="B897">
        <v>2.5055000000000001</v>
      </c>
      <c r="C897">
        <v>2.6</v>
      </c>
      <c r="D897">
        <v>2.4508000000000001</v>
      </c>
      <c r="E897">
        <v>2.4958</v>
      </c>
      <c r="F897">
        <v>4288720.33</v>
      </c>
      <c r="G897">
        <v>0</v>
      </c>
      <c r="L897" t="s">
        <v>8</v>
      </c>
      <c r="M897" t="s">
        <v>8</v>
      </c>
      <c r="N897" t="s">
        <v>7</v>
      </c>
      <c r="P897">
        <f t="shared" si="1014"/>
        <v>-0.39678284182305723</v>
      </c>
      <c r="Q897">
        <f t="shared" si="1015"/>
        <v>-1701690.6403217199</v>
      </c>
      <c r="R897">
        <f t="shared" si="1016"/>
        <v>-6784567.8788694963</v>
      </c>
      <c r="S897">
        <f t="shared" si="1017"/>
        <v>-67.845678788694968</v>
      </c>
      <c r="T897">
        <f t="shared" si="1018"/>
        <v>-6.7845678788694963E-2</v>
      </c>
    </row>
    <row r="898" spans="1:20" x14ac:dyDescent="0.25">
      <c r="A898" s="5">
        <v>43695</v>
      </c>
      <c r="B898">
        <v>2.4049999999999998</v>
      </c>
      <c r="C898">
        <v>2.5657000000000001</v>
      </c>
      <c r="D898">
        <v>2.3729</v>
      </c>
      <c r="E898">
        <v>2.5051000000000001</v>
      </c>
      <c r="F898">
        <v>3610567.41</v>
      </c>
      <c r="G898">
        <v>0</v>
      </c>
      <c r="L898" t="s">
        <v>8</v>
      </c>
      <c r="M898" t="s">
        <v>8</v>
      </c>
      <c r="N898" t="s">
        <v>7</v>
      </c>
      <c r="P898">
        <f t="shared" si="1014"/>
        <v>0.37136929460580953</v>
      </c>
      <c r="Q898">
        <f t="shared" si="1015"/>
        <v>1340853.8721784248</v>
      </c>
      <c r="R898">
        <f t="shared" si="1016"/>
        <v>-5082877.2385477759</v>
      </c>
      <c r="S898">
        <f t="shared" si="1017"/>
        <v>-50.828772385477762</v>
      </c>
      <c r="T898">
        <f t="shared" si="1018"/>
        <v>-5.0828772385477762E-2</v>
      </c>
    </row>
    <row r="899" spans="1:20" x14ac:dyDescent="0.25">
      <c r="A899" s="5">
        <v>43694</v>
      </c>
      <c r="B899">
        <v>2.3046000000000002</v>
      </c>
      <c r="C899">
        <v>2.419</v>
      </c>
      <c r="D899">
        <v>2.282</v>
      </c>
      <c r="E899">
        <v>2.4036</v>
      </c>
      <c r="F899">
        <v>2035414.39</v>
      </c>
      <c r="G899">
        <v>0</v>
      </c>
      <c r="L899" t="s">
        <v>8</v>
      </c>
      <c r="M899" t="s">
        <v>8</v>
      </c>
      <c r="N899" t="s">
        <v>7</v>
      </c>
      <c r="P899">
        <f t="shared" si="1014"/>
        <v>0.77518248175182369</v>
      </c>
      <c r="Q899">
        <f t="shared" si="1015"/>
        <v>1577817.5782335743</v>
      </c>
      <c r="R899">
        <f t="shared" si="1016"/>
        <v>-6423731.110726201</v>
      </c>
      <c r="S899">
        <f t="shared" si="1017"/>
        <v>-64.237311107262016</v>
      </c>
      <c r="T899">
        <f t="shared" si="1018"/>
        <v>-6.423731110726201E-2</v>
      </c>
    </row>
    <row r="900" spans="1:20" x14ac:dyDescent="0.25">
      <c r="A900" s="5">
        <v>43693</v>
      </c>
      <c r="B900">
        <v>2.4224999999999999</v>
      </c>
      <c r="C900">
        <v>2.4590000000000001</v>
      </c>
      <c r="D900">
        <v>2.2269999999999999</v>
      </c>
      <c r="E900">
        <v>2.2999999999999998</v>
      </c>
      <c r="F900">
        <v>3572488.27</v>
      </c>
      <c r="G900">
        <v>0</v>
      </c>
      <c r="L900" t="s">
        <v>7</v>
      </c>
      <c r="M900" t="s">
        <v>8</v>
      </c>
      <c r="N900" t="s">
        <v>7</v>
      </c>
      <c r="P900">
        <f t="shared" si="1014"/>
        <v>-0.37068965517241476</v>
      </c>
      <c r="Q900">
        <f t="shared" si="1015"/>
        <v>-1324284.4449137966</v>
      </c>
      <c r="R900">
        <f t="shared" si="1016"/>
        <v>-8001548.6889597755</v>
      </c>
      <c r="S900">
        <f t="shared" si="1017"/>
        <v>-80.015486889597753</v>
      </c>
      <c r="T900">
        <f t="shared" si="1018"/>
        <v>-8.0015486889597753E-2</v>
      </c>
    </row>
    <row r="901" spans="1:20" x14ac:dyDescent="0.25">
      <c r="A901" s="5">
        <v>43692</v>
      </c>
      <c r="B901">
        <v>2.2839999999999998</v>
      </c>
      <c r="C901">
        <v>2.4506000000000001</v>
      </c>
      <c r="D901">
        <v>2.2565</v>
      </c>
      <c r="E901">
        <v>2.4232</v>
      </c>
      <c r="F901">
        <v>2808342.69</v>
      </c>
      <c r="G901">
        <v>0</v>
      </c>
      <c r="L901" t="s">
        <v>8</v>
      </c>
      <c r="M901" t="s">
        <v>8</v>
      </c>
      <c r="N901" t="s">
        <v>7</v>
      </c>
      <c r="P901">
        <f t="shared" si="1014"/>
        <v>0.71767130345182828</v>
      </c>
      <c r="Q901">
        <f t="shared" si="1015"/>
        <v>2015466.9588717136</v>
      </c>
      <c r="R901">
        <f t="shared" si="1016"/>
        <v>-6677264.2440459793</v>
      </c>
      <c r="S901">
        <f t="shared" si="1017"/>
        <v>-66.772642440459791</v>
      </c>
      <c r="T901">
        <f t="shared" si="1018"/>
        <v>-6.6772642440459787E-2</v>
      </c>
    </row>
    <row r="902" spans="1:20" x14ac:dyDescent="0.25">
      <c r="A902" s="5">
        <v>43691</v>
      </c>
      <c r="B902">
        <v>2.419</v>
      </c>
      <c r="C902">
        <v>2.6031</v>
      </c>
      <c r="D902">
        <v>2.1629999999999998</v>
      </c>
      <c r="E902">
        <v>2.2841999999999998</v>
      </c>
      <c r="F902">
        <v>6940625.71</v>
      </c>
      <c r="G902">
        <v>0</v>
      </c>
      <c r="L902" t="s">
        <v>7</v>
      </c>
      <c r="M902" t="s">
        <v>8</v>
      </c>
      <c r="N902" t="s">
        <v>7</v>
      </c>
      <c r="P902">
        <f t="shared" si="1014"/>
        <v>-0.44921608725289736</v>
      </c>
      <c r="Q902">
        <f t="shared" si="1015"/>
        <v>-3117840.7245330624</v>
      </c>
      <c r="R902">
        <f t="shared" si="1016"/>
        <v>-8692731.2029176932</v>
      </c>
      <c r="S902">
        <f t="shared" si="1017"/>
        <v>-86.927312029176932</v>
      </c>
      <c r="T902">
        <f t="shared" si="1018"/>
        <v>-8.6927312029176931E-2</v>
      </c>
    </row>
    <row r="903" spans="1:20" x14ac:dyDescent="0.25">
      <c r="A903" s="5">
        <v>43690</v>
      </c>
      <c r="B903">
        <v>2.3868</v>
      </c>
      <c r="C903">
        <v>2.4679000000000002</v>
      </c>
      <c r="D903">
        <v>2.306</v>
      </c>
      <c r="E903">
        <v>2.4228999999999998</v>
      </c>
      <c r="F903">
        <v>3152764.71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0.44410129709696938</v>
      </c>
      <c r="Q903">
        <f t="shared" si="1015"/>
        <v>1400146.8971525505</v>
      </c>
      <c r="R903">
        <f t="shared" si="1016"/>
        <v>-5574890.4783846308</v>
      </c>
      <c r="S903">
        <f t="shared" si="1017"/>
        <v>-55.748904783846307</v>
      </c>
      <c r="T903">
        <f t="shared" si="1018"/>
        <v>-5.5748904783846309E-2</v>
      </c>
    </row>
    <row r="904" spans="1:20" x14ac:dyDescent="0.25">
      <c r="A904" s="5">
        <v>43689</v>
      </c>
      <c r="B904">
        <v>2.4165000000000001</v>
      </c>
      <c r="C904">
        <v>2.4790000000000001</v>
      </c>
      <c r="D904">
        <v>2.335</v>
      </c>
      <c r="E904">
        <v>2.39</v>
      </c>
      <c r="F904">
        <v>2574671.09</v>
      </c>
      <c r="G904">
        <v>0</v>
      </c>
      <c r="L904" t="s">
        <v>7</v>
      </c>
      <c r="M904" t="s">
        <v>7</v>
      </c>
      <c r="N904" t="s">
        <v>7</v>
      </c>
      <c r="P904">
        <f t="shared" si="1014"/>
        <v>-0.23611111111110958</v>
      </c>
      <c r="Q904">
        <f t="shared" si="1015"/>
        <v>-607908.45180555154</v>
      </c>
      <c r="R904">
        <f t="shared" si="1016"/>
        <v>-6975037.3755371813</v>
      </c>
      <c r="S904">
        <f t="shared" si="1017"/>
        <v>-69.750373755371811</v>
      </c>
      <c r="T904">
        <f t="shared" si="1018"/>
        <v>-6.9750373755371811E-2</v>
      </c>
    </row>
    <row r="905" spans="1:20" x14ac:dyDescent="0.25">
      <c r="A905" s="5">
        <v>43688</v>
      </c>
      <c r="B905">
        <v>2.3336000000000001</v>
      </c>
      <c r="C905">
        <v>2.4900000000000002</v>
      </c>
      <c r="D905">
        <v>2.2900999999999998</v>
      </c>
      <c r="E905">
        <v>2.415</v>
      </c>
      <c r="F905">
        <v>3709082.7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0.24962481240620288</v>
      </c>
      <c r="Q905">
        <f t="shared" si="1015"/>
        <v>925879.07318659255</v>
      </c>
      <c r="R905">
        <f t="shared" si="1016"/>
        <v>-6367128.9237316297</v>
      </c>
      <c r="S905">
        <f t="shared" si="1017"/>
        <v>-63.671289237316294</v>
      </c>
      <c r="T905">
        <f t="shared" si="1018"/>
        <v>-6.3671289237316298E-2</v>
      </c>
    </row>
    <row r="906" spans="1:20" x14ac:dyDescent="0.25">
      <c r="A906" s="5">
        <v>43687</v>
      </c>
      <c r="B906">
        <v>2.169</v>
      </c>
      <c r="C906">
        <v>2.4091</v>
      </c>
      <c r="D906">
        <v>2.1305999999999998</v>
      </c>
      <c r="E906">
        <v>2.3336000000000001</v>
      </c>
      <c r="F906">
        <v>5262480.4400000004</v>
      </c>
      <c r="G906">
        <v>0</v>
      </c>
      <c r="L906" t="s">
        <v>8</v>
      </c>
      <c r="M906" t="s">
        <v>7</v>
      </c>
      <c r="N906" t="s">
        <v>7</v>
      </c>
      <c r="P906">
        <f t="shared" si="1014"/>
        <v>0.45780969479353789</v>
      </c>
      <c r="Q906">
        <f t="shared" si="1015"/>
        <v>2409214.564093363</v>
      </c>
      <c r="R906">
        <f t="shared" si="1016"/>
        <v>-7293007.9969182219</v>
      </c>
      <c r="S906">
        <f t="shared" si="1017"/>
        <v>-72.930079969182216</v>
      </c>
      <c r="T906">
        <f t="shared" si="1018"/>
        <v>-7.2930079969182215E-2</v>
      </c>
    </row>
    <row r="907" spans="1:20" x14ac:dyDescent="0.25">
      <c r="A907" s="5">
        <v>43686</v>
      </c>
      <c r="B907">
        <v>2.2784</v>
      </c>
      <c r="C907">
        <v>2.2919</v>
      </c>
      <c r="D907">
        <v>2.1509999999999998</v>
      </c>
      <c r="E907">
        <v>2.1669</v>
      </c>
      <c r="F907">
        <v>2368990.7999999998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-0.77430801987224673</v>
      </c>
      <c r="Q907">
        <f t="shared" si="1015"/>
        <v>-1834328.5754435696</v>
      </c>
      <c r="R907">
        <f t="shared" si="1016"/>
        <v>-9702222.5610115845</v>
      </c>
      <c r="S907">
        <f t="shared" si="1017"/>
        <v>-97.022225610115839</v>
      </c>
      <c r="T907">
        <f t="shared" si="1018"/>
        <v>-9.7022225610115836E-2</v>
      </c>
    </row>
    <row r="908" spans="1:20" x14ac:dyDescent="0.25">
      <c r="A908" s="5">
        <v>43685</v>
      </c>
      <c r="B908">
        <v>2.3883000000000001</v>
      </c>
      <c r="C908">
        <v>2.3997999999999999</v>
      </c>
      <c r="D908">
        <v>2.2713000000000001</v>
      </c>
      <c r="E908">
        <v>2.2755000000000001</v>
      </c>
      <c r="F908">
        <v>2864214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-0.93463035019455276</v>
      </c>
      <c r="Q908">
        <f t="shared" si="1015"/>
        <v>-2676981.3338521407</v>
      </c>
      <c r="R908">
        <f t="shared" si="1016"/>
        <v>-7867893.9855680149</v>
      </c>
      <c r="S908">
        <f t="shared" si="1017"/>
        <v>-78.678939855680156</v>
      </c>
      <c r="T908">
        <f t="shared" si="1018"/>
        <v>-7.8678939855680155E-2</v>
      </c>
    </row>
    <row r="909" spans="1:20" x14ac:dyDescent="0.25">
      <c r="A909" s="5">
        <v>43684</v>
      </c>
      <c r="B909">
        <v>2.4822000000000002</v>
      </c>
      <c r="C909">
        <v>2.5</v>
      </c>
      <c r="D909">
        <v>2.3502000000000001</v>
      </c>
      <c r="E909">
        <v>2.3826000000000001</v>
      </c>
      <c r="F909">
        <v>3394545.7</v>
      </c>
      <c r="G909">
        <v>0</v>
      </c>
      <c r="L909" t="s">
        <v>8</v>
      </c>
      <c r="M909" t="s">
        <v>8</v>
      </c>
      <c r="N909" t="s">
        <v>7</v>
      </c>
      <c r="P909">
        <f t="shared" si="1014"/>
        <v>-0.56742323097463288</v>
      </c>
      <c r="Q909">
        <f t="shared" si="1015"/>
        <v>-1926144.0887850469</v>
      </c>
      <c r="R909">
        <f t="shared" si="1016"/>
        <v>-5190912.6517158747</v>
      </c>
      <c r="S909">
        <f t="shared" si="1017"/>
        <v>-51.909126517158747</v>
      </c>
      <c r="T909">
        <f t="shared" si="1018"/>
        <v>-5.1909126517158746E-2</v>
      </c>
    </row>
    <row r="910" spans="1:20" x14ac:dyDescent="0.25">
      <c r="A910" s="5">
        <v>43683</v>
      </c>
      <c r="B910">
        <v>2.4599000000000002</v>
      </c>
      <c r="C910">
        <v>2.5181</v>
      </c>
      <c r="D910">
        <v>2.31</v>
      </c>
      <c r="E910">
        <v>2.4784999999999999</v>
      </c>
      <c r="F910">
        <v>6060839.71</v>
      </c>
      <c r="G910">
        <v>0</v>
      </c>
      <c r="L910" t="s">
        <v>7</v>
      </c>
      <c r="M910" t="s">
        <v>8</v>
      </c>
      <c r="N910" t="s">
        <v>7</v>
      </c>
      <c r="P910">
        <f t="shared" si="1014"/>
        <v>0.6194137433925988</v>
      </c>
      <c r="Q910">
        <f t="shared" si="1015"/>
        <v>3754167.4128736127</v>
      </c>
      <c r="R910">
        <f t="shared" si="1016"/>
        <v>-3264768.562930828</v>
      </c>
      <c r="S910">
        <f t="shared" si="1017"/>
        <v>-32.647685629308278</v>
      </c>
      <c r="T910">
        <f t="shared" si="1018"/>
        <v>-3.2647685629308275E-2</v>
      </c>
    </row>
    <row r="911" spans="1:20" x14ac:dyDescent="0.25">
      <c r="A911" s="5">
        <v>43682</v>
      </c>
      <c r="B911">
        <v>2.5097</v>
      </c>
      <c r="C911">
        <v>2.6495000000000002</v>
      </c>
      <c r="D911">
        <v>2.4561999999999999</v>
      </c>
      <c r="E911">
        <v>2.4561999999999999</v>
      </c>
      <c r="F911">
        <v>5401188.6299999999</v>
      </c>
      <c r="G911">
        <v>0</v>
      </c>
      <c r="L911" t="s">
        <v>8</v>
      </c>
      <c r="M911" t="s">
        <v>8</v>
      </c>
      <c r="N911" t="s">
        <v>7</v>
      </c>
      <c r="P911">
        <f t="shared" si="1014"/>
        <v>-1</v>
      </c>
      <c r="Q911">
        <f t="shared" si="1015"/>
        <v>-5401188.6299999999</v>
      </c>
      <c r="R911">
        <f t="shared" si="1016"/>
        <v>-7018935.9758044407</v>
      </c>
      <c r="S911">
        <f t="shared" si="1017"/>
        <v>-70.189359758044404</v>
      </c>
      <c r="T911">
        <f t="shared" si="1018"/>
        <v>-7.0189359758044398E-2</v>
      </c>
    </row>
    <row r="912" spans="1:20" x14ac:dyDescent="0.25">
      <c r="A912" s="5">
        <v>43681</v>
      </c>
      <c r="B912">
        <v>2.4186000000000001</v>
      </c>
      <c r="C912">
        <v>2.6044</v>
      </c>
      <c r="D912">
        <v>2.3811</v>
      </c>
      <c r="E912">
        <v>2.5099</v>
      </c>
      <c r="F912">
        <v>6257643.4400000004</v>
      </c>
      <c r="G912">
        <v>0</v>
      </c>
      <c r="L912" t="s">
        <v>7</v>
      </c>
      <c r="M912" t="s">
        <v>8</v>
      </c>
      <c r="N912" t="s">
        <v>7</v>
      </c>
      <c r="P912">
        <f t="shared" si="1014"/>
        <v>0.15360501567398113</v>
      </c>
      <c r="Q912">
        <f t="shared" si="1015"/>
        <v>961205.41868338524</v>
      </c>
      <c r="R912">
        <f t="shared" si="1016"/>
        <v>-1617747.345804441</v>
      </c>
      <c r="S912">
        <f t="shared" si="1017"/>
        <v>-16.17747345804441</v>
      </c>
      <c r="T912">
        <f t="shared" si="1018"/>
        <v>-1.6177473458044409E-2</v>
      </c>
    </row>
    <row r="913" spans="1:20" x14ac:dyDescent="0.25">
      <c r="A913" s="5">
        <v>43680</v>
      </c>
      <c r="B913">
        <v>2.4268999999999998</v>
      </c>
      <c r="C913">
        <v>2.7342</v>
      </c>
      <c r="D913">
        <v>2.3569</v>
      </c>
      <c r="E913">
        <v>2.4211</v>
      </c>
      <c r="F913">
        <v>11329664.01</v>
      </c>
      <c r="G913">
        <v>0</v>
      </c>
      <c r="L913" t="s">
        <v>8</v>
      </c>
      <c r="M913" t="s">
        <v>8</v>
      </c>
      <c r="N913" t="s">
        <v>7</v>
      </c>
      <c r="P913">
        <f t="shared" si="1014"/>
        <v>-0.659687251523986</v>
      </c>
      <c r="Q913">
        <f t="shared" si="1015"/>
        <v>-7474034.9114471218</v>
      </c>
      <c r="R913">
        <f t="shared" si="1016"/>
        <v>-2578952.7644878263</v>
      </c>
      <c r="S913">
        <f t="shared" si="1017"/>
        <v>-25.789527644878262</v>
      </c>
      <c r="T913">
        <f t="shared" si="1018"/>
        <v>-2.5789527644878261E-2</v>
      </c>
    </row>
    <row r="914" spans="1:20" x14ac:dyDescent="0.25">
      <c r="A914" s="5">
        <v>43679</v>
      </c>
      <c r="B914">
        <v>2.1612</v>
      </c>
      <c r="C914">
        <v>2.4900000000000002</v>
      </c>
      <c r="D914">
        <v>2.1274999999999999</v>
      </c>
      <c r="E914">
        <v>2.4270999999999998</v>
      </c>
      <c r="F914">
        <v>6325797.0099999998</v>
      </c>
      <c r="G914">
        <v>0</v>
      </c>
      <c r="L914" t="s">
        <v>8</v>
      </c>
      <c r="M914" t="s">
        <v>8</v>
      </c>
      <c r="N914" t="s">
        <v>7</v>
      </c>
      <c r="P914">
        <f t="shared" si="1014"/>
        <v>0.65296551724137741</v>
      </c>
      <c r="Q914">
        <f t="shared" si="1015"/>
        <v>4130527.3165986086</v>
      </c>
      <c r="R914">
        <f t="shared" si="1016"/>
        <v>4895082.1469592955</v>
      </c>
      <c r="S914">
        <f t="shared" si="1017"/>
        <v>48.950821469592952</v>
      </c>
      <c r="T914">
        <f t="shared" si="1018"/>
        <v>4.8950821469592953E-2</v>
      </c>
    </row>
    <row r="915" spans="1:20" x14ac:dyDescent="0.25">
      <c r="A915" s="5">
        <v>43678</v>
      </c>
      <c r="B915">
        <v>2.2168999999999999</v>
      </c>
      <c r="C915">
        <v>2.2309999999999999</v>
      </c>
      <c r="D915">
        <v>2.1053999999999999</v>
      </c>
      <c r="E915">
        <v>2.161</v>
      </c>
      <c r="F915">
        <v>2890541.35</v>
      </c>
      <c r="G915">
        <v>0</v>
      </c>
      <c r="L915" t="s">
        <v>8</v>
      </c>
      <c r="M915" t="s">
        <v>7</v>
      </c>
      <c r="N915" t="s">
        <v>7</v>
      </c>
      <c r="P915">
        <f t="shared" si="1014"/>
        <v>-0.11464968152866047</v>
      </c>
      <c r="Q915">
        <f t="shared" si="1015"/>
        <v>-331399.6452229243</v>
      </c>
      <c r="R915">
        <f t="shared" si="1016"/>
        <v>764554.83036068699</v>
      </c>
      <c r="S915">
        <f t="shared" si="1017"/>
        <v>7.6455483036068701</v>
      </c>
      <c r="T915">
        <f t="shared" si="1018"/>
        <v>7.64554830360687E-3</v>
      </c>
    </row>
    <row r="916" spans="1:20" x14ac:dyDescent="0.25">
      <c r="A916" s="5">
        <v>43677</v>
      </c>
      <c r="B916">
        <v>2.0672000000000001</v>
      </c>
      <c r="C916">
        <v>2.25</v>
      </c>
      <c r="D916">
        <v>2.0589</v>
      </c>
      <c r="E916">
        <v>2.2101999999999999</v>
      </c>
      <c r="F916">
        <v>4592022.53</v>
      </c>
      <c r="G916">
        <v>0</v>
      </c>
      <c r="L916" t="s">
        <v>8</v>
      </c>
      <c r="M916" t="s">
        <v>7</v>
      </c>
      <c r="N916" t="s">
        <v>7</v>
      </c>
      <c r="P916">
        <f t="shared" si="1014"/>
        <v>0.58346415489272585</v>
      </c>
      <c r="Q916">
        <f t="shared" si="1015"/>
        <v>2679280.5447148071</v>
      </c>
      <c r="R916">
        <f t="shared" si="1016"/>
        <v>1095954.4755836113</v>
      </c>
      <c r="S916">
        <f t="shared" si="1017"/>
        <v>10.959544755836113</v>
      </c>
      <c r="T916">
        <f t="shared" si="1018"/>
        <v>1.0959544755836112E-2</v>
      </c>
    </row>
    <row r="917" spans="1:20" x14ac:dyDescent="0.25">
      <c r="A917" s="5">
        <v>43676</v>
      </c>
      <c r="B917">
        <v>2.125</v>
      </c>
      <c r="C917">
        <v>2.1854</v>
      </c>
      <c r="D917">
        <v>1.9694</v>
      </c>
      <c r="E917">
        <v>2.0682</v>
      </c>
      <c r="F917">
        <v>4818376.29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-8.5185185185185072E-2</v>
      </c>
      <c r="Q917">
        <f t="shared" si="1015"/>
        <v>-410454.276555555</v>
      </c>
      <c r="R917">
        <f t="shared" si="1016"/>
        <v>-1583326.0691311958</v>
      </c>
      <c r="S917">
        <f t="shared" si="1017"/>
        <v>-15.833260691311958</v>
      </c>
      <c r="T917">
        <f t="shared" si="1018"/>
        <v>-1.5833260691311957E-2</v>
      </c>
    </row>
    <row r="918" spans="1:20" x14ac:dyDescent="0.25">
      <c r="A918" s="5">
        <v>43675</v>
      </c>
      <c r="B918">
        <v>2.2178</v>
      </c>
      <c r="C918">
        <v>2.2482000000000002</v>
      </c>
      <c r="D918">
        <v>2.11</v>
      </c>
      <c r="E918">
        <v>2.1251000000000002</v>
      </c>
      <c r="F918">
        <v>2228158.0699999998</v>
      </c>
      <c r="G918">
        <v>0</v>
      </c>
      <c r="L918" t="s">
        <v>7</v>
      </c>
      <c r="M918" t="s">
        <v>7</v>
      </c>
      <c r="N918" t="s">
        <v>7</v>
      </c>
      <c r="P918">
        <f t="shared" si="1014"/>
        <v>-0.78147612156294788</v>
      </c>
      <c r="Q918">
        <f t="shared" si="1015"/>
        <v>-1741252.3267727832</v>
      </c>
      <c r="R918">
        <f t="shared" si="1016"/>
        <v>-1172871.7925756408</v>
      </c>
      <c r="S918">
        <f t="shared" si="1017"/>
        <v>-11.728717925756408</v>
      </c>
      <c r="T918">
        <f t="shared" si="1018"/>
        <v>-1.1728717925756409E-2</v>
      </c>
    </row>
    <row r="919" spans="1:20" x14ac:dyDescent="0.25">
      <c r="A919" s="5">
        <v>43674</v>
      </c>
      <c r="B919">
        <v>2.2372000000000001</v>
      </c>
      <c r="C919">
        <v>2.2732999999999999</v>
      </c>
      <c r="D919">
        <v>2.1</v>
      </c>
      <c r="E919">
        <v>2.2155999999999998</v>
      </c>
      <c r="F919">
        <v>1921301.06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0.33410271206000974</v>
      </c>
      <c r="Q919">
        <f t="shared" si="1015"/>
        <v>641911.89482977148</v>
      </c>
      <c r="R919">
        <f t="shared" si="1016"/>
        <v>568380.53419714235</v>
      </c>
      <c r="S919">
        <f t="shared" si="1017"/>
        <v>5.6838053419714232</v>
      </c>
      <c r="T919">
        <f t="shared" si="1018"/>
        <v>5.6838053419714235E-3</v>
      </c>
    </row>
    <row r="920" spans="1:20" x14ac:dyDescent="0.25">
      <c r="A920" s="5">
        <v>43673</v>
      </c>
      <c r="B920">
        <v>2.3954</v>
      </c>
      <c r="C920">
        <v>2.46</v>
      </c>
      <c r="D920">
        <v>2.1524999999999999</v>
      </c>
      <c r="E920">
        <v>2.2452999999999999</v>
      </c>
      <c r="F920">
        <v>4296972.72</v>
      </c>
      <c r="G920">
        <v>0</v>
      </c>
      <c r="L920" t="s">
        <v>7</v>
      </c>
      <c r="M920" t="s">
        <v>7</v>
      </c>
      <c r="N920" t="s">
        <v>7</v>
      </c>
      <c r="P920">
        <f t="shared" si="1014"/>
        <v>-0.39642276422764255</v>
      </c>
      <c r="Q920">
        <f t="shared" si="1015"/>
        <v>-1703417.8034731718</v>
      </c>
      <c r="R920">
        <f t="shared" si="1016"/>
        <v>-73531.360632629134</v>
      </c>
      <c r="S920">
        <f t="shared" si="1017"/>
        <v>-0.73531360632629139</v>
      </c>
      <c r="T920">
        <f t="shared" si="1018"/>
        <v>-7.3531360632629139E-4</v>
      </c>
    </row>
    <row r="921" spans="1:20" x14ac:dyDescent="0.25">
      <c r="A921" s="5">
        <v>43672</v>
      </c>
      <c r="B921">
        <v>2.3614999999999999</v>
      </c>
      <c r="C921">
        <v>2.4300000000000002</v>
      </c>
      <c r="D921">
        <v>2.3201000000000001</v>
      </c>
      <c r="E921">
        <v>2.3988999999999998</v>
      </c>
      <c r="F921">
        <v>1979267.83</v>
      </c>
      <c r="G921">
        <v>0</v>
      </c>
      <c r="L921" t="s">
        <v>7</v>
      </c>
      <c r="M921" t="s">
        <v>7</v>
      </c>
      <c r="N921" t="s">
        <v>7</v>
      </c>
      <c r="P921">
        <f t="shared" si="1014"/>
        <v>0.43403093721564479</v>
      </c>
      <c r="Q921">
        <f t="shared" si="1015"/>
        <v>859063.47125567554</v>
      </c>
      <c r="R921">
        <f t="shared" si="1016"/>
        <v>1629886.4428405426</v>
      </c>
      <c r="S921">
        <f t="shared" si="1017"/>
        <v>16.298864428405427</v>
      </c>
      <c r="T921">
        <f t="shared" si="1018"/>
        <v>1.6298864428405425E-2</v>
      </c>
    </row>
    <row r="922" spans="1:20" x14ac:dyDescent="0.25">
      <c r="A922" s="5">
        <v>43671</v>
      </c>
      <c r="B922">
        <v>2.3971</v>
      </c>
      <c r="C922">
        <v>2.5148999999999999</v>
      </c>
      <c r="D922">
        <v>2.3595000000000002</v>
      </c>
      <c r="E922">
        <v>2.3614999999999999</v>
      </c>
      <c r="F922">
        <v>4029732.82</v>
      </c>
      <c r="G922">
        <v>0</v>
      </c>
      <c r="L922" t="s">
        <v>8</v>
      </c>
      <c r="M922" t="s">
        <v>7</v>
      </c>
      <c r="N922" t="s">
        <v>7</v>
      </c>
      <c r="P922">
        <f t="shared" si="1014"/>
        <v>-0.97425997425997701</v>
      </c>
      <c r="Q922">
        <f t="shared" si="1015"/>
        <v>-3926007.3934877845</v>
      </c>
      <c r="R922">
        <f t="shared" si="1016"/>
        <v>770822.97158486722</v>
      </c>
      <c r="S922">
        <f t="shared" si="1017"/>
        <v>7.7082297158486721</v>
      </c>
      <c r="T922">
        <f t="shared" si="1018"/>
        <v>7.7082297158486725E-3</v>
      </c>
    </row>
    <row r="923" spans="1:20" x14ac:dyDescent="0.25">
      <c r="A923" s="5">
        <v>43670</v>
      </c>
      <c r="B923">
        <v>2.3559000000000001</v>
      </c>
      <c r="C923">
        <v>2.5131000000000001</v>
      </c>
      <c r="D923">
        <v>2.27</v>
      </c>
      <c r="E923">
        <v>2.3999000000000001</v>
      </c>
      <c r="F923">
        <v>5323022.4800000004</v>
      </c>
      <c r="G923">
        <v>0</v>
      </c>
      <c r="L923" t="s">
        <v>8</v>
      </c>
      <c r="M923" t="s">
        <v>7</v>
      </c>
      <c r="N923" t="s">
        <v>7</v>
      </c>
      <c r="P923">
        <f t="shared" si="1014"/>
        <v>6.869600987248109E-2</v>
      </c>
      <c r="Q923">
        <f t="shared" si="1015"/>
        <v>365670.40483751881</v>
      </c>
      <c r="R923">
        <f t="shared" si="1016"/>
        <v>4696830.3650726518</v>
      </c>
      <c r="S923">
        <f t="shared" si="1017"/>
        <v>46.968303650726519</v>
      </c>
      <c r="T923">
        <f t="shared" si="1018"/>
        <v>4.6968303650726517E-2</v>
      </c>
    </row>
    <row r="924" spans="1:20" x14ac:dyDescent="0.25">
      <c r="A924" s="5">
        <v>43669</v>
      </c>
      <c r="B924">
        <v>2.4073000000000002</v>
      </c>
      <c r="C924">
        <v>2.52</v>
      </c>
      <c r="D924">
        <v>2.2488999999999999</v>
      </c>
      <c r="E924">
        <v>2.3534999999999999</v>
      </c>
      <c r="F924">
        <v>5670564</v>
      </c>
      <c r="G924">
        <v>0</v>
      </c>
      <c r="L924" t="s">
        <v>7</v>
      </c>
      <c r="M924" t="s">
        <v>7</v>
      </c>
      <c r="N924" t="s">
        <v>7</v>
      </c>
      <c r="P924">
        <f t="shared" si="1014"/>
        <v>-0.22832902987827383</v>
      </c>
      <c r="Q924">
        <f t="shared" si="1015"/>
        <v>-1294754.376982664</v>
      </c>
      <c r="R924">
        <f t="shared" si="1016"/>
        <v>4331159.9602351328</v>
      </c>
      <c r="S924">
        <f t="shared" si="1017"/>
        <v>43.311599602351329</v>
      </c>
      <c r="T924">
        <f t="shared" si="1018"/>
        <v>4.3311599602351328E-2</v>
      </c>
    </row>
    <row r="925" spans="1:20" x14ac:dyDescent="0.25">
      <c r="A925" s="5">
        <v>43668</v>
      </c>
      <c r="B925">
        <v>2.5318999999999998</v>
      </c>
      <c r="C925">
        <v>2.5857000000000001</v>
      </c>
      <c r="D925">
        <v>2.3732000000000002</v>
      </c>
      <c r="E925">
        <v>2.4077999999999999</v>
      </c>
      <c r="F925">
        <v>3419071.85</v>
      </c>
      <c r="G925">
        <v>0</v>
      </c>
      <c r="L925" t="s">
        <v>7</v>
      </c>
      <c r="M925" t="s">
        <v>7</v>
      </c>
      <c r="N925" t="s">
        <v>7</v>
      </c>
      <c r="P925">
        <f t="shared" si="1014"/>
        <v>-0.67435294117647293</v>
      </c>
      <c r="Q925">
        <f t="shared" si="1015"/>
        <v>-2305661.1581411846</v>
      </c>
      <c r="R925">
        <f t="shared" si="1016"/>
        <v>5625914.3372177966</v>
      </c>
      <c r="S925">
        <f t="shared" si="1017"/>
        <v>56.259143372177967</v>
      </c>
      <c r="T925">
        <f t="shared" si="1018"/>
        <v>5.6259143372177967E-2</v>
      </c>
    </row>
    <row r="926" spans="1:20" x14ac:dyDescent="0.25">
      <c r="A926" s="5">
        <v>43667</v>
      </c>
      <c r="B926">
        <v>2.6368999999999998</v>
      </c>
      <c r="C926">
        <v>2.665</v>
      </c>
      <c r="D926">
        <v>2.46</v>
      </c>
      <c r="E926">
        <v>2.5318999999999998</v>
      </c>
      <c r="F926">
        <v>3349432.24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-0.29853658536585531</v>
      </c>
      <c r="Q926">
        <f t="shared" si="1015"/>
        <v>-999928.06384390802</v>
      </c>
      <c r="R926">
        <f t="shared" si="1016"/>
        <v>7931575.4953589812</v>
      </c>
      <c r="S926">
        <f t="shared" si="1017"/>
        <v>79.315754953589817</v>
      </c>
      <c r="T926">
        <f t="shared" si="1018"/>
        <v>7.931575495358982E-2</v>
      </c>
    </row>
    <row r="927" spans="1:20" x14ac:dyDescent="0.25">
      <c r="A927" s="5">
        <v>43666</v>
      </c>
      <c r="B927">
        <v>2.6019999999999999</v>
      </c>
      <c r="C927">
        <v>2.7313999999999998</v>
      </c>
      <c r="D927">
        <v>2.5750999999999999</v>
      </c>
      <c r="E927">
        <v>2.637</v>
      </c>
      <c r="F927">
        <v>4607848.26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-0.20793346129238499</v>
      </c>
      <c r="Q927">
        <f t="shared" si="1015"/>
        <v>-958125.83781189343</v>
      </c>
      <c r="R927">
        <f t="shared" si="1016"/>
        <v>8931503.559202889</v>
      </c>
      <c r="S927">
        <f t="shared" si="1017"/>
        <v>89.315035592028892</v>
      </c>
      <c r="T927">
        <f t="shared" si="1018"/>
        <v>8.9315035592028885E-2</v>
      </c>
    </row>
    <row r="928" spans="1:20" x14ac:dyDescent="0.25">
      <c r="A928" s="5">
        <v>43665</v>
      </c>
      <c r="B928">
        <v>2.67</v>
      </c>
      <c r="C928">
        <v>2.7490000000000001</v>
      </c>
      <c r="D928">
        <v>2.4910000000000001</v>
      </c>
      <c r="E928">
        <v>2.6046</v>
      </c>
      <c r="F928">
        <v>5548232.1200000001</v>
      </c>
      <c r="G928">
        <v>0</v>
      </c>
      <c r="L928" t="s">
        <v>7</v>
      </c>
      <c r="M928" t="s">
        <v>8</v>
      </c>
      <c r="N928" t="s">
        <v>7</v>
      </c>
      <c r="P928">
        <f t="shared" si="1014"/>
        <v>-0.11937984496124093</v>
      </c>
      <c r="Q928">
        <f t="shared" si="1015"/>
        <v>-662347.09029457706</v>
      </c>
      <c r="R928">
        <f t="shared" si="1016"/>
        <v>9889629.3970147818</v>
      </c>
      <c r="S928">
        <f t="shared" si="1017"/>
        <v>98.896293970147823</v>
      </c>
      <c r="T928">
        <f t="shared" si="1018"/>
        <v>9.8896293970147819E-2</v>
      </c>
    </row>
    <row r="929" spans="1:20" x14ac:dyDescent="0.25">
      <c r="A929" s="5">
        <v>43664</v>
      </c>
      <c r="B929">
        <v>2.3950999999999998</v>
      </c>
      <c r="C929">
        <v>2.8094000000000001</v>
      </c>
      <c r="D929">
        <v>2.3542000000000001</v>
      </c>
      <c r="E929">
        <v>2.67</v>
      </c>
      <c r="F929">
        <v>13388877.99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0.3875219683655528</v>
      </c>
      <c r="Q929">
        <f t="shared" si="1015"/>
        <v>5188484.3528910261</v>
      </c>
      <c r="R929">
        <f t="shared" si="1016"/>
        <v>10551976.487309359</v>
      </c>
      <c r="S929">
        <f t="shared" si="1017"/>
        <v>105.51976487309359</v>
      </c>
      <c r="T929">
        <f t="shared" si="1018"/>
        <v>0.10551976487309359</v>
      </c>
    </row>
    <row r="930" spans="1:20" x14ac:dyDescent="0.25">
      <c r="A930" s="5">
        <v>43663</v>
      </c>
      <c r="B930">
        <v>2.1947000000000001</v>
      </c>
      <c r="C930">
        <v>2.6</v>
      </c>
      <c r="D930">
        <v>2.0531000000000001</v>
      </c>
      <c r="E930">
        <v>2.3980000000000001</v>
      </c>
      <c r="F930">
        <v>13229065.689999999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0.26129091241543251</v>
      </c>
      <c r="Q930">
        <f t="shared" si="1015"/>
        <v>3456634.6445437931</v>
      </c>
      <c r="R930">
        <f t="shared" si="1016"/>
        <v>5363492.134418332</v>
      </c>
      <c r="S930">
        <f t="shared" si="1017"/>
        <v>53.634921344183319</v>
      </c>
      <c r="T930">
        <f t="shared" si="1018"/>
        <v>5.3634921344183316E-2</v>
      </c>
    </row>
    <row r="931" spans="1:20" x14ac:dyDescent="0.25">
      <c r="A931" s="5">
        <v>43662</v>
      </c>
      <c r="B931">
        <v>2.6911</v>
      </c>
      <c r="C931">
        <v>2.7749000000000001</v>
      </c>
      <c r="D931">
        <v>2.1520999999999999</v>
      </c>
      <c r="E931">
        <v>2.1947999999999999</v>
      </c>
      <c r="F931">
        <v>8049014.9299999997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-0.86287732819524743</v>
      </c>
      <c r="Q931">
        <f t="shared" si="1015"/>
        <v>-6945312.4974020561</v>
      </c>
      <c r="R931">
        <f t="shared" si="1016"/>
        <v>1906857.489874539</v>
      </c>
      <c r="S931">
        <f t="shared" si="1017"/>
        <v>19.068574898745389</v>
      </c>
      <c r="T931">
        <f t="shared" si="1018"/>
        <v>1.9068574898745388E-2</v>
      </c>
    </row>
    <row r="932" spans="1:20" x14ac:dyDescent="0.25">
      <c r="A932" s="5">
        <v>43661</v>
      </c>
      <c r="B932">
        <v>2.7791999999999999</v>
      </c>
      <c r="C932">
        <v>2.8498000000000001</v>
      </c>
      <c r="D932">
        <v>2.5800999999999998</v>
      </c>
      <c r="E932">
        <v>2.6913</v>
      </c>
      <c r="F932">
        <v>7328956.4299999997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-0.17538005190952854</v>
      </c>
      <c r="Q932">
        <f t="shared" si="1015"/>
        <v>-1285352.7591360731</v>
      </c>
      <c r="R932">
        <f t="shared" si="1016"/>
        <v>8852169.9872765951</v>
      </c>
      <c r="S932">
        <f t="shared" si="1017"/>
        <v>88.52169987276595</v>
      </c>
      <c r="T932">
        <f t="shared" si="1018"/>
        <v>8.8521699872765952E-2</v>
      </c>
    </row>
    <row r="933" spans="1:20" x14ac:dyDescent="0.25">
      <c r="A933" s="5">
        <v>43660</v>
      </c>
      <c r="B933">
        <v>3.1688999999999998</v>
      </c>
      <c r="C933">
        <v>3.2412999999999998</v>
      </c>
      <c r="D933">
        <v>2.7610999999999999</v>
      </c>
      <c r="E933">
        <v>2.7856000000000001</v>
      </c>
      <c r="F933">
        <v>8270840.7199999997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-0.89795918367346861</v>
      </c>
      <c r="Q933">
        <f t="shared" si="1015"/>
        <v>-7426877.3812244833</v>
      </c>
      <c r="R933">
        <f t="shared" si="1016"/>
        <v>10137522.746412668</v>
      </c>
      <c r="S933">
        <f t="shared" si="1017"/>
        <v>101.37522746412668</v>
      </c>
      <c r="T933">
        <f t="shared" si="1018"/>
        <v>0.10137522746412668</v>
      </c>
    </row>
    <row r="934" spans="1:20" x14ac:dyDescent="0.25">
      <c r="A934" s="5">
        <v>43659</v>
      </c>
      <c r="B934">
        <v>3.1659999999999999</v>
      </c>
      <c r="C934">
        <v>3.2953000000000001</v>
      </c>
      <c r="D934">
        <v>3.04</v>
      </c>
      <c r="E934">
        <v>3.1652</v>
      </c>
      <c r="F934">
        <v>9069996.4399999995</v>
      </c>
      <c r="G934">
        <v>0</v>
      </c>
      <c r="L934" t="s">
        <v>8</v>
      </c>
      <c r="M934" t="s">
        <v>8</v>
      </c>
      <c r="N934" t="s">
        <v>7</v>
      </c>
      <c r="P934">
        <f t="shared" si="1014"/>
        <v>-1.9193106149628377E-2</v>
      </c>
      <c r="Q934">
        <f t="shared" si="1015"/>
        <v>-174081.40444967148</v>
      </c>
      <c r="R934">
        <f t="shared" si="1016"/>
        <v>17564400.127637152</v>
      </c>
      <c r="S934">
        <f t="shared" si="1017"/>
        <v>175.64400127637151</v>
      </c>
      <c r="T934">
        <f t="shared" si="1018"/>
        <v>0.1756440012763715</v>
      </c>
    </row>
    <row r="935" spans="1:20" x14ac:dyDescent="0.25">
      <c r="A935" s="5">
        <v>43658</v>
      </c>
      <c r="B935">
        <v>2.7869999999999999</v>
      </c>
      <c r="C935">
        <v>3.3281999999999998</v>
      </c>
      <c r="D935">
        <v>2.6</v>
      </c>
      <c r="E935">
        <v>3.1659999999999999</v>
      </c>
      <c r="F935">
        <v>11732670.960000001</v>
      </c>
      <c r="G935">
        <v>0</v>
      </c>
      <c r="L935" t="s">
        <v>7</v>
      </c>
      <c r="M935" t="s">
        <v>7</v>
      </c>
      <c r="N935" t="s">
        <v>7</v>
      </c>
      <c r="P935">
        <f t="shared" si="1014"/>
        <v>0.55451798956330689</v>
      </c>
      <c r="Q935">
        <f t="shared" si="1015"/>
        <v>6505977.1129469946</v>
      </c>
      <c r="R935">
        <f t="shared" si="1016"/>
        <v>17738481.532086823</v>
      </c>
      <c r="S935">
        <f t="shared" si="1017"/>
        <v>177.38481532086823</v>
      </c>
      <c r="T935">
        <f t="shared" si="1018"/>
        <v>0.17738481532086822</v>
      </c>
    </row>
    <row r="936" spans="1:20" x14ac:dyDescent="0.25">
      <c r="A936" s="5">
        <v>43657</v>
      </c>
      <c r="B936">
        <v>3.1166</v>
      </c>
      <c r="C936">
        <v>3.1555</v>
      </c>
      <c r="D936">
        <v>2.71</v>
      </c>
      <c r="E936">
        <v>2.7852999999999999</v>
      </c>
      <c r="F936">
        <v>7302194.4800000004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-0.66195286195286229</v>
      </c>
      <c r="Q936">
        <f t="shared" si="1015"/>
        <v>-4833708.5345723936</v>
      </c>
      <c r="R936">
        <f t="shared" si="1016"/>
        <v>11232504.419139829</v>
      </c>
      <c r="S936">
        <f t="shared" si="1017"/>
        <v>112.32504419139829</v>
      </c>
      <c r="T936">
        <f t="shared" si="1018"/>
        <v>0.11232504419139828</v>
      </c>
    </row>
    <row r="937" spans="1:20" x14ac:dyDescent="0.25">
      <c r="A937" s="5">
        <v>43656</v>
      </c>
      <c r="B937">
        <v>3.0670000000000002</v>
      </c>
      <c r="C937">
        <v>3.2568000000000001</v>
      </c>
      <c r="D937">
        <v>2.8578000000000001</v>
      </c>
      <c r="E937">
        <v>3.1166</v>
      </c>
      <c r="F937">
        <v>9566090.9800000004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0.29724310776942309</v>
      </c>
      <c r="Q937">
        <f t="shared" si="1015"/>
        <v>2843454.6121002464</v>
      </c>
      <c r="R937">
        <f t="shared" si="1016"/>
        <v>16066212.953712221</v>
      </c>
      <c r="S937">
        <f t="shared" si="1017"/>
        <v>160.66212953712221</v>
      </c>
      <c r="T937">
        <f t="shared" si="1018"/>
        <v>0.16066212953712222</v>
      </c>
    </row>
    <row r="938" spans="1:20" x14ac:dyDescent="0.25">
      <c r="A938" s="5">
        <v>43655</v>
      </c>
      <c r="B938">
        <v>3.3334000000000001</v>
      </c>
      <c r="C938">
        <v>3.3740999999999999</v>
      </c>
      <c r="D938">
        <v>2.9401000000000002</v>
      </c>
      <c r="E938">
        <v>3.0670000000000002</v>
      </c>
      <c r="F938">
        <v>9165611.1500000004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-0.41520737327188895</v>
      </c>
      <c r="Q938">
        <f t="shared" si="1015"/>
        <v>-3805629.3300230373</v>
      </c>
      <c r="R938">
        <f t="shared" si="1016"/>
        <v>13222758.341611976</v>
      </c>
      <c r="S938">
        <f t="shared" si="1017"/>
        <v>132.22758341611976</v>
      </c>
      <c r="T938">
        <f t="shared" si="1018"/>
        <v>0.13222758341611976</v>
      </c>
    </row>
    <row r="939" spans="1:20" x14ac:dyDescent="0.25">
      <c r="A939" s="5">
        <v>43654</v>
      </c>
      <c r="B939">
        <v>3.2749999999999999</v>
      </c>
      <c r="C939">
        <v>3.5731000000000002</v>
      </c>
      <c r="D939">
        <v>3.25</v>
      </c>
      <c r="E939">
        <v>3.3361999999999998</v>
      </c>
      <c r="F939">
        <v>5283821.17</v>
      </c>
      <c r="G939">
        <v>0</v>
      </c>
      <c r="L939" t="s">
        <v>8</v>
      </c>
      <c r="M939" t="s">
        <v>8</v>
      </c>
      <c r="N939" t="s">
        <v>7</v>
      </c>
      <c r="P939">
        <f t="shared" si="1014"/>
        <v>-0.46641906530486049</v>
      </c>
      <c r="Q939">
        <f t="shared" si="1015"/>
        <v>-2464474.9313494344</v>
      </c>
      <c r="R939">
        <f t="shared" si="1016"/>
        <v>17028387.671635013</v>
      </c>
      <c r="S939">
        <f t="shared" si="1017"/>
        <v>170.28387671635014</v>
      </c>
      <c r="T939">
        <f t="shared" si="1018"/>
        <v>0.17028387671635015</v>
      </c>
    </row>
    <row r="940" spans="1:20" x14ac:dyDescent="0.25">
      <c r="A940" s="5">
        <v>43653</v>
      </c>
      <c r="B940">
        <v>3.4649999999999999</v>
      </c>
      <c r="C940">
        <v>3.5038</v>
      </c>
      <c r="D940">
        <v>3.25</v>
      </c>
      <c r="E940">
        <v>3.2749999999999999</v>
      </c>
      <c r="F940">
        <v>5553670.7199999997</v>
      </c>
      <c r="G940">
        <v>0</v>
      </c>
      <c r="L940" t="s">
        <v>7</v>
      </c>
      <c r="M940" t="s">
        <v>8</v>
      </c>
      <c r="N940" t="s">
        <v>7</v>
      </c>
      <c r="P940">
        <f t="shared" si="1014"/>
        <v>-0.80299448384554839</v>
      </c>
      <c r="Q940">
        <f t="shared" si="1015"/>
        <v>-4459566.9532545349</v>
      </c>
      <c r="R940">
        <f t="shared" si="1016"/>
        <v>19492862.602984447</v>
      </c>
      <c r="S940">
        <f t="shared" si="1017"/>
        <v>194.92862602984448</v>
      </c>
      <c r="T940">
        <f t="shared" si="1018"/>
        <v>0.19492862602984448</v>
      </c>
    </row>
    <row r="941" spans="1:20" x14ac:dyDescent="0.25">
      <c r="A941" s="5">
        <v>43652</v>
      </c>
      <c r="B941">
        <v>3.64</v>
      </c>
      <c r="C941">
        <v>3.6610999999999998</v>
      </c>
      <c r="D941">
        <v>3.4384000000000001</v>
      </c>
      <c r="E941">
        <v>3.4603000000000002</v>
      </c>
      <c r="F941">
        <v>4979198.01</v>
      </c>
      <c r="G941">
        <v>0</v>
      </c>
      <c r="L941" t="s">
        <v>7</v>
      </c>
      <c r="M941" t="s">
        <v>8</v>
      </c>
      <c r="N941" t="s">
        <v>7</v>
      </c>
      <c r="P941">
        <f t="shared" si="1014"/>
        <v>-0.8033228558599006</v>
      </c>
      <c r="Q941">
        <f t="shared" si="1015"/>
        <v>-3999903.5652851337</v>
      </c>
      <c r="R941">
        <f t="shared" si="1016"/>
        <v>23952429.556238983</v>
      </c>
      <c r="S941">
        <f t="shared" si="1017"/>
        <v>239.52429556238982</v>
      </c>
      <c r="T941">
        <f t="shared" si="1018"/>
        <v>0.23952429556238983</v>
      </c>
    </row>
    <row r="942" spans="1:20" x14ac:dyDescent="0.25">
      <c r="A942" s="5">
        <v>43651</v>
      </c>
      <c r="B942">
        <v>3.4554999999999998</v>
      </c>
      <c r="C942">
        <v>3.75</v>
      </c>
      <c r="D942">
        <v>3.4409999999999998</v>
      </c>
      <c r="E942">
        <v>3.64</v>
      </c>
      <c r="F942">
        <v>10535825.859999999</v>
      </c>
      <c r="G942">
        <v>0</v>
      </c>
      <c r="L942" t="s">
        <v>8</v>
      </c>
      <c r="M942" t="s">
        <v>8</v>
      </c>
      <c r="N942" t="s">
        <v>7</v>
      </c>
      <c r="P942">
        <f t="shared" si="1014"/>
        <v>0.28802588996763873</v>
      </c>
      <c r="Q942">
        <f t="shared" si="1015"/>
        <v>3034590.6198705626</v>
      </c>
      <c r="R942">
        <f t="shared" si="1016"/>
        <v>27952333.121524118</v>
      </c>
      <c r="S942">
        <f t="shared" si="1017"/>
        <v>279.52333121524117</v>
      </c>
      <c r="T942">
        <f t="shared" si="1018"/>
        <v>0.27952333121524114</v>
      </c>
    </row>
    <row r="943" spans="1:20" x14ac:dyDescent="0.25">
      <c r="A943" s="5">
        <v>43650</v>
      </c>
      <c r="B943">
        <v>3.4853999999999998</v>
      </c>
      <c r="C943">
        <v>3.61</v>
      </c>
      <c r="D943">
        <v>3.2040000000000002</v>
      </c>
      <c r="E943">
        <v>3.4529999999999998</v>
      </c>
      <c r="F943">
        <v>9880436.75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0.22660098522167416</v>
      </c>
      <c r="Q943">
        <f t="shared" si="1015"/>
        <v>2238916.7019704361</v>
      </c>
      <c r="R943">
        <f t="shared" si="1016"/>
        <v>24917742.501653556</v>
      </c>
      <c r="S943">
        <f t="shared" si="1017"/>
        <v>249.17742501653555</v>
      </c>
      <c r="T943">
        <f t="shared" si="1018"/>
        <v>0.24917742501653556</v>
      </c>
    </row>
    <row r="944" spans="1:20" x14ac:dyDescent="0.25">
      <c r="A944" s="5">
        <v>43649</v>
      </c>
      <c r="B944">
        <v>3.7441</v>
      </c>
      <c r="C944">
        <v>3.8856999999999999</v>
      </c>
      <c r="D944">
        <v>3.4769000000000001</v>
      </c>
      <c r="E944">
        <v>3.49</v>
      </c>
      <c r="F944">
        <v>11110619.17</v>
      </c>
      <c r="G944">
        <v>0</v>
      </c>
      <c r="L944" t="s">
        <v>7</v>
      </c>
      <c r="M944" t="s">
        <v>8</v>
      </c>
      <c r="N944" t="s">
        <v>7</v>
      </c>
      <c r="P944">
        <f t="shared" si="1014"/>
        <v>-0.93590998043052775</v>
      </c>
      <c r="Q944">
        <f t="shared" si="1015"/>
        <v>-10398539.369965747</v>
      </c>
      <c r="R944">
        <f t="shared" si="1016"/>
        <v>22678825.79968312</v>
      </c>
      <c r="S944">
        <f t="shared" si="1017"/>
        <v>226.78825799683119</v>
      </c>
      <c r="T944">
        <f t="shared" si="1018"/>
        <v>0.22678825799683119</v>
      </c>
    </row>
    <row r="945" spans="1:20" x14ac:dyDescent="0.25">
      <c r="A945" s="5">
        <v>43648</v>
      </c>
      <c r="B945">
        <v>3.6476000000000002</v>
      </c>
      <c r="C945">
        <v>3.9914000000000001</v>
      </c>
      <c r="D945">
        <v>3.2010000000000001</v>
      </c>
      <c r="E945">
        <v>3.7452999999999999</v>
      </c>
      <c r="F945">
        <v>26694285.350000001</v>
      </c>
      <c r="G945">
        <v>0</v>
      </c>
      <c r="L945" t="s">
        <v>8</v>
      </c>
      <c r="M945" t="s">
        <v>8</v>
      </c>
      <c r="N945" t="s">
        <v>7</v>
      </c>
      <c r="P945">
        <f t="shared" si="1014"/>
        <v>0.37727732793522212</v>
      </c>
      <c r="Q945">
        <f t="shared" si="1015"/>
        <v>10071148.647988345</v>
      </c>
      <c r="R945">
        <f t="shared" si="1016"/>
        <v>33077365.169648867</v>
      </c>
      <c r="S945">
        <f t="shared" si="1017"/>
        <v>330.77365169648868</v>
      </c>
      <c r="T945">
        <f t="shared" si="1018"/>
        <v>0.3307736516964887</v>
      </c>
    </row>
    <row r="946" spans="1:20" x14ac:dyDescent="0.25">
      <c r="A946" s="5">
        <v>43647</v>
      </c>
      <c r="B946">
        <v>3.3885000000000001</v>
      </c>
      <c r="C946">
        <v>3.8620000000000001</v>
      </c>
      <c r="D946">
        <v>2.9266000000000001</v>
      </c>
      <c r="E946">
        <v>3.6368999999999998</v>
      </c>
      <c r="F946">
        <v>25318756.739999998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0.51870857387213964</v>
      </c>
      <c r="Q946">
        <f t="shared" si="1015"/>
        <v>13133056.200821023</v>
      </c>
      <c r="R946">
        <f t="shared" si="1016"/>
        <v>23006216.521660522</v>
      </c>
      <c r="S946">
        <f t="shared" si="1017"/>
        <v>230.06216521660522</v>
      </c>
      <c r="T946">
        <f t="shared" si="1018"/>
        <v>0.23006216521660522</v>
      </c>
    </row>
    <row r="947" spans="1:20" x14ac:dyDescent="0.25">
      <c r="A947" s="5">
        <v>43646</v>
      </c>
      <c r="B947">
        <v>3.7050999999999998</v>
      </c>
      <c r="C947">
        <v>4.22</v>
      </c>
      <c r="D947">
        <v>3.23</v>
      </c>
      <c r="E947">
        <v>3.3885000000000001</v>
      </c>
      <c r="F947">
        <v>25198062.620000001</v>
      </c>
      <c r="G947">
        <v>0</v>
      </c>
      <c r="L947" t="s">
        <v>7</v>
      </c>
      <c r="M947" t="s">
        <v>7</v>
      </c>
      <c r="N947" t="s">
        <v>8</v>
      </c>
      <c r="P947">
        <f t="shared" si="1014"/>
        <v>-0.67979797979797951</v>
      </c>
      <c r="Q947">
        <f t="shared" si="1015"/>
        <v>-17129592.063898984</v>
      </c>
      <c r="R947">
        <f t="shared" si="1016"/>
        <v>9873160.3208394982</v>
      </c>
      <c r="S947">
        <f t="shared" si="1017"/>
        <v>98.731603208394986</v>
      </c>
      <c r="T947">
        <f t="shared" si="1018"/>
        <v>9.8731603208394983E-2</v>
      </c>
    </row>
    <row r="948" spans="1:20" x14ac:dyDescent="0.25">
      <c r="A948" s="5">
        <v>43645</v>
      </c>
      <c r="B948">
        <v>3.0390999999999999</v>
      </c>
      <c r="C948">
        <v>4.5826000000000002</v>
      </c>
      <c r="D948">
        <v>2.9499</v>
      </c>
      <c r="E948">
        <v>3.7124999999999999</v>
      </c>
      <c r="F948">
        <v>55522584.240000002</v>
      </c>
      <c r="G948">
        <v>0</v>
      </c>
      <c r="L948" t="s">
        <v>8</v>
      </c>
      <c r="M948" t="s">
        <v>8</v>
      </c>
      <c r="N948" t="s">
        <v>8</v>
      </c>
      <c r="P948">
        <f t="shared" si="1014"/>
        <v>-6.5841857046610122E-2</v>
      </c>
      <c r="Q948">
        <f t="shared" si="1015"/>
        <v>-3655710.0543884481</v>
      </c>
      <c r="R948">
        <f t="shared" si="1016"/>
        <v>27002752.384738483</v>
      </c>
      <c r="S948">
        <f t="shared" si="1017"/>
        <v>270.02752384738483</v>
      </c>
      <c r="T948">
        <f t="shared" si="1018"/>
        <v>0.27002752384738482</v>
      </c>
    </row>
    <row r="949" spans="1:20" x14ac:dyDescent="0.25">
      <c r="A949" s="5">
        <v>43644</v>
      </c>
      <c r="B949">
        <v>2.2911999999999999</v>
      </c>
      <c r="C949">
        <v>3.0981000000000001</v>
      </c>
      <c r="D949">
        <v>2.2149999999999999</v>
      </c>
      <c r="E949">
        <v>3.0392000000000001</v>
      </c>
      <c r="F949">
        <v>16193947.24</v>
      </c>
      <c r="G949">
        <v>0</v>
      </c>
      <c r="L949" t="s">
        <v>8</v>
      </c>
      <c r="M949" t="s">
        <v>8</v>
      </c>
      <c r="N949" t="s">
        <v>8</v>
      </c>
      <c r="P949">
        <f t="shared" si="1014"/>
        <v>0.866606273355226</v>
      </c>
      <c r="Q949">
        <f t="shared" si="1015"/>
        <v>14033776.268567547</v>
      </c>
      <c r="R949">
        <f t="shared" si="1016"/>
        <v>30658462.439126931</v>
      </c>
      <c r="S949">
        <f t="shared" si="1017"/>
        <v>306.5846243912693</v>
      </c>
      <c r="T949">
        <f t="shared" si="1018"/>
        <v>0.30658462439126932</v>
      </c>
    </row>
    <row r="950" spans="1:20" x14ac:dyDescent="0.25">
      <c r="A950" s="5">
        <v>43643</v>
      </c>
      <c r="B950">
        <v>2.2820999999999998</v>
      </c>
      <c r="C950">
        <v>2.5550000000000002</v>
      </c>
      <c r="D950">
        <v>2.1122999999999998</v>
      </c>
      <c r="E950">
        <v>2.2879</v>
      </c>
      <c r="F950">
        <v>14032427.25</v>
      </c>
      <c r="G950">
        <v>0</v>
      </c>
      <c r="L950" t="s">
        <v>8</v>
      </c>
      <c r="M950" t="s">
        <v>8</v>
      </c>
      <c r="N950" t="s">
        <v>8</v>
      </c>
      <c r="P950">
        <f t="shared" si="1014"/>
        <v>-0.20668624350575976</v>
      </c>
      <c r="Q950">
        <f t="shared" si="1015"/>
        <v>-2900309.675570359</v>
      </c>
      <c r="R950">
        <f t="shared" si="1016"/>
        <v>16624686.170559386</v>
      </c>
      <c r="S950">
        <f t="shared" si="1017"/>
        <v>166.24686170559386</v>
      </c>
      <c r="T950">
        <f t="shared" si="1018"/>
        <v>0.16624686170559386</v>
      </c>
    </row>
    <row r="951" spans="1:20" x14ac:dyDescent="0.25">
      <c r="A951" s="5">
        <v>43642</v>
      </c>
      <c r="B951">
        <v>2.1930999999999998</v>
      </c>
      <c r="C951">
        <v>2.5</v>
      </c>
      <c r="D951">
        <v>2.0230999999999999</v>
      </c>
      <c r="E951">
        <v>2.2799999999999998</v>
      </c>
      <c r="F951">
        <v>16314862.029999999</v>
      </c>
      <c r="G951">
        <v>0</v>
      </c>
      <c r="L951" t="s">
        <v>8</v>
      </c>
      <c r="M951" t="s">
        <v>7</v>
      </c>
      <c r="N951" t="s">
        <v>8</v>
      </c>
      <c r="P951">
        <f t="shared" si="1014"/>
        <v>7.737471167959678E-2</v>
      </c>
      <c r="Q951">
        <f t="shared" si="1015"/>
        <v>1262357.745663651</v>
      </c>
      <c r="R951">
        <f t="shared" si="1016"/>
        <v>19524995.846129745</v>
      </c>
      <c r="S951">
        <f t="shared" si="1017"/>
        <v>195.24995846129744</v>
      </c>
      <c r="T951">
        <f t="shared" si="1018"/>
        <v>0.19524995846129745</v>
      </c>
    </row>
    <row r="952" spans="1:20" x14ac:dyDescent="0.25">
      <c r="A952" s="5">
        <v>43641</v>
      </c>
      <c r="B952">
        <v>1.8689</v>
      </c>
      <c r="C952">
        <v>2.4272999999999998</v>
      </c>
      <c r="D952">
        <v>1.8613</v>
      </c>
      <c r="E952">
        <v>2.1928000000000001</v>
      </c>
      <c r="F952">
        <v>22004618.379999999</v>
      </c>
      <c r="G952">
        <v>0</v>
      </c>
      <c r="L952" t="s">
        <v>8</v>
      </c>
      <c r="M952" t="s">
        <v>8</v>
      </c>
      <c r="N952" t="s">
        <v>8</v>
      </c>
      <c r="P952">
        <f t="shared" si="1014"/>
        <v>0.17137809187279232</v>
      </c>
      <c r="Q952">
        <f t="shared" si="1015"/>
        <v>3771109.5103533743</v>
      </c>
      <c r="R952">
        <f t="shared" si="1016"/>
        <v>18262638.100466095</v>
      </c>
      <c r="S952">
        <f t="shared" si="1017"/>
        <v>182.62638100466094</v>
      </c>
      <c r="T952">
        <f t="shared" si="1018"/>
        <v>0.18262638100466094</v>
      </c>
    </row>
    <row r="953" spans="1:20" x14ac:dyDescent="0.25">
      <c r="A953" s="5">
        <v>43640</v>
      </c>
      <c r="B953">
        <v>1.8169</v>
      </c>
      <c r="C953">
        <v>1.8884000000000001</v>
      </c>
      <c r="D953">
        <v>1.79</v>
      </c>
      <c r="E953">
        <v>1.8689</v>
      </c>
      <c r="F953">
        <v>2384487.8199999998</v>
      </c>
      <c r="G953">
        <v>0</v>
      </c>
      <c r="L953" t="s">
        <v>8</v>
      </c>
      <c r="M953" t="s">
        <v>8</v>
      </c>
      <c r="N953" t="s">
        <v>8</v>
      </c>
      <c r="P953">
        <f t="shared" si="1014"/>
        <v>0.6036585365853645</v>
      </c>
      <c r="Q953">
        <f t="shared" si="1015"/>
        <v>1439416.4279268261</v>
      </c>
      <c r="R953">
        <f t="shared" si="1016"/>
        <v>14491528.59011272</v>
      </c>
      <c r="S953">
        <f t="shared" si="1017"/>
        <v>144.91528590112719</v>
      </c>
      <c r="T953">
        <f t="shared" si="1018"/>
        <v>0.14491528590112718</v>
      </c>
    </row>
    <row r="954" spans="1:20" x14ac:dyDescent="0.25">
      <c r="A954" s="5">
        <v>43639</v>
      </c>
      <c r="B954">
        <v>1.8429</v>
      </c>
      <c r="C954">
        <v>1.91</v>
      </c>
      <c r="D954">
        <v>1.7702</v>
      </c>
      <c r="E954">
        <v>1.8169</v>
      </c>
      <c r="F954">
        <v>4603366.09</v>
      </c>
      <c r="G954">
        <v>0</v>
      </c>
      <c r="L954" t="s">
        <v>7</v>
      </c>
      <c r="M954" t="s">
        <v>8</v>
      </c>
      <c r="N954" t="s">
        <v>8</v>
      </c>
      <c r="P954">
        <f t="shared" si="1014"/>
        <v>-0.33190271816881273</v>
      </c>
      <c r="Q954">
        <f t="shared" si="1015"/>
        <v>-1527869.7179971393</v>
      </c>
      <c r="R954">
        <f t="shared" si="1016"/>
        <v>13052112.162185894</v>
      </c>
      <c r="S954">
        <f t="shared" si="1017"/>
        <v>130.52112162185895</v>
      </c>
      <c r="T954">
        <f t="shared" si="1018"/>
        <v>0.13052112162185894</v>
      </c>
    </row>
    <row r="955" spans="1:20" x14ac:dyDescent="0.25">
      <c r="A955" s="5">
        <v>43638</v>
      </c>
      <c r="B955">
        <v>1.6895</v>
      </c>
      <c r="C955">
        <v>1.9470000000000001</v>
      </c>
      <c r="D955">
        <v>1.6827000000000001</v>
      </c>
      <c r="E955">
        <v>1.8428</v>
      </c>
      <c r="F955">
        <v>8447723.5399999991</v>
      </c>
      <c r="G955">
        <v>0</v>
      </c>
      <c r="L955" t="s">
        <v>8</v>
      </c>
      <c r="M955" t="s">
        <v>8</v>
      </c>
      <c r="N955" t="s">
        <v>8</v>
      </c>
      <c r="P955">
        <f t="shared" si="1014"/>
        <v>0.21150208096859568</v>
      </c>
      <c r="Q955">
        <f t="shared" si="1015"/>
        <v>1786711.1081573917</v>
      </c>
      <c r="R955">
        <f t="shared" si="1016"/>
        <v>14579981.880183034</v>
      </c>
      <c r="S955">
        <f t="shared" si="1017"/>
        <v>145.79981880183033</v>
      </c>
      <c r="T955">
        <f t="shared" si="1018"/>
        <v>0.14579981880183032</v>
      </c>
    </row>
    <row r="956" spans="1:20" x14ac:dyDescent="0.25">
      <c r="A956" s="5">
        <v>43637</v>
      </c>
      <c r="B956">
        <v>1.7670999999999999</v>
      </c>
      <c r="C956">
        <v>1.79</v>
      </c>
      <c r="D956">
        <v>1.61</v>
      </c>
      <c r="E956">
        <v>1.6882999999999999</v>
      </c>
      <c r="F956">
        <v>6940438.9100000001</v>
      </c>
      <c r="G956">
        <v>0</v>
      </c>
      <c r="L956" t="s">
        <v>7</v>
      </c>
      <c r="M956" t="s">
        <v>7</v>
      </c>
      <c r="N956" t="s">
        <v>8</v>
      </c>
      <c r="P956">
        <f t="shared" si="1014"/>
        <v>-0.13000000000000175</v>
      </c>
      <c r="Q956">
        <f t="shared" si="1015"/>
        <v>-902257.05830001214</v>
      </c>
      <c r="R956">
        <f t="shared" si="1016"/>
        <v>12793270.772025641</v>
      </c>
      <c r="S956">
        <f t="shared" si="1017"/>
        <v>127.93270772025642</v>
      </c>
      <c r="T956">
        <f t="shared" si="1018"/>
        <v>0.12793270772025642</v>
      </c>
    </row>
    <row r="957" spans="1:20" x14ac:dyDescent="0.25">
      <c r="A957" s="5">
        <v>43636</v>
      </c>
      <c r="B957">
        <v>1.8351999999999999</v>
      </c>
      <c r="C957">
        <v>1.8865000000000001</v>
      </c>
      <c r="D957">
        <v>1.6859</v>
      </c>
      <c r="E957">
        <v>1.7656000000000001</v>
      </c>
      <c r="F957">
        <v>5377028</v>
      </c>
      <c r="G957">
        <v>0</v>
      </c>
      <c r="L957" t="s">
        <v>7</v>
      </c>
      <c r="M957" t="s">
        <v>7</v>
      </c>
      <c r="N957" t="s">
        <v>8</v>
      </c>
      <c r="P957">
        <f t="shared" si="1014"/>
        <v>-0.2053838484546355</v>
      </c>
      <c r="Q957">
        <f t="shared" si="1015"/>
        <v>-1104354.7038883318</v>
      </c>
      <c r="R957">
        <f t="shared" si="1016"/>
        <v>13695527.830325654</v>
      </c>
      <c r="S957">
        <f t="shared" si="1017"/>
        <v>136.95527830325653</v>
      </c>
      <c r="T957">
        <f t="shared" si="1018"/>
        <v>0.13695527830325654</v>
      </c>
    </row>
    <row r="958" spans="1:20" x14ac:dyDescent="0.25">
      <c r="A958" s="5">
        <v>43635</v>
      </c>
      <c r="B958">
        <v>1.8158000000000001</v>
      </c>
      <c r="C958">
        <v>1.9016</v>
      </c>
      <c r="D958">
        <v>1.7868999999999999</v>
      </c>
      <c r="E958">
        <v>1.8352999999999999</v>
      </c>
      <c r="F958">
        <v>4857793.43</v>
      </c>
      <c r="G958">
        <v>0</v>
      </c>
      <c r="L958" t="s">
        <v>8</v>
      </c>
      <c r="M958" t="s">
        <v>8</v>
      </c>
      <c r="N958" t="s">
        <v>8</v>
      </c>
      <c r="P958">
        <f t="shared" si="1014"/>
        <v>-0.15605928509154335</v>
      </c>
      <c r="Q958">
        <f t="shared" si="1015"/>
        <v>-758103.76980819623</v>
      </c>
      <c r="R958">
        <f t="shared" si="1016"/>
        <v>14799882.534213986</v>
      </c>
      <c r="S958">
        <f t="shared" si="1017"/>
        <v>147.99882534213987</v>
      </c>
      <c r="T958">
        <f t="shared" si="1018"/>
        <v>0.14799882534213987</v>
      </c>
    </row>
    <row r="959" spans="1:20" x14ac:dyDescent="0.25">
      <c r="A959" s="5">
        <v>43634</v>
      </c>
      <c r="B959">
        <v>1.9615</v>
      </c>
      <c r="C959">
        <v>2.0185</v>
      </c>
      <c r="D959">
        <v>1.76</v>
      </c>
      <c r="E959">
        <v>1.8193999999999999</v>
      </c>
      <c r="F959">
        <v>13903673.74</v>
      </c>
      <c r="G959">
        <v>0</v>
      </c>
      <c r="L959" t="s">
        <v>7</v>
      </c>
      <c r="M959" t="s">
        <v>8</v>
      </c>
      <c r="N959" t="s">
        <v>8</v>
      </c>
      <c r="P959">
        <f t="shared" ref="P959:P1022" si="1019">IF(C959=D959,0,((E959-D959)-(C959-E959))/(C959-D959))</f>
        <v>-0.54042553191489429</v>
      </c>
      <c r="Q959">
        <f t="shared" ref="Q959:Q1022" si="1020">F959*P959</f>
        <v>-7513900.2765106475</v>
      </c>
      <c r="R959">
        <f t="shared" ref="R959:R1022" si="1021">R960+Q959</f>
        <v>15557986.304022182</v>
      </c>
      <c r="S959">
        <f t="shared" ref="S959:S1022" si="1022">R959/100000</f>
        <v>155.57986304022182</v>
      </c>
      <c r="T959">
        <f t="shared" ref="T959:T1022" si="1023">S959/1000</f>
        <v>0.15557986304022181</v>
      </c>
    </row>
    <row r="960" spans="1:20" x14ac:dyDescent="0.25">
      <c r="A960" s="5">
        <v>43633</v>
      </c>
      <c r="B960">
        <v>1.6651</v>
      </c>
      <c r="C960">
        <v>2.0775999999999999</v>
      </c>
      <c r="D960">
        <v>1.6525000000000001</v>
      </c>
      <c r="E960">
        <v>1.9631000000000001</v>
      </c>
      <c r="F960">
        <v>17066477.530000001</v>
      </c>
      <c r="G960">
        <v>0</v>
      </c>
      <c r="L960" t="s">
        <v>8</v>
      </c>
      <c r="M960" t="s">
        <v>8</v>
      </c>
      <c r="N960" t="s">
        <v>8</v>
      </c>
      <c r="P960">
        <f t="shared" si="1019"/>
        <v>0.46130322277111324</v>
      </c>
      <c r="Q960">
        <f t="shared" si="1020"/>
        <v>7872821.0859397892</v>
      </c>
      <c r="R960">
        <f t="shared" si="1021"/>
        <v>23071886.58053283</v>
      </c>
      <c r="S960">
        <f t="shared" si="1022"/>
        <v>230.71886580532831</v>
      </c>
      <c r="T960">
        <f t="shared" si="1023"/>
        <v>0.2307188658053283</v>
      </c>
    </row>
    <row r="961" spans="1:20" x14ac:dyDescent="0.25">
      <c r="A961" s="5">
        <v>43632</v>
      </c>
      <c r="B961">
        <v>1.718</v>
      </c>
      <c r="C961">
        <v>1.7924</v>
      </c>
      <c r="D961">
        <v>1.6</v>
      </c>
      <c r="E961">
        <v>1.6620999999999999</v>
      </c>
      <c r="F961">
        <v>8287172.1500000004</v>
      </c>
      <c r="G961">
        <v>0</v>
      </c>
      <c r="L961" t="s">
        <v>7</v>
      </c>
      <c r="M961" t="s">
        <v>8</v>
      </c>
      <c r="N961" t="s">
        <v>8</v>
      </c>
      <c r="P961">
        <f t="shared" si="1019"/>
        <v>-0.35446985446985602</v>
      </c>
      <c r="Q961">
        <f t="shared" si="1020"/>
        <v>-2937552.7059771437</v>
      </c>
      <c r="R961">
        <f t="shared" si="1021"/>
        <v>15199065.494593041</v>
      </c>
      <c r="S961">
        <f t="shared" si="1022"/>
        <v>151.9906549459304</v>
      </c>
      <c r="T961">
        <f t="shared" si="1023"/>
        <v>0.15199065494593039</v>
      </c>
    </row>
    <row r="962" spans="1:20" x14ac:dyDescent="0.25">
      <c r="A962" s="5">
        <v>43631</v>
      </c>
      <c r="B962">
        <v>1.6364000000000001</v>
      </c>
      <c r="C962">
        <v>1.8065</v>
      </c>
      <c r="D962">
        <v>1.6022000000000001</v>
      </c>
      <c r="E962">
        <v>1.7179</v>
      </c>
      <c r="F962">
        <v>10734639.210000001</v>
      </c>
      <c r="G962">
        <v>0</v>
      </c>
      <c r="L962" t="s">
        <v>8</v>
      </c>
      <c r="M962" t="s">
        <v>8</v>
      </c>
      <c r="N962" t="s">
        <v>8</v>
      </c>
      <c r="P962">
        <f t="shared" si="1019"/>
        <v>0.13264806656877098</v>
      </c>
      <c r="Q962">
        <f t="shared" si="1020"/>
        <v>1423929.1365198193</v>
      </c>
      <c r="R962">
        <f t="shared" si="1021"/>
        <v>18136618.200570185</v>
      </c>
      <c r="S962">
        <f t="shared" si="1022"/>
        <v>181.36618200570186</v>
      </c>
      <c r="T962">
        <f t="shared" si="1023"/>
        <v>0.18136618200570187</v>
      </c>
    </row>
    <row r="963" spans="1:20" x14ac:dyDescent="0.25">
      <c r="A963" s="5">
        <v>43630</v>
      </c>
      <c r="B963">
        <v>1.8680000000000001</v>
      </c>
      <c r="C963">
        <v>1.8935999999999999</v>
      </c>
      <c r="D963">
        <v>1.49</v>
      </c>
      <c r="E963">
        <v>1.6395</v>
      </c>
      <c r="F963">
        <v>33219623.469999999</v>
      </c>
      <c r="G963">
        <v>0</v>
      </c>
      <c r="L963" t="s">
        <v>7</v>
      </c>
      <c r="M963" t="s">
        <v>7</v>
      </c>
      <c r="N963" t="s">
        <v>8</v>
      </c>
      <c r="P963">
        <f t="shared" si="1019"/>
        <v>-0.25916749256689803</v>
      </c>
      <c r="Q963">
        <f t="shared" si="1020"/>
        <v>-8609446.5187363755</v>
      </c>
      <c r="R963">
        <f t="shared" si="1021"/>
        <v>16712689.064050367</v>
      </c>
      <c r="S963">
        <f t="shared" si="1022"/>
        <v>167.12689064050366</v>
      </c>
      <c r="T963">
        <f t="shared" si="1023"/>
        <v>0.16712689064050365</v>
      </c>
    </row>
    <row r="964" spans="1:20" x14ac:dyDescent="0.25">
      <c r="A964" s="5">
        <v>43629</v>
      </c>
      <c r="B964">
        <v>1.1448</v>
      </c>
      <c r="C964">
        <v>1.97</v>
      </c>
      <c r="D964">
        <v>1.1126</v>
      </c>
      <c r="E964">
        <v>1.8680000000000001</v>
      </c>
      <c r="F964">
        <v>34048038.460000001</v>
      </c>
      <c r="G964">
        <v>0</v>
      </c>
      <c r="L964" t="s">
        <v>8</v>
      </c>
      <c r="M964" t="s">
        <v>8</v>
      </c>
      <c r="N964" t="s">
        <v>8</v>
      </c>
      <c r="P964">
        <f t="shared" si="1019"/>
        <v>0.76207137858642438</v>
      </c>
      <c r="Q964">
        <f t="shared" si="1020"/>
        <v>25947035.607375797</v>
      </c>
      <c r="R964">
        <f t="shared" si="1021"/>
        <v>25322135.582786743</v>
      </c>
      <c r="S964">
        <f t="shared" si="1022"/>
        <v>253.22135582786743</v>
      </c>
      <c r="T964">
        <f t="shared" si="1023"/>
        <v>0.25322135582786742</v>
      </c>
    </row>
    <row r="965" spans="1:20" x14ac:dyDescent="0.25">
      <c r="A965" s="5">
        <v>43628</v>
      </c>
      <c r="B965">
        <v>1.1241000000000001</v>
      </c>
      <c r="C965">
        <v>1.1642999999999999</v>
      </c>
      <c r="D965">
        <v>1.0874999999999999</v>
      </c>
      <c r="E965">
        <v>1.1448</v>
      </c>
      <c r="F965">
        <v>2552375.7400000002</v>
      </c>
      <c r="G965">
        <v>0</v>
      </c>
      <c r="L965" t="s">
        <v>7</v>
      </c>
      <c r="M965" t="s">
        <v>7</v>
      </c>
      <c r="N965" t="s">
        <v>8</v>
      </c>
      <c r="P965">
        <f t="shared" si="1019"/>
        <v>0.49218750000000377</v>
      </c>
      <c r="Q965">
        <f t="shared" si="1020"/>
        <v>1256247.4345312598</v>
      </c>
      <c r="R965">
        <f t="shared" si="1021"/>
        <v>-624900.02458905312</v>
      </c>
      <c r="S965">
        <f t="shared" si="1022"/>
        <v>-6.2490002458905316</v>
      </c>
      <c r="T965">
        <f t="shared" si="1023"/>
        <v>-6.2490002458905312E-3</v>
      </c>
    </row>
    <row r="966" spans="1:20" x14ac:dyDescent="0.25">
      <c r="A966" s="5">
        <v>43627</v>
      </c>
      <c r="B966">
        <v>1.2042999999999999</v>
      </c>
      <c r="C966">
        <v>1.2070000000000001</v>
      </c>
      <c r="D966">
        <v>1.0875999999999999</v>
      </c>
      <c r="E966">
        <v>1.1243000000000001</v>
      </c>
      <c r="F966">
        <v>3072196.39</v>
      </c>
      <c r="G966">
        <v>0</v>
      </c>
      <c r="L966" t="s">
        <v>7</v>
      </c>
      <c r="M966" t="s">
        <v>7</v>
      </c>
      <c r="N966" t="s">
        <v>8</v>
      </c>
      <c r="P966">
        <f t="shared" si="1019"/>
        <v>-0.38525963149078518</v>
      </c>
      <c r="Q966">
        <f t="shared" si="1020"/>
        <v>-1183593.2490787206</v>
      </c>
      <c r="R966">
        <f t="shared" si="1021"/>
        <v>-1881147.4591203129</v>
      </c>
      <c r="S966">
        <f t="shared" si="1022"/>
        <v>-18.81147459120313</v>
      </c>
      <c r="T966">
        <f t="shared" si="1023"/>
        <v>-1.881147459120313E-2</v>
      </c>
    </row>
    <row r="967" spans="1:20" x14ac:dyDescent="0.25">
      <c r="A967" s="5">
        <v>43626</v>
      </c>
      <c r="B967">
        <v>1.0595000000000001</v>
      </c>
      <c r="C967">
        <v>1.2103999999999999</v>
      </c>
      <c r="D967">
        <v>1.0301</v>
      </c>
      <c r="E967">
        <v>1.206</v>
      </c>
      <c r="F967">
        <v>3560999.95</v>
      </c>
      <c r="G967">
        <v>0</v>
      </c>
      <c r="L967" t="s">
        <v>8</v>
      </c>
      <c r="M967" t="s">
        <v>7</v>
      </c>
      <c r="N967" t="s">
        <v>8</v>
      </c>
      <c r="P967">
        <f t="shared" si="1019"/>
        <v>0.95119245701608468</v>
      </c>
      <c r="Q967">
        <f t="shared" si="1020"/>
        <v>3387196.2918746551</v>
      </c>
      <c r="R967">
        <f t="shared" si="1021"/>
        <v>-697554.21004159236</v>
      </c>
      <c r="S967">
        <f t="shared" si="1022"/>
        <v>-6.9755421004159235</v>
      </c>
      <c r="T967">
        <f t="shared" si="1023"/>
        <v>-6.9755421004159233E-3</v>
      </c>
    </row>
    <row r="968" spans="1:20" x14ac:dyDescent="0.25">
      <c r="A968" s="5">
        <v>43625</v>
      </c>
      <c r="B968">
        <v>1.1375999999999999</v>
      </c>
      <c r="C968">
        <v>1.1486000000000001</v>
      </c>
      <c r="D968">
        <v>1.0085</v>
      </c>
      <c r="E968">
        <v>1.0595000000000001</v>
      </c>
      <c r="F968">
        <v>3544981.93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-0.2719486081370433</v>
      </c>
      <c r="Q968">
        <f t="shared" si="1020"/>
        <v>-964052.90173446946</v>
      </c>
      <c r="R968">
        <f t="shared" si="1021"/>
        <v>-4084750.5019162474</v>
      </c>
      <c r="S968">
        <f t="shared" si="1022"/>
        <v>-40.847505019162476</v>
      </c>
      <c r="T968">
        <f t="shared" si="1023"/>
        <v>-4.0847505019162476E-2</v>
      </c>
    </row>
    <row r="969" spans="1:20" x14ac:dyDescent="0.25">
      <c r="A969" s="5">
        <v>43624</v>
      </c>
      <c r="B969">
        <v>1.1747000000000001</v>
      </c>
      <c r="C969">
        <v>1.1991000000000001</v>
      </c>
      <c r="D969">
        <v>1.1165</v>
      </c>
      <c r="E969">
        <v>1.1326000000000001</v>
      </c>
      <c r="F969">
        <v>2537076.42</v>
      </c>
      <c r="G969">
        <v>0</v>
      </c>
      <c r="L969" t="s">
        <v>8</v>
      </c>
      <c r="M969" t="s">
        <v>8</v>
      </c>
      <c r="N969" t="s">
        <v>8</v>
      </c>
      <c r="P969">
        <f t="shared" si="1019"/>
        <v>-0.61016949152542366</v>
      </c>
      <c r="Q969">
        <f t="shared" si="1020"/>
        <v>-1548046.6291525422</v>
      </c>
      <c r="R969">
        <f t="shared" si="1021"/>
        <v>-3120697.600181778</v>
      </c>
      <c r="S969">
        <f t="shared" si="1022"/>
        <v>-31.206976001817779</v>
      </c>
      <c r="T969">
        <f t="shared" si="1023"/>
        <v>-3.1206976001817779E-2</v>
      </c>
    </row>
    <row r="970" spans="1:20" x14ac:dyDescent="0.25">
      <c r="A970" s="5">
        <v>43623</v>
      </c>
      <c r="B970">
        <v>1.1099000000000001</v>
      </c>
      <c r="C970">
        <v>1.2588999999999999</v>
      </c>
      <c r="D970">
        <v>1.071</v>
      </c>
      <c r="E970">
        <v>1.1753</v>
      </c>
      <c r="F970">
        <v>6340116.7999999998</v>
      </c>
      <c r="G970">
        <v>0</v>
      </c>
      <c r="L970" t="s">
        <v>7</v>
      </c>
      <c r="M970" t="s">
        <v>8</v>
      </c>
      <c r="N970" t="s">
        <v>8</v>
      </c>
      <c r="P970">
        <f t="shared" si="1019"/>
        <v>0.11016498137307168</v>
      </c>
      <c r="Q970">
        <f t="shared" si="1020"/>
        <v>698458.84917509882</v>
      </c>
      <c r="R970">
        <f t="shared" si="1021"/>
        <v>-1572650.9710292355</v>
      </c>
      <c r="S970">
        <f t="shared" si="1022"/>
        <v>-15.726509710292355</v>
      </c>
      <c r="T970">
        <f t="shared" si="1023"/>
        <v>-1.5726509710292356E-2</v>
      </c>
    </row>
    <row r="971" spans="1:20" x14ac:dyDescent="0.25">
      <c r="A971" s="5">
        <v>43622</v>
      </c>
      <c r="B971">
        <v>1.0959000000000001</v>
      </c>
      <c r="C971">
        <v>1.27</v>
      </c>
      <c r="D971">
        <v>1.0556000000000001</v>
      </c>
      <c r="E971">
        <v>1.1097999999999999</v>
      </c>
      <c r="F971">
        <v>11128235.33</v>
      </c>
      <c r="G971">
        <v>0</v>
      </c>
      <c r="L971" t="s">
        <v>8</v>
      </c>
      <c r="M971" t="s">
        <v>8</v>
      </c>
      <c r="N971" t="s">
        <v>8</v>
      </c>
      <c r="P971">
        <f t="shared" si="1019"/>
        <v>-0.49440298507462854</v>
      </c>
      <c r="Q971">
        <f t="shared" si="1020"/>
        <v>-5501832.7657649443</v>
      </c>
      <c r="R971">
        <f t="shared" si="1021"/>
        <v>-2271109.8202043343</v>
      </c>
      <c r="S971">
        <f t="shared" si="1022"/>
        <v>-22.711098202043342</v>
      </c>
      <c r="T971">
        <f t="shared" si="1023"/>
        <v>-2.2711098202043343E-2</v>
      </c>
    </row>
    <row r="972" spans="1:20" x14ac:dyDescent="0.25">
      <c r="A972" s="5">
        <v>43621</v>
      </c>
      <c r="B972">
        <v>0.88500000000000001</v>
      </c>
      <c r="C972">
        <v>1.0991</v>
      </c>
      <c r="D972">
        <v>0.88380000000000003</v>
      </c>
      <c r="E972">
        <v>1.0960000000000001</v>
      </c>
      <c r="F972">
        <v>10134603.359999999</v>
      </c>
      <c r="G972">
        <v>0</v>
      </c>
      <c r="L972" t="s">
        <v>8</v>
      </c>
      <c r="M972" t="s">
        <v>8</v>
      </c>
      <c r="N972" t="s">
        <v>7</v>
      </c>
      <c r="P972">
        <f t="shared" si="1019"/>
        <v>0.97120297259637822</v>
      </c>
      <c r="Q972">
        <f t="shared" si="1020"/>
        <v>9842756.909317242</v>
      </c>
      <c r="R972">
        <f t="shared" si="1021"/>
        <v>3230722.9455606099</v>
      </c>
      <c r="S972">
        <f t="shared" si="1022"/>
        <v>32.307229455606098</v>
      </c>
      <c r="T972">
        <f t="shared" si="1023"/>
        <v>3.2307229455606101E-2</v>
      </c>
    </row>
    <row r="973" spans="1:20" x14ac:dyDescent="0.25">
      <c r="A973" s="5">
        <v>43620</v>
      </c>
      <c r="B973">
        <v>0.89849999999999997</v>
      </c>
      <c r="C973">
        <v>0.92989999999999995</v>
      </c>
      <c r="D973">
        <v>0.83679999999999999</v>
      </c>
      <c r="E973">
        <v>0.88500000000000001</v>
      </c>
      <c r="F973">
        <v>4577420.9000000004</v>
      </c>
      <c r="G973">
        <v>0</v>
      </c>
      <c r="L973" t="s">
        <v>7</v>
      </c>
      <c r="M973" t="s">
        <v>7</v>
      </c>
      <c r="N973" t="s">
        <v>7</v>
      </c>
      <c r="P973">
        <f t="shared" si="1019"/>
        <v>3.5445757250269411E-2</v>
      </c>
      <c r="Q973">
        <f t="shared" si="1020"/>
        <v>162250.15005370975</v>
      </c>
      <c r="R973">
        <f t="shared" si="1021"/>
        <v>-6612033.9637566321</v>
      </c>
      <c r="S973">
        <f t="shared" si="1022"/>
        <v>-66.120339637566317</v>
      </c>
      <c r="T973">
        <f t="shared" si="1023"/>
        <v>-6.6120339637566319E-2</v>
      </c>
    </row>
    <row r="974" spans="1:20" x14ac:dyDescent="0.25">
      <c r="A974" s="5">
        <v>43619</v>
      </c>
      <c r="B974">
        <v>1.0155000000000001</v>
      </c>
      <c r="C974">
        <v>1.02</v>
      </c>
      <c r="D974">
        <v>0.88529999999999998</v>
      </c>
      <c r="E974">
        <v>0.9</v>
      </c>
      <c r="F974">
        <v>3308495.33</v>
      </c>
      <c r="G974">
        <v>0</v>
      </c>
      <c r="L974" t="s">
        <v>7</v>
      </c>
      <c r="M974" t="s">
        <v>7</v>
      </c>
      <c r="N974" t="s">
        <v>7</v>
      </c>
      <c r="P974">
        <f t="shared" si="1019"/>
        <v>-0.78173719376391915</v>
      </c>
      <c r="Q974">
        <f t="shared" si="1020"/>
        <v>-2586373.8548552315</v>
      </c>
      <c r="R974">
        <f t="shared" si="1021"/>
        <v>-6774284.1138103418</v>
      </c>
      <c r="S974">
        <f t="shared" si="1022"/>
        <v>-67.742841138103415</v>
      </c>
      <c r="T974">
        <f t="shared" si="1023"/>
        <v>-6.7742841138103416E-2</v>
      </c>
    </row>
    <row r="975" spans="1:20" x14ac:dyDescent="0.25">
      <c r="A975" s="5">
        <v>43618</v>
      </c>
      <c r="B975">
        <v>0.9536</v>
      </c>
      <c r="C975">
        <v>1.0553999999999999</v>
      </c>
      <c r="D975">
        <v>0.93230000000000002</v>
      </c>
      <c r="E975">
        <v>1.0155000000000001</v>
      </c>
      <c r="F975">
        <v>3449110.82</v>
      </c>
      <c r="G975">
        <v>0</v>
      </c>
      <c r="L975" t="s">
        <v>7</v>
      </c>
      <c r="M975" t="s">
        <v>8</v>
      </c>
      <c r="N975" t="s">
        <v>7</v>
      </c>
      <c r="P975">
        <f t="shared" si="1019"/>
        <v>0.35174654752234175</v>
      </c>
      <c r="Q975">
        <f t="shared" si="1020"/>
        <v>1213212.822956953</v>
      </c>
      <c r="R975">
        <f t="shared" si="1021"/>
        <v>-4187910.2589551108</v>
      </c>
      <c r="S975">
        <f t="shared" si="1022"/>
        <v>-41.87910258955111</v>
      </c>
      <c r="T975">
        <f t="shared" si="1023"/>
        <v>-4.1879102589551111E-2</v>
      </c>
    </row>
    <row r="976" spans="1:20" x14ac:dyDescent="0.25">
      <c r="A976" s="5">
        <v>43617</v>
      </c>
      <c r="B976">
        <v>1.0236000000000001</v>
      </c>
      <c r="C976">
        <v>1.0598000000000001</v>
      </c>
      <c r="D976">
        <v>0.95109999999999995</v>
      </c>
      <c r="E976">
        <v>0.95599999999999996</v>
      </c>
      <c r="F976">
        <v>3797903.78</v>
      </c>
      <c r="G976">
        <v>0</v>
      </c>
      <c r="L976" t="s">
        <v>7</v>
      </c>
      <c r="M976" t="s">
        <v>8</v>
      </c>
      <c r="N976" t="s">
        <v>7</v>
      </c>
      <c r="P976">
        <f t="shared" si="1019"/>
        <v>-0.90984360625574956</v>
      </c>
      <c r="Q976">
        <f t="shared" si="1020"/>
        <v>-3455498.4714075429</v>
      </c>
      <c r="R976">
        <f t="shared" si="1021"/>
        <v>-5401123.081912064</v>
      </c>
      <c r="S976">
        <f t="shared" si="1022"/>
        <v>-54.011230819120641</v>
      </c>
      <c r="T976">
        <f t="shared" si="1023"/>
        <v>-5.401123081912064E-2</v>
      </c>
    </row>
    <row r="977" spans="1:20" x14ac:dyDescent="0.25">
      <c r="A977" s="5">
        <v>43616</v>
      </c>
      <c r="B977">
        <v>1.0018</v>
      </c>
      <c r="C977">
        <v>1.0444</v>
      </c>
      <c r="D977">
        <v>0.93300000000000005</v>
      </c>
      <c r="E977">
        <v>1.0188999999999999</v>
      </c>
      <c r="F977">
        <v>7748553.79</v>
      </c>
      <c r="G977">
        <v>0</v>
      </c>
      <c r="L977" t="s">
        <v>8</v>
      </c>
      <c r="M977" t="s">
        <v>7</v>
      </c>
      <c r="N977" t="s">
        <v>7</v>
      </c>
      <c r="P977">
        <f t="shared" si="1019"/>
        <v>0.54219030520646161</v>
      </c>
      <c r="Q977">
        <f t="shared" si="1020"/>
        <v>4201190.7443087846</v>
      </c>
      <c r="R977">
        <f t="shared" si="1021"/>
        <v>-1945624.6105045211</v>
      </c>
      <c r="S977">
        <f t="shared" si="1022"/>
        <v>-19.45624610504521</v>
      </c>
      <c r="T977">
        <f t="shared" si="1023"/>
        <v>-1.9456246105045209E-2</v>
      </c>
    </row>
    <row r="978" spans="1:20" x14ac:dyDescent="0.25">
      <c r="A978" s="5">
        <v>43615</v>
      </c>
      <c r="B978">
        <v>1.1721999999999999</v>
      </c>
      <c r="C978">
        <v>1.2257</v>
      </c>
      <c r="D978">
        <v>0.90090000000000003</v>
      </c>
      <c r="E978">
        <v>1.0023</v>
      </c>
      <c r="F978">
        <v>10326672.93</v>
      </c>
      <c r="G978">
        <v>0</v>
      </c>
      <c r="L978" t="s">
        <v>7</v>
      </c>
      <c r="M978" t="s">
        <v>7</v>
      </c>
      <c r="N978" t="s">
        <v>7</v>
      </c>
      <c r="P978">
        <f t="shared" si="1019"/>
        <v>-0.37561576354679838</v>
      </c>
      <c r="Q978">
        <f t="shared" si="1020"/>
        <v>-3878861.1375000034</v>
      </c>
      <c r="R978">
        <f t="shared" si="1021"/>
        <v>-6146815.3548133057</v>
      </c>
      <c r="S978">
        <f t="shared" si="1022"/>
        <v>-61.46815354813306</v>
      </c>
      <c r="T978">
        <f t="shared" si="1023"/>
        <v>-6.1468153548133057E-2</v>
      </c>
    </row>
    <row r="979" spans="1:20" x14ac:dyDescent="0.25">
      <c r="A979" s="5">
        <v>43614</v>
      </c>
      <c r="B979">
        <v>1.2786999999999999</v>
      </c>
      <c r="C979">
        <v>1.2844</v>
      </c>
      <c r="D979">
        <v>1.1426000000000001</v>
      </c>
      <c r="E979">
        <v>1.1725000000000001</v>
      </c>
      <c r="F979">
        <v>4654393.37</v>
      </c>
      <c r="G979">
        <v>0</v>
      </c>
      <c r="L979" t="s">
        <v>7</v>
      </c>
      <c r="M979" t="s">
        <v>7</v>
      </c>
      <c r="N979" t="s">
        <v>7</v>
      </c>
      <c r="P979">
        <f t="shared" si="1019"/>
        <v>-0.57827926657263673</v>
      </c>
      <c r="Q979">
        <f t="shared" si="1020"/>
        <v>-2691539.1843441431</v>
      </c>
      <c r="R979">
        <f t="shared" si="1021"/>
        <v>-2267954.2173133017</v>
      </c>
      <c r="S979">
        <f t="shared" si="1022"/>
        <v>-22.679542173133019</v>
      </c>
      <c r="T979">
        <f t="shared" si="1023"/>
        <v>-2.2679542173133019E-2</v>
      </c>
    </row>
    <row r="980" spans="1:20" x14ac:dyDescent="0.25">
      <c r="A980" s="5">
        <v>43613</v>
      </c>
      <c r="B980">
        <v>1.2173</v>
      </c>
      <c r="C980">
        <v>1.35</v>
      </c>
      <c r="D980">
        <v>1.1440999999999999</v>
      </c>
      <c r="E980">
        <v>1.2787999999999999</v>
      </c>
      <c r="F980">
        <v>5580233.0800000001</v>
      </c>
      <c r="G980">
        <v>0</v>
      </c>
      <c r="L980" t="s">
        <v>8</v>
      </c>
      <c r="M980" t="s">
        <v>8</v>
      </c>
      <c r="N980" t="s">
        <v>7</v>
      </c>
      <c r="P980">
        <f t="shared" si="1019"/>
        <v>0.30840213695968832</v>
      </c>
      <c r="Q980">
        <f t="shared" si="1020"/>
        <v>1720955.8066051435</v>
      </c>
      <c r="R980">
        <f t="shared" si="1021"/>
        <v>423584.96703084139</v>
      </c>
      <c r="S980">
        <f t="shared" si="1022"/>
        <v>4.2358496703084141</v>
      </c>
      <c r="T980">
        <f t="shared" si="1023"/>
        <v>4.2358496703084137E-3</v>
      </c>
    </row>
    <row r="981" spans="1:20" x14ac:dyDescent="0.25">
      <c r="A981" s="5">
        <v>43612</v>
      </c>
      <c r="B981">
        <v>1.0802</v>
      </c>
      <c r="C981">
        <v>1.2749999999999999</v>
      </c>
      <c r="D981">
        <v>1.0802</v>
      </c>
      <c r="E981">
        <v>1.2119</v>
      </c>
      <c r="F981">
        <v>7339191.2800000003</v>
      </c>
      <c r="G981">
        <v>0</v>
      </c>
      <c r="L981" t="s">
        <v>8</v>
      </c>
      <c r="M981" t="s">
        <v>8</v>
      </c>
      <c r="N981" t="s">
        <v>7</v>
      </c>
      <c r="P981">
        <f t="shared" si="1019"/>
        <v>0.35215605749486673</v>
      </c>
      <c r="Q981">
        <f t="shared" si="1020"/>
        <v>2584540.6663655047</v>
      </c>
      <c r="R981">
        <f t="shared" si="1021"/>
        <v>-1297370.8395743021</v>
      </c>
      <c r="S981">
        <f t="shared" si="1022"/>
        <v>-12.973708395743021</v>
      </c>
      <c r="T981">
        <f t="shared" si="1023"/>
        <v>-1.297370839574302E-2</v>
      </c>
    </row>
    <row r="982" spans="1:20" x14ac:dyDescent="0.25">
      <c r="A982" s="5">
        <v>43611</v>
      </c>
      <c r="B982">
        <v>1.113</v>
      </c>
      <c r="C982">
        <v>1.1823999999999999</v>
      </c>
      <c r="D982">
        <v>1.034</v>
      </c>
      <c r="E982">
        <v>1.0828</v>
      </c>
      <c r="F982">
        <v>4854605.26</v>
      </c>
      <c r="G982">
        <v>0</v>
      </c>
      <c r="L982" t="s">
        <v>7</v>
      </c>
      <c r="M982" t="s">
        <v>7</v>
      </c>
      <c r="N982" t="s">
        <v>7</v>
      </c>
      <c r="P982">
        <f t="shared" si="1019"/>
        <v>-0.3423180592991914</v>
      </c>
      <c r="Q982">
        <f t="shared" si="1020"/>
        <v>-1661819.0512668465</v>
      </c>
      <c r="R982">
        <f t="shared" si="1021"/>
        <v>-3881911.5059398068</v>
      </c>
      <c r="S982">
        <f t="shared" si="1022"/>
        <v>-38.819115059398065</v>
      </c>
      <c r="T982">
        <f t="shared" si="1023"/>
        <v>-3.8819115059398064E-2</v>
      </c>
    </row>
    <row r="983" spans="1:20" x14ac:dyDescent="0.25">
      <c r="A983" s="5">
        <v>43610</v>
      </c>
      <c r="B983">
        <v>1.3313999999999999</v>
      </c>
      <c r="C983">
        <v>1.3375999999999999</v>
      </c>
      <c r="D983">
        <v>1.0961000000000001</v>
      </c>
      <c r="E983">
        <v>1.113</v>
      </c>
      <c r="F983">
        <v>6245467.5</v>
      </c>
      <c r="G983">
        <v>0</v>
      </c>
      <c r="L983" t="s">
        <v>7</v>
      </c>
      <c r="M983" t="s">
        <v>7</v>
      </c>
      <c r="N983" t="s">
        <v>7</v>
      </c>
      <c r="P983">
        <f t="shared" si="1019"/>
        <v>-0.86004140786749539</v>
      </c>
      <c r="Q983">
        <f t="shared" si="1020"/>
        <v>-5371360.6614906872</v>
      </c>
      <c r="R983">
        <f t="shared" si="1021"/>
        <v>-2220092.4546729606</v>
      </c>
      <c r="S983">
        <f t="shared" si="1022"/>
        <v>-22.200924546729606</v>
      </c>
      <c r="T983">
        <f t="shared" si="1023"/>
        <v>-2.2200924546729606E-2</v>
      </c>
    </row>
    <row r="984" spans="1:20" x14ac:dyDescent="0.25">
      <c r="A984" s="5">
        <v>43609</v>
      </c>
      <c r="B984">
        <v>1.3392999999999999</v>
      </c>
      <c r="C984">
        <v>1.4347000000000001</v>
      </c>
      <c r="D984">
        <v>1.2216</v>
      </c>
      <c r="E984">
        <v>1.3313999999999999</v>
      </c>
      <c r="F984">
        <v>5097940.05</v>
      </c>
      <c r="G984">
        <v>0</v>
      </c>
      <c r="L984" t="s">
        <v>8</v>
      </c>
      <c r="M984" t="s">
        <v>8</v>
      </c>
      <c r="N984" t="s">
        <v>8</v>
      </c>
      <c r="P984">
        <f t="shared" si="1019"/>
        <v>3.0502111684653808E-2</v>
      </c>
      <c r="Q984">
        <f t="shared" si="1020"/>
        <v>155497.93676676962</v>
      </c>
      <c r="R984">
        <f t="shared" si="1021"/>
        <v>3151268.2068177266</v>
      </c>
      <c r="S984">
        <f t="shared" si="1022"/>
        <v>31.512682068177266</v>
      </c>
      <c r="T984">
        <f t="shared" si="1023"/>
        <v>3.151268206817727E-2</v>
      </c>
    </row>
    <row r="985" spans="1:20" x14ac:dyDescent="0.25">
      <c r="A985" s="5">
        <v>43608</v>
      </c>
      <c r="B985">
        <v>1.2204999999999999</v>
      </c>
      <c r="C985">
        <v>1.3654999999999999</v>
      </c>
      <c r="D985">
        <v>1.1417999999999999</v>
      </c>
      <c r="E985">
        <v>1.3391999999999999</v>
      </c>
      <c r="F985">
        <v>6874618.3899999997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0.76486365668305778</v>
      </c>
      <c r="Q985">
        <f t="shared" si="1020"/>
        <v>5258145.7600759948</v>
      </c>
      <c r="R985">
        <f t="shared" si="1021"/>
        <v>2995770.2700509569</v>
      </c>
      <c r="S985">
        <f t="shared" si="1022"/>
        <v>29.957702700509568</v>
      </c>
      <c r="T985">
        <f t="shared" si="1023"/>
        <v>2.9957702700509566E-2</v>
      </c>
    </row>
    <row r="986" spans="1:20" x14ac:dyDescent="0.25">
      <c r="A986" s="5">
        <v>43607</v>
      </c>
      <c r="B986">
        <v>1.1855</v>
      </c>
      <c r="C986">
        <v>1.474</v>
      </c>
      <c r="D986">
        <v>1.1301000000000001</v>
      </c>
      <c r="E986">
        <v>1.2204999999999999</v>
      </c>
      <c r="F986">
        <v>14821357.09</v>
      </c>
      <c r="G986">
        <v>0</v>
      </c>
      <c r="L986" t="s">
        <v>8</v>
      </c>
      <c r="M986" t="s">
        <v>8</v>
      </c>
      <c r="N986" t="s">
        <v>8</v>
      </c>
      <c r="P986">
        <f t="shared" si="1019"/>
        <v>-0.47426577493457489</v>
      </c>
      <c r="Q986">
        <f t="shared" si="1020"/>
        <v>-7029262.4058709061</v>
      </c>
      <c r="R986">
        <f t="shared" si="1021"/>
        <v>-2262375.4900250379</v>
      </c>
      <c r="S986">
        <f t="shared" si="1022"/>
        <v>-22.623754900250379</v>
      </c>
      <c r="T986">
        <f t="shared" si="1023"/>
        <v>-2.2623754900250381E-2</v>
      </c>
    </row>
    <row r="987" spans="1:20" x14ac:dyDescent="0.25">
      <c r="A987" s="5">
        <v>43606</v>
      </c>
      <c r="B987">
        <v>1.1146</v>
      </c>
      <c r="C987">
        <v>1.25</v>
      </c>
      <c r="D987">
        <v>1.06</v>
      </c>
      <c r="E987">
        <v>1.1798</v>
      </c>
      <c r="F987">
        <v>5046994.2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0.26105263157894676</v>
      </c>
      <c r="Q987">
        <f t="shared" si="1020"/>
        <v>1317531.1174736812</v>
      </c>
      <c r="R987">
        <f t="shared" si="1021"/>
        <v>4766886.9158458682</v>
      </c>
      <c r="S987">
        <f t="shared" si="1022"/>
        <v>47.668869158458683</v>
      </c>
      <c r="T987">
        <f t="shared" si="1023"/>
        <v>4.7668869158458686E-2</v>
      </c>
    </row>
    <row r="988" spans="1:20" x14ac:dyDescent="0.25">
      <c r="A988" s="5">
        <v>43605</v>
      </c>
      <c r="B988">
        <v>0.99270000000000003</v>
      </c>
      <c r="C988">
        <v>1.143</v>
      </c>
      <c r="D988">
        <v>0.94599999999999995</v>
      </c>
      <c r="E988">
        <v>1.117</v>
      </c>
      <c r="F988">
        <v>2936467.3</v>
      </c>
      <c r="G988">
        <v>0</v>
      </c>
      <c r="L988" t="s">
        <v>8</v>
      </c>
      <c r="M988" t="s">
        <v>8</v>
      </c>
      <c r="N988" t="s">
        <v>8</v>
      </c>
      <c r="P988">
        <f t="shared" si="1019"/>
        <v>0.73604060913705571</v>
      </c>
      <c r="Q988">
        <f t="shared" si="1020"/>
        <v>2161359.1802030453</v>
      </c>
      <c r="R988">
        <f t="shared" si="1021"/>
        <v>3449355.7983721872</v>
      </c>
      <c r="S988">
        <f t="shared" si="1022"/>
        <v>34.493557983721871</v>
      </c>
      <c r="T988">
        <f t="shared" si="1023"/>
        <v>3.4493557983721869E-2</v>
      </c>
    </row>
    <row r="989" spans="1:20" x14ac:dyDescent="0.25">
      <c r="A989" s="5">
        <v>43604</v>
      </c>
      <c r="B989">
        <v>0.93600000000000005</v>
      </c>
      <c r="C989">
        <v>1.05</v>
      </c>
      <c r="D989">
        <v>0.92789999999999995</v>
      </c>
      <c r="E989">
        <v>0.99339999999999995</v>
      </c>
      <c r="F989">
        <v>4785605.62</v>
      </c>
      <c r="G989">
        <v>0</v>
      </c>
      <c r="L989" t="s">
        <v>8</v>
      </c>
      <c r="M989" t="s">
        <v>8</v>
      </c>
      <c r="N989" t="s">
        <v>8</v>
      </c>
      <c r="P989">
        <f t="shared" si="1019"/>
        <v>7.2891072891072078E-2</v>
      </c>
      <c r="Q989">
        <f t="shared" si="1020"/>
        <v>348827.92807534419</v>
      </c>
      <c r="R989">
        <f t="shared" si="1021"/>
        <v>1287996.6181691419</v>
      </c>
      <c r="S989">
        <f t="shared" si="1022"/>
        <v>12.879966181691419</v>
      </c>
      <c r="T989">
        <f t="shared" si="1023"/>
        <v>1.2879966181691418E-2</v>
      </c>
    </row>
    <row r="990" spans="1:20" x14ac:dyDescent="0.25">
      <c r="A990" s="5">
        <v>43603</v>
      </c>
      <c r="B990">
        <v>0.89500000000000002</v>
      </c>
      <c r="C990">
        <v>0.95920000000000005</v>
      </c>
      <c r="D990">
        <v>0.84570000000000001</v>
      </c>
      <c r="E990">
        <v>0.93589999999999995</v>
      </c>
      <c r="F990">
        <v>2389369.04</v>
      </c>
      <c r="G990">
        <v>0</v>
      </c>
      <c r="L990" t="s">
        <v>7</v>
      </c>
      <c r="M990" t="s">
        <v>8</v>
      </c>
      <c r="N990" t="s">
        <v>8</v>
      </c>
      <c r="P990">
        <f t="shared" si="1019"/>
        <v>0.58942731277532878</v>
      </c>
      <c r="Q990">
        <f t="shared" si="1020"/>
        <v>1408359.372475767</v>
      </c>
      <c r="R990">
        <f t="shared" si="1021"/>
        <v>939168.69009379775</v>
      </c>
      <c r="S990">
        <f t="shared" si="1022"/>
        <v>9.3916869009379766</v>
      </c>
      <c r="T990">
        <f t="shared" si="1023"/>
        <v>9.3916869009379768E-3</v>
      </c>
    </row>
    <row r="991" spans="1:20" x14ac:dyDescent="0.25">
      <c r="A991" s="5">
        <v>43602</v>
      </c>
      <c r="B991">
        <v>0.9264</v>
      </c>
      <c r="C991">
        <v>0.9869</v>
      </c>
      <c r="D991">
        <v>0.81</v>
      </c>
      <c r="E991">
        <v>0.8911</v>
      </c>
      <c r="F991">
        <v>5725645.6900000004</v>
      </c>
      <c r="G991">
        <v>0</v>
      </c>
      <c r="L991" t="s">
        <v>8</v>
      </c>
      <c r="M991" t="s">
        <v>8</v>
      </c>
      <c r="N991" t="s">
        <v>8</v>
      </c>
      <c r="P991">
        <f t="shared" si="1019"/>
        <v>-8.3097795364613064E-2</v>
      </c>
      <c r="Q991">
        <f t="shared" si="1020"/>
        <v>-475788.53387789882</v>
      </c>
      <c r="R991">
        <f t="shared" si="1021"/>
        <v>-469190.68238196929</v>
      </c>
      <c r="S991">
        <f t="shared" si="1022"/>
        <v>-4.6919068238196928</v>
      </c>
      <c r="T991">
        <f t="shared" si="1023"/>
        <v>-4.691906823819693E-3</v>
      </c>
    </row>
    <row r="992" spans="1:20" x14ac:dyDescent="0.25">
      <c r="A992" s="5">
        <v>43601</v>
      </c>
      <c r="B992">
        <v>0.8427</v>
      </c>
      <c r="C992">
        <v>0.93889999999999996</v>
      </c>
      <c r="D992">
        <v>0.75509999999999999</v>
      </c>
      <c r="E992">
        <v>0.92800000000000005</v>
      </c>
      <c r="F992">
        <v>4555532.1900000004</v>
      </c>
      <c r="G992">
        <v>0</v>
      </c>
      <c r="L992" t="s">
        <v>7</v>
      </c>
      <c r="M992" t="s">
        <v>8</v>
      </c>
      <c r="N992" t="s">
        <v>8</v>
      </c>
      <c r="P992">
        <f t="shared" si="1019"/>
        <v>0.8813928182807409</v>
      </c>
      <c r="Q992">
        <f t="shared" si="1020"/>
        <v>4015213.355712736</v>
      </c>
      <c r="R992">
        <f t="shared" si="1021"/>
        <v>6597.851495929528</v>
      </c>
      <c r="S992">
        <f t="shared" si="1022"/>
        <v>6.5978514959295284E-2</v>
      </c>
      <c r="T992">
        <f t="shared" si="1023"/>
        <v>6.5978514959295282E-5</v>
      </c>
    </row>
    <row r="993" spans="1:20" x14ac:dyDescent="0.25">
      <c r="A993" s="5">
        <v>43600</v>
      </c>
      <c r="B993">
        <v>0.82509999999999994</v>
      </c>
      <c r="C993">
        <v>0.88900000000000001</v>
      </c>
      <c r="D993">
        <v>0.7772</v>
      </c>
      <c r="E993">
        <v>0.8427</v>
      </c>
      <c r="F993">
        <v>3798325.64</v>
      </c>
      <c r="G993">
        <v>0</v>
      </c>
      <c r="L993" t="s">
        <v>7</v>
      </c>
      <c r="M993" t="s">
        <v>7</v>
      </c>
      <c r="N993" t="s">
        <v>8</v>
      </c>
      <c r="P993">
        <f t="shared" si="1019"/>
        <v>0.17173524150268329</v>
      </c>
      <c r="Q993">
        <f t="shared" si="1020"/>
        <v>652306.37109123415</v>
      </c>
      <c r="R993">
        <f t="shared" si="1021"/>
        <v>-4008615.5042168065</v>
      </c>
      <c r="S993">
        <f t="shared" si="1022"/>
        <v>-40.086155042168066</v>
      </c>
      <c r="T993">
        <f t="shared" si="1023"/>
        <v>-4.0086155042168066E-2</v>
      </c>
    </row>
    <row r="994" spans="1:20" x14ac:dyDescent="0.25">
      <c r="A994" s="5">
        <v>43599</v>
      </c>
      <c r="B994">
        <v>0.64739999999999998</v>
      </c>
      <c r="C994">
        <v>0.95650000000000002</v>
      </c>
      <c r="D994">
        <v>0.63319999999999999</v>
      </c>
      <c r="E994">
        <v>0.82799999999999996</v>
      </c>
      <c r="F994">
        <v>7911014.0700000003</v>
      </c>
      <c r="G994">
        <v>0</v>
      </c>
      <c r="L994" t="s">
        <v>8</v>
      </c>
      <c r="M994" t="s">
        <v>8</v>
      </c>
      <c r="N994" t="s">
        <v>8</v>
      </c>
      <c r="P994">
        <f t="shared" si="1019"/>
        <v>0.20507268790596941</v>
      </c>
      <c r="Q994">
        <f t="shared" si="1020"/>
        <v>1622332.9193968428</v>
      </c>
      <c r="R994">
        <f t="shared" si="1021"/>
        <v>-4660921.8753080405</v>
      </c>
      <c r="S994">
        <f t="shared" si="1022"/>
        <v>-46.609218753080405</v>
      </c>
      <c r="T994">
        <f t="shared" si="1023"/>
        <v>-4.6609218753080404E-2</v>
      </c>
    </row>
    <row r="995" spans="1:20" x14ac:dyDescent="0.25">
      <c r="A995" s="5">
        <v>43598</v>
      </c>
      <c r="B995">
        <v>0.66069999999999995</v>
      </c>
      <c r="C995">
        <v>0.68720000000000003</v>
      </c>
      <c r="D995">
        <v>0.63360000000000005</v>
      </c>
      <c r="E995">
        <v>0.64739999999999998</v>
      </c>
      <c r="F995">
        <v>1281864.7</v>
      </c>
      <c r="G995">
        <v>0</v>
      </c>
      <c r="L995" t="s">
        <v>8</v>
      </c>
      <c r="M995" t="s">
        <v>7</v>
      </c>
      <c r="N995" t="s">
        <v>8</v>
      </c>
      <c r="P995">
        <f t="shared" si="1019"/>
        <v>-0.48507462686567432</v>
      </c>
      <c r="Q995">
        <f t="shared" si="1020"/>
        <v>-621800.04104477947</v>
      </c>
      <c r="R995">
        <f t="shared" si="1021"/>
        <v>-6283254.7947048834</v>
      </c>
      <c r="S995">
        <f t="shared" si="1022"/>
        <v>-62.83254794704883</v>
      </c>
      <c r="T995">
        <f t="shared" si="1023"/>
        <v>-6.2832547947048831E-2</v>
      </c>
    </row>
    <row r="996" spans="1:20" x14ac:dyDescent="0.25">
      <c r="A996" s="5">
        <v>43597</v>
      </c>
      <c r="B996">
        <v>0.67900000000000005</v>
      </c>
      <c r="C996">
        <v>0.69989999999999997</v>
      </c>
      <c r="D996">
        <v>0.62849999999999995</v>
      </c>
      <c r="E996">
        <v>0.65859999999999996</v>
      </c>
      <c r="F996">
        <v>1760800.08</v>
      </c>
      <c r="G996">
        <v>0</v>
      </c>
      <c r="L996" t="s">
        <v>7</v>
      </c>
      <c r="M996" t="s">
        <v>7</v>
      </c>
      <c r="N996" t="s">
        <v>8</v>
      </c>
      <c r="P996">
        <f t="shared" si="1019"/>
        <v>-0.15686274509803899</v>
      </c>
      <c r="Q996">
        <f t="shared" si="1020"/>
        <v>-276203.93411764666</v>
      </c>
      <c r="R996">
        <f t="shared" si="1021"/>
        <v>-5661454.7536601042</v>
      </c>
      <c r="S996">
        <f t="shared" si="1022"/>
        <v>-56.614547536601044</v>
      </c>
      <c r="T996">
        <f t="shared" si="1023"/>
        <v>-5.6614547536601043E-2</v>
      </c>
    </row>
    <row r="997" spans="1:20" x14ac:dyDescent="0.25">
      <c r="A997" s="5">
        <v>43596</v>
      </c>
      <c r="B997">
        <v>0.67310000000000003</v>
      </c>
      <c r="C997">
        <v>0.74839999999999995</v>
      </c>
      <c r="D997">
        <v>0.65169999999999995</v>
      </c>
      <c r="E997">
        <v>0.67520000000000002</v>
      </c>
      <c r="F997">
        <v>3014329.89</v>
      </c>
      <c r="G997">
        <v>0</v>
      </c>
      <c r="L997" t="s">
        <v>8</v>
      </c>
      <c r="M997" t="s">
        <v>8</v>
      </c>
      <c r="N997" t="s">
        <v>8</v>
      </c>
      <c r="P997">
        <f t="shared" si="1019"/>
        <v>-0.51396070320578957</v>
      </c>
      <c r="Q997">
        <f t="shared" si="1020"/>
        <v>-1549247.1099586303</v>
      </c>
      <c r="R997">
        <f t="shared" si="1021"/>
        <v>-5385250.8195424573</v>
      </c>
      <c r="S997">
        <f t="shared" si="1022"/>
        <v>-53.852508195424576</v>
      </c>
      <c r="T997">
        <f t="shared" si="1023"/>
        <v>-5.385250819542458E-2</v>
      </c>
    </row>
    <row r="998" spans="1:20" x14ac:dyDescent="0.25">
      <c r="A998" s="5">
        <v>43595</v>
      </c>
      <c r="B998">
        <v>0.64019999999999999</v>
      </c>
      <c r="C998">
        <v>0.72330000000000005</v>
      </c>
      <c r="D998">
        <v>0.63739999999999997</v>
      </c>
      <c r="E998">
        <v>0.67030000000000001</v>
      </c>
      <c r="F998">
        <v>2987660.69</v>
      </c>
      <c r="G998">
        <v>0</v>
      </c>
      <c r="L998" t="s">
        <v>8</v>
      </c>
      <c r="M998" t="s">
        <v>8</v>
      </c>
      <c r="N998" t="s">
        <v>8</v>
      </c>
      <c r="P998">
        <f t="shared" si="1019"/>
        <v>-0.23399301513387644</v>
      </c>
      <c r="Q998">
        <f t="shared" si="1020"/>
        <v>-699091.73305005766</v>
      </c>
      <c r="R998">
        <f t="shared" si="1021"/>
        <v>-3836003.7095838268</v>
      </c>
      <c r="S998">
        <f t="shared" si="1022"/>
        <v>-38.360037095838265</v>
      </c>
      <c r="T998">
        <f t="shared" si="1023"/>
        <v>-3.8360037095838267E-2</v>
      </c>
    </row>
    <row r="999" spans="1:20" x14ac:dyDescent="0.25">
      <c r="A999" s="5">
        <v>43594</v>
      </c>
      <c r="B999">
        <v>0.59399999999999997</v>
      </c>
      <c r="C999">
        <v>0.70399999999999996</v>
      </c>
      <c r="D999">
        <v>0.58730000000000004</v>
      </c>
      <c r="E999">
        <v>0.64029999999999998</v>
      </c>
      <c r="F999">
        <v>3548028.13</v>
      </c>
      <c r="G999">
        <v>0</v>
      </c>
      <c r="L999" t="s">
        <v>8</v>
      </c>
      <c r="M999" t="s">
        <v>8</v>
      </c>
      <c r="N999" t="s">
        <v>8</v>
      </c>
      <c r="P999">
        <f t="shared" si="1019"/>
        <v>-9.1688089117395469E-2</v>
      </c>
      <c r="Q999">
        <f t="shared" si="1020"/>
        <v>-325311.919374466</v>
      </c>
      <c r="R999">
        <f t="shared" si="1021"/>
        <v>-3136911.9765337692</v>
      </c>
      <c r="S999">
        <f t="shared" si="1022"/>
        <v>-31.369119765337693</v>
      </c>
      <c r="T999">
        <f t="shared" si="1023"/>
        <v>-3.136911976533769E-2</v>
      </c>
    </row>
    <row r="1000" spans="1:20" x14ac:dyDescent="0.25">
      <c r="A1000" s="5">
        <v>43593</v>
      </c>
      <c r="B1000">
        <v>0.54330000000000001</v>
      </c>
      <c r="C1000">
        <v>0.61570000000000003</v>
      </c>
      <c r="D1000">
        <v>0.5212</v>
      </c>
      <c r="E1000">
        <v>0.59399999999999997</v>
      </c>
      <c r="F1000">
        <v>1255624.9099999999</v>
      </c>
      <c r="G1000">
        <v>0</v>
      </c>
      <c r="L1000" t="s">
        <v>7</v>
      </c>
      <c r="M1000" t="s">
        <v>7</v>
      </c>
      <c r="N1000" t="s">
        <v>8</v>
      </c>
      <c r="P1000">
        <f t="shared" si="1019"/>
        <v>0.54074074074073974</v>
      </c>
      <c r="Q1000">
        <f t="shared" si="1020"/>
        <v>678967.54392592458</v>
      </c>
      <c r="R1000">
        <f t="shared" si="1021"/>
        <v>-2811600.0571593032</v>
      </c>
      <c r="S1000">
        <f t="shared" si="1022"/>
        <v>-28.116000571593034</v>
      </c>
      <c r="T1000">
        <f t="shared" si="1023"/>
        <v>-2.8116000571593035E-2</v>
      </c>
    </row>
    <row r="1001" spans="1:20" x14ac:dyDescent="0.25">
      <c r="A1001" s="5">
        <v>43592</v>
      </c>
      <c r="B1001">
        <v>0.57979999999999998</v>
      </c>
      <c r="C1001">
        <v>0.61860000000000004</v>
      </c>
      <c r="D1001">
        <v>0.54090000000000005</v>
      </c>
      <c r="E1001">
        <v>0.54349999999999998</v>
      </c>
      <c r="F1001">
        <v>2267674.2999999998</v>
      </c>
      <c r="G1001">
        <v>0</v>
      </c>
      <c r="L1001" t="s">
        <v>8</v>
      </c>
      <c r="M1001" t="s">
        <v>8</v>
      </c>
      <c r="N1001" t="s">
        <v>8</v>
      </c>
      <c r="P1001">
        <f t="shared" si="1019"/>
        <v>-0.93307593307593473</v>
      </c>
      <c r="Q1001">
        <f t="shared" si="1020"/>
        <v>-2115912.313384817</v>
      </c>
      <c r="R1001">
        <f t="shared" si="1021"/>
        <v>-3490567.6010852279</v>
      </c>
      <c r="S1001">
        <f t="shared" si="1022"/>
        <v>-34.905676010852282</v>
      </c>
      <c r="T1001">
        <f t="shared" si="1023"/>
        <v>-3.4905676010852281E-2</v>
      </c>
    </row>
    <row r="1002" spans="1:20" x14ac:dyDescent="0.25">
      <c r="A1002" s="5">
        <v>43591</v>
      </c>
      <c r="B1002">
        <v>0.50580000000000003</v>
      </c>
      <c r="C1002">
        <v>0.58819999999999995</v>
      </c>
      <c r="D1002">
        <v>0.49009999999999998</v>
      </c>
      <c r="E1002">
        <v>0.57450000000000001</v>
      </c>
      <c r="F1002">
        <v>1593771.02</v>
      </c>
      <c r="G1002">
        <v>0</v>
      </c>
      <c r="L1002" t="s">
        <v>8</v>
      </c>
      <c r="M1002" t="s">
        <v>8</v>
      </c>
      <c r="N1002" t="s">
        <v>8</v>
      </c>
      <c r="P1002">
        <f t="shared" si="1019"/>
        <v>0.72069317023445589</v>
      </c>
      <c r="Q1002">
        <f t="shared" si="1020"/>
        <v>1148619.8890316025</v>
      </c>
      <c r="R1002">
        <f t="shared" si="1021"/>
        <v>-1374655.2877004109</v>
      </c>
      <c r="S1002">
        <f t="shared" si="1022"/>
        <v>-13.74655287700411</v>
      </c>
      <c r="T1002">
        <f t="shared" si="1023"/>
        <v>-1.374655287700411E-2</v>
      </c>
    </row>
    <row r="1003" spans="1:20" x14ac:dyDescent="0.25">
      <c r="A1003" s="5">
        <v>43590</v>
      </c>
      <c r="B1003">
        <v>0.49640000000000001</v>
      </c>
      <c r="C1003">
        <v>0.52380000000000004</v>
      </c>
      <c r="D1003">
        <v>0.49020000000000002</v>
      </c>
      <c r="E1003">
        <v>0.50580000000000003</v>
      </c>
      <c r="F1003">
        <v>641774.31999999995</v>
      </c>
      <c r="G1003">
        <v>0</v>
      </c>
      <c r="L1003" t="s">
        <v>8</v>
      </c>
      <c r="M1003" t="s">
        <v>8</v>
      </c>
      <c r="N1003" t="s">
        <v>7</v>
      </c>
      <c r="P1003">
        <f t="shared" si="1019"/>
        <v>-7.1428571428571785E-2</v>
      </c>
      <c r="Q1003">
        <f t="shared" si="1020"/>
        <v>-45841.022857143085</v>
      </c>
      <c r="R1003">
        <f t="shared" si="1021"/>
        <v>-2523275.1767320135</v>
      </c>
      <c r="S1003">
        <f t="shared" si="1022"/>
        <v>-25.232751767320135</v>
      </c>
      <c r="T1003">
        <f t="shared" si="1023"/>
        <v>-2.5232751767320136E-2</v>
      </c>
    </row>
    <row r="1004" spans="1:20" x14ac:dyDescent="0.25">
      <c r="A1004" s="5">
        <v>43589</v>
      </c>
      <c r="B1004">
        <v>0.51180000000000003</v>
      </c>
      <c r="C1004">
        <v>0.5151</v>
      </c>
      <c r="D1004">
        <v>0.4783</v>
      </c>
      <c r="E1004">
        <v>0.49640000000000001</v>
      </c>
      <c r="F1004">
        <v>640984.06000000006</v>
      </c>
      <c r="G1004">
        <v>0</v>
      </c>
      <c r="L1004" t="s">
        <v>7</v>
      </c>
      <c r="M1004" t="s">
        <v>8</v>
      </c>
      <c r="N1004" t="s">
        <v>7</v>
      </c>
      <c r="P1004">
        <f t="shared" si="1019"/>
        <v>-1.6304347826086668E-2</v>
      </c>
      <c r="Q1004">
        <f t="shared" si="1020"/>
        <v>-10450.827065217207</v>
      </c>
      <c r="R1004">
        <f t="shared" si="1021"/>
        <v>-2477434.1538748704</v>
      </c>
      <c r="S1004">
        <f t="shared" si="1022"/>
        <v>-24.774341538748704</v>
      </c>
      <c r="T1004">
        <f t="shared" si="1023"/>
        <v>-2.4774341538748704E-2</v>
      </c>
    </row>
    <row r="1005" spans="1:20" x14ac:dyDescent="0.25">
      <c r="A1005" s="5">
        <v>43588</v>
      </c>
      <c r="B1005">
        <v>0.46429999999999999</v>
      </c>
      <c r="C1005">
        <v>0.52229999999999999</v>
      </c>
      <c r="D1005">
        <v>0.4607</v>
      </c>
      <c r="E1005">
        <v>0.51100000000000001</v>
      </c>
      <c r="F1005">
        <v>1017233.78</v>
      </c>
      <c r="G1005">
        <v>0</v>
      </c>
      <c r="L1005" t="s">
        <v>8</v>
      </c>
      <c r="M1005" t="s">
        <v>8</v>
      </c>
      <c r="N1005" t="s">
        <v>7</v>
      </c>
      <c r="P1005">
        <f t="shared" si="1019"/>
        <v>0.63311688311688386</v>
      </c>
      <c r="Q1005">
        <f t="shared" si="1020"/>
        <v>644027.88019480591</v>
      </c>
      <c r="R1005">
        <f t="shared" si="1021"/>
        <v>-2466983.3268096531</v>
      </c>
      <c r="S1005">
        <f t="shared" si="1022"/>
        <v>-24.669833268096532</v>
      </c>
      <c r="T1005">
        <f t="shared" si="1023"/>
        <v>-2.4669833268096533E-2</v>
      </c>
    </row>
    <row r="1006" spans="1:20" x14ac:dyDescent="0.25">
      <c r="A1006" s="5">
        <v>43587</v>
      </c>
      <c r="B1006">
        <v>0.47449999999999998</v>
      </c>
      <c r="C1006">
        <v>0.47570000000000001</v>
      </c>
      <c r="D1006">
        <v>0.46</v>
      </c>
      <c r="E1006">
        <v>0.46300000000000002</v>
      </c>
      <c r="F1006">
        <v>228270.4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-0.61783439490445802</v>
      </c>
      <c r="Q1006">
        <f t="shared" si="1020"/>
        <v>-141033.30445859858</v>
      </c>
      <c r="R1006">
        <f t="shared" si="1021"/>
        <v>-3111011.2070044591</v>
      </c>
      <c r="S1006">
        <f t="shared" si="1022"/>
        <v>-31.11011207004459</v>
      </c>
      <c r="T1006">
        <f t="shared" si="1023"/>
        <v>-3.111011207004459E-2</v>
      </c>
    </row>
    <row r="1007" spans="1:20" x14ac:dyDescent="0.25">
      <c r="A1007" s="5">
        <v>43586</v>
      </c>
      <c r="B1007">
        <v>0.47499999999999998</v>
      </c>
      <c r="C1007">
        <v>0.48759999999999998</v>
      </c>
      <c r="D1007">
        <v>0.46379999999999999</v>
      </c>
      <c r="E1007">
        <v>0.47299999999999998</v>
      </c>
      <c r="F1007">
        <v>397476.93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-0.22689075630252178</v>
      </c>
      <c r="Q1007">
        <f t="shared" si="1020"/>
        <v>-90183.841260504501</v>
      </c>
      <c r="R1007">
        <f t="shared" si="1021"/>
        <v>-2969977.9025458605</v>
      </c>
      <c r="S1007">
        <f t="shared" si="1022"/>
        <v>-29.699779025458604</v>
      </c>
      <c r="T1007">
        <f t="shared" si="1023"/>
        <v>-2.9699779025458603E-2</v>
      </c>
    </row>
    <row r="1008" spans="1:20" x14ac:dyDescent="0.25">
      <c r="A1008" s="5">
        <v>43585</v>
      </c>
      <c r="B1008">
        <v>0.43340000000000001</v>
      </c>
      <c r="C1008">
        <v>0.47710000000000002</v>
      </c>
      <c r="D1008">
        <v>0.432</v>
      </c>
      <c r="E1008">
        <v>0.47270000000000001</v>
      </c>
      <c r="F1008">
        <v>610148.80000000005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0.8048780487804873</v>
      </c>
      <c r="Q1008">
        <f t="shared" si="1020"/>
        <v>491095.37560975581</v>
      </c>
      <c r="R1008">
        <f t="shared" si="1021"/>
        <v>-2879794.0612853561</v>
      </c>
      <c r="S1008">
        <f t="shared" si="1022"/>
        <v>-28.797940612853562</v>
      </c>
      <c r="T1008">
        <f t="shared" si="1023"/>
        <v>-2.8797940612853561E-2</v>
      </c>
    </row>
    <row r="1009" spans="1:20" x14ac:dyDescent="0.25">
      <c r="A1009" s="5">
        <v>43584</v>
      </c>
      <c r="B1009">
        <v>0.45100000000000001</v>
      </c>
      <c r="C1009">
        <v>0.4546</v>
      </c>
      <c r="D1009">
        <v>0.42399999999999999</v>
      </c>
      <c r="E1009">
        <v>0.43380000000000002</v>
      </c>
      <c r="F1009">
        <v>394944.33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-0.35947712418300487</v>
      </c>
      <c r="Q1009">
        <f t="shared" si="1020"/>
        <v>-141973.45196078366</v>
      </c>
      <c r="R1009">
        <f t="shared" si="1021"/>
        <v>-3370889.436895112</v>
      </c>
      <c r="S1009">
        <f t="shared" si="1022"/>
        <v>-33.708894368951121</v>
      </c>
      <c r="T1009">
        <f t="shared" si="1023"/>
        <v>-3.3708894368951123E-2</v>
      </c>
    </row>
    <row r="1010" spans="1:20" x14ac:dyDescent="0.25">
      <c r="A1010" s="5">
        <v>43583</v>
      </c>
      <c r="B1010">
        <v>0.44479999999999997</v>
      </c>
      <c r="C1010">
        <v>0.46</v>
      </c>
      <c r="D1010">
        <v>0.44030000000000002</v>
      </c>
      <c r="E1010">
        <v>0.45100000000000001</v>
      </c>
      <c r="F1010">
        <v>429353.92</v>
      </c>
      <c r="G1010">
        <v>0</v>
      </c>
      <c r="L1010" t="s">
        <v>8</v>
      </c>
      <c r="M1010" t="s">
        <v>7</v>
      </c>
      <c r="N1010" t="s">
        <v>8</v>
      </c>
      <c r="P1010">
        <f t="shared" si="1019"/>
        <v>8.629441624365379E-2</v>
      </c>
      <c r="Q1010">
        <f t="shared" si="1020"/>
        <v>37050.845888324431</v>
      </c>
      <c r="R1010">
        <f t="shared" si="1021"/>
        <v>-3228915.9849343286</v>
      </c>
      <c r="S1010">
        <f t="shared" si="1022"/>
        <v>-32.289159849343285</v>
      </c>
      <c r="T1010">
        <f t="shared" si="1023"/>
        <v>-3.2289159849343288E-2</v>
      </c>
    </row>
    <row r="1011" spans="1:20" x14ac:dyDescent="0.25">
      <c r="A1011" s="5">
        <v>43582</v>
      </c>
      <c r="B1011">
        <v>0.44369999999999998</v>
      </c>
      <c r="C1011">
        <v>0.4698</v>
      </c>
      <c r="D1011">
        <v>0.43569999999999998</v>
      </c>
      <c r="E1011">
        <v>0.443</v>
      </c>
      <c r="F1011">
        <v>330467.67</v>
      </c>
      <c r="G1011">
        <v>0</v>
      </c>
      <c r="L1011" t="s">
        <v>8</v>
      </c>
      <c r="M1011" t="s">
        <v>7</v>
      </c>
      <c r="N1011" t="s">
        <v>8</v>
      </c>
      <c r="P1011">
        <f t="shared" si="1019"/>
        <v>-0.5718475073313769</v>
      </c>
      <c r="Q1011">
        <f t="shared" si="1020"/>
        <v>-188977.11334310804</v>
      </c>
      <c r="R1011">
        <f t="shared" si="1021"/>
        <v>-3265966.8308226531</v>
      </c>
      <c r="S1011">
        <f t="shared" si="1022"/>
        <v>-32.659668308226529</v>
      </c>
      <c r="T1011">
        <f t="shared" si="1023"/>
        <v>-3.265966830822653E-2</v>
      </c>
    </row>
    <row r="1012" spans="1:20" x14ac:dyDescent="0.25">
      <c r="A1012" s="5">
        <v>43581</v>
      </c>
      <c r="B1012">
        <v>0.44990000000000002</v>
      </c>
      <c r="C1012">
        <v>0.46989999999999998</v>
      </c>
      <c r="D1012">
        <v>0.4264</v>
      </c>
      <c r="E1012">
        <v>0.44159999999999999</v>
      </c>
      <c r="F1012">
        <v>881943.93</v>
      </c>
      <c r="G1012">
        <v>0</v>
      </c>
      <c r="L1012" t="s">
        <v>7</v>
      </c>
      <c r="M1012" t="s">
        <v>7</v>
      </c>
      <c r="N1012" t="s">
        <v>8</v>
      </c>
      <c r="P1012">
        <f t="shared" si="1019"/>
        <v>-0.30114942528735644</v>
      </c>
      <c r="Q1012">
        <f t="shared" si="1020"/>
        <v>-265596.90765517252</v>
      </c>
      <c r="R1012">
        <f t="shared" si="1021"/>
        <v>-3076989.7174795452</v>
      </c>
      <c r="S1012">
        <f t="shared" si="1022"/>
        <v>-30.769897174795453</v>
      </c>
      <c r="T1012">
        <f t="shared" si="1023"/>
        <v>-3.0769897174795453E-2</v>
      </c>
    </row>
    <row r="1013" spans="1:20" x14ac:dyDescent="0.25">
      <c r="A1013" s="5">
        <v>43580</v>
      </c>
      <c r="B1013">
        <v>0.47449999999999998</v>
      </c>
      <c r="C1013">
        <v>0.49969999999999998</v>
      </c>
      <c r="D1013">
        <v>0.435</v>
      </c>
      <c r="E1013">
        <v>0.45029999999999998</v>
      </c>
      <c r="F1013">
        <v>1289948.57</v>
      </c>
      <c r="G1013">
        <v>0</v>
      </c>
      <c r="L1013" t="s">
        <v>7</v>
      </c>
      <c r="M1013" t="s">
        <v>7</v>
      </c>
      <c r="N1013" t="s">
        <v>8</v>
      </c>
      <c r="P1013">
        <f t="shared" si="1019"/>
        <v>-0.52704791344667745</v>
      </c>
      <c r="Q1013">
        <f t="shared" si="1020"/>
        <v>-679864.7022720254</v>
      </c>
      <c r="R1013">
        <f t="shared" si="1021"/>
        <v>-2811392.8098243726</v>
      </c>
      <c r="S1013">
        <f t="shared" si="1022"/>
        <v>-28.113928098243726</v>
      </c>
      <c r="T1013">
        <f t="shared" si="1023"/>
        <v>-2.8113928098243725E-2</v>
      </c>
    </row>
    <row r="1014" spans="1:20" x14ac:dyDescent="0.25">
      <c r="A1014" s="5">
        <v>43579</v>
      </c>
      <c r="B1014">
        <v>0.47560000000000002</v>
      </c>
      <c r="C1014">
        <v>0.48</v>
      </c>
      <c r="D1014">
        <v>0.44</v>
      </c>
      <c r="E1014">
        <v>0.47499999999999998</v>
      </c>
      <c r="F1014">
        <v>1341167.6499999999</v>
      </c>
      <c r="G1014">
        <v>0</v>
      </c>
      <c r="L1014" t="s">
        <v>7</v>
      </c>
      <c r="M1014" t="s">
        <v>7</v>
      </c>
      <c r="N1014" t="s">
        <v>8</v>
      </c>
      <c r="P1014">
        <f t="shared" si="1019"/>
        <v>0.74999999999999967</v>
      </c>
      <c r="Q1014">
        <f t="shared" si="1020"/>
        <v>1005875.7374999995</v>
      </c>
      <c r="R1014">
        <f t="shared" si="1021"/>
        <v>-2131528.1075523472</v>
      </c>
      <c r="S1014">
        <f t="shared" si="1022"/>
        <v>-21.315281075523473</v>
      </c>
      <c r="T1014">
        <f t="shared" si="1023"/>
        <v>-2.1315281075523471E-2</v>
      </c>
    </row>
    <row r="1015" spans="1:20" x14ac:dyDescent="0.25">
      <c r="A1015" s="5">
        <v>43578</v>
      </c>
      <c r="B1015">
        <v>0.49199999999999999</v>
      </c>
      <c r="C1015">
        <v>0.504</v>
      </c>
      <c r="D1015">
        <v>0.47560000000000002</v>
      </c>
      <c r="E1015">
        <v>0.47560000000000002</v>
      </c>
      <c r="F1015">
        <v>798688.99</v>
      </c>
      <c r="G1015">
        <v>0</v>
      </c>
      <c r="L1015" t="s">
        <v>7</v>
      </c>
      <c r="M1015" t="s">
        <v>8</v>
      </c>
      <c r="N1015" t="s">
        <v>8</v>
      </c>
      <c r="P1015">
        <f t="shared" si="1019"/>
        <v>-1</v>
      </c>
      <c r="Q1015">
        <f t="shared" si="1020"/>
        <v>-798688.99</v>
      </c>
      <c r="R1015">
        <f t="shared" si="1021"/>
        <v>-3137403.8450523466</v>
      </c>
      <c r="S1015">
        <f t="shared" si="1022"/>
        <v>-31.374038450523464</v>
      </c>
      <c r="T1015">
        <f t="shared" si="1023"/>
        <v>-3.1374038450523466E-2</v>
      </c>
    </row>
    <row r="1016" spans="1:20" x14ac:dyDescent="0.25">
      <c r="A1016" s="5">
        <v>43577</v>
      </c>
      <c r="B1016">
        <v>0.49630000000000002</v>
      </c>
      <c r="C1016">
        <v>0.51700000000000002</v>
      </c>
      <c r="D1016">
        <v>0.48370000000000002</v>
      </c>
      <c r="E1016">
        <v>0.49569999999999997</v>
      </c>
      <c r="F1016">
        <v>669329.69999999995</v>
      </c>
      <c r="G1016">
        <v>0</v>
      </c>
      <c r="L1016" t="s">
        <v>8</v>
      </c>
      <c r="M1016" t="s">
        <v>8</v>
      </c>
      <c r="N1016" t="s">
        <v>8</v>
      </c>
      <c r="P1016">
        <f t="shared" si="1019"/>
        <v>-0.27927927927928187</v>
      </c>
      <c r="Q1016">
        <f t="shared" si="1020"/>
        <v>-186929.91621621794</v>
      </c>
      <c r="R1016">
        <f t="shared" si="1021"/>
        <v>-2338714.8550523468</v>
      </c>
      <c r="S1016">
        <f t="shared" si="1022"/>
        <v>-23.387148550523467</v>
      </c>
      <c r="T1016">
        <f t="shared" si="1023"/>
        <v>-2.3387148550523467E-2</v>
      </c>
    </row>
    <row r="1017" spans="1:20" x14ac:dyDescent="0.25">
      <c r="A1017" s="5">
        <v>43576</v>
      </c>
      <c r="B1017">
        <v>0.51170000000000004</v>
      </c>
      <c r="C1017">
        <v>0.51390000000000002</v>
      </c>
      <c r="D1017">
        <v>0.47520000000000001</v>
      </c>
      <c r="E1017">
        <v>0.49630000000000002</v>
      </c>
      <c r="F1017">
        <v>755636.95</v>
      </c>
      <c r="G1017">
        <v>0</v>
      </c>
      <c r="L1017" t="s">
        <v>7</v>
      </c>
      <c r="M1017" t="s">
        <v>8</v>
      </c>
      <c r="N1017" t="s">
        <v>8</v>
      </c>
      <c r="P1017">
        <f t="shared" si="1019"/>
        <v>9.0439276485788159E-2</v>
      </c>
      <c r="Q1017">
        <f t="shared" si="1020"/>
        <v>68339.259043927683</v>
      </c>
      <c r="R1017">
        <f t="shared" si="1021"/>
        <v>-2151784.9388361289</v>
      </c>
      <c r="S1017">
        <f t="shared" si="1022"/>
        <v>-21.517849388361288</v>
      </c>
      <c r="T1017">
        <f t="shared" si="1023"/>
        <v>-2.151784938836129E-2</v>
      </c>
    </row>
    <row r="1018" spans="1:20" x14ac:dyDescent="0.25">
      <c r="A1018" s="5">
        <v>43575</v>
      </c>
      <c r="B1018">
        <v>0.51049999999999995</v>
      </c>
      <c r="C1018">
        <v>0.52869999999999995</v>
      </c>
      <c r="D1018">
        <v>0.505</v>
      </c>
      <c r="E1018">
        <v>0.51180000000000003</v>
      </c>
      <c r="F1018">
        <v>547954.68000000005</v>
      </c>
      <c r="G1018">
        <v>0</v>
      </c>
      <c r="L1018" t="s">
        <v>8</v>
      </c>
      <c r="M1018" t="s">
        <v>8</v>
      </c>
      <c r="N1018" t="s">
        <v>8</v>
      </c>
      <c r="P1018">
        <f t="shared" si="1019"/>
        <v>-0.42616033755273885</v>
      </c>
      <c r="Q1018">
        <f t="shared" si="1020"/>
        <v>-233516.55139240302</v>
      </c>
      <c r="R1018">
        <f t="shared" si="1021"/>
        <v>-2220124.1978800567</v>
      </c>
      <c r="S1018">
        <f t="shared" si="1022"/>
        <v>-22.201241978800567</v>
      </c>
      <c r="T1018">
        <f t="shared" si="1023"/>
        <v>-2.2201241978800568E-2</v>
      </c>
    </row>
    <row r="1019" spans="1:20" x14ac:dyDescent="0.25">
      <c r="A1019" s="5">
        <v>43574</v>
      </c>
      <c r="B1019">
        <v>0.51870000000000005</v>
      </c>
      <c r="C1019">
        <v>0.53900000000000003</v>
      </c>
      <c r="D1019">
        <v>0.50829999999999997</v>
      </c>
      <c r="E1019">
        <v>0.50949999999999995</v>
      </c>
      <c r="F1019">
        <v>857084.8</v>
      </c>
      <c r="G1019">
        <v>0</v>
      </c>
      <c r="L1019" t="s">
        <v>8</v>
      </c>
      <c r="M1019" t="s">
        <v>8</v>
      </c>
      <c r="N1019" t="s">
        <v>8</v>
      </c>
      <c r="P1019">
        <f t="shared" si="1019"/>
        <v>-0.92182410423452921</v>
      </c>
      <c r="Q1019">
        <f t="shared" si="1020"/>
        <v>-790081.42801303067</v>
      </c>
      <c r="R1019">
        <f t="shared" si="1021"/>
        <v>-1986607.6464876535</v>
      </c>
      <c r="S1019">
        <f t="shared" si="1022"/>
        <v>-19.866076464876535</v>
      </c>
      <c r="T1019">
        <f t="shared" si="1023"/>
        <v>-1.9866076464876536E-2</v>
      </c>
    </row>
    <row r="1020" spans="1:20" x14ac:dyDescent="0.25">
      <c r="A1020" s="5">
        <v>43573</v>
      </c>
      <c r="B1020">
        <v>0.49919999999999998</v>
      </c>
      <c r="C1020">
        <v>0.52259999999999995</v>
      </c>
      <c r="D1020">
        <v>0.49740000000000001</v>
      </c>
      <c r="E1020">
        <v>0.51929999999999998</v>
      </c>
      <c r="F1020">
        <v>747995.99</v>
      </c>
      <c r="G1020">
        <v>0</v>
      </c>
      <c r="L1020" t="s">
        <v>8</v>
      </c>
      <c r="M1020" t="s">
        <v>8</v>
      </c>
      <c r="N1020" t="s">
        <v>8</v>
      </c>
      <c r="P1020">
        <f t="shared" si="1019"/>
        <v>0.73809523809523991</v>
      </c>
      <c r="Q1020">
        <f t="shared" si="1020"/>
        <v>552092.27833333472</v>
      </c>
      <c r="R1020">
        <f t="shared" si="1021"/>
        <v>-1196526.2184746228</v>
      </c>
      <c r="S1020">
        <f t="shared" si="1022"/>
        <v>-11.965262184746228</v>
      </c>
      <c r="T1020">
        <f t="shared" si="1023"/>
        <v>-1.1965262184746228E-2</v>
      </c>
    </row>
    <row r="1021" spans="1:20" x14ac:dyDescent="0.25">
      <c r="A1021" s="5">
        <v>43572</v>
      </c>
      <c r="B1021">
        <v>0.49980000000000002</v>
      </c>
      <c r="C1021">
        <v>0.50460000000000005</v>
      </c>
      <c r="D1021">
        <v>0.48799999999999999</v>
      </c>
      <c r="E1021">
        <v>0.49980000000000002</v>
      </c>
      <c r="F1021">
        <v>625939.62</v>
      </c>
      <c r="G1021">
        <v>0</v>
      </c>
      <c r="L1021" t="s">
        <v>8</v>
      </c>
      <c r="M1021" t="s">
        <v>8</v>
      </c>
      <c r="N1021" t="s">
        <v>8</v>
      </c>
      <c r="P1021">
        <f t="shared" si="1019"/>
        <v>0.42168674698795067</v>
      </c>
      <c r="Q1021">
        <f t="shared" si="1020"/>
        <v>263950.44216867397</v>
      </c>
      <c r="R1021">
        <f t="shared" si="1021"/>
        <v>-1748618.4968079575</v>
      </c>
      <c r="S1021">
        <f t="shared" si="1022"/>
        <v>-17.486184968079574</v>
      </c>
      <c r="T1021">
        <f t="shared" si="1023"/>
        <v>-1.7486184968079573E-2</v>
      </c>
    </row>
    <row r="1022" spans="1:20" x14ac:dyDescent="0.25">
      <c r="A1022" s="5">
        <v>43571</v>
      </c>
      <c r="B1022">
        <v>0.4884</v>
      </c>
      <c r="C1022">
        <v>0.51759999999999995</v>
      </c>
      <c r="D1022">
        <v>0.48830000000000001</v>
      </c>
      <c r="E1022">
        <v>0.4985</v>
      </c>
      <c r="F1022">
        <v>752244.29</v>
      </c>
      <c r="G1022">
        <v>0</v>
      </c>
      <c r="L1022" t="s">
        <v>8</v>
      </c>
      <c r="M1022" t="s">
        <v>8</v>
      </c>
      <c r="N1022" t="s">
        <v>8</v>
      </c>
      <c r="P1022">
        <f t="shared" si="1019"/>
        <v>-0.30375426621160351</v>
      </c>
      <c r="Q1022">
        <f t="shared" si="1020"/>
        <v>-228497.41232081869</v>
      </c>
      <c r="R1022">
        <f t="shared" si="1021"/>
        <v>-2012568.9389766315</v>
      </c>
      <c r="S1022">
        <f t="shared" si="1022"/>
        <v>-20.125689389766315</v>
      </c>
      <c r="T1022">
        <f t="shared" si="1023"/>
        <v>-2.0125689389766315E-2</v>
      </c>
    </row>
    <row r="1023" spans="1:20" x14ac:dyDescent="0.25">
      <c r="A1023" s="5">
        <v>43570</v>
      </c>
      <c r="B1023">
        <v>0.52590000000000003</v>
      </c>
      <c r="C1023">
        <v>0.52680000000000005</v>
      </c>
      <c r="D1023">
        <v>0.48</v>
      </c>
      <c r="E1023">
        <v>0.48830000000000001</v>
      </c>
      <c r="F1023">
        <v>1617780.69</v>
      </c>
      <c r="G1023">
        <v>0</v>
      </c>
      <c r="L1023" t="s">
        <v>7</v>
      </c>
      <c r="M1023" t="s">
        <v>8</v>
      </c>
      <c r="N1023" t="s">
        <v>8</v>
      </c>
      <c r="P1023">
        <f t="shared" ref="P1023:P1086" si="1024">IF(C1023=D1023,0,((E1023-D1023)-(C1023-E1023))/(C1023-D1023))</f>
        <v>-0.64529914529914456</v>
      </c>
      <c r="Q1023">
        <f t="shared" ref="Q1023:Q1086" si="1025">F1023*P1023</f>
        <v>-1043952.4965384603</v>
      </c>
      <c r="R1023">
        <f t="shared" ref="R1023:R1086" si="1026">R1024+Q1023</f>
        <v>-1784071.5266558127</v>
      </c>
      <c r="S1023">
        <f t="shared" ref="S1023:S1086" si="1027">R1023/100000</f>
        <v>-17.840715266558128</v>
      </c>
      <c r="T1023">
        <f t="shared" ref="T1023:T1086" si="1028">S1023/1000</f>
        <v>-1.7840715266558126E-2</v>
      </c>
    </row>
    <row r="1024" spans="1:20" x14ac:dyDescent="0.25">
      <c r="A1024" s="5">
        <v>43569</v>
      </c>
      <c r="B1024">
        <v>0.53659999999999997</v>
      </c>
      <c r="C1024">
        <v>0.54490000000000005</v>
      </c>
      <c r="D1024">
        <v>0.50729999999999997</v>
      </c>
      <c r="E1024">
        <v>0.52249999999999996</v>
      </c>
      <c r="F1024">
        <v>825009.09</v>
      </c>
      <c r="G1024">
        <v>0</v>
      </c>
      <c r="L1024" t="s">
        <v>8</v>
      </c>
      <c r="M1024" t="s">
        <v>8</v>
      </c>
      <c r="N1024" t="s">
        <v>8</v>
      </c>
      <c r="P1024">
        <f t="shared" si="1024"/>
        <v>-0.1914893617021298</v>
      </c>
      <c r="Q1024">
        <f t="shared" si="1025"/>
        <v>-157980.46404255496</v>
      </c>
      <c r="R1024">
        <f t="shared" si="1026"/>
        <v>-740119.03011735261</v>
      </c>
      <c r="S1024">
        <f t="shared" si="1027"/>
        <v>-7.4011903011735258</v>
      </c>
      <c r="T1024">
        <f t="shared" si="1028"/>
        <v>-7.4011903011735256E-3</v>
      </c>
    </row>
    <row r="1025" spans="1:20" x14ac:dyDescent="0.25">
      <c r="A1025" s="5">
        <v>43568</v>
      </c>
      <c r="B1025">
        <v>0.49320000000000003</v>
      </c>
      <c r="C1025">
        <v>0.53990000000000005</v>
      </c>
      <c r="D1025">
        <v>0.49130000000000001</v>
      </c>
      <c r="E1025">
        <v>0.53580000000000005</v>
      </c>
      <c r="F1025">
        <v>984745.93</v>
      </c>
      <c r="G1025">
        <v>0</v>
      </c>
      <c r="L1025" t="s">
        <v>8</v>
      </c>
      <c r="M1025" t="s">
        <v>8</v>
      </c>
      <c r="N1025" t="s">
        <v>8</v>
      </c>
      <c r="P1025">
        <f t="shared" si="1024"/>
        <v>0.83127572016460949</v>
      </c>
      <c r="Q1025">
        <f t="shared" si="1025"/>
        <v>818595.38213991816</v>
      </c>
      <c r="R1025">
        <f t="shared" si="1026"/>
        <v>-582138.56607479765</v>
      </c>
      <c r="S1025">
        <f t="shared" si="1027"/>
        <v>-5.8213856607479766</v>
      </c>
      <c r="T1025">
        <f t="shared" si="1028"/>
        <v>-5.8213856607479764E-3</v>
      </c>
    </row>
    <row r="1026" spans="1:20" x14ac:dyDescent="0.25">
      <c r="A1026" s="5">
        <v>43567</v>
      </c>
      <c r="B1026">
        <v>0.48209999999999997</v>
      </c>
      <c r="C1026">
        <v>0.51339999999999997</v>
      </c>
      <c r="D1026">
        <v>0.4531</v>
      </c>
      <c r="E1026">
        <v>0.49199999999999999</v>
      </c>
      <c r="F1026">
        <v>1247794.83</v>
      </c>
      <c r="G1026">
        <v>0</v>
      </c>
      <c r="L1026" t="s">
        <v>8</v>
      </c>
      <c r="M1026" t="s">
        <v>7</v>
      </c>
      <c r="N1026" t="s">
        <v>8</v>
      </c>
      <c r="P1026">
        <f t="shared" si="1024"/>
        <v>0.29021558872305181</v>
      </c>
      <c r="Q1026">
        <f t="shared" si="1025"/>
        <v>362129.51119403035</v>
      </c>
      <c r="R1026">
        <f t="shared" si="1026"/>
        <v>-1400733.9482147158</v>
      </c>
      <c r="S1026">
        <f t="shared" si="1027"/>
        <v>-14.007339482147158</v>
      </c>
      <c r="T1026">
        <f t="shared" si="1028"/>
        <v>-1.4007339482147158E-2</v>
      </c>
    </row>
    <row r="1027" spans="1:20" x14ac:dyDescent="0.25">
      <c r="A1027" s="5">
        <v>43566</v>
      </c>
      <c r="B1027">
        <v>0.51980000000000004</v>
      </c>
      <c r="C1027">
        <v>0.52100000000000002</v>
      </c>
      <c r="D1027">
        <v>0.45300000000000001</v>
      </c>
      <c r="E1027">
        <v>0.48209999999999997</v>
      </c>
      <c r="F1027">
        <v>1891750.27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-0.14411764705882479</v>
      </c>
      <c r="Q1027">
        <f t="shared" si="1025"/>
        <v>-272634.59773529653</v>
      </c>
      <c r="R1027">
        <f t="shared" si="1026"/>
        <v>-1762863.4594087461</v>
      </c>
      <c r="S1027">
        <f t="shared" si="1027"/>
        <v>-17.628634594087462</v>
      </c>
      <c r="T1027">
        <f t="shared" si="1028"/>
        <v>-1.762863459408746E-2</v>
      </c>
    </row>
    <row r="1028" spans="1:20" x14ac:dyDescent="0.25">
      <c r="A1028" s="5">
        <v>43565</v>
      </c>
      <c r="B1028">
        <v>0.53</v>
      </c>
      <c r="C1028">
        <v>0.54520000000000002</v>
      </c>
      <c r="D1028">
        <v>0.51</v>
      </c>
      <c r="E1028">
        <v>0.51970000000000005</v>
      </c>
      <c r="F1028">
        <v>1259717.42</v>
      </c>
      <c r="G1028">
        <v>0</v>
      </c>
      <c r="L1028" t="s">
        <v>7</v>
      </c>
      <c r="M1028" t="s">
        <v>8</v>
      </c>
      <c r="N1028" t="s">
        <v>8</v>
      </c>
      <c r="P1028">
        <f t="shared" si="1024"/>
        <v>-0.44886363636363413</v>
      </c>
      <c r="Q1028">
        <f t="shared" si="1025"/>
        <v>-565441.34193181538</v>
      </c>
      <c r="R1028">
        <f t="shared" si="1026"/>
        <v>-1490228.8616734496</v>
      </c>
      <c r="S1028">
        <f t="shared" si="1027"/>
        <v>-14.902288616734497</v>
      </c>
      <c r="T1028">
        <f t="shared" si="1028"/>
        <v>-1.4902288616734496E-2</v>
      </c>
    </row>
    <row r="1029" spans="1:20" x14ac:dyDescent="0.25">
      <c r="A1029" s="5">
        <v>43564</v>
      </c>
      <c r="B1029">
        <v>0.56169999999999998</v>
      </c>
      <c r="C1029">
        <v>0.56369999999999998</v>
      </c>
      <c r="D1029">
        <v>0.51700000000000002</v>
      </c>
      <c r="E1029">
        <v>0.53</v>
      </c>
      <c r="F1029">
        <v>1284451.25</v>
      </c>
      <c r="G1029">
        <v>0</v>
      </c>
      <c r="L1029" t="s">
        <v>7</v>
      </c>
      <c r="M1029" t="s">
        <v>8</v>
      </c>
      <c r="N1029" t="s">
        <v>8</v>
      </c>
      <c r="P1029">
        <f t="shared" si="1024"/>
        <v>-0.44325481798715111</v>
      </c>
      <c r="Q1029">
        <f t="shared" si="1025"/>
        <v>-569339.20503211871</v>
      </c>
      <c r="R1029">
        <f t="shared" si="1026"/>
        <v>-924787.51974163414</v>
      </c>
      <c r="S1029">
        <f t="shared" si="1027"/>
        <v>-9.2478751974163416</v>
      </c>
      <c r="T1029">
        <f t="shared" si="1028"/>
        <v>-9.2478751974163411E-3</v>
      </c>
    </row>
    <row r="1030" spans="1:20" x14ac:dyDescent="0.25">
      <c r="A1030" s="5">
        <v>43563</v>
      </c>
      <c r="B1030">
        <v>0.5776</v>
      </c>
      <c r="C1030">
        <v>0.59119999999999995</v>
      </c>
      <c r="D1030">
        <v>0.53700000000000003</v>
      </c>
      <c r="E1030">
        <v>0.56340000000000001</v>
      </c>
      <c r="F1030">
        <v>1559203.75</v>
      </c>
      <c r="G1030">
        <v>0</v>
      </c>
      <c r="L1030" t="s">
        <v>7</v>
      </c>
      <c r="M1030" t="s">
        <v>8</v>
      </c>
      <c r="N1030" t="s">
        <v>8</v>
      </c>
      <c r="P1030">
        <f t="shared" si="1024"/>
        <v>-2.583025830258227E-2</v>
      </c>
      <c r="Q1030">
        <f t="shared" si="1025"/>
        <v>-40274.635608854907</v>
      </c>
      <c r="R1030">
        <f t="shared" si="1026"/>
        <v>-355448.31470951543</v>
      </c>
      <c r="S1030">
        <f t="shared" si="1027"/>
        <v>-3.5544831470951541</v>
      </c>
      <c r="T1030">
        <f t="shared" si="1028"/>
        <v>-3.554483147095154E-3</v>
      </c>
    </row>
    <row r="1031" spans="1:20" x14ac:dyDescent="0.25">
      <c r="A1031" s="5">
        <v>43562</v>
      </c>
      <c r="B1031">
        <v>0.56769999999999998</v>
      </c>
      <c r="C1031">
        <v>0.59179999999999999</v>
      </c>
      <c r="D1031">
        <v>0.5655</v>
      </c>
      <c r="E1031">
        <v>0.57730000000000004</v>
      </c>
      <c r="F1031">
        <v>956649.36</v>
      </c>
      <c r="G1031">
        <v>0</v>
      </c>
      <c r="L1031" t="s">
        <v>8</v>
      </c>
      <c r="M1031" t="s">
        <v>8</v>
      </c>
      <c r="N1031" t="s">
        <v>8</v>
      </c>
      <c r="P1031">
        <f t="shared" si="1024"/>
        <v>-0.10266159695817208</v>
      </c>
      <c r="Q1031">
        <f t="shared" si="1025"/>
        <v>-98211.151026613268</v>
      </c>
      <c r="R1031">
        <f t="shared" si="1026"/>
        <v>-315173.67910066049</v>
      </c>
      <c r="S1031">
        <f t="shared" si="1027"/>
        <v>-3.1517367910066048</v>
      </c>
      <c r="T1031">
        <f t="shared" si="1028"/>
        <v>-3.1517367910066049E-3</v>
      </c>
    </row>
    <row r="1032" spans="1:20" x14ac:dyDescent="0.25">
      <c r="A1032" s="5">
        <v>43561</v>
      </c>
      <c r="B1032">
        <v>0.57350000000000001</v>
      </c>
      <c r="C1032">
        <v>0.59</v>
      </c>
      <c r="D1032">
        <v>0.55569999999999997</v>
      </c>
      <c r="E1032">
        <v>0.56910000000000005</v>
      </c>
      <c r="F1032">
        <v>1176149.98</v>
      </c>
      <c r="G1032">
        <v>0</v>
      </c>
      <c r="L1032" t="s">
        <v>8</v>
      </c>
      <c r="M1032" t="s">
        <v>8</v>
      </c>
      <c r="N1032" t="s">
        <v>8</v>
      </c>
      <c r="P1032">
        <f t="shared" si="1024"/>
        <v>-0.21865889212827525</v>
      </c>
      <c r="Q1032">
        <f t="shared" si="1025"/>
        <v>-257175.65160349308</v>
      </c>
      <c r="R1032">
        <f t="shared" si="1026"/>
        <v>-216962.52807404724</v>
      </c>
      <c r="S1032">
        <f t="shared" si="1027"/>
        <v>-2.1696252807404726</v>
      </c>
      <c r="T1032">
        <f t="shared" si="1028"/>
        <v>-2.1696252807404726E-3</v>
      </c>
    </row>
    <row r="1033" spans="1:20" x14ac:dyDescent="0.25">
      <c r="A1033" s="5">
        <v>43560</v>
      </c>
      <c r="B1033">
        <v>0.54090000000000005</v>
      </c>
      <c r="C1033">
        <v>0.57989999999999997</v>
      </c>
      <c r="D1033">
        <v>0.53900000000000003</v>
      </c>
      <c r="E1033">
        <v>0.57289999999999996</v>
      </c>
      <c r="F1033">
        <v>1039348.68</v>
      </c>
      <c r="G1033">
        <v>0</v>
      </c>
      <c r="L1033" t="s">
        <v>7</v>
      </c>
      <c r="M1033" t="s">
        <v>8</v>
      </c>
      <c r="N1033" t="s">
        <v>8</v>
      </c>
      <c r="P1033">
        <f t="shared" si="1024"/>
        <v>0.65770171149144174</v>
      </c>
      <c r="Q1033">
        <f t="shared" si="1025"/>
        <v>683581.40567237081</v>
      </c>
      <c r="R1033">
        <f t="shared" si="1026"/>
        <v>40213.123529445846</v>
      </c>
      <c r="S1033">
        <f t="shared" si="1027"/>
        <v>0.40213123529445843</v>
      </c>
      <c r="T1033">
        <f t="shared" si="1028"/>
        <v>4.0213123529445841E-4</v>
      </c>
    </row>
    <row r="1034" spans="1:20" x14ac:dyDescent="0.25">
      <c r="A1034" s="5">
        <v>43559</v>
      </c>
      <c r="B1034">
        <v>0.55879999999999996</v>
      </c>
      <c r="C1034">
        <v>0.58389999999999997</v>
      </c>
      <c r="D1034">
        <v>0.51949999999999996</v>
      </c>
      <c r="E1034">
        <v>0.53959999999999997</v>
      </c>
      <c r="F1034">
        <v>2088035.72</v>
      </c>
      <c r="G1034">
        <v>0</v>
      </c>
      <c r="L1034" t="s">
        <v>8</v>
      </c>
      <c r="M1034" t="s">
        <v>8</v>
      </c>
      <c r="N1034" t="s">
        <v>8</v>
      </c>
      <c r="P1034">
        <f t="shared" si="1024"/>
        <v>-0.37577639751552788</v>
      </c>
      <c r="Q1034">
        <f t="shared" si="1025"/>
        <v>-784634.54074534145</v>
      </c>
      <c r="R1034">
        <f t="shared" si="1026"/>
        <v>-643368.28214292496</v>
      </c>
      <c r="S1034">
        <f t="shared" si="1027"/>
        <v>-6.4336828214292492</v>
      </c>
      <c r="T1034">
        <f t="shared" si="1028"/>
        <v>-6.4336828214292489E-3</v>
      </c>
    </row>
    <row r="1035" spans="1:20" x14ac:dyDescent="0.25">
      <c r="A1035" s="5">
        <v>43558</v>
      </c>
      <c r="B1035">
        <v>0.58109999999999995</v>
      </c>
      <c r="C1035">
        <v>0.60729999999999995</v>
      </c>
      <c r="D1035">
        <v>0.51700000000000002</v>
      </c>
      <c r="E1035">
        <v>0.56200000000000006</v>
      </c>
      <c r="F1035">
        <v>4435492.21</v>
      </c>
      <c r="G1035">
        <v>0</v>
      </c>
      <c r="L1035" t="s">
        <v>7</v>
      </c>
      <c r="M1035" t="s">
        <v>8</v>
      </c>
      <c r="N1035" t="s">
        <v>8</v>
      </c>
      <c r="P1035">
        <f t="shared" si="1024"/>
        <v>-3.3222591362110318E-3</v>
      </c>
      <c r="Q1035">
        <f t="shared" si="1025"/>
        <v>-14735.85451826536</v>
      </c>
      <c r="R1035">
        <f t="shared" si="1026"/>
        <v>141266.25860241649</v>
      </c>
      <c r="S1035">
        <f t="shared" si="1027"/>
        <v>1.4126625860241648</v>
      </c>
      <c r="T1035">
        <f t="shared" si="1028"/>
        <v>1.4126625860241648E-3</v>
      </c>
    </row>
    <row r="1036" spans="1:20" x14ac:dyDescent="0.25">
      <c r="A1036" s="5">
        <v>43557</v>
      </c>
      <c r="B1036">
        <v>0.55330000000000001</v>
      </c>
      <c r="C1036">
        <v>0.6</v>
      </c>
      <c r="D1036">
        <v>0.53259999999999996</v>
      </c>
      <c r="E1036">
        <v>0.58109999999999995</v>
      </c>
      <c r="F1036">
        <v>4081948.84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0.43916913946587466</v>
      </c>
      <c r="Q1036">
        <f t="shared" si="1025"/>
        <v>1792665.9594065251</v>
      </c>
      <c r="R1036">
        <f t="shared" si="1026"/>
        <v>156002.11312068184</v>
      </c>
      <c r="S1036">
        <f t="shared" si="1027"/>
        <v>1.5600211312068184</v>
      </c>
      <c r="T1036">
        <f t="shared" si="1028"/>
        <v>1.5600211312068184E-3</v>
      </c>
    </row>
    <row r="1037" spans="1:20" x14ac:dyDescent="0.25">
      <c r="A1037" s="5">
        <v>43556</v>
      </c>
      <c r="B1037">
        <v>0.50839999999999996</v>
      </c>
      <c r="C1037">
        <v>0.56299999999999994</v>
      </c>
      <c r="D1037">
        <v>0.50070000000000003</v>
      </c>
      <c r="E1037">
        <v>0.55400000000000005</v>
      </c>
      <c r="F1037">
        <v>2288623.96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0.71107544141252299</v>
      </c>
      <c r="Q1037">
        <f t="shared" si="1025"/>
        <v>1627384.2925842763</v>
      </c>
      <c r="R1037">
        <f t="shared" si="1026"/>
        <v>-1636663.8462858433</v>
      </c>
      <c r="S1037">
        <f t="shared" si="1027"/>
        <v>-16.366638462858432</v>
      </c>
      <c r="T1037">
        <f t="shared" si="1028"/>
        <v>-1.6366638462858431E-2</v>
      </c>
    </row>
    <row r="1038" spans="1:20" x14ac:dyDescent="0.25">
      <c r="A1038" s="5">
        <v>43555</v>
      </c>
      <c r="B1038">
        <v>0.49380000000000002</v>
      </c>
      <c r="C1038">
        <v>0.54100000000000004</v>
      </c>
      <c r="D1038">
        <v>0.48680000000000001</v>
      </c>
      <c r="E1038">
        <v>0.50839999999999996</v>
      </c>
      <c r="F1038">
        <v>2047013.33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-0.20295202952029734</v>
      </c>
      <c r="Q1038">
        <f t="shared" si="1025"/>
        <v>-415445.50977860217</v>
      </c>
      <c r="R1038">
        <f t="shared" si="1026"/>
        <v>-3264048.1388701196</v>
      </c>
      <c r="S1038">
        <f t="shared" si="1027"/>
        <v>-32.640481388701197</v>
      </c>
      <c r="T1038">
        <f t="shared" si="1028"/>
        <v>-3.2640481388701195E-2</v>
      </c>
    </row>
    <row r="1039" spans="1:20" x14ac:dyDescent="0.25">
      <c r="A1039" s="5">
        <v>43554</v>
      </c>
      <c r="B1039">
        <v>0.50080000000000002</v>
      </c>
      <c r="C1039">
        <v>0.50339999999999996</v>
      </c>
      <c r="D1039">
        <v>0.48580000000000001</v>
      </c>
      <c r="E1039">
        <v>0.49399999999999999</v>
      </c>
      <c r="F1039">
        <v>675007.13</v>
      </c>
      <c r="G1039">
        <v>0</v>
      </c>
      <c r="L1039" t="s">
        <v>8</v>
      </c>
      <c r="M1039" t="s">
        <v>8</v>
      </c>
      <c r="N1039" t="s">
        <v>8</v>
      </c>
      <c r="P1039">
        <f t="shared" si="1024"/>
        <v>-6.8181818181817178E-2</v>
      </c>
      <c r="Q1039">
        <f t="shared" si="1025"/>
        <v>-46023.213409090233</v>
      </c>
      <c r="R1039">
        <f t="shared" si="1026"/>
        <v>-2848602.6290915175</v>
      </c>
      <c r="S1039">
        <f t="shared" si="1027"/>
        <v>-28.486026290915174</v>
      </c>
      <c r="T1039">
        <f t="shared" si="1028"/>
        <v>-2.8486026290915175E-2</v>
      </c>
    </row>
    <row r="1040" spans="1:20" x14ac:dyDescent="0.25">
      <c r="A1040" s="5">
        <v>43553</v>
      </c>
      <c r="B1040">
        <v>0.49840000000000001</v>
      </c>
      <c r="C1040">
        <v>0.50419999999999998</v>
      </c>
      <c r="D1040">
        <v>0.48870000000000002</v>
      </c>
      <c r="E1040">
        <v>0.50080000000000002</v>
      </c>
      <c r="F1040">
        <v>877803.92</v>
      </c>
      <c r="G1040">
        <v>0</v>
      </c>
      <c r="L1040" t="s">
        <v>8</v>
      </c>
      <c r="M1040" t="s">
        <v>8</v>
      </c>
      <c r="N1040" t="s">
        <v>8</v>
      </c>
      <c r="P1040">
        <f t="shared" si="1024"/>
        <v>0.56129032258064937</v>
      </c>
      <c r="Q1040">
        <f t="shared" si="1025"/>
        <v>492702.84541935858</v>
      </c>
      <c r="R1040">
        <f t="shared" si="1026"/>
        <v>-2802579.4156824271</v>
      </c>
      <c r="S1040">
        <f t="shared" si="1027"/>
        <v>-28.025794156824272</v>
      </c>
      <c r="T1040">
        <f t="shared" si="1028"/>
        <v>-2.8025794156824272E-2</v>
      </c>
    </row>
    <row r="1041" spans="1:20" x14ac:dyDescent="0.25">
      <c r="A1041" s="5">
        <v>43552</v>
      </c>
      <c r="B1041">
        <v>0.49669999999999997</v>
      </c>
      <c r="C1041">
        <v>0.51959999999999995</v>
      </c>
      <c r="D1041">
        <v>0.48459999999999998</v>
      </c>
      <c r="E1041">
        <v>0.49919999999999998</v>
      </c>
      <c r="F1041">
        <v>1443876.83</v>
      </c>
      <c r="G1041">
        <v>0</v>
      </c>
      <c r="L1041" t="s">
        <v>8</v>
      </c>
      <c r="M1041" t="s">
        <v>8</v>
      </c>
      <c r="N1041" t="s">
        <v>8</v>
      </c>
      <c r="P1041">
        <f t="shared" si="1024"/>
        <v>-0.16571428571428504</v>
      </c>
      <c r="Q1041">
        <f t="shared" si="1025"/>
        <v>-239271.01754285616</v>
      </c>
      <c r="R1041">
        <f t="shared" si="1026"/>
        <v>-3295282.2611017856</v>
      </c>
      <c r="S1041">
        <f t="shared" si="1027"/>
        <v>-32.952822611017858</v>
      </c>
      <c r="T1041">
        <f t="shared" si="1028"/>
        <v>-3.2952822611017861E-2</v>
      </c>
    </row>
    <row r="1042" spans="1:20" x14ac:dyDescent="0.25">
      <c r="A1042" s="5">
        <v>43551</v>
      </c>
      <c r="B1042">
        <v>0.46029999999999999</v>
      </c>
      <c r="C1042">
        <v>0.49969999999999998</v>
      </c>
      <c r="D1042">
        <v>0.4556</v>
      </c>
      <c r="E1042">
        <v>0.49459999999999998</v>
      </c>
      <c r="F1042">
        <v>1352736.34</v>
      </c>
      <c r="G1042">
        <v>0</v>
      </c>
      <c r="L1042" t="s">
        <v>8</v>
      </c>
      <c r="M1042" t="s">
        <v>7</v>
      </c>
      <c r="N1042" t="s">
        <v>8</v>
      </c>
      <c r="P1042">
        <f t="shared" si="1024"/>
        <v>0.76870748299319747</v>
      </c>
      <c r="Q1042">
        <f t="shared" si="1025"/>
        <v>1039858.5470748303</v>
      </c>
      <c r="R1042">
        <f t="shared" si="1026"/>
        <v>-3056011.2435589293</v>
      </c>
      <c r="S1042">
        <f t="shared" si="1027"/>
        <v>-30.560112435589293</v>
      </c>
      <c r="T1042">
        <f t="shared" si="1028"/>
        <v>-3.0560112435589294E-2</v>
      </c>
    </row>
    <row r="1043" spans="1:20" x14ac:dyDescent="0.25">
      <c r="A1043" s="5">
        <v>43550</v>
      </c>
      <c r="B1043">
        <v>0.47289999999999999</v>
      </c>
      <c r="C1043">
        <v>0.48499999999999999</v>
      </c>
      <c r="D1043">
        <v>0.44800000000000001</v>
      </c>
      <c r="E1043">
        <v>0.46050000000000002</v>
      </c>
      <c r="F1043">
        <v>1129722.2</v>
      </c>
      <c r="G1043">
        <v>0</v>
      </c>
      <c r="L1043" t="s">
        <v>7</v>
      </c>
      <c r="M1043" t="s">
        <v>7</v>
      </c>
      <c r="N1043" t="s">
        <v>8</v>
      </c>
      <c r="P1043">
        <f t="shared" si="1024"/>
        <v>-0.32432432432432329</v>
      </c>
      <c r="Q1043">
        <f t="shared" si="1025"/>
        <v>-366396.38918918802</v>
      </c>
      <c r="R1043">
        <f t="shared" si="1026"/>
        <v>-4095869.7906337595</v>
      </c>
      <c r="S1043">
        <f t="shared" si="1027"/>
        <v>-40.958697906337598</v>
      </c>
      <c r="T1043">
        <f t="shared" si="1028"/>
        <v>-4.0958697906337597E-2</v>
      </c>
    </row>
    <row r="1044" spans="1:20" x14ac:dyDescent="0.25">
      <c r="A1044" s="5">
        <v>43549</v>
      </c>
      <c r="B1044">
        <v>0.45390000000000003</v>
      </c>
      <c r="C1044">
        <v>0.49490000000000001</v>
      </c>
      <c r="D1044">
        <v>0.441</v>
      </c>
      <c r="E1044">
        <v>0.47339999999999999</v>
      </c>
      <c r="F1044">
        <v>2441517.9900000002</v>
      </c>
      <c r="G1044">
        <v>0</v>
      </c>
      <c r="L1044" t="s">
        <v>8</v>
      </c>
      <c r="M1044" t="s">
        <v>7</v>
      </c>
      <c r="N1044" t="s">
        <v>8</v>
      </c>
      <c r="P1044">
        <f t="shared" si="1024"/>
        <v>0.20222634508348727</v>
      </c>
      <c r="Q1044">
        <f t="shared" si="1025"/>
        <v>493739.25957328227</v>
      </c>
      <c r="R1044">
        <f t="shared" si="1026"/>
        <v>-3729473.4014445716</v>
      </c>
      <c r="S1044">
        <f t="shared" si="1027"/>
        <v>-37.294734014445716</v>
      </c>
      <c r="T1044">
        <f t="shared" si="1028"/>
        <v>-3.7294734014445718E-2</v>
      </c>
    </row>
    <row r="1045" spans="1:20" x14ac:dyDescent="0.25">
      <c r="A1045" s="5">
        <v>43548</v>
      </c>
      <c r="B1045">
        <v>0.46060000000000001</v>
      </c>
      <c r="C1045">
        <v>0.46210000000000001</v>
      </c>
      <c r="D1045">
        <v>0.44850000000000001</v>
      </c>
      <c r="E1045">
        <v>0.4531</v>
      </c>
      <c r="F1045">
        <v>634173.75</v>
      </c>
      <c r="G1045">
        <v>0</v>
      </c>
      <c r="L1045" t="s">
        <v>8</v>
      </c>
      <c r="M1045" t="s">
        <v>7</v>
      </c>
      <c r="N1045" t="s">
        <v>8</v>
      </c>
      <c r="P1045">
        <f t="shared" si="1024"/>
        <v>-0.32352941176470695</v>
      </c>
      <c r="Q1045">
        <f t="shared" si="1025"/>
        <v>-205173.86029411832</v>
      </c>
      <c r="R1045">
        <f t="shared" si="1026"/>
        <v>-4223212.6610178538</v>
      </c>
      <c r="S1045">
        <f t="shared" si="1027"/>
        <v>-42.23212661017854</v>
      </c>
      <c r="T1045">
        <f t="shared" si="1028"/>
        <v>-4.2232126610178541E-2</v>
      </c>
    </row>
    <row r="1046" spans="1:20" x14ac:dyDescent="0.25">
      <c r="A1046" s="5">
        <v>43547</v>
      </c>
      <c r="B1046">
        <v>0.4627</v>
      </c>
      <c r="C1046">
        <v>0.46439999999999998</v>
      </c>
      <c r="D1046">
        <v>0.45450000000000002</v>
      </c>
      <c r="E1046">
        <v>0.46079999999999999</v>
      </c>
      <c r="F1046">
        <v>406749.66</v>
      </c>
      <c r="G1046">
        <v>0</v>
      </c>
      <c r="L1046" t="s">
        <v>8</v>
      </c>
      <c r="M1046" t="s">
        <v>7</v>
      </c>
      <c r="N1046" t="s">
        <v>8</v>
      </c>
      <c r="P1046">
        <f t="shared" si="1024"/>
        <v>0.27272727272727171</v>
      </c>
      <c r="Q1046">
        <f t="shared" si="1025"/>
        <v>110931.72545454503</v>
      </c>
      <c r="R1046">
        <f t="shared" si="1026"/>
        <v>-4018038.8007237352</v>
      </c>
      <c r="S1046">
        <f t="shared" si="1027"/>
        <v>-40.180388007237354</v>
      </c>
      <c r="T1046">
        <f t="shared" si="1028"/>
        <v>-4.0180388007237354E-2</v>
      </c>
    </row>
    <row r="1047" spans="1:20" x14ac:dyDescent="0.25">
      <c r="A1047" s="5">
        <v>43546</v>
      </c>
      <c r="B1047">
        <v>0.4551</v>
      </c>
      <c r="C1047">
        <v>0.46550000000000002</v>
      </c>
      <c r="D1047">
        <v>0.44700000000000001</v>
      </c>
      <c r="E1047">
        <v>0.46460000000000001</v>
      </c>
      <c r="F1047">
        <v>863577.33</v>
      </c>
      <c r="G1047">
        <v>0</v>
      </c>
      <c r="L1047" t="s">
        <v>8</v>
      </c>
      <c r="M1047" t="s">
        <v>7</v>
      </c>
      <c r="N1047" t="s">
        <v>8</v>
      </c>
      <c r="P1047">
        <f t="shared" si="1024"/>
        <v>0.90270270270270148</v>
      </c>
      <c r="Q1047">
        <f t="shared" si="1025"/>
        <v>779553.58978378272</v>
      </c>
      <c r="R1047">
        <f t="shared" si="1026"/>
        <v>-4128970.5261782804</v>
      </c>
      <c r="S1047">
        <f t="shared" si="1027"/>
        <v>-41.289705261782807</v>
      </c>
      <c r="T1047">
        <f t="shared" si="1028"/>
        <v>-4.1289705261782807E-2</v>
      </c>
    </row>
    <row r="1048" spans="1:20" x14ac:dyDescent="0.25">
      <c r="A1048" s="5">
        <v>43545</v>
      </c>
      <c r="B1048">
        <v>0.48180000000000001</v>
      </c>
      <c r="C1048">
        <v>0.48420000000000002</v>
      </c>
      <c r="D1048">
        <v>0.43419999999999997</v>
      </c>
      <c r="E1048">
        <v>0.45479999999999998</v>
      </c>
      <c r="F1048">
        <v>1043991.8</v>
      </c>
      <c r="G1048">
        <v>0</v>
      </c>
      <c r="L1048" t="s">
        <v>7</v>
      </c>
      <c r="M1048" t="s">
        <v>7</v>
      </c>
      <c r="N1048" t="s">
        <v>8</v>
      </c>
      <c r="P1048">
        <f t="shared" si="1024"/>
        <v>-0.17600000000000043</v>
      </c>
      <c r="Q1048">
        <f t="shared" si="1025"/>
        <v>-183742.55680000046</v>
      </c>
      <c r="R1048">
        <f t="shared" si="1026"/>
        <v>-4908524.115962063</v>
      </c>
      <c r="S1048">
        <f t="shared" si="1027"/>
        <v>-49.08524115962063</v>
      </c>
      <c r="T1048">
        <f t="shared" si="1028"/>
        <v>-4.9085241159620631E-2</v>
      </c>
    </row>
    <row r="1049" spans="1:20" x14ac:dyDescent="0.25">
      <c r="A1049" s="5">
        <v>43544</v>
      </c>
      <c r="B1049">
        <v>0.47960000000000003</v>
      </c>
      <c r="C1049">
        <v>0.4899</v>
      </c>
      <c r="D1049">
        <v>0.47370000000000001</v>
      </c>
      <c r="E1049">
        <v>0.48070000000000002</v>
      </c>
      <c r="F1049">
        <v>696146.28</v>
      </c>
      <c r="G1049">
        <v>0</v>
      </c>
      <c r="L1049" t="s">
        <v>7</v>
      </c>
      <c r="M1049" t="s">
        <v>7</v>
      </c>
      <c r="N1049" t="s">
        <v>8</v>
      </c>
      <c r="P1049">
        <f t="shared" si="1024"/>
        <v>-0.1358024691358013</v>
      </c>
      <c r="Q1049">
        <f t="shared" si="1025"/>
        <v>-94538.383703702886</v>
      </c>
      <c r="R1049">
        <f t="shared" si="1026"/>
        <v>-4724781.5591620626</v>
      </c>
      <c r="S1049">
        <f t="shared" si="1027"/>
        <v>-47.247815591620629</v>
      </c>
      <c r="T1049">
        <f t="shared" si="1028"/>
        <v>-4.7247815591620626E-2</v>
      </c>
    </row>
    <row r="1050" spans="1:20" x14ac:dyDescent="0.25">
      <c r="A1050" s="5">
        <v>43543</v>
      </c>
      <c r="B1050">
        <v>0.47599999999999998</v>
      </c>
      <c r="C1050">
        <v>0.48</v>
      </c>
      <c r="D1050">
        <v>0.46479999999999999</v>
      </c>
      <c r="E1050">
        <v>0.47699999999999998</v>
      </c>
      <c r="F1050">
        <v>530734.59</v>
      </c>
      <c r="G1050">
        <v>0</v>
      </c>
      <c r="L1050" t="s">
        <v>7</v>
      </c>
      <c r="M1050" t="s">
        <v>7</v>
      </c>
      <c r="N1050" t="s">
        <v>8</v>
      </c>
      <c r="P1050">
        <f t="shared" si="1024"/>
        <v>0.60526315789473628</v>
      </c>
      <c r="Q1050">
        <f t="shared" si="1025"/>
        <v>321234.09394736809</v>
      </c>
      <c r="R1050">
        <f t="shared" si="1026"/>
        <v>-4630243.1754583595</v>
      </c>
      <c r="S1050">
        <f t="shared" si="1027"/>
        <v>-46.302431754583594</v>
      </c>
      <c r="T1050">
        <f t="shared" si="1028"/>
        <v>-4.6302431754583595E-2</v>
      </c>
    </row>
    <row r="1051" spans="1:20" x14ac:dyDescent="0.25">
      <c r="A1051" s="5">
        <v>43542</v>
      </c>
      <c r="B1051">
        <v>0.47889999999999999</v>
      </c>
      <c r="C1051">
        <v>0.48330000000000001</v>
      </c>
      <c r="D1051">
        <v>0.46700000000000003</v>
      </c>
      <c r="E1051">
        <v>0.47570000000000001</v>
      </c>
      <c r="F1051">
        <v>891826.09</v>
      </c>
      <c r="G1051">
        <v>0</v>
      </c>
      <c r="L1051" t="s">
        <v>7</v>
      </c>
      <c r="M1051" t="s">
        <v>7</v>
      </c>
      <c r="N1051" t="s">
        <v>8</v>
      </c>
      <c r="P1051">
        <f t="shared" si="1024"/>
        <v>6.7484662576686574E-2</v>
      </c>
      <c r="Q1051">
        <f t="shared" si="1025"/>
        <v>60184.582760735713</v>
      </c>
      <c r="R1051">
        <f t="shared" si="1026"/>
        <v>-4951477.2694057273</v>
      </c>
      <c r="S1051">
        <f t="shared" si="1027"/>
        <v>-49.514772694057271</v>
      </c>
      <c r="T1051">
        <f t="shared" si="1028"/>
        <v>-4.9514772694057269E-2</v>
      </c>
    </row>
    <row r="1052" spans="1:20" x14ac:dyDescent="0.25">
      <c r="A1052" s="5">
        <v>43541</v>
      </c>
      <c r="B1052">
        <v>0.48049999999999998</v>
      </c>
      <c r="C1052">
        <v>0.48870000000000002</v>
      </c>
      <c r="D1052">
        <v>0.47020000000000001</v>
      </c>
      <c r="E1052">
        <v>0.47849999999999998</v>
      </c>
      <c r="F1052">
        <v>1352126.73</v>
      </c>
      <c r="G1052">
        <v>0</v>
      </c>
      <c r="L1052" t="s">
        <v>7</v>
      </c>
      <c r="M1052" t="s">
        <v>7</v>
      </c>
      <c r="N1052" t="s">
        <v>8</v>
      </c>
      <c r="P1052">
        <f t="shared" si="1024"/>
        <v>-0.1027027027027063</v>
      </c>
      <c r="Q1052">
        <f t="shared" si="1025"/>
        <v>-138867.06956757244</v>
      </c>
      <c r="R1052">
        <f t="shared" si="1026"/>
        <v>-5011661.8521664627</v>
      </c>
      <c r="S1052">
        <f t="shared" si="1027"/>
        <v>-50.116618521664627</v>
      </c>
      <c r="T1052">
        <f t="shared" si="1028"/>
        <v>-5.011661852166463E-2</v>
      </c>
    </row>
    <row r="1053" spans="1:20" x14ac:dyDescent="0.25">
      <c r="A1053" s="5">
        <v>43540</v>
      </c>
      <c r="B1053">
        <v>0.48659999999999998</v>
      </c>
      <c r="C1053">
        <v>0.496</v>
      </c>
      <c r="D1053">
        <v>0.46810000000000002</v>
      </c>
      <c r="E1053">
        <v>0.4819</v>
      </c>
      <c r="F1053">
        <v>1768514.51</v>
      </c>
      <c r="G1053">
        <v>0</v>
      </c>
      <c r="L1053" t="s">
        <v>7</v>
      </c>
      <c r="M1053" t="s">
        <v>7</v>
      </c>
      <c r="N1053" t="s">
        <v>8</v>
      </c>
      <c r="P1053">
        <f t="shared" si="1024"/>
        <v>-1.0752688172043823E-2</v>
      </c>
      <c r="Q1053">
        <f t="shared" si="1025"/>
        <v>-19016.285053764877</v>
      </c>
      <c r="R1053">
        <f t="shared" si="1026"/>
        <v>-4872794.7825988904</v>
      </c>
      <c r="S1053">
        <f t="shared" si="1027"/>
        <v>-48.727947825988906</v>
      </c>
      <c r="T1053">
        <f t="shared" si="1028"/>
        <v>-4.8727947825988903E-2</v>
      </c>
    </row>
    <row r="1054" spans="1:20" x14ac:dyDescent="0.25">
      <c r="A1054" s="5">
        <v>43539</v>
      </c>
      <c r="B1054">
        <v>0.48580000000000001</v>
      </c>
      <c r="C1054">
        <v>0.496</v>
      </c>
      <c r="D1054">
        <v>0.48309999999999997</v>
      </c>
      <c r="E1054">
        <v>0.48580000000000001</v>
      </c>
      <c r="F1054">
        <v>577893.06000000006</v>
      </c>
      <c r="G1054">
        <v>0</v>
      </c>
      <c r="L1054" t="s">
        <v>7</v>
      </c>
      <c r="M1054" t="s">
        <v>7</v>
      </c>
      <c r="N1054" t="s">
        <v>8</v>
      </c>
      <c r="P1054">
        <f t="shared" si="1024"/>
        <v>-0.58139534883720445</v>
      </c>
      <c r="Q1054">
        <f t="shared" si="1025"/>
        <v>-335984.33720929956</v>
      </c>
      <c r="R1054">
        <f t="shared" si="1026"/>
        <v>-4853778.4975451259</v>
      </c>
      <c r="S1054">
        <f t="shared" si="1027"/>
        <v>-48.53778497545126</v>
      </c>
      <c r="T1054">
        <f t="shared" si="1028"/>
        <v>-4.8537784975451262E-2</v>
      </c>
    </row>
    <row r="1055" spans="1:20" x14ac:dyDescent="0.25">
      <c r="A1055" s="5">
        <v>43538</v>
      </c>
      <c r="B1055">
        <v>0.48139999999999999</v>
      </c>
      <c r="C1055">
        <v>0.49940000000000001</v>
      </c>
      <c r="D1055">
        <v>0.47220000000000001</v>
      </c>
      <c r="E1055">
        <v>0.48709999999999998</v>
      </c>
      <c r="F1055">
        <v>1720792.4</v>
      </c>
      <c r="G1055">
        <v>0</v>
      </c>
      <c r="L1055" t="s">
        <v>7</v>
      </c>
      <c r="M1055" t="s">
        <v>7</v>
      </c>
      <c r="N1055" t="s">
        <v>8</v>
      </c>
      <c r="P1055">
        <f t="shared" si="1024"/>
        <v>9.5588235294115281E-2</v>
      </c>
      <c r="Q1055">
        <f t="shared" si="1025"/>
        <v>164487.50882352534</v>
      </c>
      <c r="R1055">
        <f t="shared" si="1026"/>
        <v>-4517794.1603358267</v>
      </c>
      <c r="S1055">
        <f t="shared" si="1027"/>
        <v>-45.177941603358263</v>
      </c>
      <c r="T1055">
        <f t="shared" si="1028"/>
        <v>-4.5177941603358265E-2</v>
      </c>
    </row>
    <row r="1056" spans="1:20" x14ac:dyDescent="0.25">
      <c r="A1056" s="5">
        <v>43537</v>
      </c>
      <c r="B1056">
        <v>0.48720000000000002</v>
      </c>
      <c r="C1056">
        <v>0.48799999999999999</v>
      </c>
      <c r="D1056">
        <v>0.46710000000000002</v>
      </c>
      <c r="E1056">
        <v>0.48049999999999998</v>
      </c>
      <c r="F1056">
        <v>1263356.68</v>
      </c>
      <c r="G1056">
        <v>0</v>
      </c>
      <c r="L1056" t="s">
        <v>7</v>
      </c>
      <c r="M1056" t="s">
        <v>7</v>
      </c>
      <c r="N1056" t="s">
        <v>8</v>
      </c>
      <c r="P1056">
        <f t="shared" si="1024"/>
        <v>0.28229665071770182</v>
      </c>
      <c r="Q1056">
        <f t="shared" si="1025"/>
        <v>356641.35942583537</v>
      </c>
      <c r="R1056">
        <f t="shared" si="1026"/>
        <v>-4682281.6691593518</v>
      </c>
      <c r="S1056">
        <f t="shared" si="1027"/>
        <v>-46.822816691593516</v>
      </c>
      <c r="T1056">
        <f t="shared" si="1028"/>
        <v>-4.6822816691593515E-2</v>
      </c>
    </row>
    <row r="1057" spans="1:20" x14ac:dyDescent="0.25">
      <c r="A1057" s="5">
        <v>43536</v>
      </c>
      <c r="B1057">
        <v>0.46410000000000001</v>
      </c>
      <c r="C1057">
        <v>0.50790000000000002</v>
      </c>
      <c r="D1057">
        <v>0.45029999999999998</v>
      </c>
      <c r="E1057">
        <v>0.48759999999999998</v>
      </c>
      <c r="F1057">
        <v>2105182.67</v>
      </c>
      <c r="G1057">
        <v>0</v>
      </c>
      <c r="L1057" t="s">
        <v>8</v>
      </c>
      <c r="M1057" t="s">
        <v>7</v>
      </c>
      <c r="N1057" t="s">
        <v>8</v>
      </c>
      <c r="P1057">
        <f t="shared" si="1024"/>
        <v>0.29513888888888801</v>
      </c>
      <c r="Q1057">
        <f t="shared" si="1025"/>
        <v>621321.27413194254</v>
      </c>
      <c r="R1057">
        <f t="shared" si="1026"/>
        <v>-5038923.0285851872</v>
      </c>
      <c r="S1057">
        <f t="shared" si="1027"/>
        <v>-50.389230285851873</v>
      </c>
      <c r="T1057">
        <f t="shared" si="1028"/>
        <v>-5.038923028585187E-2</v>
      </c>
    </row>
    <row r="1058" spans="1:20" x14ac:dyDescent="0.25">
      <c r="A1058" s="5">
        <v>43535</v>
      </c>
      <c r="B1058">
        <v>0.49819999999999998</v>
      </c>
      <c r="C1058">
        <v>0.5181</v>
      </c>
      <c r="D1058">
        <v>0.43819999999999998</v>
      </c>
      <c r="E1058">
        <v>0.46289999999999998</v>
      </c>
      <c r="F1058">
        <v>2633054.21</v>
      </c>
      <c r="G1058">
        <v>0</v>
      </c>
      <c r="L1058" t="s">
        <v>7</v>
      </c>
      <c r="M1058" t="s">
        <v>7</v>
      </c>
      <c r="N1058" t="s">
        <v>8</v>
      </c>
      <c r="P1058">
        <f t="shared" si="1024"/>
        <v>-0.38172715894868608</v>
      </c>
      <c r="Q1058">
        <f t="shared" si="1025"/>
        <v>-1005108.302941177</v>
      </c>
      <c r="R1058">
        <f t="shared" si="1026"/>
        <v>-5660244.3027171297</v>
      </c>
      <c r="S1058">
        <f t="shared" si="1027"/>
        <v>-56.602443027171297</v>
      </c>
      <c r="T1058">
        <f t="shared" si="1028"/>
        <v>-5.6602443027171295E-2</v>
      </c>
    </row>
    <row r="1059" spans="1:20" x14ac:dyDescent="0.25">
      <c r="A1059" s="5">
        <v>43534</v>
      </c>
      <c r="B1059">
        <v>0.47420000000000001</v>
      </c>
      <c r="C1059">
        <v>0.54600000000000004</v>
      </c>
      <c r="D1059">
        <v>0.46810000000000002</v>
      </c>
      <c r="E1059">
        <v>0.49809999999999999</v>
      </c>
      <c r="F1059">
        <v>2887991.86</v>
      </c>
      <c r="G1059">
        <v>0</v>
      </c>
      <c r="L1059" t="s">
        <v>8</v>
      </c>
      <c r="M1059" t="s">
        <v>8</v>
      </c>
      <c r="N1059" t="s">
        <v>8</v>
      </c>
      <c r="P1059">
        <f t="shared" si="1024"/>
        <v>-0.22978177150192652</v>
      </c>
      <c r="Q1059">
        <f t="shared" si="1025"/>
        <v>-663607.88567394379</v>
      </c>
      <c r="R1059">
        <f t="shared" si="1026"/>
        <v>-4655135.9997759527</v>
      </c>
      <c r="S1059">
        <f t="shared" si="1027"/>
        <v>-46.551359997759526</v>
      </c>
      <c r="T1059">
        <f t="shared" si="1028"/>
        <v>-4.6551359997759528E-2</v>
      </c>
    </row>
    <row r="1060" spans="1:20" x14ac:dyDescent="0.25">
      <c r="A1060" s="5">
        <v>43533</v>
      </c>
      <c r="B1060">
        <v>0.46110000000000001</v>
      </c>
      <c r="C1060">
        <v>0.4824</v>
      </c>
      <c r="D1060">
        <v>0.45240000000000002</v>
      </c>
      <c r="E1060">
        <v>0.47460000000000002</v>
      </c>
      <c r="F1060">
        <v>1381686.43</v>
      </c>
      <c r="G1060">
        <v>0</v>
      </c>
      <c r="L1060" t="s">
        <v>7</v>
      </c>
      <c r="M1060" t="s">
        <v>8</v>
      </c>
      <c r="N1060" t="s">
        <v>8</v>
      </c>
      <c r="P1060">
        <f t="shared" si="1024"/>
        <v>0.48000000000000126</v>
      </c>
      <c r="Q1060">
        <f t="shared" si="1025"/>
        <v>663209.48640000168</v>
      </c>
      <c r="R1060">
        <f t="shared" si="1026"/>
        <v>-3991528.1141020088</v>
      </c>
      <c r="S1060">
        <f t="shared" si="1027"/>
        <v>-39.915281141020088</v>
      </c>
      <c r="T1060">
        <f t="shared" si="1028"/>
        <v>-3.9915281141020088E-2</v>
      </c>
    </row>
    <row r="1061" spans="1:20" x14ac:dyDescent="0.25">
      <c r="A1061" s="5">
        <v>43532</v>
      </c>
      <c r="B1061">
        <v>0.4521</v>
      </c>
      <c r="C1061">
        <v>0.51070000000000004</v>
      </c>
      <c r="D1061">
        <v>0.45190000000000002</v>
      </c>
      <c r="E1061">
        <v>0.46110000000000001</v>
      </c>
      <c r="F1061">
        <v>3248280.83</v>
      </c>
      <c r="G1061">
        <v>0</v>
      </c>
      <c r="L1061" t="s">
        <v>8</v>
      </c>
      <c r="M1061" t="s">
        <v>8</v>
      </c>
      <c r="N1061" t="s">
        <v>8</v>
      </c>
      <c r="P1061">
        <f t="shared" si="1024"/>
        <v>-0.68707482993197333</v>
      </c>
      <c r="Q1061">
        <f t="shared" si="1025"/>
        <v>-2231811.998843539</v>
      </c>
      <c r="R1061">
        <f t="shared" si="1026"/>
        <v>-4654737.6005020104</v>
      </c>
      <c r="S1061">
        <f t="shared" si="1027"/>
        <v>-46.547376005020105</v>
      </c>
      <c r="T1061">
        <f t="shared" si="1028"/>
        <v>-4.6547376005020104E-2</v>
      </c>
    </row>
    <row r="1062" spans="1:20" x14ac:dyDescent="0.25">
      <c r="A1062" s="5">
        <v>43531</v>
      </c>
      <c r="B1062">
        <v>0.42959999999999998</v>
      </c>
      <c r="C1062">
        <v>0.47660000000000002</v>
      </c>
      <c r="D1062">
        <v>0.42559999999999998</v>
      </c>
      <c r="E1062">
        <v>0.4521</v>
      </c>
      <c r="F1062">
        <v>1498764.03</v>
      </c>
      <c r="G1062">
        <v>0</v>
      </c>
      <c r="L1062" t="s">
        <v>8</v>
      </c>
      <c r="M1062" t="s">
        <v>8</v>
      </c>
      <c r="N1062" t="s">
        <v>8</v>
      </c>
      <c r="P1062">
        <f t="shared" si="1024"/>
        <v>3.9215686274509803E-2</v>
      </c>
      <c r="Q1062">
        <f t="shared" si="1025"/>
        <v>58775.06</v>
      </c>
      <c r="R1062">
        <f t="shared" si="1026"/>
        <v>-2422925.6016584719</v>
      </c>
      <c r="S1062">
        <f t="shared" si="1027"/>
        <v>-24.229256016584717</v>
      </c>
      <c r="T1062">
        <f t="shared" si="1028"/>
        <v>-2.4229256016584717E-2</v>
      </c>
    </row>
    <row r="1063" spans="1:20" x14ac:dyDescent="0.25">
      <c r="A1063" s="5">
        <v>43530</v>
      </c>
      <c r="B1063">
        <v>0.42909999999999998</v>
      </c>
      <c r="C1063">
        <v>0.4385</v>
      </c>
      <c r="D1063">
        <v>0.41860000000000003</v>
      </c>
      <c r="E1063">
        <v>0.42959999999999998</v>
      </c>
      <c r="F1063">
        <v>716328.15</v>
      </c>
      <c r="G1063">
        <v>0</v>
      </c>
      <c r="L1063" t="s">
        <v>8</v>
      </c>
      <c r="M1063" t="s">
        <v>7</v>
      </c>
      <c r="N1063" t="s">
        <v>8</v>
      </c>
      <c r="P1063">
        <f t="shared" si="1024"/>
        <v>0.10552763819095166</v>
      </c>
      <c r="Q1063">
        <f t="shared" si="1025"/>
        <v>75592.41783919376</v>
      </c>
      <c r="R1063">
        <f t="shared" si="1026"/>
        <v>-2481700.6616584719</v>
      </c>
      <c r="S1063">
        <f t="shared" si="1027"/>
        <v>-24.81700661658472</v>
      </c>
      <c r="T1063">
        <f t="shared" si="1028"/>
        <v>-2.481700661658472E-2</v>
      </c>
    </row>
    <row r="1064" spans="1:20" x14ac:dyDescent="0.25">
      <c r="A1064" s="5">
        <v>43529</v>
      </c>
      <c r="B1064">
        <v>0.40289999999999998</v>
      </c>
      <c r="C1064">
        <v>0.43430000000000002</v>
      </c>
      <c r="D1064">
        <v>0.40229999999999999</v>
      </c>
      <c r="E1064">
        <v>0.42909999999999998</v>
      </c>
      <c r="F1064">
        <v>1686179.9</v>
      </c>
      <c r="G1064">
        <v>0</v>
      </c>
      <c r="L1064" t="s">
        <v>8</v>
      </c>
      <c r="M1064" t="s">
        <v>7</v>
      </c>
      <c r="N1064" t="s">
        <v>8</v>
      </c>
      <c r="P1064">
        <f t="shared" si="1024"/>
        <v>0.67499999999999793</v>
      </c>
      <c r="Q1064">
        <f t="shared" si="1025"/>
        <v>1138171.4324999964</v>
      </c>
      <c r="R1064">
        <f t="shared" si="1026"/>
        <v>-2557293.0794976656</v>
      </c>
      <c r="S1064">
        <f t="shared" si="1027"/>
        <v>-25.572930794976656</v>
      </c>
      <c r="T1064">
        <f t="shared" si="1028"/>
        <v>-2.5572930794976658E-2</v>
      </c>
    </row>
    <row r="1065" spans="1:20" x14ac:dyDescent="0.25">
      <c r="A1065" s="5">
        <v>43528</v>
      </c>
      <c r="B1065">
        <v>0.42030000000000001</v>
      </c>
      <c r="C1065">
        <v>0.42549999999999999</v>
      </c>
      <c r="D1065">
        <v>0.39290000000000003</v>
      </c>
      <c r="E1065">
        <v>0.40360000000000001</v>
      </c>
      <c r="F1065">
        <v>946382.19</v>
      </c>
      <c r="G1065">
        <v>0</v>
      </c>
      <c r="L1065" t="s">
        <v>7</v>
      </c>
      <c r="M1065" t="s">
        <v>7</v>
      </c>
      <c r="N1065" t="s">
        <v>8</v>
      </c>
      <c r="P1065">
        <f t="shared" si="1024"/>
        <v>-0.34355828220858897</v>
      </c>
      <c r="Q1065">
        <f t="shared" si="1025"/>
        <v>-325137.43950920244</v>
      </c>
      <c r="R1065">
        <f t="shared" si="1026"/>
        <v>-3695464.511997662</v>
      </c>
      <c r="S1065">
        <f t="shared" si="1027"/>
        <v>-36.954645119976618</v>
      </c>
      <c r="T1065">
        <f t="shared" si="1028"/>
        <v>-3.695464511997662E-2</v>
      </c>
    </row>
    <row r="1066" spans="1:20" x14ac:dyDescent="0.25">
      <c r="A1066" s="5">
        <v>43527</v>
      </c>
      <c r="B1066">
        <v>0.42320000000000002</v>
      </c>
      <c r="C1066">
        <v>0.42920000000000003</v>
      </c>
      <c r="D1066">
        <v>0.41770000000000002</v>
      </c>
      <c r="E1066">
        <v>0.42049999999999998</v>
      </c>
      <c r="F1066">
        <v>225429.95</v>
      </c>
      <c r="G1066">
        <v>0</v>
      </c>
      <c r="L1066" t="s">
        <v>7</v>
      </c>
      <c r="M1066" t="s">
        <v>7</v>
      </c>
      <c r="N1066" t="s">
        <v>8</v>
      </c>
      <c r="P1066">
        <f t="shared" si="1024"/>
        <v>-0.51304347826087537</v>
      </c>
      <c r="Q1066">
        <f t="shared" si="1025"/>
        <v>-115655.36565217523</v>
      </c>
      <c r="R1066">
        <f t="shared" si="1026"/>
        <v>-3370327.0724884598</v>
      </c>
      <c r="S1066">
        <f t="shared" si="1027"/>
        <v>-33.703270724884597</v>
      </c>
      <c r="T1066">
        <f t="shared" si="1028"/>
        <v>-3.3703270724884597E-2</v>
      </c>
    </row>
    <row r="1067" spans="1:20" x14ac:dyDescent="0.25">
      <c r="A1067" s="5">
        <v>43526</v>
      </c>
      <c r="B1067">
        <v>0.42859999999999998</v>
      </c>
      <c r="C1067">
        <v>0.43719999999999998</v>
      </c>
      <c r="D1067">
        <v>0.4173</v>
      </c>
      <c r="E1067">
        <v>0.42209999999999998</v>
      </c>
      <c r="F1067">
        <v>331570</v>
      </c>
      <c r="G1067">
        <v>0</v>
      </c>
      <c r="L1067" t="s">
        <v>7</v>
      </c>
      <c r="M1067" t="s">
        <v>7</v>
      </c>
      <c r="N1067" t="s">
        <v>8</v>
      </c>
      <c r="P1067">
        <f t="shared" si="1024"/>
        <v>-0.5175879396984947</v>
      </c>
      <c r="Q1067">
        <f t="shared" si="1025"/>
        <v>-171616.6331658299</v>
      </c>
      <c r="R1067">
        <f t="shared" si="1026"/>
        <v>-3254671.7068362846</v>
      </c>
      <c r="S1067">
        <f t="shared" si="1027"/>
        <v>-32.546717068362845</v>
      </c>
      <c r="T1067">
        <f t="shared" si="1028"/>
        <v>-3.2546717068362846E-2</v>
      </c>
    </row>
    <row r="1068" spans="1:20" x14ac:dyDescent="0.25">
      <c r="A1068" s="5">
        <v>43525</v>
      </c>
      <c r="B1068">
        <v>0.42359999999999998</v>
      </c>
      <c r="C1068">
        <v>0.43859999999999999</v>
      </c>
      <c r="D1068">
        <v>0.42030000000000001</v>
      </c>
      <c r="E1068">
        <v>0.42849999999999999</v>
      </c>
      <c r="F1068">
        <v>560690.81000000006</v>
      </c>
      <c r="G1068">
        <v>0</v>
      </c>
      <c r="L1068" t="s">
        <v>8</v>
      </c>
      <c r="M1068" t="s">
        <v>7</v>
      </c>
      <c r="N1068" t="s">
        <v>8</v>
      </c>
      <c r="P1068">
        <f t="shared" si="1024"/>
        <v>-0.10382513661202265</v>
      </c>
      <c r="Q1068">
        <f t="shared" si="1025"/>
        <v>-58213.79994535564</v>
      </c>
      <c r="R1068">
        <f t="shared" si="1026"/>
        <v>-3083055.0736704548</v>
      </c>
      <c r="S1068">
        <f t="shared" si="1027"/>
        <v>-30.830550736704549</v>
      </c>
      <c r="T1068">
        <f t="shared" si="1028"/>
        <v>-3.083055073670455E-2</v>
      </c>
    </row>
    <row r="1069" spans="1:20" x14ac:dyDescent="0.25">
      <c r="A1069" s="5">
        <v>43524</v>
      </c>
      <c r="B1069">
        <v>0.4274</v>
      </c>
      <c r="C1069">
        <v>0.45</v>
      </c>
      <c r="D1069">
        <v>0.41660000000000003</v>
      </c>
      <c r="E1069">
        <v>0.4244</v>
      </c>
      <c r="F1069">
        <v>1059968.1299999999</v>
      </c>
      <c r="G1069">
        <v>0</v>
      </c>
      <c r="L1069" t="s">
        <v>8</v>
      </c>
      <c r="M1069" t="s">
        <v>7</v>
      </c>
      <c r="N1069" t="s">
        <v>8</v>
      </c>
      <c r="P1069">
        <f t="shared" si="1024"/>
        <v>-0.53293413173652837</v>
      </c>
      <c r="Q1069">
        <f t="shared" si="1025"/>
        <v>-564893.19502994162</v>
      </c>
      <c r="R1069">
        <f t="shared" si="1026"/>
        <v>-3024841.2737250989</v>
      </c>
      <c r="S1069">
        <f t="shared" si="1027"/>
        <v>-30.248412737250991</v>
      </c>
      <c r="T1069">
        <f t="shared" si="1028"/>
        <v>-3.0248412737250992E-2</v>
      </c>
    </row>
    <row r="1070" spans="1:20" x14ac:dyDescent="0.25">
      <c r="A1070" s="5">
        <v>43523</v>
      </c>
      <c r="B1070">
        <v>0.4335</v>
      </c>
      <c r="C1070">
        <v>0.44119999999999998</v>
      </c>
      <c r="D1070">
        <v>0.41449999999999998</v>
      </c>
      <c r="E1070">
        <v>0.4274</v>
      </c>
      <c r="F1070">
        <v>854212.45</v>
      </c>
      <c r="G1070">
        <v>0</v>
      </c>
      <c r="L1070" t="s">
        <v>7</v>
      </c>
      <c r="M1070" t="s">
        <v>7</v>
      </c>
      <c r="N1070" t="s">
        <v>8</v>
      </c>
      <c r="P1070">
        <f t="shared" si="1024"/>
        <v>-3.3707865168537687E-2</v>
      </c>
      <c r="Q1070">
        <f t="shared" si="1025"/>
        <v>-28793.678089886238</v>
      </c>
      <c r="R1070">
        <f t="shared" si="1026"/>
        <v>-2459948.0786951571</v>
      </c>
      <c r="S1070">
        <f t="shared" si="1027"/>
        <v>-24.59948078695157</v>
      </c>
      <c r="T1070">
        <f t="shared" si="1028"/>
        <v>-2.459948078695157E-2</v>
      </c>
    </row>
    <row r="1071" spans="1:20" x14ac:dyDescent="0.25">
      <c r="A1071" s="5">
        <v>43522</v>
      </c>
      <c r="B1071">
        <v>0.47220000000000001</v>
      </c>
      <c r="C1071">
        <v>0.47399999999999998</v>
      </c>
      <c r="D1071">
        <v>0.43</v>
      </c>
      <c r="E1071">
        <v>0.43409999999999999</v>
      </c>
      <c r="F1071">
        <v>1775526.67</v>
      </c>
      <c r="G1071">
        <v>0</v>
      </c>
      <c r="L1071" t="s">
        <v>7</v>
      </c>
      <c r="M1071" t="s">
        <v>7</v>
      </c>
      <c r="N1071" t="s">
        <v>8</v>
      </c>
      <c r="P1071">
        <f t="shared" si="1024"/>
        <v>-0.81363636363636394</v>
      </c>
      <c r="Q1071">
        <f t="shared" si="1025"/>
        <v>-1444633.0633181822</v>
      </c>
      <c r="R1071">
        <f t="shared" si="1026"/>
        <v>-2431154.4006052706</v>
      </c>
      <c r="S1071">
        <f t="shared" si="1027"/>
        <v>-24.311544006052706</v>
      </c>
      <c r="T1071">
        <f t="shared" si="1028"/>
        <v>-2.4311544006052708E-2</v>
      </c>
    </row>
    <row r="1072" spans="1:20" x14ac:dyDescent="0.25">
      <c r="A1072" s="5">
        <v>43521</v>
      </c>
      <c r="B1072">
        <v>0.4047</v>
      </c>
      <c r="C1072">
        <v>0.47489999999999999</v>
      </c>
      <c r="D1072">
        <v>0.4007</v>
      </c>
      <c r="E1072">
        <v>0.4723</v>
      </c>
      <c r="F1072">
        <v>1785356.21</v>
      </c>
      <c r="G1072">
        <v>0</v>
      </c>
      <c r="L1072" t="s">
        <v>8</v>
      </c>
      <c r="M1072" t="s">
        <v>7</v>
      </c>
      <c r="N1072" t="s">
        <v>8</v>
      </c>
      <c r="P1072">
        <f t="shared" si="1024"/>
        <v>0.9299191374663075</v>
      </c>
      <c r="Q1072">
        <f t="shared" si="1025"/>
        <v>1660236.9068733158</v>
      </c>
      <c r="R1072">
        <f t="shared" si="1026"/>
        <v>-986521.33728708816</v>
      </c>
      <c r="S1072">
        <f t="shared" si="1027"/>
        <v>-9.8652133728708815</v>
      </c>
      <c r="T1072">
        <f t="shared" si="1028"/>
        <v>-9.8652133728708812E-3</v>
      </c>
    </row>
    <row r="1073" spans="1:20" x14ac:dyDescent="0.25">
      <c r="A1073" s="5">
        <v>43520</v>
      </c>
      <c r="B1073">
        <v>0.4592</v>
      </c>
      <c r="C1073">
        <v>0.46439999999999998</v>
      </c>
      <c r="D1073">
        <v>0.39750000000000002</v>
      </c>
      <c r="E1073">
        <v>0.40500000000000003</v>
      </c>
      <c r="F1073">
        <v>2154193.25</v>
      </c>
      <c r="G1073">
        <v>0</v>
      </c>
      <c r="L1073" t="s">
        <v>7</v>
      </c>
      <c r="M1073" t="s">
        <v>7</v>
      </c>
      <c r="N1073" t="s">
        <v>8</v>
      </c>
      <c r="P1073">
        <f t="shared" si="1024"/>
        <v>-0.77578475336322839</v>
      </c>
      <c r="Q1073">
        <f t="shared" si="1025"/>
        <v>-1671190.2791479814</v>
      </c>
      <c r="R1073">
        <f t="shared" si="1026"/>
        <v>-2646758.244160404</v>
      </c>
      <c r="S1073">
        <f t="shared" si="1027"/>
        <v>-26.467582441604041</v>
      </c>
      <c r="T1073">
        <f t="shared" si="1028"/>
        <v>-2.6467582441604041E-2</v>
      </c>
    </row>
    <row r="1074" spans="1:20" x14ac:dyDescent="0.25">
      <c r="A1074" s="5">
        <v>43519</v>
      </c>
      <c r="B1074">
        <v>0.44800000000000001</v>
      </c>
      <c r="C1074">
        <v>0.46400000000000002</v>
      </c>
      <c r="D1074">
        <v>0.44369999999999998</v>
      </c>
      <c r="E1074">
        <v>0.45850000000000002</v>
      </c>
      <c r="F1074">
        <v>925529.64</v>
      </c>
      <c r="G1074">
        <v>0</v>
      </c>
      <c r="L1074" t="s">
        <v>7</v>
      </c>
      <c r="M1074" t="s">
        <v>8</v>
      </c>
      <c r="N1074" t="s">
        <v>8</v>
      </c>
      <c r="P1074">
        <f t="shared" si="1024"/>
        <v>0.4581280788177346</v>
      </c>
      <c r="Q1074">
        <f t="shared" si="1025"/>
        <v>424011.11586206954</v>
      </c>
      <c r="R1074">
        <f t="shared" si="1026"/>
        <v>-975567.96501242265</v>
      </c>
      <c r="S1074">
        <f t="shared" si="1027"/>
        <v>-9.7556796501242271</v>
      </c>
      <c r="T1074">
        <f t="shared" si="1028"/>
        <v>-9.7556796501242268E-3</v>
      </c>
    </row>
    <row r="1075" spans="1:20" x14ac:dyDescent="0.25">
      <c r="A1075" s="5">
        <v>43518</v>
      </c>
      <c r="B1075">
        <v>0.44379999999999997</v>
      </c>
      <c r="C1075">
        <v>0.46500000000000002</v>
      </c>
      <c r="D1075">
        <v>0.44</v>
      </c>
      <c r="E1075">
        <v>0.44790000000000002</v>
      </c>
      <c r="F1075">
        <v>700523.77</v>
      </c>
      <c r="G1075">
        <v>0</v>
      </c>
      <c r="L1075" t="s">
        <v>7</v>
      </c>
      <c r="M1075" t="s">
        <v>8</v>
      </c>
      <c r="N1075" t="s">
        <v>8</v>
      </c>
      <c r="P1075">
        <f t="shared" si="1024"/>
        <v>-0.36799999999999911</v>
      </c>
      <c r="Q1075">
        <f t="shared" si="1025"/>
        <v>-257792.74735999937</v>
      </c>
      <c r="R1075">
        <f t="shared" si="1026"/>
        <v>-1399579.0808744922</v>
      </c>
      <c r="S1075">
        <f t="shared" si="1027"/>
        <v>-13.995790808744921</v>
      </c>
      <c r="T1075">
        <f t="shared" si="1028"/>
        <v>-1.3995790808744921E-2</v>
      </c>
    </row>
    <row r="1076" spans="1:20" x14ac:dyDescent="0.25">
      <c r="A1076" s="5">
        <v>43517</v>
      </c>
      <c r="B1076">
        <v>0.4617</v>
      </c>
      <c r="C1076">
        <v>0.47499999999999998</v>
      </c>
      <c r="D1076">
        <v>0.438</v>
      </c>
      <c r="E1076">
        <v>0.44379999999999997</v>
      </c>
      <c r="F1076">
        <v>1443214.98</v>
      </c>
      <c r="G1076">
        <v>0</v>
      </c>
      <c r="L1076" t="s">
        <v>8</v>
      </c>
      <c r="M1076" t="s">
        <v>8</v>
      </c>
      <c r="N1076" t="s">
        <v>8</v>
      </c>
      <c r="P1076">
        <f t="shared" si="1024"/>
        <v>-0.6864864864864878</v>
      </c>
      <c r="Q1076">
        <f t="shared" si="1025"/>
        <v>-990747.58086486673</v>
      </c>
      <c r="R1076">
        <f t="shared" si="1026"/>
        <v>-1141786.3335144927</v>
      </c>
      <c r="S1076">
        <f t="shared" si="1027"/>
        <v>-11.417863335144927</v>
      </c>
      <c r="T1076">
        <f t="shared" si="1028"/>
        <v>-1.1417863335144928E-2</v>
      </c>
    </row>
    <row r="1077" spans="1:20" x14ac:dyDescent="0.25">
      <c r="A1077" s="5">
        <v>43516</v>
      </c>
      <c r="B1077">
        <v>0.45479999999999998</v>
      </c>
      <c r="C1077">
        <v>0.4748</v>
      </c>
      <c r="D1077">
        <v>0.44319999999999998</v>
      </c>
      <c r="E1077">
        <v>0.46179999999999999</v>
      </c>
      <c r="F1077">
        <v>1358786.28</v>
      </c>
      <c r="G1077">
        <v>0</v>
      </c>
      <c r="L1077" t="s">
        <v>7</v>
      </c>
      <c r="M1077" t="s">
        <v>8</v>
      </c>
      <c r="N1077" t="s">
        <v>8</v>
      </c>
      <c r="P1077">
        <f t="shared" si="1024"/>
        <v>0.17721518987341744</v>
      </c>
      <c r="Q1077">
        <f t="shared" si="1025"/>
        <v>240797.56860759456</v>
      </c>
      <c r="R1077">
        <f t="shared" si="1026"/>
        <v>-151038.75264962608</v>
      </c>
      <c r="S1077">
        <f t="shared" si="1027"/>
        <v>-1.5103875264962607</v>
      </c>
      <c r="T1077">
        <f t="shared" si="1028"/>
        <v>-1.5103875264962608E-3</v>
      </c>
    </row>
    <row r="1078" spans="1:20" x14ac:dyDescent="0.25">
      <c r="A1078" s="5">
        <v>43515</v>
      </c>
      <c r="B1078">
        <v>0.47099999999999997</v>
      </c>
      <c r="C1078">
        <v>0.47889999999999999</v>
      </c>
      <c r="D1078">
        <v>0.45200000000000001</v>
      </c>
      <c r="E1078">
        <v>0.45979999999999999</v>
      </c>
      <c r="F1078">
        <v>1548002.44</v>
      </c>
      <c r="G1078">
        <v>0</v>
      </c>
      <c r="L1078" t="s">
        <v>7</v>
      </c>
      <c r="M1078" t="s">
        <v>8</v>
      </c>
      <c r="N1078" t="s">
        <v>8</v>
      </c>
      <c r="P1078">
        <f t="shared" si="1024"/>
        <v>-0.4200743494423807</v>
      </c>
      <c r="Q1078">
        <f t="shared" si="1025"/>
        <v>-650276.1179182179</v>
      </c>
      <c r="R1078">
        <f t="shared" si="1026"/>
        <v>-391836.32125722064</v>
      </c>
      <c r="S1078">
        <f t="shared" si="1027"/>
        <v>-3.9183632125722063</v>
      </c>
      <c r="T1078">
        <f t="shared" si="1028"/>
        <v>-3.9183632125722066E-3</v>
      </c>
    </row>
    <row r="1079" spans="1:20" x14ac:dyDescent="0.25">
      <c r="A1079" s="5">
        <v>43514</v>
      </c>
      <c r="B1079">
        <v>0.46150000000000002</v>
      </c>
      <c r="C1079">
        <v>0.48230000000000001</v>
      </c>
      <c r="D1079">
        <v>0.45340000000000003</v>
      </c>
      <c r="E1079">
        <v>0.47099999999999997</v>
      </c>
      <c r="F1079">
        <v>1430254.78</v>
      </c>
      <c r="G1079">
        <v>0</v>
      </c>
      <c r="L1079" t="s">
        <v>8</v>
      </c>
      <c r="M1079" t="s">
        <v>8</v>
      </c>
      <c r="N1079" t="s">
        <v>8</v>
      </c>
      <c r="P1079">
        <f t="shared" si="1024"/>
        <v>0.21799307958477235</v>
      </c>
      <c r="Q1079">
        <f t="shared" si="1025"/>
        <v>311785.64408304106</v>
      </c>
      <c r="R1079">
        <f t="shared" si="1026"/>
        <v>258439.79666099726</v>
      </c>
      <c r="S1079">
        <f t="shared" si="1027"/>
        <v>2.5843979666099726</v>
      </c>
      <c r="T1079">
        <f t="shared" si="1028"/>
        <v>2.5843979666099726E-3</v>
      </c>
    </row>
    <row r="1080" spans="1:20" x14ac:dyDescent="0.25">
      <c r="A1080" s="5">
        <v>43513</v>
      </c>
      <c r="B1080">
        <v>0.43859999999999999</v>
      </c>
      <c r="C1080">
        <v>0.47970000000000002</v>
      </c>
      <c r="D1080">
        <v>0.43169999999999997</v>
      </c>
      <c r="E1080">
        <v>0.46039999999999998</v>
      </c>
      <c r="F1080">
        <v>1616509.72</v>
      </c>
      <c r="G1080">
        <v>0</v>
      </c>
      <c r="L1080" t="s">
        <v>8</v>
      </c>
      <c r="M1080" t="s">
        <v>8</v>
      </c>
      <c r="N1080" t="s">
        <v>8</v>
      </c>
      <c r="P1080">
        <f t="shared" si="1024"/>
        <v>0.19583333333333242</v>
      </c>
      <c r="Q1080">
        <f t="shared" si="1025"/>
        <v>316566.48683333182</v>
      </c>
      <c r="R1080">
        <f t="shared" si="1026"/>
        <v>-53345.847422043793</v>
      </c>
      <c r="S1080">
        <f t="shared" si="1027"/>
        <v>-0.53345847422043791</v>
      </c>
      <c r="T1080">
        <f t="shared" si="1028"/>
        <v>-5.3345847422043788E-4</v>
      </c>
    </row>
    <row r="1081" spans="1:20" x14ac:dyDescent="0.25">
      <c r="A1081" s="5">
        <v>43512</v>
      </c>
      <c r="B1081">
        <v>0.43659999999999999</v>
      </c>
      <c r="C1081">
        <v>0.44640000000000002</v>
      </c>
      <c r="D1081">
        <v>0.42509999999999998</v>
      </c>
      <c r="E1081">
        <v>0.43980000000000002</v>
      </c>
      <c r="F1081">
        <v>465491.58</v>
      </c>
      <c r="G1081">
        <v>0</v>
      </c>
      <c r="L1081" t="s">
        <v>8</v>
      </c>
      <c r="M1081" t="s">
        <v>8</v>
      </c>
      <c r="N1081" t="s">
        <v>8</v>
      </c>
      <c r="P1081">
        <f t="shared" si="1024"/>
        <v>0.38028169014084678</v>
      </c>
      <c r="Q1081">
        <f t="shared" si="1025"/>
        <v>177017.92478873319</v>
      </c>
      <c r="R1081">
        <f t="shared" si="1026"/>
        <v>-369912.33425537561</v>
      </c>
      <c r="S1081">
        <f t="shared" si="1027"/>
        <v>-3.6991233425537562</v>
      </c>
      <c r="T1081">
        <f t="shared" si="1028"/>
        <v>-3.6991233425537561E-3</v>
      </c>
    </row>
    <row r="1082" spans="1:20" x14ac:dyDescent="0.25">
      <c r="A1082" s="5">
        <v>43511</v>
      </c>
      <c r="B1082">
        <v>0.42349999999999999</v>
      </c>
      <c r="C1082">
        <v>0.45</v>
      </c>
      <c r="D1082">
        <v>0.42220000000000002</v>
      </c>
      <c r="E1082">
        <v>0.43419999999999997</v>
      </c>
      <c r="F1082">
        <v>612251.80000000005</v>
      </c>
      <c r="G1082">
        <v>0</v>
      </c>
      <c r="L1082" t="s">
        <v>8</v>
      </c>
      <c r="M1082" t="s">
        <v>8</v>
      </c>
      <c r="N1082" t="s">
        <v>8</v>
      </c>
      <c r="P1082">
        <f t="shared" si="1024"/>
        <v>-0.13669064748201734</v>
      </c>
      <c r="Q1082">
        <f t="shared" si="1025"/>
        <v>-83689.094964030592</v>
      </c>
      <c r="R1082">
        <f t="shared" si="1026"/>
        <v>-546930.2590441088</v>
      </c>
      <c r="S1082">
        <f t="shared" si="1027"/>
        <v>-5.4693025904410879</v>
      </c>
      <c r="T1082">
        <f t="shared" si="1028"/>
        <v>-5.4693025904410881E-3</v>
      </c>
    </row>
    <row r="1083" spans="1:20" x14ac:dyDescent="0.25">
      <c r="A1083" s="5">
        <v>43510</v>
      </c>
      <c r="B1083">
        <v>0.44219999999999998</v>
      </c>
      <c r="C1083">
        <v>0.44419999999999998</v>
      </c>
      <c r="D1083">
        <v>0.42030000000000001</v>
      </c>
      <c r="E1083">
        <v>0.4259</v>
      </c>
      <c r="F1083">
        <v>942053.44</v>
      </c>
      <c r="G1083">
        <v>0</v>
      </c>
      <c r="L1083" t="s">
        <v>8</v>
      </c>
      <c r="M1083" t="s">
        <v>8</v>
      </c>
      <c r="N1083" t="s">
        <v>8</v>
      </c>
      <c r="P1083">
        <f t="shared" si="1024"/>
        <v>-0.53138075313807542</v>
      </c>
      <c r="Q1083">
        <f t="shared" si="1025"/>
        <v>-500589.06644351472</v>
      </c>
      <c r="R1083">
        <f t="shared" si="1026"/>
        <v>-463241.16408007819</v>
      </c>
      <c r="S1083">
        <f t="shared" si="1027"/>
        <v>-4.6324116408007816</v>
      </c>
      <c r="T1083">
        <f t="shared" si="1028"/>
        <v>-4.6324116408007817E-3</v>
      </c>
    </row>
    <row r="1084" spans="1:20" x14ac:dyDescent="0.25">
      <c r="A1084" s="5">
        <v>43509</v>
      </c>
      <c r="B1084">
        <v>0.42770000000000002</v>
      </c>
      <c r="C1084">
        <v>0.44540000000000002</v>
      </c>
      <c r="D1084">
        <v>0.41830000000000001</v>
      </c>
      <c r="E1084">
        <v>0.44109999999999999</v>
      </c>
      <c r="F1084">
        <v>935377.38</v>
      </c>
      <c r="G1084">
        <v>0</v>
      </c>
      <c r="L1084" t="s">
        <v>8</v>
      </c>
      <c r="M1084" t="s">
        <v>8</v>
      </c>
      <c r="N1084" t="s">
        <v>8</v>
      </c>
      <c r="P1084">
        <f t="shared" si="1024"/>
        <v>0.68265682656826387</v>
      </c>
      <c r="Q1084">
        <f t="shared" si="1025"/>
        <v>638541.75387453707</v>
      </c>
      <c r="R1084">
        <f t="shared" si="1026"/>
        <v>37347.902363436529</v>
      </c>
      <c r="S1084">
        <f t="shared" si="1027"/>
        <v>0.3734790236343653</v>
      </c>
      <c r="T1084">
        <f t="shared" si="1028"/>
        <v>3.7347902363436532E-4</v>
      </c>
    </row>
    <row r="1085" spans="1:20" x14ac:dyDescent="0.25">
      <c r="A1085" s="5">
        <v>43508</v>
      </c>
      <c r="B1085">
        <v>0.42770000000000002</v>
      </c>
      <c r="C1085">
        <v>0.43740000000000001</v>
      </c>
      <c r="D1085">
        <v>0.41760000000000003</v>
      </c>
      <c r="E1085">
        <v>0.42770000000000002</v>
      </c>
      <c r="F1085">
        <v>941303.58</v>
      </c>
      <c r="G1085">
        <v>0</v>
      </c>
      <c r="L1085" t="s">
        <v>7</v>
      </c>
      <c r="M1085" t="s">
        <v>8</v>
      </c>
      <c r="N1085" t="s">
        <v>8</v>
      </c>
      <c r="P1085">
        <f t="shared" si="1024"/>
        <v>2.0202020202020797E-2</v>
      </c>
      <c r="Q1085">
        <f t="shared" si="1025"/>
        <v>19016.2339393945</v>
      </c>
      <c r="R1085">
        <f t="shared" si="1026"/>
        <v>-601193.85151110054</v>
      </c>
      <c r="S1085">
        <f t="shared" si="1027"/>
        <v>-6.0119385151110052</v>
      </c>
      <c r="T1085">
        <f t="shared" si="1028"/>
        <v>-6.0119385151110056E-3</v>
      </c>
    </row>
    <row r="1086" spans="1:20" x14ac:dyDescent="0.25">
      <c r="A1086" s="5">
        <v>43507</v>
      </c>
      <c r="B1086">
        <v>0.44950000000000001</v>
      </c>
      <c r="C1086">
        <v>0.45150000000000001</v>
      </c>
      <c r="D1086">
        <v>0.42</v>
      </c>
      <c r="E1086">
        <v>0.4289</v>
      </c>
      <c r="F1086">
        <v>1580197.39</v>
      </c>
      <c r="G1086">
        <v>0</v>
      </c>
      <c r="L1086" t="s">
        <v>7</v>
      </c>
      <c r="M1086" t="s">
        <v>8</v>
      </c>
      <c r="N1086" t="s">
        <v>8</v>
      </c>
      <c r="P1086">
        <f t="shared" si="1024"/>
        <v>-0.43492063492063421</v>
      </c>
      <c r="Q1086">
        <f t="shared" si="1025"/>
        <v>-687260.45215872896</v>
      </c>
      <c r="R1086">
        <f t="shared" si="1026"/>
        <v>-620210.08545049501</v>
      </c>
      <c r="S1086">
        <f t="shared" si="1027"/>
        <v>-6.2021008545049501</v>
      </c>
      <c r="T1086">
        <f t="shared" si="1028"/>
        <v>-6.2021008545049498E-3</v>
      </c>
    </row>
    <row r="1087" spans="1:20" x14ac:dyDescent="0.25">
      <c r="A1087" s="5">
        <v>43506</v>
      </c>
      <c r="B1087">
        <v>0.46479999999999999</v>
      </c>
      <c r="C1087">
        <v>0.48</v>
      </c>
      <c r="D1087">
        <v>0.4325</v>
      </c>
      <c r="E1087">
        <v>0.44990000000000002</v>
      </c>
      <c r="F1087">
        <v>2000850.55</v>
      </c>
      <c r="G1087">
        <v>0</v>
      </c>
      <c r="L1087" t="s">
        <v>7</v>
      </c>
      <c r="M1087" t="s">
        <v>8</v>
      </c>
      <c r="N1087" t="s">
        <v>8</v>
      </c>
      <c r="P1087">
        <f t="shared" ref="P1087:P1112" si="1029">IF(C1087=D1087,0,((E1087-D1087)-(C1087-E1087))/(C1087-D1087))</f>
        <v>-0.26736842105263026</v>
      </c>
      <c r="Q1087">
        <f t="shared" ref="Q1087:Q1112" si="1030">F1087*P1087</f>
        <v>-534964.25231578678</v>
      </c>
      <c r="R1087">
        <f t="shared" ref="R1087:R1112" si="1031">R1088+Q1087</f>
        <v>67050.366708233953</v>
      </c>
      <c r="S1087">
        <f t="shared" ref="S1087:S1112" si="1032">R1087/100000</f>
        <v>0.67050366708233955</v>
      </c>
      <c r="T1087">
        <f t="shared" ref="T1087:T1112" si="1033">S1087/1000</f>
        <v>6.7050366708233959E-4</v>
      </c>
    </row>
    <row r="1088" spans="1:20" x14ac:dyDescent="0.25">
      <c r="A1088" s="5">
        <v>43505</v>
      </c>
      <c r="B1088">
        <v>0.43709999999999999</v>
      </c>
      <c r="C1088">
        <v>0.4844</v>
      </c>
      <c r="D1088">
        <v>0.43099999999999999</v>
      </c>
      <c r="E1088">
        <v>0.4612</v>
      </c>
      <c r="F1088">
        <v>1384815.95</v>
      </c>
      <c r="G1088">
        <v>0</v>
      </c>
      <c r="L1088" t="s">
        <v>8</v>
      </c>
      <c r="M1088" t="s">
        <v>8</v>
      </c>
      <c r="N1088" t="s">
        <v>8</v>
      </c>
      <c r="P1088">
        <f t="shared" si="1029"/>
        <v>0.13108614232209748</v>
      </c>
      <c r="Q1088">
        <f t="shared" si="1030"/>
        <v>181530.18071161062</v>
      </c>
      <c r="R1088">
        <f t="shared" si="1031"/>
        <v>602014.61902402074</v>
      </c>
      <c r="S1088">
        <f t="shared" si="1032"/>
        <v>6.0201461902402071</v>
      </c>
      <c r="T1088">
        <f t="shared" si="1033"/>
        <v>6.0201461902402069E-3</v>
      </c>
    </row>
    <row r="1089" spans="1:20" x14ac:dyDescent="0.25">
      <c r="A1089" s="5">
        <v>43504</v>
      </c>
      <c r="B1089">
        <v>0.40210000000000001</v>
      </c>
      <c r="C1089">
        <v>0.45</v>
      </c>
      <c r="D1089">
        <v>0.39850000000000002</v>
      </c>
      <c r="E1089">
        <v>0.43830000000000002</v>
      </c>
      <c r="F1089">
        <v>2015969.58</v>
      </c>
      <c r="G1089">
        <v>0</v>
      </c>
      <c r="L1089" t="s">
        <v>8</v>
      </c>
      <c r="M1089" t="s">
        <v>7</v>
      </c>
      <c r="N1089" t="s">
        <v>7</v>
      </c>
      <c r="P1089">
        <f t="shared" si="1029"/>
        <v>0.54563106796116545</v>
      </c>
      <c r="Q1089">
        <f t="shared" si="1030"/>
        <v>1099975.6349126222</v>
      </c>
      <c r="R1089">
        <f t="shared" si="1031"/>
        <v>420484.43831241014</v>
      </c>
      <c r="S1089">
        <f t="shared" si="1032"/>
        <v>4.2048443831241018</v>
      </c>
      <c r="T1089">
        <f t="shared" si="1033"/>
        <v>4.204844383124102E-3</v>
      </c>
    </row>
    <row r="1090" spans="1:20" x14ac:dyDescent="0.25">
      <c r="A1090" s="5">
        <v>43503</v>
      </c>
      <c r="B1090">
        <v>0.4</v>
      </c>
      <c r="C1090">
        <v>0.40649999999999997</v>
      </c>
      <c r="D1090">
        <v>0.39129999999999998</v>
      </c>
      <c r="E1090">
        <v>0.40210000000000001</v>
      </c>
      <c r="F1090">
        <v>498842.36</v>
      </c>
      <c r="G1090">
        <v>0</v>
      </c>
      <c r="L1090" t="s">
        <v>7</v>
      </c>
      <c r="M1090" t="s">
        <v>7</v>
      </c>
      <c r="N1090" t="s">
        <v>7</v>
      </c>
      <c r="P1090">
        <f t="shared" si="1029"/>
        <v>0.42105263157895234</v>
      </c>
      <c r="Q1090">
        <f t="shared" si="1030"/>
        <v>210038.8884210551</v>
      </c>
      <c r="R1090">
        <f t="shared" si="1031"/>
        <v>-679491.19660021202</v>
      </c>
      <c r="S1090">
        <f t="shared" si="1032"/>
        <v>-6.79491196600212</v>
      </c>
      <c r="T1090">
        <f t="shared" si="1033"/>
        <v>-6.7949119660021201E-3</v>
      </c>
    </row>
    <row r="1091" spans="1:20" x14ac:dyDescent="0.25">
      <c r="A1091" s="5">
        <v>43502</v>
      </c>
      <c r="B1091">
        <v>0.4224</v>
      </c>
      <c r="C1091">
        <v>0.42359999999999998</v>
      </c>
      <c r="D1091">
        <v>0.39150000000000001</v>
      </c>
      <c r="E1091">
        <v>0.4</v>
      </c>
      <c r="F1091">
        <v>1368546.21</v>
      </c>
      <c r="G1091">
        <v>0</v>
      </c>
      <c r="L1091" t="s">
        <v>7</v>
      </c>
      <c r="M1091" t="s">
        <v>7</v>
      </c>
      <c r="N1091" t="s">
        <v>7</v>
      </c>
      <c r="P1091">
        <f t="shared" si="1029"/>
        <v>-0.4704049844236749</v>
      </c>
      <c r="Q1091">
        <f t="shared" si="1030"/>
        <v>-643770.95859812933</v>
      </c>
      <c r="R1091">
        <f t="shared" si="1031"/>
        <v>-889530.08502126718</v>
      </c>
      <c r="S1091">
        <f t="shared" si="1032"/>
        <v>-8.8953008502126725</v>
      </c>
      <c r="T1091">
        <f t="shared" si="1033"/>
        <v>-8.8953008502126729E-3</v>
      </c>
    </row>
    <row r="1092" spans="1:20" x14ac:dyDescent="0.25">
      <c r="A1092" s="5">
        <v>43501</v>
      </c>
      <c r="B1092">
        <v>0.3926</v>
      </c>
      <c r="C1092">
        <v>0.43269999999999997</v>
      </c>
      <c r="D1092">
        <v>0.39019999999999999</v>
      </c>
      <c r="E1092">
        <v>0.4224</v>
      </c>
      <c r="F1092">
        <v>1299107.03</v>
      </c>
      <c r="G1092">
        <v>0</v>
      </c>
      <c r="L1092" t="s">
        <v>8</v>
      </c>
      <c r="M1092" t="s">
        <v>7</v>
      </c>
      <c r="N1092" t="s">
        <v>7</v>
      </c>
      <c r="P1092">
        <f t="shared" si="1029"/>
        <v>0.51529411764705979</v>
      </c>
      <c r="Q1092">
        <f t="shared" si="1030"/>
        <v>669422.21075294248</v>
      </c>
      <c r="R1092">
        <f t="shared" si="1031"/>
        <v>-245759.12642313784</v>
      </c>
      <c r="S1092">
        <f t="shared" si="1032"/>
        <v>-2.4575912642313784</v>
      </c>
      <c r="T1092">
        <f t="shared" si="1033"/>
        <v>-2.4575912642313784E-3</v>
      </c>
    </row>
    <row r="1093" spans="1:20" x14ac:dyDescent="0.25">
      <c r="A1093" s="5">
        <v>43500</v>
      </c>
      <c r="B1093">
        <v>0.39589999999999997</v>
      </c>
      <c r="C1093">
        <v>0.41249999999999998</v>
      </c>
      <c r="D1093">
        <v>0.38669999999999999</v>
      </c>
      <c r="E1093">
        <v>0.39429999999999998</v>
      </c>
      <c r="F1093">
        <v>1449384.96</v>
      </c>
      <c r="G1093">
        <v>0</v>
      </c>
      <c r="L1093" t="s">
        <v>8</v>
      </c>
      <c r="M1093" t="s">
        <v>7</v>
      </c>
      <c r="N1093" t="s">
        <v>7</v>
      </c>
      <c r="P1093">
        <f t="shared" si="1029"/>
        <v>-0.41085271317829469</v>
      </c>
      <c r="Q1093">
        <f t="shared" si="1030"/>
        <v>-595483.74325581407</v>
      </c>
      <c r="R1093">
        <f t="shared" si="1031"/>
        <v>-915181.33717608033</v>
      </c>
      <c r="S1093">
        <f t="shared" si="1032"/>
        <v>-9.1518133717608041</v>
      </c>
      <c r="T1093">
        <f t="shared" si="1033"/>
        <v>-9.1518133717608044E-3</v>
      </c>
    </row>
    <row r="1094" spans="1:20" x14ac:dyDescent="0.25">
      <c r="A1094" s="5">
        <v>43499</v>
      </c>
      <c r="B1094">
        <v>0.41699999999999998</v>
      </c>
      <c r="C1094">
        <v>0.41699999999999998</v>
      </c>
      <c r="D1094">
        <v>0.38600000000000001</v>
      </c>
      <c r="E1094">
        <v>0.39629999999999999</v>
      </c>
      <c r="F1094">
        <v>1065170.56</v>
      </c>
      <c r="G1094">
        <v>0</v>
      </c>
      <c r="L1094" t="s">
        <v>7</v>
      </c>
      <c r="M1094" t="s">
        <v>7</v>
      </c>
      <c r="N1094" t="s">
        <v>7</v>
      </c>
      <c r="P1094">
        <f t="shared" si="1029"/>
        <v>-0.3354838709677429</v>
      </c>
      <c r="Q1094">
        <f t="shared" si="1030"/>
        <v>-357347.54270967847</v>
      </c>
      <c r="R1094">
        <f t="shared" si="1031"/>
        <v>-319697.59392026631</v>
      </c>
      <c r="S1094">
        <f t="shared" si="1032"/>
        <v>-3.1969759392026633</v>
      </c>
      <c r="T1094">
        <f t="shared" si="1033"/>
        <v>-3.1969759392026635E-3</v>
      </c>
    </row>
    <row r="1095" spans="1:20" x14ac:dyDescent="0.25">
      <c r="A1095" s="5">
        <v>43498</v>
      </c>
      <c r="B1095">
        <v>0.4163</v>
      </c>
      <c r="C1095">
        <v>0.433</v>
      </c>
      <c r="D1095">
        <v>0.39850000000000002</v>
      </c>
      <c r="E1095">
        <v>0.41360000000000002</v>
      </c>
      <c r="F1095">
        <v>821033.48</v>
      </c>
      <c r="G1095">
        <v>0</v>
      </c>
      <c r="L1095" t="s">
        <v>7</v>
      </c>
      <c r="M1095" t="s">
        <v>7</v>
      </c>
      <c r="N1095" t="s">
        <v>7</v>
      </c>
      <c r="P1095">
        <f t="shared" si="1029"/>
        <v>-0.12463768115941952</v>
      </c>
      <c r="Q1095">
        <f t="shared" si="1030"/>
        <v>-102331.70910144864</v>
      </c>
      <c r="R1095">
        <f t="shared" si="1031"/>
        <v>37649.94878941217</v>
      </c>
      <c r="S1095">
        <f t="shared" si="1032"/>
        <v>0.37649948789412169</v>
      </c>
      <c r="T1095">
        <f t="shared" si="1033"/>
        <v>3.7649948789412167E-4</v>
      </c>
    </row>
    <row r="1096" spans="1:20" x14ac:dyDescent="0.25">
      <c r="A1096" s="5">
        <v>43497</v>
      </c>
      <c r="B1096">
        <v>0.38500000000000001</v>
      </c>
      <c r="C1096">
        <v>0.43</v>
      </c>
      <c r="D1096">
        <v>0.38</v>
      </c>
      <c r="E1096">
        <v>0.41470000000000001</v>
      </c>
      <c r="F1096">
        <v>1899232.56</v>
      </c>
      <c r="G1096">
        <v>0</v>
      </c>
      <c r="L1096" t="s">
        <v>8</v>
      </c>
      <c r="M1096" t="s">
        <v>7</v>
      </c>
      <c r="N1096" t="s">
        <v>7</v>
      </c>
      <c r="P1096">
        <f t="shared" si="1029"/>
        <v>0.38800000000000068</v>
      </c>
      <c r="Q1096">
        <f t="shared" si="1030"/>
        <v>736902.23328000132</v>
      </c>
      <c r="R1096">
        <f t="shared" si="1031"/>
        <v>139981.65789086081</v>
      </c>
      <c r="S1096">
        <f t="shared" si="1032"/>
        <v>1.3998165789086081</v>
      </c>
      <c r="T1096">
        <f t="shared" si="1033"/>
        <v>1.399816578908608E-3</v>
      </c>
    </row>
    <row r="1097" spans="1:20" x14ac:dyDescent="0.25">
      <c r="A1097" s="5">
        <v>43496</v>
      </c>
      <c r="B1097">
        <v>0.42499999999999999</v>
      </c>
      <c r="C1097">
        <v>0.441</v>
      </c>
      <c r="D1097">
        <v>0.38109999999999999</v>
      </c>
      <c r="E1097">
        <v>0.38319999999999999</v>
      </c>
      <c r="F1097">
        <v>2029033.61</v>
      </c>
      <c r="G1097">
        <v>0</v>
      </c>
      <c r="L1097" t="s">
        <v>7</v>
      </c>
      <c r="M1097" t="s">
        <v>7</v>
      </c>
      <c r="N1097" t="s">
        <v>7</v>
      </c>
      <c r="P1097">
        <f t="shared" si="1029"/>
        <v>-0.92988313856427407</v>
      </c>
      <c r="Q1097">
        <f t="shared" si="1030"/>
        <v>-1886764.1415191994</v>
      </c>
      <c r="R1097">
        <f t="shared" si="1031"/>
        <v>-596920.57538914052</v>
      </c>
      <c r="S1097">
        <f t="shared" si="1032"/>
        <v>-5.969205753891405</v>
      </c>
      <c r="T1097">
        <f t="shared" si="1033"/>
        <v>-5.969205753891405E-3</v>
      </c>
    </row>
    <row r="1098" spans="1:20" x14ac:dyDescent="0.25">
      <c r="A1098" s="5">
        <v>43495</v>
      </c>
      <c r="B1098">
        <v>0.45050000000000001</v>
      </c>
      <c r="C1098">
        <v>0.45140000000000002</v>
      </c>
      <c r="D1098">
        <v>0.41299999999999998</v>
      </c>
      <c r="E1098">
        <v>0.4249</v>
      </c>
      <c r="F1098">
        <v>2092369.59</v>
      </c>
      <c r="G1098">
        <v>0</v>
      </c>
      <c r="L1098" t="s">
        <v>7</v>
      </c>
      <c r="M1098" t="s">
        <v>8</v>
      </c>
      <c r="N1098" t="s">
        <v>7</v>
      </c>
      <c r="P1098">
        <f t="shared" si="1029"/>
        <v>-0.38020833333333293</v>
      </c>
      <c r="Q1098">
        <f t="shared" si="1030"/>
        <v>-795536.35453124915</v>
      </c>
      <c r="R1098">
        <f t="shared" si="1031"/>
        <v>1289843.5661300588</v>
      </c>
      <c r="S1098">
        <f t="shared" si="1032"/>
        <v>12.898435661300589</v>
      </c>
      <c r="T1098">
        <f t="shared" si="1033"/>
        <v>1.2898435661300589E-2</v>
      </c>
    </row>
    <row r="1099" spans="1:20" x14ac:dyDescent="0.25">
      <c r="A1099" s="5">
        <v>43494</v>
      </c>
      <c r="B1099">
        <v>0.41039999999999999</v>
      </c>
      <c r="C1099">
        <v>0.46379999999999999</v>
      </c>
      <c r="D1099">
        <v>0.40610000000000002</v>
      </c>
      <c r="E1099">
        <v>0.45050000000000001</v>
      </c>
      <c r="F1099">
        <v>5190825.37</v>
      </c>
      <c r="G1099">
        <v>0</v>
      </c>
      <c r="L1099" t="s">
        <v>8</v>
      </c>
      <c r="M1099" t="s">
        <v>8</v>
      </c>
      <c r="N1099" t="s">
        <v>7</v>
      </c>
      <c r="P1099">
        <f t="shared" si="1029"/>
        <v>0.53899480069324146</v>
      </c>
      <c r="Q1099">
        <f t="shared" si="1030"/>
        <v>2797827.8857365716</v>
      </c>
      <c r="R1099">
        <f t="shared" si="1031"/>
        <v>2085379.9206613079</v>
      </c>
      <c r="S1099">
        <f t="shared" si="1032"/>
        <v>20.853799206613079</v>
      </c>
      <c r="T1099">
        <f t="shared" si="1033"/>
        <v>2.085379920661308E-2</v>
      </c>
    </row>
    <row r="1100" spans="1:20" x14ac:dyDescent="0.25">
      <c r="A1100" s="5">
        <v>43493</v>
      </c>
      <c r="B1100">
        <v>0.43099999999999999</v>
      </c>
      <c r="C1100">
        <v>0.43130000000000002</v>
      </c>
      <c r="D1100">
        <v>0.35039999999999999</v>
      </c>
      <c r="E1100">
        <v>0.41160000000000002</v>
      </c>
      <c r="F1100">
        <v>4006211.85</v>
      </c>
      <c r="G1100">
        <v>0</v>
      </c>
      <c r="L1100" t="s">
        <v>7</v>
      </c>
      <c r="M1100" t="s">
        <v>7</v>
      </c>
      <c r="N1100" t="s">
        <v>7</v>
      </c>
      <c r="P1100">
        <f t="shared" si="1029"/>
        <v>0.51297898640296691</v>
      </c>
      <c r="Q1100">
        <f t="shared" si="1030"/>
        <v>2055102.4941285551</v>
      </c>
      <c r="R1100">
        <f t="shared" si="1031"/>
        <v>-712447.96507526375</v>
      </c>
      <c r="S1100">
        <f t="shared" si="1032"/>
        <v>-7.1244796507526376</v>
      </c>
      <c r="T1100">
        <f t="shared" si="1033"/>
        <v>-7.1244796507526379E-3</v>
      </c>
    </row>
    <row r="1101" spans="1:20" x14ac:dyDescent="0.25">
      <c r="A1101" s="5">
        <v>43492</v>
      </c>
      <c r="B1101">
        <v>0.46610000000000001</v>
      </c>
      <c r="C1101">
        <v>0.46660000000000001</v>
      </c>
      <c r="D1101">
        <v>0.4229</v>
      </c>
      <c r="E1101">
        <v>0.43030000000000002</v>
      </c>
      <c r="F1101">
        <v>2278919.65</v>
      </c>
      <c r="G1101">
        <v>0</v>
      </c>
      <c r="L1101" t="s">
        <v>7</v>
      </c>
      <c r="M1101" t="s">
        <v>7</v>
      </c>
      <c r="N1101" t="s">
        <v>7</v>
      </c>
      <c r="P1101">
        <f t="shared" si="1029"/>
        <v>-0.66132723112128078</v>
      </c>
      <c r="Q1101">
        <f t="shared" si="1030"/>
        <v>-1507111.6220823782</v>
      </c>
      <c r="R1101">
        <f t="shared" si="1031"/>
        <v>-2767550.4592038188</v>
      </c>
      <c r="S1101">
        <f t="shared" si="1032"/>
        <v>-27.675504592038187</v>
      </c>
      <c r="T1101">
        <f t="shared" si="1033"/>
        <v>-2.7675504592038186E-2</v>
      </c>
    </row>
    <row r="1102" spans="1:20" x14ac:dyDescent="0.25">
      <c r="A1102" s="5">
        <v>43491</v>
      </c>
      <c r="B1102">
        <v>0.47360000000000002</v>
      </c>
      <c r="C1102">
        <v>0.4884</v>
      </c>
      <c r="D1102">
        <v>0.46239999999999998</v>
      </c>
      <c r="E1102">
        <v>0.46610000000000001</v>
      </c>
      <c r="F1102">
        <v>865653.89</v>
      </c>
      <c r="G1102">
        <v>0</v>
      </c>
      <c r="L1102" t="s">
        <v>7</v>
      </c>
      <c r="M1102" t="s">
        <v>7</v>
      </c>
      <c r="N1102" t="s">
        <v>7</v>
      </c>
      <c r="P1102">
        <f t="shared" si="1029"/>
        <v>-0.71538461538461284</v>
      </c>
      <c r="Q1102">
        <f t="shared" si="1030"/>
        <v>-619275.47515384399</v>
      </c>
      <c r="R1102">
        <f t="shared" si="1031"/>
        <v>-1260438.8371214403</v>
      </c>
      <c r="S1102">
        <f t="shared" si="1032"/>
        <v>-12.604388371214403</v>
      </c>
      <c r="T1102">
        <f t="shared" si="1033"/>
        <v>-1.2604388371214404E-2</v>
      </c>
    </row>
    <row r="1103" spans="1:20" x14ac:dyDescent="0.25">
      <c r="A1103" s="5">
        <v>43490</v>
      </c>
      <c r="B1103">
        <v>0.50309999999999999</v>
      </c>
      <c r="C1103">
        <v>0.51570000000000005</v>
      </c>
      <c r="D1103">
        <v>0.47120000000000001</v>
      </c>
      <c r="E1103">
        <v>0.47389999999999999</v>
      </c>
      <c r="F1103">
        <v>1112869.08</v>
      </c>
      <c r="G1103">
        <v>0</v>
      </c>
      <c r="L1103" t="s">
        <v>8</v>
      </c>
      <c r="M1103" t="s">
        <v>7</v>
      </c>
      <c r="N1103" t="s">
        <v>7</v>
      </c>
      <c r="P1103">
        <f t="shared" si="1029"/>
        <v>-0.87865168539325944</v>
      </c>
      <c r="Q1103">
        <f t="shared" si="1030"/>
        <v>-977824.29276404611</v>
      </c>
      <c r="R1103">
        <f t="shared" si="1031"/>
        <v>-641163.36196759634</v>
      </c>
      <c r="S1103">
        <f t="shared" si="1032"/>
        <v>-6.4116336196759631</v>
      </c>
      <c r="T1103">
        <f t="shared" si="1033"/>
        <v>-6.4116336196759632E-3</v>
      </c>
    </row>
    <row r="1104" spans="1:20" x14ac:dyDescent="0.25">
      <c r="A1104" s="5">
        <v>43489</v>
      </c>
      <c r="B1104">
        <v>0.50460000000000005</v>
      </c>
      <c r="C1104">
        <v>0.50649999999999995</v>
      </c>
      <c r="D1104">
        <v>0.45179999999999998</v>
      </c>
      <c r="E1104">
        <v>0.50170000000000003</v>
      </c>
      <c r="F1104">
        <v>1529219.53</v>
      </c>
      <c r="G1104">
        <v>0</v>
      </c>
      <c r="L1104" t="s">
        <v>7</v>
      </c>
      <c r="M1104" t="s">
        <v>7</v>
      </c>
      <c r="N1104" t="s">
        <v>7</v>
      </c>
      <c r="P1104">
        <f t="shared" si="1029"/>
        <v>0.82449725776965566</v>
      </c>
      <c r="Q1104">
        <f t="shared" si="1030"/>
        <v>1260837.3090128016</v>
      </c>
      <c r="R1104">
        <f t="shared" si="1031"/>
        <v>336660.93079644977</v>
      </c>
      <c r="S1104">
        <f t="shared" si="1032"/>
        <v>3.3666093079644979</v>
      </c>
      <c r="T1104">
        <f t="shared" si="1033"/>
        <v>3.3666093079644977E-3</v>
      </c>
    </row>
    <row r="1105" spans="1:20" x14ac:dyDescent="0.25">
      <c r="A1105" s="5">
        <v>43488</v>
      </c>
      <c r="B1105">
        <v>0.53420000000000001</v>
      </c>
      <c r="C1105">
        <v>0.54749999999999999</v>
      </c>
      <c r="D1105">
        <v>0.49009999999999998</v>
      </c>
      <c r="E1105">
        <v>0.50460000000000005</v>
      </c>
      <c r="F1105">
        <v>1827069.39</v>
      </c>
      <c r="G1105">
        <v>0</v>
      </c>
      <c r="L1105" t="s">
        <v>7</v>
      </c>
      <c r="M1105" t="s">
        <v>8</v>
      </c>
      <c r="N1105" t="s">
        <v>7</v>
      </c>
      <c r="P1105">
        <f t="shared" si="1029"/>
        <v>-0.49477351916376072</v>
      </c>
      <c r="Q1105">
        <f t="shared" si="1030"/>
        <v>-903985.55184668559</v>
      </c>
      <c r="R1105">
        <f t="shared" si="1031"/>
        <v>-924176.37821635185</v>
      </c>
      <c r="S1105">
        <f t="shared" si="1032"/>
        <v>-9.2417637821635186</v>
      </c>
      <c r="T1105">
        <f t="shared" si="1033"/>
        <v>-9.241763782163518E-3</v>
      </c>
    </row>
    <row r="1106" spans="1:20" x14ac:dyDescent="0.25">
      <c r="A1106" s="5">
        <v>43487</v>
      </c>
      <c r="B1106">
        <v>0.496</v>
      </c>
      <c r="C1106">
        <v>0.56559999999999999</v>
      </c>
      <c r="D1106">
        <v>0.49559999999999998</v>
      </c>
      <c r="E1106">
        <v>0.53439999999999999</v>
      </c>
      <c r="F1106">
        <v>1784953.5</v>
      </c>
      <c r="G1106">
        <v>0</v>
      </c>
      <c r="L1106" t="s">
        <v>8</v>
      </c>
      <c r="M1106" t="s">
        <v>8</v>
      </c>
      <c r="N1106" t="s">
        <v>7</v>
      </c>
      <c r="P1106">
        <f t="shared" si="1029"/>
        <v>0.1085714285714285</v>
      </c>
      <c r="Q1106">
        <f t="shared" si="1030"/>
        <v>193794.95142857131</v>
      </c>
      <c r="R1106">
        <f t="shared" si="1031"/>
        <v>-20190.826369666262</v>
      </c>
      <c r="S1106">
        <f t="shared" si="1032"/>
        <v>-0.20190826369666262</v>
      </c>
      <c r="T1106">
        <f t="shared" si="1033"/>
        <v>-2.0190826369666262E-4</v>
      </c>
    </row>
    <row r="1107" spans="1:20" x14ac:dyDescent="0.25">
      <c r="A1107" s="5">
        <v>43486</v>
      </c>
      <c r="B1107">
        <v>0.4839</v>
      </c>
      <c r="C1107">
        <v>0.51980000000000004</v>
      </c>
      <c r="D1107">
        <v>0.46500000000000002</v>
      </c>
      <c r="E1107">
        <v>0.49719999999999998</v>
      </c>
      <c r="F1107">
        <v>897787.84</v>
      </c>
      <c r="G1107">
        <v>0</v>
      </c>
      <c r="L1107" t="s">
        <v>8</v>
      </c>
      <c r="M1107" t="s">
        <v>7</v>
      </c>
      <c r="N1107" t="s">
        <v>7</v>
      </c>
      <c r="P1107">
        <f t="shared" si="1029"/>
        <v>0.17518248175182269</v>
      </c>
      <c r="Q1107">
        <f t="shared" si="1030"/>
        <v>157276.70189780829</v>
      </c>
      <c r="R1107">
        <f t="shared" si="1031"/>
        <v>-213985.77779823757</v>
      </c>
      <c r="S1107">
        <f t="shared" si="1032"/>
        <v>-2.1398577779823755</v>
      </c>
      <c r="T1107">
        <f t="shared" si="1033"/>
        <v>-2.1398577779823754E-3</v>
      </c>
    </row>
    <row r="1108" spans="1:20" x14ac:dyDescent="0.25">
      <c r="A1108" s="5">
        <v>43485</v>
      </c>
      <c r="B1108">
        <v>0.4803</v>
      </c>
      <c r="C1108">
        <v>0.49199999999999999</v>
      </c>
      <c r="D1108">
        <v>0.45900000000000002</v>
      </c>
      <c r="E1108">
        <v>0.4834</v>
      </c>
      <c r="F1108">
        <v>677499.56</v>
      </c>
      <c r="G1108">
        <v>0</v>
      </c>
      <c r="L1108" t="s">
        <v>7</v>
      </c>
      <c r="M1108" t="s">
        <v>7</v>
      </c>
      <c r="N1108" t="s">
        <v>7</v>
      </c>
      <c r="P1108">
        <f t="shared" si="1029"/>
        <v>0.4787878787878786</v>
      </c>
      <c r="Q1108">
        <f t="shared" si="1030"/>
        <v>324378.5772121211</v>
      </c>
      <c r="R1108">
        <f t="shared" si="1031"/>
        <v>-371262.47969604586</v>
      </c>
      <c r="S1108">
        <f t="shared" si="1032"/>
        <v>-3.7126247969604584</v>
      </c>
      <c r="T1108">
        <f t="shared" si="1033"/>
        <v>-3.7126247969604584E-3</v>
      </c>
    </row>
    <row r="1109" spans="1:20" x14ac:dyDescent="0.25">
      <c r="A1109" s="5">
        <v>43484</v>
      </c>
      <c r="B1109">
        <v>0.49080000000000001</v>
      </c>
      <c r="C1109">
        <v>0.5</v>
      </c>
      <c r="D1109">
        <v>0.46729999999999999</v>
      </c>
      <c r="E1109">
        <v>0.48309999999999997</v>
      </c>
      <c r="F1109">
        <v>735443.2</v>
      </c>
      <c r="G1109">
        <v>0</v>
      </c>
      <c r="L1109" t="s">
        <v>8</v>
      </c>
      <c r="M1109" t="s">
        <v>7</v>
      </c>
      <c r="N1109" t="s">
        <v>7</v>
      </c>
      <c r="P1109">
        <f t="shared" si="1029"/>
        <v>-3.3639143730888228E-2</v>
      </c>
      <c r="Q1109">
        <f t="shared" si="1030"/>
        <v>-24739.679510704376</v>
      </c>
      <c r="R1109">
        <f t="shared" si="1031"/>
        <v>-695641.05690816697</v>
      </c>
      <c r="S1109">
        <f t="shared" si="1032"/>
        <v>-6.9564105690816698</v>
      </c>
      <c r="T1109">
        <f t="shared" si="1033"/>
        <v>-6.9564105690816695E-3</v>
      </c>
    </row>
    <row r="1110" spans="1:20" x14ac:dyDescent="0.25">
      <c r="A1110" s="5">
        <v>43483</v>
      </c>
      <c r="B1110">
        <v>0.47620000000000001</v>
      </c>
      <c r="C1110">
        <v>0.51119999999999999</v>
      </c>
      <c r="D1110">
        <v>0.46010000000000001</v>
      </c>
      <c r="E1110">
        <v>0.4894</v>
      </c>
      <c r="F1110">
        <v>984417.59</v>
      </c>
      <c r="G1110">
        <v>0</v>
      </c>
      <c r="L1110" t="s">
        <v>7</v>
      </c>
      <c r="M1110" t="s">
        <v>7</v>
      </c>
      <c r="N1110" t="s">
        <v>7</v>
      </c>
      <c r="P1110">
        <f t="shared" si="1029"/>
        <v>0.14677103718199627</v>
      </c>
      <c r="Q1110">
        <f t="shared" si="1030"/>
        <v>144483.99070450116</v>
      </c>
      <c r="R1110">
        <f t="shared" si="1031"/>
        <v>-670901.37739746261</v>
      </c>
      <c r="S1110">
        <f t="shared" si="1032"/>
        <v>-6.7090137739746263</v>
      </c>
      <c r="T1110">
        <f t="shared" si="1033"/>
        <v>-6.7090137739746264E-3</v>
      </c>
    </row>
    <row r="1111" spans="1:20" x14ac:dyDescent="0.25">
      <c r="A1111" s="5">
        <v>43482</v>
      </c>
      <c r="B1111">
        <v>0.48949999999999999</v>
      </c>
      <c r="C1111">
        <v>0.49530000000000002</v>
      </c>
      <c r="D1111">
        <v>0.46389999999999998</v>
      </c>
      <c r="E1111">
        <v>0.47560000000000002</v>
      </c>
      <c r="F1111">
        <v>1411725.35</v>
      </c>
      <c r="G1111">
        <v>0</v>
      </c>
      <c r="L1111" t="s">
        <v>7</v>
      </c>
      <c r="M1111" t="s">
        <v>7</v>
      </c>
      <c r="N1111" t="s">
        <v>7</v>
      </c>
      <c r="P1111">
        <f t="shared" si="1029"/>
        <v>-0.25477707006369243</v>
      </c>
      <c r="Q1111">
        <f t="shared" si="1030"/>
        <v>-359675.24840764073</v>
      </c>
      <c r="R1111">
        <f t="shared" si="1031"/>
        <v>-815385.36810196377</v>
      </c>
      <c r="S1111">
        <f t="shared" si="1032"/>
        <v>-8.1538536810196369</v>
      </c>
      <c r="T1111">
        <f t="shared" si="1033"/>
        <v>-8.1538536810196374E-3</v>
      </c>
    </row>
    <row r="1112" spans="1:20" x14ac:dyDescent="0.25">
      <c r="A1112" s="5">
        <v>43481</v>
      </c>
      <c r="B1112">
        <v>0.53549999999999998</v>
      </c>
      <c r="C1112">
        <v>0.53549999999999998</v>
      </c>
      <c r="D1112">
        <v>0.46679999999999999</v>
      </c>
      <c r="E1112">
        <v>0.48949999999999999</v>
      </c>
      <c r="F1112">
        <v>1343660.31</v>
      </c>
      <c r="G1112">
        <v>0</v>
      </c>
      <c r="P1112">
        <f t="shared" si="1029"/>
        <v>-0.3391557496360989</v>
      </c>
      <c r="Q1112">
        <f t="shared" si="1030"/>
        <v>-455710.11969432305</v>
      </c>
      <c r="R1112">
        <f t="shared" si="1031"/>
        <v>-455710.11969432305</v>
      </c>
      <c r="S1112">
        <f t="shared" si="1032"/>
        <v>-4.5571011969432309</v>
      </c>
      <c r="T1112">
        <f t="shared" si="1033"/>
        <v>-4.5571011969432309E-3</v>
      </c>
    </row>
    <row r="1113" spans="1:20" x14ac:dyDescent="0.25">
      <c r="A1113" s="5"/>
      <c r="C1113"/>
      <c r="D1113"/>
    </row>
    <row r="1114" spans="1:20" x14ac:dyDescent="0.25">
      <c r="A1114" s="5"/>
      <c r="C1114"/>
      <c r="D1114"/>
    </row>
    <row r="1115" spans="1:20" x14ac:dyDescent="0.25">
      <c r="A1115" s="5"/>
      <c r="C1115"/>
      <c r="D1115"/>
    </row>
    <row r="1116" spans="1:20" x14ac:dyDescent="0.25">
      <c r="A1116" s="5"/>
      <c r="C1116"/>
      <c r="D1116"/>
    </row>
    <row r="1117" spans="1:20" x14ac:dyDescent="0.25">
      <c r="A1117" s="5"/>
      <c r="C1117"/>
      <c r="D1117"/>
    </row>
    <row r="1118" spans="1:20" x14ac:dyDescent="0.25">
      <c r="A1118" s="5"/>
      <c r="C1118"/>
      <c r="D1118"/>
    </row>
    <row r="1119" spans="1:20" x14ac:dyDescent="0.25">
      <c r="A1119" s="5"/>
      <c r="C1119"/>
      <c r="D1119"/>
    </row>
    <row r="1120" spans="1:20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SZ451" sqref="SZ45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$A$450</v>
      </c>
      <c r="D111" s="1" t="str">
        <f>ADDRESS(C121-1,D121,1,1)</f>
        <v>$SZ$450</v>
      </c>
      <c r="E111"/>
    </row>
    <row r="112" spans="1:5" x14ac:dyDescent="0.25">
      <c r="A112" s="7">
        <v>12164.144957890772</v>
      </c>
      <c r="C112" s="1" t="str">
        <f>ADDRESS(C121,1,1,1)</f>
        <v>$A$451</v>
      </c>
      <c r="D112" s="1" t="str">
        <f>ADDRESS(C121,D121-1,1,1)</f>
        <v>$SY$451</v>
      </c>
      <c r="E112"/>
    </row>
    <row r="113" spans="1:5" x14ac:dyDescent="0.25">
      <c r="A113" s="7">
        <v>11925.63231165762</v>
      </c>
      <c r="C113" s="1" t="str">
        <f>ADDRESS(C121+1,1,1,1)</f>
        <v>$A$452</v>
      </c>
      <c r="D113" s="1" t="str">
        <f>ADDRESS(C121-1,D121+1,1,1)</f>
        <v>$TA$450</v>
      </c>
    </row>
    <row r="114" spans="1:5" x14ac:dyDescent="0.25">
      <c r="A114" s="7">
        <v>11691.796383978059</v>
      </c>
      <c r="C114" s="1" t="str">
        <f>ADDRESS(C121,D121,1,1)</f>
        <v>$SZ$451</v>
      </c>
      <c r="D114" s="1" t="str">
        <f>ADDRESS(C121+1,D121+1,1,1)</f>
        <v>$TA$452</v>
      </c>
    </row>
    <row r="115" spans="1:5" x14ac:dyDescent="0.25">
      <c r="A115" s="7">
        <v>11462.545474488292</v>
      </c>
      <c r="C115" s="1" t="str">
        <f>ADDRESS(C121+1,D121,1,1)</f>
        <v>$SZ$452</v>
      </c>
    </row>
    <row r="116" spans="1:5" x14ac:dyDescent="0.25">
      <c r="A116" s="7">
        <v>11237.789680870874</v>
      </c>
      <c r="C116" s="1">
        <f>C117-1</f>
        <v>450</v>
      </c>
    </row>
    <row r="117" spans="1:5" x14ac:dyDescent="0.25">
      <c r="A117" s="7">
        <v>11017.440863598895</v>
      </c>
      <c r="C117" s="1">
        <f>C121</f>
        <v>451</v>
      </c>
      <c r="D117" s="1">
        <f>D121</f>
        <v>520</v>
      </c>
    </row>
    <row r="118" spans="1:5" x14ac:dyDescent="0.25">
      <c r="A118" s="7">
        <v>10801.412611371465</v>
      </c>
      <c r="C118" s="1">
        <f>C117+1</f>
        <v>452</v>
      </c>
      <c r="D118" s="1">
        <f>D117+1</f>
        <v>521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451</v>
      </c>
      <c r="D121" s="19">
        <v>520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R451</v>
      </c>
      <c r="D123" s="1" t="str">
        <f>"C"&amp;D121</f>
        <v>C520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14.77826192632207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406" x14ac:dyDescent="0.25">
      <c r="A385" s="7">
        <v>54.605287232808607</v>
      </c>
      <c r="B385"/>
      <c r="C385"/>
      <c r="D385"/>
      <c r="E385"/>
    </row>
    <row r="386" spans="1:406" x14ac:dyDescent="0.25">
      <c r="A386" s="7">
        <v>53.534595326282947</v>
      </c>
      <c r="B386"/>
      <c r="C386"/>
      <c r="D386"/>
      <c r="E386"/>
    </row>
    <row r="387" spans="1:406" x14ac:dyDescent="0.25">
      <c r="A387" s="7">
        <v>52.484897378708773</v>
      </c>
      <c r="B387"/>
      <c r="C387"/>
      <c r="D387"/>
      <c r="E387"/>
      <c r="OK387" s="27" t="s">
        <v>8</v>
      </c>
    </row>
    <row r="388" spans="1:406" x14ac:dyDescent="0.25">
      <c r="A388" s="7">
        <v>51.455781743832127</v>
      </c>
      <c r="B388"/>
      <c r="C388"/>
      <c r="D388"/>
      <c r="E388"/>
      <c r="OI388" s="27" t="s">
        <v>8</v>
      </c>
      <c r="OK388" s="27" t="s">
        <v>8</v>
      </c>
      <c r="OL388" s="27" t="s">
        <v>7</v>
      </c>
    </row>
    <row r="389" spans="1:406" x14ac:dyDescent="0.25">
      <c r="A389" s="7">
        <v>50.446844846894244</v>
      </c>
      <c r="B389"/>
      <c r="C389"/>
      <c r="D389"/>
      <c r="E389"/>
      <c r="OG389" s="27" t="s">
        <v>8</v>
      </c>
      <c r="OI389" s="27" t="s">
        <v>8</v>
      </c>
      <c r="OJ389" s="27" t="s">
        <v>7</v>
      </c>
      <c r="OK389" s="27" t="s">
        <v>8</v>
      </c>
      <c r="OL389" s="27" t="s">
        <v>7</v>
      </c>
    </row>
    <row r="390" spans="1:406" x14ac:dyDescent="0.25">
      <c r="A390" s="7">
        <v>49.457691026366902</v>
      </c>
      <c r="B390"/>
      <c r="C390"/>
      <c r="D390"/>
      <c r="E390"/>
      <c r="OG390" s="27" t="s">
        <v>8</v>
      </c>
      <c r="OH390" s="27" t="s">
        <v>7</v>
      </c>
      <c r="OI390" s="27" t="s">
        <v>8</v>
      </c>
      <c r="OJ390" s="27" t="s">
        <v>7</v>
      </c>
      <c r="OK390" s="27" t="s">
        <v>8</v>
      </c>
      <c r="OL390" s="27" t="s">
        <v>7</v>
      </c>
    </row>
    <row r="391" spans="1:406" x14ac:dyDescent="0.25">
      <c r="A391" s="7">
        <v>48.487932378791079</v>
      </c>
      <c r="B391"/>
      <c r="C391"/>
      <c r="D391"/>
      <c r="E391"/>
      <c r="OG391" s="27" t="s">
        <v>8</v>
      </c>
      <c r="OH391" s="27" t="s">
        <v>7</v>
      </c>
      <c r="OI391" s="27" t="s">
        <v>8</v>
      </c>
      <c r="OJ391" s="27" t="s">
        <v>7</v>
      </c>
      <c r="OK391" s="27" t="s">
        <v>8</v>
      </c>
      <c r="OL391" s="27" t="s">
        <v>7</v>
      </c>
    </row>
    <row r="392" spans="1:406" x14ac:dyDescent="0.25">
      <c r="A392" s="7">
        <v>47.537188606657921</v>
      </c>
      <c r="B392"/>
      <c r="C392"/>
      <c r="D392"/>
      <c r="E392"/>
      <c r="OG392" s="27" t="s">
        <v>8</v>
      </c>
      <c r="OH392" s="27" t="s">
        <v>7</v>
      </c>
      <c r="OI392" s="27" t="s">
        <v>8</v>
      </c>
      <c r="OJ392" s="27" t="s">
        <v>7</v>
      </c>
      <c r="OK392" s="27" t="s">
        <v>8</v>
      </c>
      <c r="OL392" s="27" t="s">
        <v>7</v>
      </c>
      <c r="OM392" s="27" t="s">
        <v>8</v>
      </c>
    </row>
    <row r="393" spans="1:406" x14ac:dyDescent="0.25">
      <c r="A393" s="7">
        <v>46.605086869272469</v>
      </c>
      <c r="B393"/>
      <c r="C393"/>
      <c r="D393"/>
      <c r="E393"/>
      <c r="OG393" s="27" t="s">
        <v>8</v>
      </c>
      <c r="OH393" s="27" t="s">
        <v>7</v>
      </c>
      <c r="OI393" s="27" t="s">
        <v>8</v>
      </c>
      <c r="OJ393" s="27" t="s">
        <v>7</v>
      </c>
      <c r="OL393" s="27" t="s">
        <v>7</v>
      </c>
      <c r="OM393" s="27" t="s">
        <v>8</v>
      </c>
      <c r="ON393" s="27" t="s">
        <v>7</v>
      </c>
    </row>
    <row r="394" spans="1:406" x14ac:dyDescent="0.25">
      <c r="A394" s="7">
        <v>45.691261636541633</v>
      </c>
      <c r="B394"/>
      <c r="C394"/>
      <c r="D394"/>
      <c r="E394"/>
      <c r="OG394" s="27" t="s">
        <v>8</v>
      </c>
      <c r="OH394" s="27" t="s">
        <v>7</v>
      </c>
      <c r="OL394" s="27" t="s">
        <v>7</v>
      </c>
      <c r="OM394" s="27" t="s">
        <v>8</v>
      </c>
      <c r="ON394" s="27" t="s">
        <v>7</v>
      </c>
    </row>
    <row r="395" spans="1:406" x14ac:dyDescent="0.25">
      <c r="A395" s="7">
        <v>44.795354545629053</v>
      </c>
      <c r="B395"/>
      <c r="C395"/>
      <c r="D395"/>
      <c r="E395"/>
      <c r="OG395" s="27" t="s">
        <v>8</v>
      </c>
      <c r="OL395" s="27" t="s">
        <v>7</v>
      </c>
      <c r="OM395" s="27" t="s">
        <v>8</v>
      </c>
      <c r="ON395" s="27" t="s">
        <v>7</v>
      </c>
    </row>
    <row r="396" spans="1:406" x14ac:dyDescent="0.25">
      <c r="A396" s="7">
        <v>43.917014260420636</v>
      </c>
      <c r="B396"/>
      <c r="C396"/>
      <c r="D396"/>
      <c r="E396"/>
      <c r="NU396" s="27" t="s">
        <v>8</v>
      </c>
      <c r="NW396" s="27" t="s">
        <v>8</v>
      </c>
      <c r="OG396" s="27" t="s">
        <v>8</v>
      </c>
      <c r="OL396" s="27" t="s">
        <v>7</v>
      </c>
      <c r="OM396" s="27" t="s">
        <v>8</v>
      </c>
      <c r="ON396" s="27" t="s">
        <v>7</v>
      </c>
      <c r="OO396" s="27" t="s">
        <v>8</v>
      </c>
    </row>
    <row r="397" spans="1:406" x14ac:dyDescent="0.25">
      <c r="A397" s="7">
        <v>43.055896333745721</v>
      </c>
      <c r="B397"/>
      <c r="C397"/>
      <c r="D397"/>
      <c r="E397"/>
      <c r="NU397" s="27" t="s">
        <v>8</v>
      </c>
      <c r="NV397" s="27" t="s">
        <v>7</v>
      </c>
      <c r="NW397" s="27" t="s">
        <v>8</v>
      </c>
      <c r="NX397" s="27" t="s">
        <v>7</v>
      </c>
      <c r="OG397" s="27" t="s">
        <v>8</v>
      </c>
      <c r="OL397" s="27" t="s">
        <v>7</v>
      </c>
      <c r="OM397" s="27" t="s">
        <v>8</v>
      </c>
      <c r="ON397" s="27" t="s">
        <v>7</v>
      </c>
      <c r="OO397" s="27" t="s">
        <v>8</v>
      </c>
      <c r="OP397" s="27" t="s">
        <v>7</v>
      </c>
    </row>
    <row r="398" spans="1:406" x14ac:dyDescent="0.25">
      <c r="A398" s="7">
        <v>42.211663072299729</v>
      </c>
      <c r="B398"/>
      <c r="C398"/>
      <c r="D398"/>
      <c r="E398"/>
      <c r="NU398" s="27" t="s">
        <v>8</v>
      </c>
      <c r="NV398" s="27" t="s">
        <v>7</v>
      </c>
      <c r="NW398" s="27" t="s">
        <v>8</v>
      </c>
      <c r="NX398" s="27" t="s">
        <v>7</v>
      </c>
      <c r="OG398" s="27" t="s">
        <v>8</v>
      </c>
      <c r="OL398" s="27" t="s">
        <v>7</v>
      </c>
      <c r="OM398" s="27" t="s">
        <v>8</v>
      </c>
      <c r="ON398" s="27" t="s">
        <v>7</v>
      </c>
      <c r="OO398" s="27" t="s">
        <v>8</v>
      </c>
      <c r="OP398" s="27" t="s">
        <v>7</v>
      </c>
    </row>
    <row r="399" spans="1:406" x14ac:dyDescent="0.25">
      <c r="A399" s="7">
        <v>41.383983404215421</v>
      </c>
      <c r="B399"/>
      <c r="C399"/>
      <c r="D399"/>
      <c r="E399"/>
      <c r="NU399" s="27" t="s">
        <v>8</v>
      </c>
      <c r="NV399" s="27" t="s">
        <v>7</v>
      </c>
      <c r="NW399" s="27" t="s">
        <v>8</v>
      </c>
      <c r="NX399" s="27" t="s">
        <v>7</v>
      </c>
      <c r="NY399" s="27" t="s">
        <v>8</v>
      </c>
      <c r="OG399" s="27" t="s">
        <v>8</v>
      </c>
      <c r="OL399" s="27" t="s">
        <v>7</v>
      </c>
      <c r="OM399" s="27" t="s">
        <v>8</v>
      </c>
      <c r="ON399" s="27" t="s">
        <v>7</v>
      </c>
      <c r="OO399" s="27" t="s">
        <v>8</v>
      </c>
      <c r="OP399" s="27" t="s">
        <v>7</v>
      </c>
    </row>
    <row r="400" spans="1:406" x14ac:dyDescent="0.25">
      <c r="A400" s="7">
        <v>40.572532749230803</v>
      </c>
      <c r="B400"/>
      <c r="C400"/>
      <c r="D400"/>
      <c r="E400"/>
      <c r="NU400" s="27" t="s">
        <v>8</v>
      </c>
      <c r="NV400" s="27" t="s">
        <v>7</v>
      </c>
      <c r="NW400" s="27" t="s">
        <v>8</v>
      </c>
      <c r="NX400" s="27" t="s">
        <v>7</v>
      </c>
      <c r="NY400" s="27" t="s">
        <v>8</v>
      </c>
      <c r="NZ400" s="27" t="s">
        <v>7</v>
      </c>
      <c r="OA400" s="27" t="s">
        <v>8</v>
      </c>
      <c r="OG400" s="27" t="s">
        <v>8</v>
      </c>
      <c r="OL400" s="27" t="s">
        <v>7</v>
      </c>
      <c r="OM400" s="27" t="s">
        <v>8</v>
      </c>
      <c r="ON400" s="27" t="s">
        <v>7</v>
      </c>
      <c r="OO400" s="27" t="s">
        <v>8</v>
      </c>
      <c r="OP400" s="27" t="s">
        <v>7</v>
      </c>
    </row>
    <row r="401" spans="1:490" x14ac:dyDescent="0.25">
      <c r="A401" s="7">
        <v>39.776992891402749</v>
      </c>
      <c r="B401"/>
      <c r="C401"/>
      <c r="D401"/>
      <c r="E401"/>
      <c r="NU401" s="27" t="s">
        <v>8</v>
      </c>
      <c r="NV401" s="27" t="s">
        <v>7</v>
      </c>
      <c r="NW401" s="27" t="s">
        <v>8</v>
      </c>
      <c r="NX401" s="27" t="s">
        <v>7</v>
      </c>
      <c r="NY401" s="27" t="s">
        <v>8</v>
      </c>
      <c r="NZ401" s="27" t="s">
        <v>7</v>
      </c>
      <c r="OA401" s="27" t="s">
        <v>8</v>
      </c>
      <c r="OB401" s="27" t="s">
        <v>7</v>
      </c>
      <c r="OG401" s="27" t="s">
        <v>8</v>
      </c>
      <c r="OL401" s="27" t="s">
        <v>7</v>
      </c>
      <c r="ON401" s="27" t="s">
        <v>7</v>
      </c>
      <c r="OO401" s="27" t="s">
        <v>8</v>
      </c>
      <c r="OP401" s="27" t="s">
        <v>7</v>
      </c>
    </row>
    <row r="402" spans="1:490" x14ac:dyDescent="0.25">
      <c r="A402" s="7">
        <v>38.997051854316418</v>
      </c>
      <c r="B402"/>
      <c r="C402"/>
      <c r="D402"/>
      <c r="E402"/>
      <c r="NU402" s="27" t="s">
        <v>8</v>
      </c>
      <c r="NV402" s="27" t="s">
        <v>7</v>
      </c>
      <c r="NX402" s="27" t="s">
        <v>7</v>
      </c>
      <c r="NY402" s="27" t="s">
        <v>8</v>
      </c>
      <c r="NZ402" s="27" t="s">
        <v>7</v>
      </c>
      <c r="OA402" s="27" t="s">
        <v>8</v>
      </c>
      <c r="OB402" s="27" t="s">
        <v>7</v>
      </c>
      <c r="OG402" s="27" t="s">
        <v>8</v>
      </c>
      <c r="ON402" s="27" t="s">
        <v>7</v>
      </c>
      <c r="OO402" s="27" t="s">
        <v>8</v>
      </c>
      <c r="OP402" s="27" t="s">
        <v>7</v>
      </c>
    </row>
    <row r="403" spans="1:490" x14ac:dyDescent="0.25">
      <c r="A403" s="7">
        <v>38.232403778741585</v>
      </c>
      <c r="B403"/>
      <c r="C403"/>
      <c r="D403"/>
      <c r="E403"/>
      <c r="NU403" s="27" t="s">
        <v>8</v>
      </c>
      <c r="NX403" s="27" t="s">
        <v>7</v>
      </c>
      <c r="NY403" s="27" t="s">
        <v>8</v>
      </c>
      <c r="NZ403" s="27" t="s">
        <v>7</v>
      </c>
      <c r="OA403" s="27" t="s">
        <v>8</v>
      </c>
      <c r="OB403" s="27" t="s">
        <v>7</v>
      </c>
      <c r="OG403" s="27" t="s">
        <v>8</v>
      </c>
      <c r="ON403" s="27" t="s">
        <v>7</v>
      </c>
      <c r="OO403" s="27" t="s">
        <v>8</v>
      </c>
      <c r="OP403" s="27" t="s">
        <v>7</v>
      </c>
      <c r="RU403" s="27" t="s">
        <v>8</v>
      </c>
    </row>
    <row r="404" spans="1:490" x14ac:dyDescent="0.25">
      <c r="A404" s="7">
        <v>37.48274880268783</v>
      </c>
      <c r="B404"/>
      <c r="C404"/>
      <c r="D404"/>
      <c r="E404"/>
      <c r="NU404" s="27" t="s">
        <v>8</v>
      </c>
      <c r="NX404" s="27" t="s">
        <v>7</v>
      </c>
      <c r="NY404" s="27" t="s">
        <v>8</v>
      </c>
      <c r="NZ404" s="27" t="s">
        <v>7</v>
      </c>
      <c r="OA404" s="27" t="s">
        <v>8</v>
      </c>
      <c r="OB404" s="27" t="s">
        <v>7</v>
      </c>
      <c r="OE404" s="27" t="s">
        <v>8</v>
      </c>
      <c r="OG404" s="27" t="s">
        <v>8</v>
      </c>
      <c r="ON404" s="27" t="s">
        <v>7</v>
      </c>
      <c r="OO404" s="27" t="s">
        <v>8</v>
      </c>
      <c r="OP404" s="27" t="s">
        <v>7</v>
      </c>
      <c r="RU404" s="27" t="s">
        <v>8</v>
      </c>
      <c r="RV404" s="27" t="s">
        <v>7</v>
      </c>
    </row>
    <row r="405" spans="1:490" x14ac:dyDescent="0.25">
      <c r="A405" s="7">
        <v>36.747792943811596</v>
      </c>
      <c r="B405"/>
      <c r="C405"/>
      <c r="D405"/>
      <c r="E405"/>
      <c r="MW405" s="27" t="s">
        <v>8</v>
      </c>
      <c r="NU405" s="27" t="s">
        <v>8</v>
      </c>
      <c r="NX405" s="27" t="s">
        <v>7</v>
      </c>
      <c r="NY405" s="27" t="s">
        <v>8</v>
      </c>
      <c r="NZ405" s="27" t="s">
        <v>7</v>
      </c>
      <c r="OA405" s="27" t="s">
        <v>8</v>
      </c>
      <c r="OB405" s="27" t="s">
        <v>7</v>
      </c>
      <c r="OE405" s="27" t="s">
        <v>8</v>
      </c>
      <c r="OF405" s="27" t="s">
        <v>7</v>
      </c>
      <c r="OG405" s="27" t="s">
        <v>8</v>
      </c>
      <c r="ON405" s="27" t="s">
        <v>7</v>
      </c>
      <c r="OO405" s="27" t="s">
        <v>8</v>
      </c>
      <c r="OP405" s="27" t="s">
        <v>7</v>
      </c>
      <c r="RU405" s="27" t="s">
        <v>8</v>
      </c>
      <c r="RV405" s="27" t="s">
        <v>7</v>
      </c>
    </row>
    <row r="406" spans="1:490" x14ac:dyDescent="0.25">
      <c r="A406" s="7">
        <v>36.027247984129012</v>
      </c>
      <c r="B406"/>
      <c r="C406"/>
      <c r="D406"/>
      <c r="E406"/>
      <c r="MW406" s="27" t="s">
        <v>8</v>
      </c>
      <c r="MX406" s="27" t="s">
        <v>7</v>
      </c>
      <c r="NU406" s="27" t="s">
        <v>8</v>
      </c>
      <c r="NX406" s="27" t="s">
        <v>7</v>
      </c>
      <c r="NY406" s="27" t="s">
        <v>8</v>
      </c>
      <c r="NZ406" s="27" t="s">
        <v>7</v>
      </c>
      <c r="OA406" s="27" t="s">
        <v>8</v>
      </c>
      <c r="OB406" s="27" t="s">
        <v>7</v>
      </c>
      <c r="OE406" s="27" t="s">
        <v>8</v>
      </c>
      <c r="OF406" s="27" t="s">
        <v>7</v>
      </c>
      <c r="OG406" s="27" t="s">
        <v>8</v>
      </c>
      <c r="ON406" s="27" t="s">
        <v>7</v>
      </c>
      <c r="OO406" s="27" t="s">
        <v>8</v>
      </c>
      <c r="OP406" s="27" t="s">
        <v>7</v>
      </c>
      <c r="QO406" s="27" t="s">
        <v>8</v>
      </c>
      <c r="RU406" s="27" t="s">
        <v>8</v>
      </c>
      <c r="RV406" s="27" t="s">
        <v>7</v>
      </c>
    </row>
    <row r="407" spans="1:490" x14ac:dyDescent="0.25">
      <c r="A407" s="7">
        <v>35.320831356989224</v>
      </c>
      <c r="B407"/>
      <c r="C407"/>
      <c r="D407"/>
      <c r="E407"/>
      <c r="MS407" s="27" t="s">
        <v>8</v>
      </c>
      <c r="MW407" s="27" t="s">
        <v>8</v>
      </c>
      <c r="MX407" s="27" t="s">
        <v>7</v>
      </c>
      <c r="NU407" s="27" t="s">
        <v>8</v>
      </c>
      <c r="NX407" s="27" t="s">
        <v>7</v>
      </c>
      <c r="NY407" s="27" t="s">
        <v>8</v>
      </c>
      <c r="NZ407" s="27" t="s">
        <v>7</v>
      </c>
      <c r="OA407" s="27" t="s">
        <v>8</v>
      </c>
      <c r="OB407" s="27" t="s">
        <v>7</v>
      </c>
      <c r="OE407" s="27" t="s">
        <v>8</v>
      </c>
      <c r="OF407" s="27" t="s">
        <v>7</v>
      </c>
      <c r="ON407" s="27" t="s">
        <v>7</v>
      </c>
      <c r="OP407" s="27" t="s">
        <v>7</v>
      </c>
      <c r="OU407" s="27" t="s">
        <v>8</v>
      </c>
      <c r="QO407" s="27" t="s">
        <v>8</v>
      </c>
      <c r="QP407" s="27" t="s">
        <v>7</v>
      </c>
      <c r="RU407" s="27" t="s">
        <v>8</v>
      </c>
      <c r="RV407" s="27" t="s">
        <v>7</v>
      </c>
    </row>
    <row r="408" spans="1:490" x14ac:dyDescent="0.25">
      <c r="A408" s="7">
        <v>34.628266036263945</v>
      </c>
      <c r="B408"/>
      <c r="C408"/>
      <c r="D408"/>
      <c r="E408"/>
      <c r="MS408" s="27" t="s">
        <v>8</v>
      </c>
      <c r="MT408" s="27" t="s">
        <v>7</v>
      </c>
      <c r="MW408" s="27" t="s">
        <v>8</v>
      </c>
      <c r="MX408" s="27" t="s">
        <v>7</v>
      </c>
      <c r="NO408" s="27" t="s">
        <v>8</v>
      </c>
      <c r="NU408" s="27" t="s">
        <v>8</v>
      </c>
      <c r="NX408" s="27" t="s">
        <v>7</v>
      </c>
      <c r="NY408" s="27" t="s">
        <v>8</v>
      </c>
      <c r="NZ408" s="27" t="s">
        <v>7</v>
      </c>
      <c r="OA408" s="27" t="s">
        <v>8</v>
      </c>
      <c r="OB408" s="27" t="s">
        <v>7</v>
      </c>
      <c r="OC408" s="27" t="s">
        <v>8</v>
      </c>
      <c r="OE408" s="27" t="s">
        <v>8</v>
      </c>
      <c r="OP408" s="27" t="s">
        <v>7</v>
      </c>
      <c r="OU408" s="27" t="s">
        <v>8</v>
      </c>
      <c r="OV408" s="27" t="s">
        <v>7</v>
      </c>
      <c r="QO408" s="27" t="s">
        <v>8</v>
      </c>
      <c r="QP408" s="27" t="s">
        <v>7</v>
      </c>
      <c r="RU408" s="27" t="s">
        <v>8</v>
      </c>
      <c r="RV408" s="27" t="s">
        <v>7</v>
      </c>
    </row>
    <row r="409" spans="1:490" x14ac:dyDescent="0.25">
      <c r="A409" s="7">
        <v>33.949280427709752</v>
      </c>
      <c r="B409"/>
      <c r="C409"/>
      <c r="D409"/>
      <c r="E409"/>
      <c r="MS409" s="27" t="s">
        <v>8</v>
      </c>
      <c r="MT409" s="27" t="s">
        <v>7</v>
      </c>
      <c r="MW409" s="27" t="s">
        <v>8</v>
      </c>
      <c r="MX409" s="27" t="s">
        <v>7</v>
      </c>
      <c r="NO409" s="27" t="s">
        <v>8</v>
      </c>
      <c r="NP409" s="27" t="s">
        <v>7</v>
      </c>
      <c r="NS409" s="27" t="s">
        <v>8</v>
      </c>
      <c r="NU409" s="27" t="s">
        <v>8</v>
      </c>
      <c r="NX409" s="27" t="s">
        <v>7</v>
      </c>
      <c r="NY409" s="27" t="s">
        <v>8</v>
      </c>
      <c r="NZ409" s="27" t="s">
        <v>7</v>
      </c>
      <c r="OA409" s="27" t="s">
        <v>8</v>
      </c>
      <c r="OB409" s="27" t="s">
        <v>7</v>
      </c>
      <c r="OC409" s="27" t="s">
        <v>8</v>
      </c>
      <c r="OD409" s="27" t="s">
        <v>7</v>
      </c>
      <c r="OE409" s="27" t="s">
        <v>8</v>
      </c>
      <c r="OP409" s="27" t="s">
        <v>7</v>
      </c>
      <c r="OU409" s="27" t="s">
        <v>8</v>
      </c>
      <c r="OV409" s="27" t="s">
        <v>7</v>
      </c>
      <c r="QO409" s="27" t="s">
        <v>8</v>
      </c>
      <c r="QP409" s="27" t="s">
        <v>7</v>
      </c>
      <c r="RU409" s="27" t="s">
        <v>8</v>
      </c>
      <c r="RV409" s="27" t="s">
        <v>7</v>
      </c>
    </row>
    <row r="410" spans="1:490" x14ac:dyDescent="0.25">
      <c r="A410" s="7">
        <v>33.28360826246054</v>
      </c>
      <c r="B410"/>
      <c r="C410"/>
      <c r="D410"/>
      <c r="E410"/>
      <c r="MS410" s="27" t="s">
        <v>8</v>
      </c>
      <c r="MT410" s="27" t="s">
        <v>7</v>
      </c>
      <c r="MU410" s="27" t="s">
        <v>8</v>
      </c>
      <c r="MW410" s="27" t="s">
        <v>8</v>
      </c>
      <c r="MX410" s="27" t="s">
        <v>7</v>
      </c>
      <c r="NO410" s="27" t="s">
        <v>8</v>
      </c>
      <c r="NP410" s="27" t="s">
        <v>7</v>
      </c>
      <c r="NQ410" s="27" t="s">
        <v>8</v>
      </c>
      <c r="NS410" s="27" t="s">
        <v>8</v>
      </c>
      <c r="NT410" s="27" t="s">
        <v>7</v>
      </c>
      <c r="NU410" s="27" t="s">
        <v>8</v>
      </c>
      <c r="NX410" s="27" t="s">
        <v>7</v>
      </c>
      <c r="NY410" s="27" t="s">
        <v>8</v>
      </c>
      <c r="NZ410" s="27" t="s">
        <v>7</v>
      </c>
      <c r="OB410" s="27" t="s">
        <v>7</v>
      </c>
      <c r="OC410" s="27" t="s">
        <v>8</v>
      </c>
      <c r="OD410" s="27" t="s">
        <v>7</v>
      </c>
      <c r="OE410" s="27" t="s">
        <v>8</v>
      </c>
      <c r="OP410" s="27" t="s">
        <v>7</v>
      </c>
      <c r="OU410" s="27" t="s">
        <v>8</v>
      </c>
      <c r="OV410" s="27" t="s">
        <v>7</v>
      </c>
      <c r="QO410" s="27" t="s">
        <v>8</v>
      </c>
      <c r="QP410" s="27" t="s">
        <v>7</v>
      </c>
      <c r="RM410" s="27" t="s">
        <v>8</v>
      </c>
      <c r="RS410" s="27" t="s">
        <v>8</v>
      </c>
      <c r="RU410" s="27" t="s">
        <v>8</v>
      </c>
      <c r="RV410" s="27" t="s">
        <v>7</v>
      </c>
    </row>
    <row r="411" spans="1:490" x14ac:dyDescent="0.25">
      <c r="A411" s="7">
        <v>32.630988492608374</v>
      </c>
      <c r="B411"/>
      <c r="C411"/>
      <c r="D411"/>
      <c r="E411"/>
      <c r="MS411" s="27" t="s">
        <v>8</v>
      </c>
      <c r="MT411" s="27" t="s">
        <v>7</v>
      </c>
      <c r="MU411" s="27" t="s">
        <v>8</v>
      </c>
      <c r="MV411" s="27" t="s">
        <v>7</v>
      </c>
      <c r="MW411" s="27" t="s">
        <v>8</v>
      </c>
      <c r="MX411" s="27" t="s">
        <v>7</v>
      </c>
      <c r="NM411" s="27" t="s">
        <v>8</v>
      </c>
      <c r="NO411" s="27" t="s">
        <v>8</v>
      </c>
      <c r="NP411" s="27" t="s">
        <v>7</v>
      </c>
      <c r="NQ411" s="27" t="s">
        <v>8</v>
      </c>
      <c r="NR411" s="27" t="s">
        <v>7</v>
      </c>
      <c r="NS411" s="27" t="s">
        <v>8</v>
      </c>
      <c r="NT411" s="27" t="s">
        <v>7</v>
      </c>
      <c r="NU411" s="27" t="s">
        <v>8</v>
      </c>
      <c r="NX411" s="27" t="s">
        <v>7</v>
      </c>
      <c r="NY411" s="27" t="s">
        <v>8</v>
      </c>
      <c r="OB411" s="27" t="s">
        <v>7</v>
      </c>
      <c r="OC411" s="27" t="s">
        <v>8</v>
      </c>
      <c r="OD411" s="27" t="s">
        <v>7</v>
      </c>
      <c r="OE411" s="27" t="s">
        <v>8</v>
      </c>
      <c r="OP411" s="27" t="s">
        <v>7</v>
      </c>
      <c r="OQ411" s="27" t="s">
        <v>8</v>
      </c>
      <c r="OU411" s="27" t="s">
        <v>8</v>
      </c>
      <c r="OV411" s="27" t="s">
        <v>7</v>
      </c>
      <c r="OW411" s="27" t="s">
        <v>8</v>
      </c>
      <c r="OY411" s="27" t="s">
        <v>8</v>
      </c>
      <c r="QO411" s="27" t="s">
        <v>8</v>
      </c>
      <c r="QP411" s="27" t="s">
        <v>7</v>
      </c>
      <c r="RM411" s="27" t="s">
        <v>8</v>
      </c>
      <c r="RN411" s="27" t="s">
        <v>7</v>
      </c>
      <c r="RQ411" s="27" t="s">
        <v>8</v>
      </c>
      <c r="RS411" s="27" t="s">
        <v>8</v>
      </c>
      <c r="RT411" s="27" t="s">
        <v>7</v>
      </c>
      <c r="RU411" s="27" t="s">
        <v>8</v>
      </c>
      <c r="RV411" s="27" t="s">
        <v>7</v>
      </c>
    </row>
    <row r="412" spans="1:490" x14ac:dyDescent="0.25">
      <c r="A412" s="7">
        <v>31.99116518883174</v>
      </c>
      <c r="B412"/>
      <c r="C412"/>
      <c r="D412"/>
      <c r="E412"/>
      <c r="MS412" s="27" t="s">
        <v>8</v>
      </c>
      <c r="MT412" s="27" t="s">
        <v>7</v>
      </c>
      <c r="MU412" s="27" t="s">
        <v>8</v>
      </c>
      <c r="MV412" s="27" t="s">
        <v>7</v>
      </c>
      <c r="MW412" s="27" t="s">
        <v>8</v>
      </c>
      <c r="MX412" s="27" t="s">
        <v>7</v>
      </c>
      <c r="NE412" s="27" t="s">
        <v>8</v>
      </c>
      <c r="NM412" s="27" t="s">
        <v>8</v>
      </c>
      <c r="NN412" s="27" t="s">
        <v>7</v>
      </c>
      <c r="NO412" s="27" t="s">
        <v>8</v>
      </c>
      <c r="NP412" s="27" t="s">
        <v>7</v>
      </c>
      <c r="NQ412" s="27" t="s">
        <v>8</v>
      </c>
      <c r="NR412" s="27" t="s">
        <v>7</v>
      </c>
      <c r="NS412" s="27" t="s">
        <v>8</v>
      </c>
      <c r="NT412" s="27" t="s">
        <v>7</v>
      </c>
      <c r="NX412" s="27" t="s">
        <v>7</v>
      </c>
      <c r="NY412" s="27" t="s">
        <v>8</v>
      </c>
      <c r="OB412" s="27" t="s">
        <v>7</v>
      </c>
      <c r="OC412" s="27" t="s">
        <v>8</v>
      </c>
      <c r="OD412" s="27" t="s">
        <v>7</v>
      </c>
      <c r="OE412" s="27" t="s">
        <v>8</v>
      </c>
      <c r="OP412" s="27" t="s">
        <v>7</v>
      </c>
      <c r="OQ412" s="27" t="s">
        <v>8</v>
      </c>
      <c r="OR412" s="27" t="s">
        <v>7</v>
      </c>
      <c r="OU412" s="27" t="s">
        <v>8</v>
      </c>
      <c r="OV412" s="27" t="s">
        <v>7</v>
      </c>
      <c r="OW412" s="27" t="s">
        <v>8</v>
      </c>
      <c r="OX412" s="27" t="s">
        <v>7</v>
      </c>
      <c r="OY412" s="27" t="s">
        <v>8</v>
      </c>
      <c r="OZ412" s="27" t="s">
        <v>7</v>
      </c>
      <c r="QO412" s="27" t="s">
        <v>8</v>
      </c>
      <c r="QP412" s="27" t="s">
        <v>7</v>
      </c>
      <c r="QU412" s="27" t="s">
        <v>8</v>
      </c>
      <c r="RM412" s="27" t="s">
        <v>8</v>
      </c>
      <c r="RN412" s="27" t="s">
        <v>7</v>
      </c>
      <c r="RQ412" s="27" t="s">
        <v>8</v>
      </c>
      <c r="RR412" s="27" t="s">
        <v>7</v>
      </c>
      <c r="RS412" s="27" t="s">
        <v>8</v>
      </c>
      <c r="RT412" s="27" t="s">
        <v>7</v>
      </c>
      <c r="RU412" s="27" t="s">
        <v>8</v>
      </c>
      <c r="RV412" s="27" t="s">
        <v>7</v>
      </c>
    </row>
    <row r="413" spans="1:490" x14ac:dyDescent="0.25">
      <c r="A413" s="7">
        <v>31.363887440031117</v>
      </c>
      <c r="B413"/>
      <c r="C413"/>
      <c r="D413"/>
      <c r="E413"/>
      <c r="MS413" s="27" t="s">
        <v>8</v>
      </c>
      <c r="MT413" s="27" t="s">
        <v>7</v>
      </c>
      <c r="MU413" s="27" t="s">
        <v>8</v>
      </c>
      <c r="MV413" s="27" t="s">
        <v>7</v>
      </c>
      <c r="MW413" s="27" t="s">
        <v>8</v>
      </c>
      <c r="MX413" s="27" t="s">
        <v>7</v>
      </c>
      <c r="NC413" s="27" t="s">
        <v>8</v>
      </c>
      <c r="NE413" s="27" t="s">
        <v>8</v>
      </c>
      <c r="NF413" s="27" t="s">
        <v>7</v>
      </c>
      <c r="NK413" s="27" t="s">
        <v>8</v>
      </c>
      <c r="NM413" s="27" t="s">
        <v>8</v>
      </c>
      <c r="NN413" s="27" t="s">
        <v>7</v>
      </c>
      <c r="NO413" s="27" t="s">
        <v>8</v>
      </c>
      <c r="NP413" s="27" t="s">
        <v>7</v>
      </c>
      <c r="NQ413" s="27" t="s">
        <v>8</v>
      </c>
      <c r="NR413" s="27" t="s">
        <v>7</v>
      </c>
      <c r="NX413" s="27" t="s">
        <v>7</v>
      </c>
      <c r="NY413" s="27" t="s">
        <v>8</v>
      </c>
      <c r="OB413" s="27" t="s">
        <v>7</v>
      </c>
      <c r="OC413" s="27" t="s">
        <v>8</v>
      </c>
      <c r="OD413" s="27" t="s">
        <v>7</v>
      </c>
      <c r="OE413" s="27" t="s">
        <v>8</v>
      </c>
      <c r="OP413" s="27" t="s">
        <v>7</v>
      </c>
      <c r="OQ413" s="27" t="s">
        <v>8</v>
      </c>
      <c r="OR413" s="27" t="s">
        <v>7</v>
      </c>
      <c r="OU413" s="27" t="s">
        <v>8</v>
      </c>
      <c r="OV413" s="27" t="s">
        <v>7</v>
      </c>
      <c r="OW413" s="27" t="s">
        <v>8</v>
      </c>
      <c r="OX413" s="27" t="s">
        <v>7</v>
      </c>
      <c r="OY413" s="27" t="s">
        <v>8</v>
      </c>
      <c r="OZ413" s="27" t="s">
        <v>7</v>
      </c>
      <c r="QM413" s="27" t="s">
        <v>8</v>
      </c>
      <c r="QO413" s="27" t="s">
        <v>8</v>
      </c>
      <c r="QP413" s="27" t="s">
        <v>7</v>
      </c>
      <c r="QU413" s="27" t="s">
        <v>8</v>
      </c>
      <c r="QV413" s="27" t="s">
        <v>7</v>
      </c>
      <c r="RK413" s="27" t="s">
        <v>8</v>
      </c>
      <c r="RM413" s="27" t="s">
        <v>8</v>
      </c>
      <c r="RN413" s="27" t="s">
        <v>7</v>
      </c>
      <c r="RO413" s="27" t="s">
        <v>8</v>
      </c>
      <c r="RQ413" s="27" t="s">
        <v>8</v>
      </c>
      <c r="RR413" s="27" t="s">
        <v>7</v>
      </c>
      <c r="RS413" s="27" t="s">
        <v>8</v>
      </c>
      <c r="RT413" s="27" t="s">
        <v>7</v>
      </c>
      <c r="RU413" s="27" t="s">
        <v>8</v>
      </c>
      <c r="RV413" s="27" t="s">
        <v>7</v>
      </c>
    </row>
    <row r="414" spans="1:490" x14ac:dyDescent="0.25">
      <c r="A414" s="7">
        <v>30.748909254932467</v>
      </c>
      <c r="B414"/>
      <c r="C414"/>
      <c r="D414"/>
      <c r="E414"/>
      <c r="MS414" s="27" t="s">
        <v>8</v>
      </c>
      <c r="MT414" s="27" t="s">
        <v>7</v>
      </c>
      <c r="MU414" s="27" t="s">
        <v>8</v>
      </c>
      <c r="MV414" s="27" t="s">
        <v>7</v>
      </c>
      <c r="MW414" s="27" t="s">
        <v>8</v>
      </c>
      <c r="MX414" s="27" t="s">
        <v>7</v>
      </c>
      <c r="NC414" s="27" t="s">
        <v>8</v>
      </c>
      <c r="ND414" s="27" t="s">
        <v>7</v>
      </c>
      <c r="NE414" s="27" t="s">
        <v>8</v>
      </c>
      <c r="NF414" s="27" t="s">
        <v>7</v>
      </c>
      <c r="NI414" s="27" t="s">
        <v>8</v>
      </c>
      <c r="NK414" s="27" t="s">
        <v>8</v>
      </c>
      <c r="NL414" s="27" t="s">
        <v>7</v>
      </c>
      <c r="NM414" s="27" t="s">
        <v>8</v>
      </c>
      <c r="NN414" s="27" t="s">
        <v>7</v>
      </c>
      <c r="NO414" s="27" t="s">
        <v>8</v>
      </c>
      <c r="NP414" s="27" t="s">
        <v>7</v>
      </c>
      <c r="NX414" s="27" t="s">
        <v>7</v>
      </c>
      <c r="NY414" s="27" t="s">
        <v>8</v>
      </c>
      <c r="OB414" s="27" t="s">
        <v>7</v>
      </c>
      <c r="OC414" s="27" t="s">
        <v>8</v>
      </c>
      <c r="OD414" s="27" t="s">
        <v>7</v>
      </c>
      <c r="OE414" s="27" t="s">
        <v>8</v>
      </c>
      <c r="OP414" s="27" t="s">
        <v>7</v>
      </c>
      <c r="OQ414" s="27" t="s">
        <v>8</v>
      </c>
      <c r="OR414" s="27" t="s">
        <v>7</v>
      </c>
      <c r="OU414" s="27" t="s">
        <v>8</v>
      </c>
      <c r="OV414" s="27" t="s">
        <v>7</v>
      </c>
      <c r="OW414" s="27" t="s">
        <v>8</v>
      </c>
      <c r="OX414" s="27" t="s">
        <v>7</v>
      </c>
      <c r="OY414" s="27" t="s">
        <v>8</v>
      </c>
      <c r="OZ414" s="27" t="s">
        <v>7</v>
      </c>
      <c r="QM414" s="27" t="s">
        <v>8</v>
      </c>
      <c r="QN414" s="27" t="s">
        <v>7</v>
      </c>
      <c r="QO414" s="27" t="s">
        <v>8</v>
      </c>
      <c r="QP414" s="27" t="s">
        <v>7</v>
      </c>
      <c r="QU414" s="27" t="s">
        <v>8</v>
      </c>
      <c r="QV414" s="27" t="s">
        <v>7</v>
      </c>
      <c r="RK414" s="27" t="s">
        <v>8</v>
      </c>
      <c r="RL414" s="27" t="s">
        <v>7</v>
      </c>
      <c r="RM414" s="27" t="s">
        <v>8</v>
      </c>
      <c r="RN414" s="27" t="s">
        <v>7</v>
      </c>
      <c r="RO414" s="27" t="s">
        <v>8</v>
      </c>
      <c r="RP414" s="27" t="s">
        <v>7</v>
      </c>
      <c r="RQ414" s="27" t="s">
        <v>8</v>
      </c>
      <c r="RR414" s="27" t="s">
        <v>7</v>
      </c>
      <c r="RT414" s="27" t="s">
        <v>7</v>
      </c>
      <c r="RV414" s="27" t="s">
        <v>7</v>
      </c>
    </row>
    <row r="415" spans="1:490" x14ac:dyDescent="0.25">
      <c r="A415" s="7">
        <v>30.145989465620065</v>
      </c>
      <c r="B415"/>
      <c r="C415"/>
      <c r="D415"/>
      <c r="E415"/>
      <c r="MS415" s="27" t="s">
        <v>8</v>
      </c>
      <c r="MT415" s="27" t="s">
        <v>7</v>
      </c>
      <c r="MU415" s="27" t="s">
        <v>8</v>
      </c>
      <c r="MV415" s="27" t="s">
        <v>7</v>
      </c>
      <c r="MX415" s="27" t="s">
        <v>7</v>
      </c>
      <c r="NC415" s="27" t="s">
        <v>8</v>
      </c>
      <c r="ND415" s="27" t="s">
        <v>7</v>
      </c>
      <c r="NE415" s="27" t="s">
        <v>8</v>
      </c>
      <c r="NF415" s="27" t="s">
        <v>7</v>
      </c>
      <c r="NG415" s="27" t="s">
        <v>8</v>
      </c>
      <c r="NI415" s="27" t="s">
        <v>8</v>
      </c>
      <c r="NJ415" s="27" t="s">
        <v>7</v>
      </c>
      <c r="NK415" s="27" t="s">
        <v>8</v>
      </c>
      <c r="NL415" s="27" t="s">
        <v>7</v>
      </c>
      <c r="NM415" s="27" t="s">
        <v>8</v>
      </c>
      <c r="NN415" s="27" t="s">
        <v>7</v>
      </c>
      <c r="NO415" s="27" t="s">
        <v>8</v>
      </c>
      <c r="NX415" s="27" t="s">
        <v>7</v>
      </c>
      <c r="NY415" s="27" t="s">
        <v>8</v>
      </c>
      <c r="OB415" s="27" t="s">
        <v>7</v>
      </c>
      <c r="OD415" s="27" t="s">
        <v>7</v>
      </c>
      <c r="OP415" s="27" t="s">
        <v>7</v>
      </c>
      <c r="OQ415" s="27" t="s">
        <v>8</v>
      </c>
      <c r="OR415" s="27" t="s">
        <v>7</v>
      </c>
      <c r="OU415" s="27" t="s">
        <v>8</v>
      </c>
      <c r="OV415" s="27" t="s">
        <v>7</v>
      </c>
      <c r="OW415" s="27" t="s">
        <v>8</v>
      </c>
      <c r="OX415" s="27" t="s">
        <v>7</v>
      </c>
      <c r="OZ415" s="27" t="s">
        <v>7</v>
      </c>
      <c r="QG415" s="27" t="s">
        <v>8</v>
      </c>
      <c r="QM415" s="27" t="s">
        <v>8</v>
      </c>
      <c r="QN415" s="27" t="s">
        <v>7</v>
      </c>
      <c r="QO415" s="27" t="s">
        <v>8</v>
      </c>
      <c r="QP415" s="27" t="s">
        <v>7</v>
      </c>
      <c r="QQ415" s="27" t="s">
        <v>8</v>
      </c>
      <c r="QU415" s="27" t="s">
        <v>8</v>
      </c>
      <c r="QV415" s="27" t="s">
        <v>7</v>
      </c>
      <c r="RK415" s="27" t="s">
        <v>8</v>
      </c>
      <c r="RL415" s="27" t="s">
        <v>7</v>
      </c>
      <c r="RM415" s="27" t="s">
        <v>8</v>
      </c>
      <c r="RN415" s="27" t="s">
        <v>7</v>
      </c>
      <c r="RO415" s="27" t="s">
        <v>8</v>
      </c>
      <c r="RP415" s="27" t="s">
        <v>7</v>
      </c>
      <c r="RQ415" s="27" t="s">
        <v>8</v>
      </c>
      <c r="RV415" s="27" t="s">
        <v>7</v>
      </c>
    </row>
    <row r="416" spans="1:490" x14ac:dyDescent="0.25">
      <c r="A416" s="7">
        <v>29.55489163296085</v>
      </c>
      <c r="B416"/>
      <c r="C416"/>
      <c r="D416"/>
      <c r="E416"/>
      <c r="MS416" s="27" t="s">
        <v>8</v>
      </c>
      <c r="MT416" s="27" t="s">
        <v>7</v>
      </c>
      <c r="MU416" s="27" t="s">
        <v>8</v>
      </c>
      <c r="MX416" s="27" t="s">
        <v>7</v>
      </c>
      <c r="NC416" s="27" t="s">
        <v>8</v>
      </c>
      <c r="ND416" s="27" t="s">
        <v>7</v>
      </c>
      <c r="NE416" s="27" t="s">
        <v>8</v>
      </c>
      <c r="NF416" s="27" t="s">
        <v>7</v>
      </c>
      <c r="NG416" s="27" t="s">
        <v>8</v>
      </c>
      <c r="NH416" s="27" t="s">
        <v>7</v>
      </c>
      <c r="NI416" s="27" t="s">
        <v>8</v>
      </c>
      <c r="NJ416" s="27" t="s">
        <v>7</v>
      </c>
      <c r="NK416" s="27" t="s">
        <v>8</v>
      </c>
      <c r="NL416" s="27" t="s">
        <v>7</v>
      </c>
      <c r="NM416" s="27" t="s">
        <v>8</v>
      </c>
      <c r="NN416" s="27" t="s">
        <v>7</v>
      </c>
      <c r="NO416" s="27" t="s">
        <v>8</v>
      </c>
      <c r="NX416" s="27" t="s">
        <v>7</v>
      </c>
      <c r="NY416" s="27" t="s">
        <v>8</v>
      </c>
      <c r="OP416" s="27" t="s">
        <v>7</v>
      </c>
      <c r="OQ416" s="27" t="s">
        <v>8</v>
      </c>
      <c r="OR416" s="27" t="s">
        <v>7</v>
      </c>
      <c r="OU416" s="27" t="s">
        <v>8</v>
      </c>
      <c r="OV416" s="27" t="s">
        <v>7</v>
      </c>
      <c r="OW416" s="27" t="s">
        <v>8</v>
      </c>
      <c r="OZ416" s="27" t="s">
        <v>7</v>
      </c>
      <c r="QG416" s="27" t="s">
        <v>8</v>
      </c>
      <c r="QH416" s="27" t="s">
        <v>7</v>
      </c>
      <c r="QM416" s="27" t="s">
        <v>8</v>
      </c>
      <c r="QN416" s="27" t="s">
        <v>7</v>
      </c>
      <c r="QP416" s="27" t="s">
        <v>7</v>
      </c>
      <c r="QQ416" s="27" t="s">
        <v>8</v>
      </c>
      <c r="QR416" s="27" t="s">
        <v>7</v>
      </c>
      <c r="QS416" s="27" t="s">
        <v>8</v>
      </c>
      <c r="QU416" s="27" t="s">
        <v>8</v>
      </c>
      <c r="QV416" s="27" t="s">
        <v>7</v>
      </c>
      <c r="RK416" s="27" t="s">
        <v>8</v>
      </c>
      <c r="RL416" s="27" t="s">
        <v>7</v>
      </c>
      <c r="RM416" s="27" t="s">
        <v>8</v>
      </c>
      <c r="RN416" s="27" t="s">
        <v>7</v>
      </c>
      <c r="RO416" s="27" t="s">
        <v>8</v>
      </c>
      <c r="RP416" s="27" t="s">
        <v>7</v>
      </c>
      <c r="RQ416" s="27" t="s">
        <v>8</v>
      </c>
      <c r="RV416" s="27" t="s">
        <v>7</v>
      </c>
    </row>
    <row r="417" spans="1:516" x14ac:dyDescent="0.25">
      <c r="A417" s="7">
        <v>28.975383953883185</v>
      </c>
      <c r="B417"/>
      <c r="C417"/>
      <c r="D417"/>
      <c r="E417"/>
      <c r="MS417" s="27" t="s">
        <v>8</v>
      </c>
      <c r="MT417" s="27" t="s">
        <v>7</v>
      </c>
      <c r="MU417" s="27" t="s">
        <v>8</v>
      </c>
      <c r="MX417" s="27" t="s">
        <v>7</v>
      </c>
      <c r="MY417" s="27" t="s">
        <v>8</v>
      </c>
      <c r="NC417" s="27" t="s">
        <v>8</v>
      </c>
      <c r="ND417" s="27" t="s">
        <v>7</v>
      </c>
      <c r="NE417" s="27" t="s">
        <v>8</v>
      </c>
      <c r="NF417" s="27" t="s">
        <v>7</v>
      </c>
      <c r="NG417" s="27" t="s">
        <v>8</v>
      </c>
      <c r="NH417" s="27" t="s">
        <v>7</v>
      </c>
      <c r="NI417" s="27" t="s">
        <v>8</v>
      </c>
      <c r="NJ417" s="27" t="s">
        <v>7</v>
      </c>
      <c r="NL417" s="27" t="s">
        <v>7</v>
      </c>
      <c r="NM417" s="27" t="s">
        <v>8</v>
      </c>
      <c r="NN417" s="27" t="s">
        <v>7</v>
      </c>
      <c r="NX417" s="27" t="s">
        <v>7</v>
      </c>
      <c r="OP417" s="27" t="s">
        <v>7</v>
      </c>
      <c r="OQ417" s="27" t="s">
        <v>8</v>
      </c>
      <c r="OR417" s="27" t="s">
        <v>7</v>
      </c>
      <c r="OU417" s="27" t="s">
        <v>8</v>
      </c>
      <c r="OV417" s="27" t="s">
        <v>7</v>
      </c>
      <c r="OW417" s="27" t="s">
        <v>8</v>
      </c>
      <c r="OZ417" s="27" t="s">
        <v>7</v>
      </c>
      <c r="QG417" s="27" t="s">
        <v>8</v>
      </c>
      <c r="QH417" s="27" t="s">
        <v>7</v>
      </c>
      <c r="QI417" s="27" t="s">
        <v>8</v>
      </c>
      <c r="QM417" s="27" t="s">
        <v>8</v>
      </c>
      <c r="QP417" s="27" t="s">
        <v>7</v>
      </c>
      <c r="QQ417" s="27" t="s">
        <v>8</v>
      </c>
      <c r="QR417" s="27" t="s">
        <v>7</v>
      </c>
      <c r="QS417" s="27" t="s">
        <v>8</v>
      </c>
      <c r="QT417" s="27" t="s">
        <v>7</v>
      </c>
      <c r="QU417" s="27" t="s">
        <v>8</v>
      </c>
      <c r="QV417" s="27" t="s">
        <v>7</v>
      </c>
      <c r="RK417" s="27" t="s">
        <v>8</v>
      </c>
      <c r="RL417" s="27" t="s">
        <v>7</v>
      </c>
      <c r="RN417" s="27" t="s">
        <v>7</v>
      </c>
      <c r="RO417" s="27" t="s">
        <v>8</v>
      </c>
      <c r="RP417" s="27" t="s">
        <v>7</v>
      </c>
      <c r="RV417" s="27" t="s">
        <v>7</v>
      </c>
      <c r="RW417" s="27" t="s">
        <v>8</v>
      </c>
    </row>
    <row r="418" spans="1:516" x14ac:dyDescent="0.25">
      <c r="A418" s="7">
        <v>28.407239170473709</v>
      </c>
      <c r="B418"/>
      <c r="C418"/>
      <c r="D418"/>
      <c r="E418"/>
      <c r="MQ418" s="27" t="s">
        <v>8</v>
      </c>
      <c r="MS418" s="27" t="s">
        <v>8</v>
      </c>
      <c r="MT418" s="27" t="s">
        <v>7</v>
      </c>
      <c r="MU418" s="27" t="s">
        <v>8</v>
      </c>
      <c r="MX418" s="27" t="s">
        <v>7</v>
      </c>
      <c r="MY418" s="27" t="s">
        <v>8</v>
      </c>
      <c r="MZ418" s="27" t="s">
        <v>7</v>
      </c>
      <c r="NC418" s="27" t="s">
        <v>8</v>
      </c>
      <c r="ND418" s="27" t="s">
        <v>7</v>
      </c>
      <c r="NE418" s="27" t="s">
        <v>8</v>
      </c>
      <c r="NF418" s="27" t="s">
        <v>7</v>
      </c>
      <c r="NG418" s="27" t="s">
        <v>8</v>
      </c>
      <c r="NH418" s="27" t="s">
        <v>7</v>
      </c>
      <c r="NI418" s="27" t="s">
        <v>8</v>
      </c>
      <c r="NL418" s="27" t="s">
        <v>7</v>
      </c>
      <c r="NM418" s="27" t="s">
        <v>8</v>
      </c>
      <c r="OP418" s="27" t="s">
        <v>7</v>
      </c>
      <c r="OQ418" s="27" t="s">
        <v>8</v>
      </c>
      <c r="OR418" s="27" t="s">
        <v>7</v>
      </c>
      <c r="OU418" s="27" t="s">
        <v>8</v>
      </c>
      <c r="OV418" s="27" t="s">
        <v>7</v>
      </c>
      <c r="OW418" s="27" t="s">
        <v>8</v>
      </c>
      <c r="OZ418" s="27" t="s">
        <v>7</v>
      </c>
      <c r="PA418" s="27" t="s">
        <v>8</v>
      </c>
      <c r="QG418" s="27" t="s">
        <v>8</v>
      </c>
      <c r="QH418" s="27" t="s">
        <v>7</v>
      </c>
      <c r="QI418" s="27" t="s">
        <v>8</v>
      </c>
      <c r="QJ418" s="27" t="s">
        <v>7</v>
      </c>
      <c r="QM418" s="27" t="s">
        <v>8</v>
      </c>
      <c r="QP418" s="27" t="s">
        <v>7</v>
      </c>
      <c r="QQ418" s="27" t="s">
        <v>8</v>
      </c>
      <c r="QR418" s="27" t="s">
        <v>7</v>
      </c>
      <c r="QS418" s="27" t="s">
        <v>8</v>
      </c>
      <c r="QT418" s="27" t="s">
        <v>7</v>
      </c>
      <c r="QU418" s="27" t="s">
        <v>8</v>
      </c>
      <c r="QV418" s="27" t="s">
        <v>7</v>
      </c>
      <c r="RI418" s="27" t="s">
        <v>8</v>
      </c>
      <c r="RK418" s="27" t="s">
        <v>8</v>
      </c>
      <c r="RN418" s="27" t="s">
        <v>7</v>
      </c>
      <c r="RV418" s="27" t="s">
        <v>7</v>
      </c>
      <c r="RW418" s="27" t="s">
        <v>8</v>
      </c>
      <c r="RX418" s="27" t="s">
        <v>7</v>
      </c>
      <c r="SQ418" s="27" t="s">
        <v>8</v>
      </c>
      <c r="SS418" s="27" t="s">
        <v>8</v>
      </c>
    </row>
    <row r="419" spans="1:516" x14ac:dyDescent="0.25">
      <c r="A419" s="7">
        <v>27.850234480856578</v>
      </c>
      <c r="B419"/>
      <c r="C419"/>
      <c r="D419"/>
      <c r="E419"/>
      <c r="MQ419" s="27" t="s">
        <v>8</v>
      </c>
      <c r="MR419" s="27" t="s">
        <v>7</v>
      </c>
      <c r="MS419" s="27" t="s">
        <v>8</v>
      </c>
      <c r="MT419" s="27" t="s">
        <v>7</v>
      </c>
      <c r="MX419" s="27" t="s">
        <v>7</v>
      </c>
      <c r="MY419" s="27" t="s">
        <v>8</v>
      </c>
      <c r="MZ419" s="27" t="s">
        <v>7</v>
      </c>
      <c r="NC419" s="27" t="s">
        <v>8</v>
      </c>
      <c r="ND419" s="27" t="s">
        <v>7</v>
      </c>
      <c r="NE419" s="27" t="s">
        <v>8</v>
      </c>
      <c r="NF419" s="27" t="s">
        <v>7</v>
      </c>
      <c r="NG419" s="27" t="s">
        <v>8</v>
      </c>
      <c r="NH419" s="27" t="s">
        <v>7</v>
      </c>
      <c r="NI419" s="27" t="s">
        <v>8</v>
      </c>
      <c r="NL419" s="27" t="s">
        <v>7</v>
      </c>
      <c r="NM419" s="27" t="s">
        <v>8</v>
      </c>
      <c r="OP419" s="27" t="s">
        <v>7</v>
      </c>
      <c r="OQ419" s="27" t="s">
        <v>8</v>
      </c>
      <c r="OR419" s="27" t="s">
        <v>7</v>
      </c>
      <c r="OU419" s="27" t="s">
        <v>8</v>
      </c>
      <c r="OV419" s="27" t="s">
        <v>7</v>
      </c>
      <c r="OW419" s="27" t="s">
        <v>8</v>
      </c>
      <c r="OZ419" s="27" t="s">
        <v>7</v>
      </c>
      <c r="PA419" s="27" t="s">
        <v>8</v>
      </c>
      <c r="PB419" s="27" t="s">
        <v>7</v>
      </c>
      <c r="QE419" s="27" t="s">
        <v>8</v>
      </c>
      <c r="QG419" s="27" t="s">
        <v>8</v>
      </c>
      <c r="QH419" s="27" t="s">
        <v>7</v>
      </c>
      <c r="QI419" s="27" t="s">
        <v>8</v>
      </c>
      <c r="QJ419" s="27" t="s">
        <v>7</v>
      </c>
      <c r="QM419" s="27" t="s">
        <v>8</v>
      </c>
      <c r="QP419" s="27" t="s">
        <v>7</v>
      </c>
      <c r="QQ419" s="27" t="s">
        <v>8</v>
      </c>
      <c r="QR419" s="27" t="s">
        <v>7</v>
      </c>
      <c r="QS419" s="27" t="s">
        <v>8</v>
      </c>
      <c r="QT419" s="27" t="s">
        <v>7</v>
      </c>
      <c r="QU419" s="27" t="s">
        <v>8</v>
      </c>
      <c r="QV419" s="27" t="s">
        <v>7</v>
      </c>
      <c r="RA419" s="27" t="s">
        <v>8</v>
      </c>
      <c r="RC419" s="27" t="s">
        <v>8</v>
      </c>
      <c r="RE419" s="27" t="s">
        <v>8</v>
      </c>
      <c r="RG419" s="27" t="s">
        <v>8</v>
      </c>
      <c r="RI419" s="27" t="s">
        <v>8</v>
      </c>
      <c r="RJ419" s="27" t="s">
        <v>7</v>
      </c>
      <c r="RK419" s="27" t="s">
        <v>8</v>
      </c>
      <c r="RV419" s="27" t="s">
        <v>7</v>
      </c>
      <c r="RW419" s="27" t="s">
        <v>8</v>
      </c>
      <c r="RX419" s="27" t="s">
        <v>7</v>
      </c>
      <c r="SQ419" s="27" t="s">
        <v>8</v>
      </c>
      <c r="SR419" s="27" t="s">
        <v>7</v>
      </c>
      <c r="SS419" s="27" t="s">
        <v>8</v>
      </c>
      <c r="ST419" s="27" t="s">
        <v>7</v>
      </c>
    </row>
    <row r="420" spans="1:516" x14ac:dyDescent="0.25">
      <c r="A420" s="7">
        <v>27.304151451820175</v>
      </c>
      <c r="B420"/>
      <c r="C420"/>
      <c r="D420"/>
      <c r="E420"/>
      <c r="MQ420" s="27" t="s">
        <v>8</v>
      </c>
      <c r="MR420" s="27" t="s">
        <v>7</v>
      </c>
      <c r="MS420" s="27" t="s">
        <v>8</v>
      </c>
      <c r="MX420" s="27" t="s">
        <v>7</v>
      </c>
      <c r="MY420" s="27" t="s">
        <v>8</v>
      </c>
      <c r="MZ420" s="27" t="s">
        <v>7</v>
      </c>
      <c r="NA420" s="27" t="s">
        <v>8</v>
      </c>
      <c r="NC420" s="27" t="s">
        <v>8</v>
      </c>
      <c r="ND420" s="27" t="s">
        <v>7</v>
      </c>
      <c r="NE420" s="27" t="s">
        <v>8</v>
      </c>
      <c r="NF420" s="27" t="s">
        <v>7</v>
      </c>
      <c r="NH420" s="27" t="s">
        <v>7</v>
      </c>
      <c r="NI420" s="27" t="s">
        <v>8</v>
      </c>
      <c r="NL420" s="27" t="s">
        <v>7</v>
      </c>
      <c r="NM420" s="27" t="s">
        <v>8</v>
      </c>
      <c r="OP420" s="27" t="s">
        <v>7</v>
      </c>
      <c r="OQ420" s="27" t="s">
        <v>8</v>
      </c>
      <c r="OR420" s="27" t="s">
        <v>7</v>
      </c>
      <c r="OU420" s="27" t="s">
        <v>8</v>
      </c>
      <c r="OV420" s="27" t="s">
        <v>7</v>
      </c>
      <c r="OW420" s="27" t="s">
        <v>8</v>
      </c>
      <c r="OZ420" s="27" t="s">
        <v>7</v>
      </c>
      <c r="PA420" s="27" t="s">
        <v>8</v>
      </c>
      <c r="PB420" s="27" t="s">
        <v>7</v>
      </c>
      <c r="QC420" s="27" t="s">
        <v>8</v>
      </c>
      <c r="QE420" s="27" t="s">
        <v>8</v>
      </c>
      <c r="QF420" s="27" t="s">
        <v>7</v>
      </c>
      <c r="QG420" s="27" t="s">
        <v>8</v>
      </c>
      <c r="QH420" s="27" t="s">
        <v>7</v>
      </c>
      <c r="QI420" s="27" t="s">
        <v>8</v>
      </c>
      <c r="QJ420" s="27" t="s">
        <v>7</v>
      </c>
      <c r="QM420" s="27" t="s">
        <v>8</v>
      </c>
      <c r="QP420" s="27" t="s">
        <v>7</v>
      </c>
      <c r="QQ420" s="27" t="s">
        <v>8</v>
      </c>
      <c r="QR420" s="27" t="s">
        <v>7</v>
      </c>
      <c r="QS420" s="27" t="s">
        <v>8</v>
      </c>
      <c r="QT420" s="27" t="s">
        <v>7</v>
      </c>
      <c r="QU420" s="27" t="s">
        <v>8</v>
      </c>
      <c r="QV420" s="27" t="s">
        <v>7</v>
      </c>
      <c r="RA420" s="27" t="s">
        <v>8</v>
      </c>
      <c r="RB420" s="27" t="s">
        <v>7</v>
      </c>
      <c r="RC420" s="27" t="s">
        <v>8</v>
      </c>
      <c r="RD420" s="27" t="s">
        <v>7</v>
      </c>
      <c r="RE420" s="27" t="s">
        <v>8</v>
      </c>
      <c r="RF420" s="27" t="s">
        <v>7</v>
      </c>
      <c r="RG420" s="27" t="s">
        <v>8</v>
      </c>
      <c r="RH420" s="27" t="s">
        <v>7</v>
      </c>
      <c r="RI420" s="27" t="s">
        <v>8</v>
      </c>
      <c r="RJ420" s="27" t="s">
        <v>7</v>
      </c>
      <c r="RK420" s="27" t="s">
        <v>8</v>
      </c>
      <c r="RV420" s="27" t="s">
        <v>7</v>
      </c>
      <c r="RW420" s="27" t="s">
        <v>8</v>
      </c>
      <c r="RX420" s="27" t="s">
        <v>7</v>
      </c>
      <c r="SO420" s="27" t="s">
        <v>8</v>
      </c>
      <c r="SQ420" s="27" t="s">
        <v>8</v>
      </c>
      <c r="SR420" s="27" t="s">
        <v>7</v>
      </c>
      <c r="SS420" s="27" t="s">
        <v>8</v>
      </c>
      <c r="ST420" s="27" t="s">
        <v>7</v>
      </c>
    </row>
    <row r="421" spans="1:516" x14ac:dyDescent="0.25">
      <c r="A421" s="7">
        <v>26.768775933157034</v>
      </c>
      <c r="B421"/>
      <c r="C421"/>
      <c r="D421"/>
      <c r="E421"/>
      <c r="MO421" s="27" t="s">
        <v>8</v>
      </c>
      <c r="MQ421" s="27" t="s">
        <v>8</v>
      </c>
      <c r="MR421" s="27" t="s">
        <v>7</v>
      </c>
      <c r="MS421" s="27" t="s">
        <v>8</v>
      </c>
      <c r="MX421" s="27" t="s">
        <v>7</v>
      </c>
      <c r="MY421" s="27" t="s">
        <v>8</v>
      </c>
      <c r="MZ421" s="27" t="s">
        <v>7</v>
      </c>
      <c r="NA421" s="27" t="s">
        <v>8</v>
      </c>
      <c r="NB421" s="27" t="s">
        <v>7</v>
      </c>
      <c r="NC421" s="27" t="s">
        <v>8</v>
      </c>
      <c r="ND421" s="27" t="s">
        <v>7</v>
      </c>
      <c r="NE421" s="27" t="s">
        <v>8</v>
      </c>
      <c r="NH421" s="27" t="s">
        <v>7</v>
      </c>
      <c r="NL421" s="27" t="s">
        <v>7</v>
      </c>
      <c r="NM421" s="27" t="s">
        <v>8</v>
      </c>
      <c r="OP421" s="27" t="s">
        <v>7</v>
      </c>
      <c r="OQ421" s="27" t="s">
        <v>8</v>
      </c>
      <c r="OR421" s="27" t="s">
        <v>7</v>
      </c>
      <c r="OU421" s="27" t="s">
        <v>8</v>
      </c>
      <c r="OV421" s="27" t="s">
        <v>7</v>
      </c>
      <c r="OW421" s="27" t="s">
        <v>8</v>
      </c>
      <c r="OZ421" s="27" t="s">
        <v>7</v>
      </c>
      <c r="PA421" s="27" t="s">
        <v>8</v>
      </c>
      <c r="PB421" s="27" t="s">
        <v>7</v>
      </c>
      <c r="QC421" s="27" t="s">
        <v>8</v>
      </c>
      <c r="QD421" s="27" t="s">
        <v>7</v>
      </c>
      <c r="QE421" s="27" t="s">
        <v>8</v>
      </c>
      <c r="QF421" s="27" t="s">
        <v>7</v>
      </c>
      <c r="QG421" s="27" t="s">
        <v>8</v>
      </c>
      <c r="QH421" s="27" t="s">
        <v>7</v>
      </c>
      <c r="QI421" s="27" t="s">
        <v>8</v>
      </c>
      <c r="QJ421" s="27" t="s">
        <v>7</v>
      </c>
      <c r="QM421" s="27" t="s">
        <v>8</v>
      </c>
      <c r="QP421" s="27" t="s">
        <v>7</v>
      </c>
      <c r="QQ421" s="27" t="s">
        <v>8</v>
      </c>
      <c r="QR421" s="27" t="s">
        <v>7</v>
      </c>
      <c r="QS421" s="27" t="s">
        <v>8</v>
      </c>
      <c r="QT421" s="27" t="s">
        <v>7</v>
      </c>
      <c r="QU421" s="27" t="s">
        <v>8</v>
      </c>
      <c r="QV421" s="27" t="s">
        <v>7</v>
      </c>
      <c r="RA421" s="27" t="s">
        <v>8</v>
      </c>
      <c r="RB421" s="27" t="s">
        <v>7</v>
      </c>
      <c r="RC421" s="27" t="s">
        <v>8</v>
      </c>
      <c r="RD421" s="27" t="s">
        <v>7</v>
      </c>
      <c r="RE421" s="27" t="s">
        <v>8</v>
      </c>
      <c r="RF421" s="27" t="s">
        <v>7</v>
      </c>
      <c r="RG421" s="27" t="s">
        <v>8</v>
      </c>
      <c r="RH421" s="27" t="s">
        <v>7</v>
      </c>
      <c r="RI421" s="27" t="s">
        <v>8</v>
      </c>
      <c r="RJ421" s="27" t="s">
        <v>7</v>
      </c>
      <c r="RK421" s="27" t="s">
        <v>8</v>
      </c>
      <c r="RV421" s="27" t="s">
        <v>7</v>
      </c>
      <c r="RW421" s="27" t="s">
        <v>8</v>
      </c>
      <c r="RX421" s="27" t="s">
        <v>7</v>
      </c>
      <c r="SA421" s="27" t="s">
        <v>8</v>
      </c>
      <c r="SO421" s="27" t="s">
        <v>8</v>
      </c>
      <c r="SP421" s="27" t="s">
        <v>7</v>
      </c>
      <c r="SQ421" s="27" t="s">
        <v>8</v>
      </c>
      <c r="SR421" s="27" t="s">
        <v>7</v>
      </c>
      <c r="SS421" s="27" t="s">
        <v>8</v>
      </c>
      <c r="ST421" s="27" t="s">
        <v>7</v>
      </c>
    </row>
    <row r="422" spans="1:516" x14ac:dyDescent="0.25">
      <c r="A422" s="7">
        <v>26.243897973683367</v>
      </c>
      <c r="B422"/>
      <c r="C422"/>
      <c r="D422"/>
      <c r="E422"/>
      <c r="MO422" s="27" t="s">
        <v>8</v>
      </c>
      <c r="MP422" s="27" t="s">
        <v>7</v>
      </c>
      <c r="MQ422" s="27" t="s">
        <v>8</v>
      </c>
      <c r="MR422" s="27" t="s">
        <v>7</v>
      </c>
      <c r="MX422" s="27" t="s">
        <v>7</v>
      </c>
      <c r="MY422" s="27" t="s">
        <v>8</v>
      </c>
      <c r="MZ422" s="27" t="s">
        <v>7</v>
      </c>
      <c r="NA422" s="27" t="s">
        <v>8</v>
      </c>
      <c r="NB422" s="27" t="s">
        <v>7</v>
      </c>
      <c r="NC422" s="27" t="s">
        <v>8</v>
      </c>
      <c r="ND422" s="27" t="s">
        <v>7</v>
      </c>
      <c r="NE422" s="27" t="s">
        <v>8</v>
      </c>
      <c r="NL422" s="27" t="s">
        <v>7</v>
      </c>
      <c r="NM422" s="27" t="s">
        <v>8</v>
      </c>
      <c r="OP422" s="27" t="s">
        <v>7</v>
      </c>
      <c r="OQ422" s="27" t="s">
        <v>8</v>
      </c>
      <c r="OR422" s="27" t="s">
        <v>7</v>
      </c>
      <c r="OU422" s="27" t="s">
        <v>8</v>
      </c>
      <c r="OV422" s="27" t="s">
        <v>7</v>
      </c>
      <c r="OW422" s="27" t="s">
        <v>8</v>
      </c>
      <c r="OZ422" s="27" t="s">
        <v>7</v>
      </c>
      <c r="PB422" s="27" t="s">
        <v>7</v>
      </c>
      <c r="PE422" s="27" t="s">
        <v>8</v>
      </c>
      <c r="QC422" s="27" t="s">
        <v>8</v>
      </c>
      <c r="QD422" s="27" t="s">
        <v>7</v>
      </c>
      <c r="QE422" s="27" t="s">
        <v>8</v>
      </c>
      <c r="QF422" s="27" t="s">
        <v>7</v>
      </c>
      <c r="QH422" s="27" t="s">
        <v>7</v>
      </c>
      <c r="QI422" s="27" t="s">
        <v>8</v>
      </c>
      <c r="QJ422" s="27" t="s">
        <v>7</v>
      </c>
      <c r="QK422" s="27" t="s">
        <v>8</v>
      </c>
      <c r="QM422" s="27" t="s">
        <v>8</v>
      </c>
      <c r="QP422" s="27" t="s">
        <v>7</v>
      </c>
      <c r="QQ422" s="27" t="s">
        <v>8</v>
      </c>
      <c r="QR422" s="27" t="s">
        <v>7</v>
      </c>
      <c r="QS422" s="27" t="s">
        <v>8</v>
      </c>
      <c r="QT422" s="27" t="s">
        <v>7</v>
      </c>
      <c r="QU422" s="27" t="s">
        <v>8</v>
      </c>
      <c r="QV422" s="27" t="s">
        <v>7</v>
      </c>
      <c r="RA422" s="27" t="s">
        <v>8</v>
      </c>
      <c r="RB422" s="27" t="s">
        <v>7</v>
      </c>
      <c r="RC422" s="27" t="s">
        <v>8</v>
      </c>
      <c r="RD422" s="27" t="s">
        <v>7</v>
      </c>
      <c r="RF422" s="27" t="s">
        <v>7</v>
      </c>
      <c r="RG422" s="27" t="s">
        <v>8</v>
      </c>
      <c r="RH422" s="27" t="s">
        <v>7</v>
      </c>
      <c r="RJ422" s="27" t="s">
        <v>7</v>
      </c>
      <c r="RK422" s="27" t="s">
        <v>8</v>
      </c>
      <c r="RV422" s="27" t="s">
        <v>7</v>
      </c>
      <c r="RX422" s="27" t="s">
        <v>7</v>
      </c>
      <c r="SA422" s="27" t="s">
        <v>8</v>
      </c>
      <c r="SB422" s="27" t="s">
        <v>7</v>
      </c>
      <c r="SO422" s="27" t="s">
        <v>8</v>
      </c>
      <c r="SP422" s="27" t="s">
        <v>7</v>
      </c>
      <c r="SQ422" s="27" t="s">
        <v>8</v>
      </c>
      <c r="SR422" s="27" t="s">
        <v>7</v>
      </c>
      <c r="SS422" s="27" t="s">
        <v>8</v>
      </c>
      <c r="ST422" s="27" t="s">
        <v>7</v>
      </c>
      <c r="SU422" s="27" t="s">
        <v>8</v>
      </c>
    </row>
    <row r="423" spans="1:516" x14ac:dyDescent="0.25">
      <c r="A423" s="7">
        <v>25.729311738905263</v>
      </c>
      <c r="B423"/>
      <c r="C423"/>
      <c r="D423"/>
      <c r="E423"/>
      <c r="MO423" s="27" t="s">
        <v>8</v>
      </c>
      <c r="MP423" s="27" t="s">
        <v>7</v>
      </c>
      <c r="MQ423" s="27" t="s">
        <v>8</v>
      </c>
      <c r="MX423" s="27" t="s">
        <v>7</v>
      </c>
      <c r="MY423" s="27" t="s">
        <v>8</v>
      </c>
      <c r="MZ423" s="27" t="s">
        <v>7</v>
      </c>
      <c r="NA423" s="27" t="s">
        <v>8</v>
      </c>
      <c r="NB423" s="27" t="s">
        <v>7</v>
      </c>
      <c r="NC423" s="27" t="s">
        <v>8</v>
      </c>
      <c r="ND423" s="27" t="s">
        <v>7</v>
      </c>
      <c r="NL423" s="27" t="s">
        <v>7</v>
      </c>
      <c r="NM423" s="27" t="s">
        <v>8</v>
      </c>
      <c r="OP423" s="27" t="s">
        <v>7</v>
      </c>
      <c r="OQ423" s="27" t="s">
        <v>8</v>
      </c>
      <c r="OR423" s="27" t="s">
        <v>7</v>
      </c>
      <c r="OS423" s="27" t="s">
        <v>8</v>
      </c>
      <c r="OU423" s="27" t="s">
        <v>8</v>
      </c>
      <c r="OV423" s="27" t="s">
        <v>7</v>
      </c>
      <c r="OW423" s="27" t="s">
        <v>8</v>
      </c>
      <c r="PB423" s="27" t="s">
        <v>7</v>
      </c>
      <c r="PC423" s="27" t="s">
        <v>8</v>
      </c>
      <c r="PE423" s="27" t="s">
        <v>8</v>
      </c>
      <c r="PF423" s="27" t="s">
        <v>7</v>
      </c>
      <c r="QC423" s="27" t="s">
        <v>8</v>
      </c>
      <c r="QD423" s="27" t="s">
        <v>7</v>
      </c>
      <c r="QE423" s="27" t="s">
        <v>8</v>
      </c>
      <c r="QH423" s="27" t="s">
        <v>7</v>
      </c>
      <c r="QI423" s="27" t="s">
        <v>8</v>
      </c>
      <c r="QJ423" s="27" t="s">
        <v>7</v>
      </c>
      <c r="QK423" s="27" t="s">
        <v>8</v>
      </c>
      <c r="QL423" s="27" t="s">
        <v>7</v>
      </c>
      <c r="QM423" s="27" t="s">
        <v>8</v>
      </c>
      <c r="QP423" s="27" t="s">
        <v>7</v>
      </c>
      <c r="QQ423" s="27" t="s">
        <v>8</v>
      </c>
      <c r="QR423" s="27" t="s">
        <v>7</v>
      </c>
      <c r="QT423" s="27" t="s">
        <v>7</v>
      </c>
      <c r="QU423" s="27" t="s">
        <v>8</v>
      </c>
      <c r="QV423" s="27" t="s">
        <v>7</v>
      </c>
      <c r="RA423" s="27" t="s">
        <v>8</v>
      </c>
      <c r="RB423" s="27" t="s">
        <v>7</v>
      </c>
      <c r="RF423" s="27" t="s">
        <v>7</v>
      </c>
      <c r="RG423" s="27" t="s">
        <v>8</v>
      </c>
      <c r="RJ423" s="27" t="s">
        <v>7</v>
      </c>
      <c r="RX423" s="27" t="s">
        <v>7</v>
      </c>
      <c r="SA423" s="27" t="s">
        <v>8</v>
      </c>
      <c r="SB423" s="27" t="s">
        <v>7</v>
      </c>
      <c r="SO423" s="27" t="s">
        <v>8</v>
      </c>
      <c r="SP423" s="27" t="s">
        <v>7</v>
      </c>
      <c r="SQ423" s="27" t="s">
        <v>8</v>
      </c>
      <c r="SR423" s="27" t="s">
        <v>7</v>
      </c>
      <c r="SS423" s="27" t="s">
        <v>8</v>
      </c>
      <c r="ST423" s="27" t="s">
        <v>7</v>
      </c>
      <c r="SU423" s="27" t="s">
        <v>8</v>
      </c>
      <c r="SV423" s="27" t="s">
        <v>7</v>
      </c>
    </row>
    <row r="424" spans="1:516" x14ac:dyDescent="0.25">
      <c r="A424" s="7">
        <v>25.224815430299277</v>
      </c>
      <c r="B424"/>
      <c r="C424"/>
      <c r="D424"/>
      <c r="E424"/>
      <c r="MI424" s="27" t="s">
        <v>8</v>
      </c>
      <c r="MO424" s="27" t="s">
        <v>8</v>
      </c>
      <c r="MP424" s="27" t="s">
        <v>7</v>
      </c>
      <c r="MQ424" s="27" t="s">
        <v>8</v>
      </c>
      <c r="MX424" s="27" t="s">
        <v>7</v>
      </c>
      <c r="MY424" s="27" t="s">
        <v>8</v>
      </c>
      <c r="MZ424" s="27" t="s">
        <v>7</v>
      </c>
      <c r="NA424" s="27" t="s">
        <v>8</v>
      </c>
      <c r="NB424" s="27" t="s">
        <v>7</v>
      </c>
      <c r="NC424" s="27" t="s">
        <v>8</v>
      </c>
      <c r="NL424" s="27" t="s">
        <v>7</v>
      </c>
      <c r="NM424" s="27" t="s">
        <v>8</v>
      </c>
      <c r="OP424" s="27" t="s">
        <v>7</v>
      </c>
      <c r="OQ424" s="27" t="s">
        <v>8</v>
      </c>
      <c r="OR424" s="27" t="s">
        <v>7</v>
      </c>
      <c r="OS424" s="27" t="s">
        <v>8</v>
      </c>
      <c r="OT424" s="27" t="s">
        <v>7</v>
      </c>
      <c r="OU424" s="27" t="s">
        <v>8</v>
      </c>
      <c r="OV424" s="27" t="s">
        <v>7</v>
      </c>
      <c r="OW424" s="27" t="s">
        <v>8</v>
      </c>
      <c r="PB424" s="27" t="s">
        <v>7</v>
      </c>
      <c r="PC424" s="27" t="s">
        <v>8</v>
      </c>
      <c r="PD424" s="27" t="s">
        <v>7</v>
      </c>
      <c r="PE424" s="27" t="s">
        <v>8</v>
      </c>
      <c r="PF424" s="27" t="s">
        <v>7</v>
      </c>
      <c r="QC424" s="27" t="s">
        <v>8</v>
      </c>
      <c r="QD424" s="27" t="s">
        <v>7</v>
      </c>
      <c r="QE424" s="27" t="s">
        <v>8</v>
      </c>
      <c r="QH424" s="27" t="s">
        <v>7</v>
      </c>
      <c r="QI424" s="27" t="s">
        <v>8</v>
      </c>
      <c r="QJ424" s="27" t="s">
        <v>7</v>
      </c>
      <c r="QK424" s="27" t="s">
        <v>8</v>
      </c>
      <c r="QL424" s="27" t="s">
        <v>7</v>
      </c>
      <c r="QM424" s="27" t="s">
        <v>8</v>
      </c>
      <c r="QP424" s="27" t="s">
        <v>7</v>
      </c>
      <c r="QQ424" s="27" t="s">
        <v>8</v>
      </c>
      <c r="QT424" s="27" t="s">
        <v>7</v>
      </c>
      <c r="QV424" s="27" t="s">
        <v>7</v>
      </c>
      <c r="QW424" s="27" t="s">
        <v>8</v>
      </c>
      <c r="QY424" s="27" t="s">
        <v>8</v>
      </c>
      <c r="RA424" s="27" t="s">
        <v>8</v>
      </c>
      <c r="RF424" s="27" t="s">
        <v>7</v>
      </c>
      <c r="RG424" s="27" t="s">
        <v>8</v>
      </c>
      <c r="RX424" s="27" t="s">
        <v>7</v>
      </c>
      <c r="SA424" s="27" t="s">
        <v>8</v>
      </c>
      <c r="SB424" s="27" t="s">
        <v>7</v>
      </c>
      <c r="SO424" s="27" t="s">
        <v>8</v>
      </c>
      <c r="SP424" s="27" t="s">
        <v>7</v>
      </c>
      <c r="SQ424" s="27" t="s">
        <v>8</v>
      </c>
      <c r="SR424" s="27" t="s">
        <v>7</v>
      </c>
      <c r="ST424" s="27" t="s">
        <v>7</v>
      </c>
      <c r="SU424" s="27" t="s">
        <v>8</v>
      </c>
      <c r="SV424" s="27" t="s">
        <v>7</v>
      </c>
    </row>
    <row r="425" spans="1:516" x14ac:dyDescent="0.25">
      <c r="A425" s="7">
        <v>24.73021120617576</v>
      </c>
      <c r="B425"/>
      <c r="C425"/>
      <c r="D425"/>
      <c r="E425"/>
      <c r="MI425" s="27" t="s">
        <v>8</v>
      </c>
      <c r="MJ425" s="27" t="s">
        <v>7</v>
      </c>
      <c r="MO425" s="27" t="s">
        <v>8</v>
      </c>
      <c r="MP425" s="27" t="s">
        <v>7</v>
      </c>
      <c r="MQ425" s="27" t="s">
        <v>8</v>
      </c>
      <c r="MX425" s="27" t="s">
        <v>7</v>
      </c>
      <c r="MY425" s="27" t="s">
        <v>8</v>
      </c>
      <c r="MZ425" s="27" t="s">
        <v>7</v>
      </c>
      <c r="NA425" s="27" t="s">
        <v>8</v>
      </c>
      <c r="NB425" s="27" t="s">
        <v>7</v>
      </c>
      <c r="NC425" s="27" t="s">
        <v>8</v>
      </c>
      <c r="NL425" s="27" t="s">
        <v>7</v>
      </c>
      <c r="NM425" s="27" t="s">
        <v>8</v>
      </c>
      <c r="OP425" s="27" t="s">
        <v>7</v>
      </c>
      <c r="OQ425" s="27" t="s">
        <v>8</v>
      </c>
      <c r="OR425" s="27" t="s">
        <v>7</v>
      </c>
      <c r="OS425" s="27" t="s">
        <v>8</v>
      </c>
      <c r="OT425" s="27" t="s">
        <v>7</v>
      </c>
      <c r="OU425" s="27" t="s">
        <v>8</v>
      </c>
      <c r="OV425" s="27" t="s">
        <v>7</v>
      </c>
      <c r="OW425" s="27" t="s">
        <v>8</v>
      </c>
      <c r="PB425" s="27" t="s">
        <v>7</v>
      </c>
      <c r="PC425" s="27" t="s">
        <v>8</v>
      </c>
      <c r="PD425" s="27" t="s">
        <v>7</v>
      </c>
      <c r="PE425" s="27" t="s">
        <v>8</v>
      </c>
      <c r="PF425" s="27" t="s">
        <v>7</v>
      </c>
      <c r="PY425" s="27" t="s">
        <v>8</v>
      </c>
      <c r="QA425" s="27" t="s">
        <v>8</v>
      </c>
      <c r="QC425" s="27" t="s">
        <v>8</v>
      </c>
      <c r="QD425" s="27" t="s">
        <v>7</v>
      </c>
      <c r="QE425" s="27" t="s">
        <v>8</v>
      </c>
      <c r="QH425" s="27" t="s">
        <v>7</v>
      </c>
      <c r="QJ425" s="27" t="s">
        <v>7</v>
      </c>
      <c r="QK425" s="27" t="s">
        <v>8</v>
      </c>
      <c r="QL425" s="27" t="s">
        <v>7</v>
      </c>
      <c r="QP425" s="27" t="s">
        <v>7</v>
      </c>
      <c r="QQ425" s="27" t="s">
        <v>8</v>
      </c>
      <c r="QV425" s="27" t="s">
        <v>7</v>
      </c>
      <c r="QW425" s="27" t="s">
        <v>8</v>
      </c>
      <c r="QX425" s="27" t="s">
        <v>7</v>
      </c>
      <c r="QY425" s="27" t="s">
        <v>8</v>
      </c>
      <c r="QZ425" s="27" t="s">
        <v>7</v>
      </c>
      <c r="RA425" s="27" t="s">
        <v>8</v>
      </c>
      <c r="RF425" s="27" t="s">
        <v>7</v>
      </c>
      <c r="RG425" s="27" t="s">
        <v>8</v>
      </c>
      <c r="RX425" s="27" t="s">
        <v>7</v>
      </c>
      <c r="RY425" s="27" t="s">
        <v>8</v>
      </c>
      <c r="SA425" s="27" t="s">
        <v>8</v>
      </c>
      <c r="SB425" s="27" t="s">
        <v>7</v>
      </c>
      <c r="SO425" s="27" t="s">
        <v>8</v>
      </c>
      <c r="SP425" s="27" t="s">
        <v>7</v>
      </c>
      <c r="SQ425" s="27" t="s">
        <v>8</v>
      </c>
      <c r="ST425" s="27" t="s">
        <v>7</v>
      </c>
      <c r="SU425" s="27" t="s">
        <v>8</v>
      </c>
      <c r="SV425" s="27" t="s">
        <v>7</v>
      </c>
    </row>
    <row r="426" spans="1:516" x14ac:dyDescent="0.25">
      <c r="A426" s="7">
        <v>24.24530510409388</v>
      </c>
      <c r="B426"/>
      <c r="C426"/>
      <c r="D426"/>
      <c r="E426"/>
      <c r="MI426" s="27" t="s">
        <v>8</v>
      </c>
      <c r="MJ426" s="27" t="s">
        <v>7</v>
      </c>
      <c r="MK426" s="27" t="s">
        <v>8</v>
      </c>
      <c r="MM426" s="27" t="s">
        <v>8</v>
      </c>
      <c r="MO426" s="27" t="s">
        <v>8</v>
      </c>
      <c r="MP426" s="27" t="s">
        <v>7</v>
      </c>
      <c r="MQ426" s="27" t="s">
        <v>8</v>
      </c>
      <c r="MX426" s="27" t="s">
        <v>7</v>
      </c>
      <c r="MY426" s="27" t="s">
        <v>8</v>
      </c>
      <c r="MZ426" s="27" t="s">
        <v>7</v>
      </c>
      <c r="NA426" s="27" t="s">
        <v>8</v>
      </c>
      <c r="NB426" s="27" t="s">
        <v>7</v>
      </c>
      <c r="NC426" s="27" t="s">
        <v>8</v>
      </c>
      <c r="NL426" s="27" t="s">
        <v>7</v>
      </c>
      <c r="NM426" s="27" t="s">
        <v>8</v>
      </c>
      <c r="OP426" s="27" t="s">
        <v>7</v>
      </c>
      <c r="OQ426" s="27" t="s">
        <v>8</v>
      </c>
      <c r="OR426" s="27" t="s">
        <v>7</v>
      </c>
      <c r="OS426" s="27" t="s">
        <v>8</v>
      </c>
      <c r="OT426" s="27" t="s">
        <v>7</v>
      </c>
      <c r="OU426" s="27" t="s">
        <v>8</v>
      </c>
      <c r="OV426" s="27" t="s">
        <v>7</v>
      </c>
      <c r="OW426" s="27" t="s">
        <v>8</v>
      </c>
      <c r="PB426" s="27" t="s">
        <v>7</v>
      </c>
      <c r="PC426" s="27" t="s">
        <v>8</v>
      </c>
      <c r="PD426" s="27" t="s">
        <v>7</v>
      </c>
      <c r="PE426" s="27" t="s">
        <v>8</v>
      </c>
      <c r="PF426" s="27" t="s">
        <v>7</v>
      </c>
      <c r="PY426" s="27" t="s">
        <v>8</v>
      </c>
      <c r="PZ426" s="27" t="s">
        <v>7</v>
      </c>
      <c r="QA426" s="27" t="s">
        <v>8</v>
      </c>
      <c r="QB426" s="27" t="s">
        <v>7</v>
      </c>
      <c r="QC426" s="27" t="s">
        <v>8</v>
      </c>
      <c r="QD426" s="27" t="s">
        <v>7</v>
      </c>
      <c r="QJ426" s="27" t="s">
        <v>7</v>
      </c>
      <c r="QP426" s="27" t="s">
        <v>7</v>
      </c>
      <c r="QV426" s="27" t="s">
        <v>7</v>
      </c>
      <c r="QW426" s="27" t="s">
        <v>8</v>
      </c>
      <c r="QX426" s="27" t="s">
        <v>7</v>
      </c>
      <c r="QY426" s="27" t="s">
        <v>8</v>
      </c>
      <c r="QZ426" s="27" t="s">
        <v>7</v>
      </c>
      <c r="RA426" s="27" t="s">
        <v>8</v>
      </c>
      <c r="RF426" s="27" t="s">
        <v>7</v>
      </c>
      <c r="RG426" s="27" t="s">
        <v>8</v>
      </c>
      <c r="RX426" s="27" t="s">
        <v>7</v>
      </c>
      <c r="RY426" s="27" t="s">
        <v>8</v>
      </c>
      <c r="RZ426" s="27" t="s">
        <v>7</v>
      </c>
      <c r="SA426" s="27" t="s">
        <v>8</v>
      </c>
      <c r="SB426" s="27" t="s">
        <v>7</v>
      </c>
      <c r="SM426" s="27" t="s">
        <v>8</v>
      </c>
      <c r="SO426" s="27" t="s">
        <v>8</v>
      </c>
      <c r="SP426" s="27" t="s">
        <v>7</v>
      </c>
      <c r="SQ426" s="27" t="s">
        <v>8</v>
      </c>
      <c r="ST426" s="27" t="s">
        <v>7</v>
      </c>
      <c r="SV426" s="27" t="s">
        <v>7</v>
      </c>
    </row>
    <row r="427" spans="1:516" x14ac:dyDescent="0.25">
      <c r="A427" s="7">
        <v>23.769906964797922</v>
      </c>
      <c r="B427"/>
      <c r="C427"/>
      <c r="D427"/>
      <c r="E427"/>
      <c r="MI427" s="27" t="s">
        <v>8</v>
      </c>
      <c r="MJ427" s="27" t="s">
        <v>7</v>
      </c>
      <c r="MK427" s="27" t="s">
        <v>8</v>
      </c>
      <c r="ML427" s="27" t="s">
        <v>7</v>
      </c>
      <c r="MM427" s="27" t="s">
        <v>8</v>
      </c>
      <c r="MN427" s="27" t="s">
        <v>7</v>
      </c>
      <c r="MO427" s="27" t="s">
        <v>8</v>
      </c>
      <c r="MP427" s="27" t="s">
        <v>7</v>
      </c>
      <c r="MQ427" s="27" t="s">
        <v>8</v>
      </c>
      <c r="MX427" s="27" t="s">
        <v>7</v>
      </c>
      <c r="MY427" s="27" t="s">
        <v>8</v>
      </c>
      <c r="MZ427" s="27" t="s">
        <v>7</v>
      </c>
      <c r="NB427" s="27" t="s">
        <v>7</v>
      </c>
      <c r="NC427" s="27" t="s">
        <v>8</v>
      </c>
      <c r="NL427" s="27" t="s">
        <v>7</v>
      </c>
      <c r="OP427" s="27" t="s">
        <v>7</v>
      </c>
      <c r="OQ427" s="27" t="s">
        <v>8</v>
      </c>
      <c r="OR427" s="27" t="s">
        <v>7</v>
      </c>
      <c r="OS427" s="27" t="s">
        <v>8</v>
      </c>
      <c r="OT427" s="27" t="s">
        <v>7</v>
      </c>
      <c r="OU427" s="27" t="s">
        <v>8</v>
      </c>
      <c r="OV427" s="27" t="s">
        <v>7</v>
      </c>
      <c r="PB427" s="27" t="s">
        <v>7</v>
      </c>
      <c r="PC427" s="27" t="s">
        <v>8</v>
      </c>
      <c r="PD427" s="27" t="s">
        <v>7</v>
      </c>
      <c r="PE427" s="27" t="s">
        <v>8</v>
      </c>
      <c r="PF427" s="27" t="s">
        <v>7</v>
      </c>
      <c r="PW427" s="27" t="s">
        <v>8</v>
      </c>
      <c r="PY427" s="27" t="s">
        <v>8</v>
      </c>
      <c r="PZ427" s="27" t="s">
        <v>7</v>
      </c>
      <c r="QA427" s="27" t="s">
        <v>8</v>
      </c>
      <c r="QB427" s="27" t="s">
        <v>7</v>
      </c>
      <c r="QC427" s="27" t="s">
        <v>8</v>
      </c>
      <c r="QV427" s="27" t="s">
        <v>7</v>
      </c>
      <c r="QW427" s="27" t="s">
        <v>8</v>
      </c>
      <c r="QX427" s="27" t="s">
        <v>7</v>
      </c>
      <c r="QY427" s="27" t="s">
        <v>8</v>
      </c>
      <c r="QZ427" s="27" t="s">
        <v>7</v>
      </c>
      <c r="RA427" s="27" t="s">
        <v>8</v>
      </c>
      <c r="RF427" s="27" t="s">
        <v>7</v>
      </c>
      <c r="RX427" s="27" t="s">
        <v>7</v>
      </c>
      <c r="RY427" s="27" t="s">
        <v>8</v>
      </c>
      <c r="RZ427" s="27" t="s">
        <v>7</v>
      </c>
      <c r="SA427" s="27" t="s">
        <v>8</v>
      </c>
      <c r="SB427" s="27" t="s">
        <v>7</v>
      </c>
      <c r="SM427" s="27" t="s">
        <v>8</v>
      </c>
      <c r="SN427" s="27" t="s">
        <v>7</v>
      </c>
      <c r="SO427" s="27" t="s">
        <v>8</v>
      </c>
      <c r="SP427" s="27" t="s">
        <v>7</v>
      </c>
      <c r="SQ427" s="27" t="s">
        <v>8</v>
      </c>
      <c r="SV427" s="27" t="s">
        <v>7</v>
      </c>
    </row>
    <row r="428" spans="1:516" x14ac:dyDescent="0.25">
      <c r="A428" s="7">
        <v>23.303830357645023</v>
      </c>
      <c r="B428"/>
      <c r="C428"/>
      <c r="D428"/>
      <c r="E428"/>
      <c r="MG428" s="27" t="s">
        <v>8</v>
      </c>
      <c r="MI428" s="27" t="s">
        <v>8</v>
      </c>
      <c r="MJ428" s="27" t="s">
        <v>7</v>
      </c>
      <c r="MK428" s="27" t="s">
        <v>8</v>
      </c>
      <c r="ML428" s="27" t="s">
        <v>7</v>
      </c>
      <c r="MM428" s="27" t="s">
        <v>8</v>
      </c>
      <c r="MN428" s="27" t="s">
        <v>7</v>
      </c>
      <c r="MO428" s="27" t="s">
        <v>8</v>
      </c>
      <c r="MP428" s="27" t="s">
        <v>7</v>
      </c>
      <c r="MQ428" s="27" t="s">
        <v>8</v>
      </c>
      <c r="MX428" s="27" t="s">
        <v>7</v>
      </c>
      <c r="MY428" s="27" t="s">
        <v>8</v>
      </c>
      <c r="NB428" s="27" t="s">
        <v>7</v>
      </c>
      <c r="OP428" s="27" t="s">
        <v>7</v>
      </c>
      <c r="OQ428" s="27" t="s">
        <v>8</v>
      </c>
      <c r="OR428" s="27" t="s">
        <v>7</v>
      </c>
      <c r="OS428" s="27" t="s">
        <v>8</v>
      </c>
      <c r="OT428" s="27" t="s">
        <v>7</v>
      </c>
      <c r="OU428" s="27" t="s">
        <v>8</v>
      </c>
      <c r="PB428" s="27" t="s">
        <v>7</v>
      </c>
      <c r="PC428" s="27" t="s">
        <v>8</v>
      </c>
      <c r="PD428" s="27" t="s">
        <v>7</v>
      </c>
      <c r="PE428" s="27" t="s">
        <v>8</v>
      </c>
      <c r="PF428" s="27" t="s">
        <v>7</v>
      </c>
      <c r="PW428" s="27" t="s">
        <v>8</v>
      </c>
      <c r="PX428" s="27" t="s">
        <v>7</v>
      </c>
      <c r="PY428" s="27" t="s">
        <v>8</v>
      </c>
      <c r="PZ428" s="27" t="s">
        <v>7</v>
      </c>
      <c r="QA428" s="27" t="s">
        <v>8</v>
      </c>
      <c r="QB428" s="27" t="s">
        <v>7</v>
      </c>
      <c r="QC428" s="27" t="s">
        <v>8</v>
      </c>
      <c r="QV428" s="27" t="s">
        <v>7</v>
      </c>
      <c r="QW428" s="27" t="s">
        <v>8</v>
      </c>
      <c r="QX428" s="27" t="s">
        <v>7</v>
      </c>
      <c r="QY428" s="27" t="s">
        <v>8</v>
      </c>
      <c r="QZ428" s="27" t="s">
        <v>7</v>
      </c>
      <c r="RA428" s="27" t="s">
        <v>8</v>
      </c>
      <c r="RX428" s="27" t="s">
        <v>7</v>
      </c>
      <c r="RZ428" s="27" t="s">
        <v>7</v>
      </c>
      <c r="SA428" s="27" t="s">
        <v>8</v>
      </c>
      <c r="SB428" s="27" t="s">
        <v>7</v>
      </c>
      <c r="SM428" s="27" t="s">
        <v>8</v>
      </c>
      <c r="SN428" s="27" t="s">
        <v>7</v>
      </c>
      <c r="SO428" s="27" t="s">
        <v>8</v>
      </c>
      <c r="SP428" s="27" t="s">
        <v>7</v>
      </c>
      <c r="SQ428" s="27" t="s">
        <v>8</v>
      </c>
      <c r="SV428" s="27" t="s">
        <v>7</v>
      </c>
    </row>
    <row r="429" spans="1:516" x14ac:dyDescent="0.25">
      <c r="A429" s="7">
        <v>22.84689250749512</v>
      </c>
      <c r="B429"/>
      <c r="C429"/>
      <c r="D429"/>
      <c r="E429"/>
      <c r="MG429" s="27" t="s">
        <v>8</v>
      </c>
      <c r="MH429" s="27" t="s">
        <v>7</v>
      </c>
      <c r="MI429" s="27" t="s">
        <v>8</v>
      </c>
      <c r="MJ429" s="27" t="s">
        <v>7</v>
      </c>
      <c r="MK429" s="27" t="s">
        <v>8</v>
      </c>
      <c r="ML429" s="27" t="s">
        <v>7</v>
      </c>
      <c r="MM429" s="27" t="s">
        <v>8</v>
      </c>
      <c r="MN429" s="27" t="s">
        <v>7</v>
      </c>
      <c r="MO429" s="27" t="s">
        <v>8</v>
      </c>
      <c r="MP429" s="27" t="s">
        <v>7</v>
      </c>
      <c r="MX429" s="27" t="s">
        <v>7</v>
      </c>
      <c r="MY429" s="27" t="s">
        <v>8</v>
      </c>
      <c r="OP429" s="27" t="s">
        <v>7</v>
      </c>
      <c r="OQ429" s="27" t="s">
        <v>8</v>
      </c>
      <c r="OR429" s="27" t="s">
        <v>7</v>
      </c>
      <c r="OS429" s="27" t="s">
        <v>8</v>
      </c>
      <c r="OT429" s="27" t="s">
        <v>7</v>
      </c>
      <c r="OU429" s="27" t="s">
        <v>8</v>
      </c>
      <c r="PB429" s="27" t="s">
        <v>7</v>
      </c>
      <c r="PC429" s="27" t="s">
        <v>8</v>
      </c>
      <c r="PD429" s="27" t="s">
        <v>7</v>
      </c>
      <c r="PE429" s="27" t="s">
        <v>8</v>
      </c>
      <c r="PF429" s="27" t="s">
        <v>7</v>
      </c>
      <c r="PW429" s="27" t="s">
        <v>8</v>
      </c>
      <c r="PX429" s="27" t="s">
        <v>7</v>
      </c>
      <c r="PY429" s="27" t="s">
        <v>8</v>
      </c>
      <c r="PZ429" s="27" t="s">
        <v>7</v>
      </c>
      <c r="QB429" s="27" t="s">
        <v>7</v>
      </c>
      <c r="QC429" s="27" t="s">
        <v>8</v>
      </c>
      <c r="QV429" s="27" t="s">
        <v>7</v>
      </c>
      <c r="QW429" s="27" t="s">
        <v>8</v>
      </c>
      <c r="QX429" s="27" t="s">
        <v>7</v>
      </c>
      <c r="QY429" s="27" t="s">
        <v>8</v>
      </c>
      <c r="QZ429" s="27" t="s">
        <v>7</v>
      </c>
      <c r="RA429" s="27" t="s">
        <v>8</v>
      </c>
      <c r="RZ429" s="27" t="s">
        <v>7</v>
      </c>
      <c r="SB429" s="27" t="s">
        <v>7</v>
      </c>
      <c r="SE429" s="27" t="s">
        <v>8</v>
      </c>
      <c r="SM429" s="27" t="s">
        <v>8</v>
      </c>
      <c r="SN429" s="27" t="s">
        <v>7</v>
      </c>
      <c r="SO429" s="27" t="s">
        <v>8</v>
      </c>
      <c r="SP429" s="27" t="s">
        <v>7</v>
      </c>
      <c r="SV429" s="27" t="s">
        <v>7</v>
      </c>
    </row>
    <row r="430" spans="1:516" x14ac:dyDescent="0.25">
      <c r="A430" s="7">
        <v>22.398914223034431</v>
      </c>
      <c r="B430"/>
      <c r="C430"/>
      <c r="D430"/>
      <c r="E430"/>
      <c r="MG430" s="27" t="s">
        <v>8</v>
      </c>
      <c r="MH430" s="27" t="s">
        <v>7</v>
      </c>
      <c r="MI430" s="27" t="s">
        <v>8</v>
      </c>
      <c r="MJ430" s="27" t="s">
        <v>7</v>
      </c>
      <c r="MK430" s="27" t="s">
        <v>8</v>
      </c>
      <c r="ML430" s="27" t="s">
        <v>7</v>
      </c>
      <c r="MN430" s="27" t="s">
        <v>7</v>
      </c>
      <c r="MO430" s="27" t="s">
        <v>8</v>
      </c>
      <c r="MX430" s="27" t="s">
        <v>7</v>
      </c>
      <c r="MY430" s="27" t="s">
        <v>8</v>
      </c>
      <c r="OP430" s="27" t="s">
        <v>7</v>
      </c>
      <c r="OQ430" s="27" t="s">
        <v>8</v>
      </c>
      <c r="OR430" s="27" t="s">
        <v>7</v>
      </c>
      <c r="OT430" s="27" t="s">
        <v>7</v>
      </c>
      <c r="OU430" s="27" t="s">
        <v>8</v>
      </c>
      <c r="PB430" s="27" t="s">
        <v>7</v>
      </c>
      <c r="PC430" s="27" t="s">
        <v>8</v>
      </c>
      <c r="PD430" s="27" t="s">
        <v>7</v>
      </c>
      <c r="PE430" s="27" t="s">
        <v>8</v>
      </c>
      <c r="PF430" s="27" t="s">
        <v>7</v>
      </c>
      <c r="PW430" s="27" t="s">
        <v>8</v>
      </c>
      <c r="PX430" s="27" t="s">
        <v>7</v>
      </c>
      <c r="PY430" s="27" t="s">
        <v>8</v>
      </c>
      <c r="QB430" s="27" t="s">
        <v>7</v>
      </c>
      <c r="QV430" s="27" t="s">
        <v>7</v>
      </c>
      <c r="QW430" s="27" t="s">
        <v>8</v>
      </c>
      <c r="QX430" s="27" t="s">
        <v>7</v>
      </c>
      <c r="QY430" s="27" t="s">
        <v>8</v>
      </c>
      <c r="QZ430" s="27" t="s">
        <v>7</v>
      </c>
      <c r="SB430" s="27" t="s">
        <v>7</v>
      </c>
      <c r="SE430" s="27" t="s">
        <v>8</v>
      </c>
      <c r="SF430" s="27" t="s">
        <v>7</v>
      </c>
      <c r="SM430" s="27" t="s">
        <v>8</v>
      </c>
      <c r="SN430" s="27" t="s">
        <v>7</v>
      </c>
      <c r="SO430" s="27" t="s">
        <v>8</v>
      </c>
      <c r="SV430" s="27" t="s">
        <v>7</v>
      </c>
    </row>
    <row r="431" spans="1:516" x14ac:dyDescent="0.25">
      <c r="A431" s="7">
        <v>21.959719826504344</v>
      </c>
      <c r="B431"/>
      <c r="C431"/>
      <c r="D431"/>
      <c r="E431"/>
      <c r="MG431" s="27" t="s">
        <v>8</v>
      </c>
      <c r="MH431" s="27" t="s">
        <v>7</v>
      </c>
      <c r="MI431" s="27" t="s">
        <v>8</v>
      </c>
      <c r="MJ431" s="27" t="s">
        <v>7</v>
      </c>
      <c r="MK431" s="27" t="s">
        <v>8</v>
      </c>
      <c r="MN431" s="27" t="s">
        <v>7</v>
      </c>
      <c r="MX431" s="27" t="s">
        <v>7</v>
      </c>
      <c r="MY431" s="27" t="s">
        <v>8</v>
      </c>
      <c r="OP431" s="27" t="s">
        <v>7</v>
      </c>
      <c r="OQ431" s="27" t="s">
        <v>8</v>
      </c>
      <c r="OT431" s="27" t="s">
        <v>7</v>
      </c>
      <c r="OU431" s="27" t="s">
        <v>8</v>
      </c>
      <c r="PB431" s="27" t="s">
        <v>7</v>
      </c>
      <c r="PC431" s="27" t="s">
        <v>8</v>
      </c>
      <c r="PD431" s="27" t="s">
        <v>7</v>
      </c>
      <c r="PE431" s="27" t="s">
        <v>8</v>
      </c>
      <c r="PF431" s="27" t="s">
        <v>7</v>
      </c>
      <c r="PW431" s="27" t="s">
        <v>8</v>
      </c>
      <c r="PX431" s="27" t="s">
        <v>7</v>
      </c>
      <c r="PY431" s="27" t="s">
        <v>8</v>
      </c>
      <c r="QV431" s="27" t="s">
        <v>7</v>
      </c>
      <c r="QW431" s="27" t="s">
        <v>8</v>
      </c>
      <c r="QX431" s="27" t="s">
        <v>7</v>
      </c>
      <c r="QY431" s="27" t="s">
        <v>8</v>
      </c>
      <c r="SB431" s="27" t="s">
        <v>7</v>
      </c>
      <c r="SE431" s="27" t="s">
        <v>8</v>
      </c>
      <c r="SF431" s="27" t="s">
        <v>7</v>
      </c>
      <c r="SM431" s="27" t="s">
        <v>8</v>
      </c>
      <c r="SN431" s="27" t="s">
        <v>7</v>
      </c>
      <c r="SO431" s="27" t="s">
        <v>8</v>
      </c>
      <c r="SV431" s="27" t="s">
        <v>7</v>
      </c>
    </row>
    <row r="432" spans="1:516" x14ac:dyDescent="0.25">
      <c r="A432" s="7">
        <v>21.52913708480818</v>
      </c>
      <c r="B432"/>
      <c r="C432"/>
      <c r="D432"/>
      <c r="E432"/>
      <c r="MG432" s="27" t="s">
        <v>8</v>
      </c>
      <c r="MH432" s="27" t="s">
        <v>7</v>
      </c>
      <c r="MI432" s="27" t="s">
        <v>8</v>
      </c>
      <c r="MJ432" s="27" t="s">
        <v>7</v>
      </c>
      <c r="MK432" s="27" t="s">
        <v>8</v>
      </c>
      <c r="MX432" s="27" t="s">
        <v>7</v>
      </c>
      <c r="MY432" s="27" t="s">
        <v>8</v>
      </c>
      <c r="OP432" s="27" t="s">
        <v>7</v>
      </c>
      <c r="OQ432" s="27" t="s">
        <v>8</v>
      </c>
      <c r="OT432" s="27" t="s">
        <v>7</v>
      </c>
      <c r="OU432" s="27" t="s">
        <v>8</v>
      </c>
      <c r="PB432" s="27" t="s">
        <v>7</v>
      </c>
      <c r="PD432" s="27" t="s">
        <v>7</v>
      </c>
      <c r="PE432" s="27" t="s">
        <v>8</v>
      </c>
      <c r="PF432" s="27" t="s">
        <v>7</v>
      </c>
      <c r="PW432" s="27" t="s">
        <v>8</v>
      </c>
      <c r="PX432" s="27" t="s">
        <v>7</v>
      </c>
      <c r="QV432" s="27" t="s">
        <v>7</v>
      </c>
      <c r="QW432" s="27" t="s">
        <v>8</v>
      </c>
      <c r="QX432" s="27" t="s">
        <v>7</v>
      </c>
      <c r="SB432" s="27" t="s">
        <v>7</v>
      </c>
      <c r="SE432" s="27" t="s">
        <v>8</v>
      </c>
      <c r="SF432" s="27" t="s">
        <v>7</v>
      </c>
      <c r="SM432" s="27" t="s">
        <v>8</v>
      </c>
      <c r="SN432" s="27" t="s">
        <v>7</v>
      </c>
      <c r="SO432" s="27" t="s">
        <v>8</v>
      </c>
      <c r="SV432" s="27" t="s">
        <v>7</v>
      </c>
    </row>
    <row r="433" spans="1:520" x14ac:dyDescent="0.25">
      <c r="A433" s="7">
        <v>21.106997141968804</v>
      </c>
      <c r="B433"/>
      <c r="C433"/>
      <c r="D433"/>
      <c r="E433"/>
      <c r="MG433" s="27" t="s">
        <v>8</v>
      </c>
      <c r="MH433" s="27" t="s">
        <v>7</v>
      </c>
      <c r="MI433" s="27" t="s">
        <v>8</v>
      </c>
      <c r="MJ433" s="27" t="s">
        <v>7</v>
      </c>
      <c r="MK433" s="27" t="s">
        <v>8</v>
      </c>
      <c r="MX433" s="27" t="s">
        <v>7</v>
      </c>
      <c r="OP433" s="27" t="s">
        <v>7</v>
      </c>
      <c r="OT433" s="27" t="s">
        <v>7</v>
      </c>
      <c r="OU433" s="27" t="s">
        <v>8</v>
      </c>
      <c r="PD433" s="27" t="s">
        <v>7</v>
      </c>
      <c r="PE433" s="27" t="s">
        <v>8</v>
      </c>
      <c r="PF433" s="27" t="s">
        <v>7</v>
      </c>
      <c r="PM433" s="27" t="s">
        <v>8</v>
      </c>
      <c r="PW433" s="27" t="s">
        <v>8</v>
      </c>
      <c r="QV433" s="27" t="s">
        <v>7</v>
      </c>
      <c r="SB433" s="27" t="s">
        <v>7</v>
      </c>
      <c r="SE433" s="27" t="s">
        <v>8</v>
      </c>
      <c r="SF433" s="27" t="s">
        <v>7</v>
      </c>
      <c r="SM433" s="27" t="s">
        <v>8</v>
      </c>
      <c r="SN433" s="27" t="s">
        <v>7</v>
      </c>
      <c r="SO433" s="27" t="s">
        <v>8</v>
      </c>
      <c r="SV433" s="27" t="s">
        <v>7</v>
      </c>
    </row>
    <row r="434" spans="1:520" x14ac:dyDescent="0.25">
      <c r="A434" s="7">
        <v>20.693134452910591</v>
      </c>
      <c r="B434"/>
      <c r="C434"/>
      <c r="D434"/>
      <c r="E434"/>
      <c r="MG434" s="27" t="s">
        <v>8</v>
      </c>
      <c r="MH434" s="27" t="s">
        <v>7</v>
      </c>
      <c r="MI434" s="27" t="s">
        <v>8</v>
      </c>
      <c r="MJ434" s="27" t="s">
        <v>7</v>
      </c>
      <c r="MK434" s="27" t="s">
        <v>8</v>
      </c>
      <c r="OT434" s="27" t="s">
        <v>7</v>
      </c>
      <c r="OU434" s="27" t="s">
        <v>8</v>
      </c>
      <c r="PD434" s="27" t="s">
        <v>7</v>
      </c>
      <c r="PE434" s="27" t="s">
        <v>8</v>
      </c>
      <c r="PF434" s="27" t="s">
        <v>7</v>
      </c>
      <c r="PM434" s="27" t="s">
        <v>8</v>
      </c>
      <c r="PN434" s="27" t="s">
        <v>7</v>
      </c>
      <c r="PW434" s="27" t="s">
        <v>8</v>
      </c>
      <c r="SB434" s="27" t="s">
        <v>7</v>
      </c>
      <c r="SC434" s="27" t="s">
        <v>8</v>
      </c>
      <c r="SE434" s="27" t="s">
        <v>8</v>
      </c>
      <c r="SF434" s="27" t="s">
        <v>7</v>
      </c>
      <c r="SG434" s="27" t="s">
        <v>8</v>
      </c>
      <c r="SM434" s="27" t="s">
        <v>8</v>
      </c>
      <c r="SN434" s="27" t="s">
        <v>7</v>
      </c>
      <c r="SO434" s="27" t="s">
        <v>8</v>
      </c>
      <c r="SV434" s="27" t="s">
        <v>7</v>
      </c>
    </row>
    <row r="435" spans="1:520" x14ac:dyDescent="0.25">
      <c r="A435" s="7">
        <v>20.287386718539796</v>
      </c>
      <c r="B435"/>
      <c r="C435"/>
      <c r="D435"/>
      <c r="E435"/>
      <c r="MG435" s="27" t="s">
        <v>8</v>
      </c>
      <c r="MH435" s="27" t="s">
        <v>7</v>
      </c>
      <c r="MI435" s="27" t="s">
        <v>8</v>
      </c>
      <c r="MJ435" s="27" t="s">
        <v>7</v>
      </c>
      <c r="OT435" s="27" t="s">
        <v>7</v>
      </c>
      <c r="OU435" s="27" t="s">
        <v>8</v>
      </c>
      <c r="PD435" s="27" t="s">
        <v>7</v>
      </c>
      <c r="PF435" s="27" t="s">
        <v>7</v>
      </c>
      <c r="PI435" s="27" t="s">
        <v>8</v>
      </c>
      <c r="PM435" s="27" t="s">
        <v>8</v>
      </c>
      <c r="PN435" s="27" t="s">
        <v>7</v>
      </c>
      <c r="PW435" s="27" t="s">
        <v>8</v>
      </c>
      <c r="SB435" s="27" t="s">
        <v>7</v>
      </c>
      <c r="SC435" s="27" t="s">
        <v>8</v>
      </c>
      <c r="SD435" s="27" t="s">
        <v>7</v>
      </c>
      <c r="SE435" s="27" t="s">
        <v>8</v>
      </c>
      <c r="SF435" s="27" t="s">
        <v>7</v>
      </c>
      <c r="SG435" s="27" t="s">
        <v>8</v>
      </c>
      <c r="SH435" s="27" t="s">
        <v>7</v>
      </c>
      <c r="SI435" s="27" t="s">
        <v>8</v>
      </c>
      <c r="SK435" s="27" t="s">
        <v>8</v>
      </c>
      <c r="SM435" s="27" t="s">
        <v>8</v>
      </c>
      <c r="SN435" s="27" t="s">
        <v>7</v>
      </c>
      <c r="SO435" s="27" t="s">
        <v>8</v>
      </c>
      <c r="SV435" s="27" t="s">
        <v>7</v>
      </c>
    </row>
    <row r="436" spans="1:520" x14ac:dyDescent="0.25">
      <c r="A436" s="7">
        <v>19.889594822097838</v>
      </c>
      <c r="B436"/>
      <c r="C436"/>
      <c r="D436"/>
      <c r="E436"/>
      <c r="JE436" s="27" t="s">
        <v>8</v>
      </c>
      <c r="MG436" s="27" t="s">
        <v>8</v>
      </c>
      <c r="MH436" s="27" t="s">
        <v>7</v>
      </c>
      <c r="MI436" s="27" t="s">
        <v>8</v>
      </c>
      <c r="OT436" s="27" t="s">
        <v>7</v>
      </c>
      <c r="OU436" s="27" t="s">
        <v>8</v>
      </c>
      <c r="PF436" s="27" t="s">
        <v>7</v>
      </c>
      <c r="PI436" s="27" t="s">
        <v>8</v>
      </c>
      <c r="PJ436" s="27" t="s">
        <v>7</v>
      </c>
      <c r="PK436" s="27" t="s">
        <v>8</v>
      </c>
      <c r="PM436" s="27" t="s">
        <v>8</v>
      </c>
      <c r="PN436" s="27" t="s">
        <v>7</v>
      </c>
      <c r="PS436" s="27" t="s">
        <v>8</v>
      </c>
      <c r="PU436" s="27" t="s">
        <v>8</v>
      </c>
      <c r="PW436" s="27" t="s">
        <v>8</v>
      </c>
      <c r="SB436" s="27" t="s">
        <v>7</v>
      </c>
      <c r="SC436" s="27" t="s">
        <v>8</v>
      </c>
      <c r="SD436" s="27" t="s">
        <v>7</v>
      </c>
      <c r="SE436" s="27" t="s">
        <v>8</v>
      </c>
      <c r="SF436" s="27" t="s">
        <v>7</v>
      </c>
      <c r="SG436" s="27" t="s">
        <v>8</v>
      </c>
      <c r="SH436" s="27" t="s">
        <v>7</v>
      </c>
      <c r="SI436" s="27" t="s">
        <v>8</v>
      </c>
      <c r="SJ436" s="27" t="s">
        <v>7</v>
      </c>
      <c r="SK436" s="27" t="s">
        <v>8</v>
      </c>
      <c r="SL436" s="27" t="s">
        <v>7</v>
      </c>
      <c r="SM436" s="27" t="s">
        <v>8</v>
      </c>
      <c r="SN436" s="27" t="s">
        <v>7</v>
      </c>
      <c r="SO436" s="27" t="s">
        <v>8</v>
      </c>
      <c r="SV436" s="27" t="s">
        <v>7</v>
      </c>
    </row>
    <row r="437" spans="1:520" x14ac:dyDescent="0.25">
      <c r="A437" s="7">
        <v>19.499602766762585</v>
      </c>
      <c r="B437"/>
      <c r="C437"/>
      <c r="D437"/>
      <c r="E437"/>
      <c r="JE437" s="27" t="s">
        <v>8</v>
      </c>
      <c r="JF437" s="27" t="s">
        <v>7</v>
      </c>
      <c r="MG437" s="27" t="s">
        <v>8</v>
      </c>
      <c r="MH437" s="27" t="s">
        <v>7</v>
      </c>
      <c r="MI437" s="27" t="s">
        <v>8</v>
      </c>
      <c r="OT437" s="27" t="s">
        <v>7</v>
      </c>
      <c r="OU437" s="27" t="s">
        <v>8</v>
      </c>
      <c r="PF437" s="27" t="s">
        <v>7</v>
      </c>
      <c r="PG437" s="27" t="s">
        <v>8</v>
      </c>
      <c r="PI437" s="27" t="s">
        <v>8</v>
      </c>
      <c r="PJ437" s="27" t="s">
        <v>7</v>
      </c>
      <c r="PK437" s="27" t="s">
        <v>8</v>
      </c>
      <c r="PL437" s="27" t="s">
        <v>7</v>
      </c>
      <c r="PM437" s="27" t="s">
        <v>8</v>
      </c>
      <c r="PN437" s="27" t="s">
        <v>7</v>
      </c>
      <c r="PS437" s="27" t="s">
        <v>8</v>
      </c>
      <c r="PT437" s="27" t="s">
        <v>7</v>
      </c>
      <c r="PU437" s="27" t="s">
        <v>8</v>
      </c>
      <c r="PV437" s="27" t="s">
        <v>7</v>
      </c>
      <c r="PW437" s="27" t="s">
        <v>8</v>
      </c>
      <c r="SB437" s="27" t="s">
        <v>7</v>
      </c>
      <c r="SC437" s="27" t="s">
        <v>8</v>
      </c>
      <c r="SD437" s="27" t="s">
        <v>7</v>
      </c>
      <c r="SE437" s="27" t="s">
        <v>8</v>
      </c>
      <c r="SF437" s="27" t="s">
        <v>7</v>
      </c>
      <c r="SG437" s="27" t="s">
        <v>8</v>
      </c>
      <c r="SH437" s="27" t="s">
        <v>7</v>
      </c>
      <c r="SI437" s="27" t="s">
        <v>8</v>
      </c>
      <c r="SJ437" s="27" t="s">
        <v>7</v>
      </c>
      <c r="SK437" s="27" t="s">
        <v>8</v>
      </c>
      <c r="SL437" s="27" t="s">
        <v>7</v>
      </c>
      <c r="SM437" s="27" t="s">
        <v>8</v>
      </c>
      <c r="SN437" s="27" t="s">
        <v>7</v>
      </c>
      <c r="SO437" s="27" t="s">
        <v>8</v>
      </c>
      <c r="SV437" s="27" t="s">
        <v>7</v>
      </c>
    </row>
    <row r="438" spans="1:520" x14ac:dyDescent="0.25">
      <c r="A438" s="7">
        <v>19.117257614473122</v>
      </c>
      <c r="B438"/>
      <c r="C438"/>
      <c r="D438"/>
      <c r="E438"/>
      <c r="JE438" s="27" t="s">
        <v>8</v>
      </c>
      <c r="JF438" s="27" t="s">
        <v>7</v>
      </c>
      <c r="MG438" s="27" t="s">
        <v>8</v>
      </c>
      <c r="MH438" s="27" t="s">
        <v>7</v>
      </c>
      <c r="MI438" s="27" t="s">
        <v>8</v>
      </c>
      <c r="OT438" s="27" t="s">
        <v>7</v>
      </c>
      <c r="OU438" s="27" t="s">
        <v>8</v>
      </c>
      <c r="PF438" s="27" t="s">
        <v>7</v>
      </c>
      <c r="PG438" s="27" t="s">
        <v>8</v>
      </c>
      <c r="PH438" s="27" t="s">
        <v>7</v>
      </c>
      <c r="PI438" s="27" t="s">
        <v>8</v>
      </c>
      <c r="PJ438" s="27" t="s">
        <v>7</v>
      </c>
      <c r="PK438" s="27" t="s">
        <v>8</v>
      </c>
      <c r="PL438" s="27" t="s">
        <v>7</v>
      </c>
      <c r="PM438" s="27" t="s">
        <v>8</v>
      </c>
      <c r="PN438" s="27" t="s">
        <v>7</v>
      </c>
      <c r="PS438" s="27" t="s">
        <v>8</v>
      </c>
      <c r="PT438" s="27" t="s">
        <v>7</v>
      </c>
      <c r="PU438" s="27" t="s">
        <v>8</v>
      </c>
      <c r="PV438" s="27" t="s">
        <v>7</v>
      </c>
      <c r="PW438" s="27" t="s">
        <v>8</v>
      </c>
      <c r="SB438" s="27" t="s">
        <v>7</v>
      </c>
      <c r="SC438" s="27" t="s">
        <v>8</v>
      </c>
      <c r="SD438" s="27" t="s">
        <v>7</v>
      </c>
      <c r="SE438" s="27" t="s">
        <v>8</v>
      </c>
      <c r="SF438" s="27" t="s">
        <v>7</v>
      </c>
      <c r="SG438" s="27" t="s">
        <v>8</v>
      </c>
      <c r="SH438" s="27" t="s">
        <v>7</v>
      </c>
      <c r="SI438" s="27" t="s">
        <v>8</v>
      </c>
      <c r="SJ438" s="27" t="s">
        <v>7</v>
      </c>
      <c r="SK438" s="27" t="s">
        <v>8</v>
      </c>
      <c r="SL438" s="27" t="s">
        <v>7</v>
      </c>
      <c r="SM438" s="27" t="s">
        <v>8</v>
      </c>
      <c r="SN438" s="27" t="s">
        <v>7</v>
      </c>
      <c r="SV438" s="27" t="s">
        <v>7</v>
      </c>
    </row>
    <row r="439" spans="1:520" x14ac:dyDescent="0.25">
      <c r="A439" s="7">
        <v>18.74240942595404</v>
      </c>
      <c r="B439"/>
      <c r="C439"/>
      <c r="D439"/>
      <c r="E439"/>
      <c r="JE439" s="27" t="s">
        <v>8</v>
      </c>
      <c r="JF439" s="27" t="s">
        <v>7</v>
      </c>
      <c r="MG439" s="27" t="s">
        <v>8</v>
      </c>
      <c r="MH439" s="27" t="s">
        <v>7</v>
      </c>
      <c r="MI439" s="27" t="s">
        <v>8</v>
      </c>
      <c r="OT439" s="27" t="s">
        <v>7</v>
      </c>
      <c r="OU439" s="27" t="s">
        <v>8</v>
      </c>
      <c r="PF439" s="27" t="s">
        <v>7</v>
      </c>
      <c r="PG439" s="27" t="s">
        <v>8</v>
      </c>
      <c r="PH439" s="27" t="s">
        <v>7</v>
      </c>
      <c r="PI439" s="27" t="s">
        <v>8</v>
      </c>
      <c r="PJ439" s="27" t="s">
        <v>7</v>
      </c>
      <c r="PK439" s="27" t="s">
        <v>8</v>
      </c>
      <c r="PL439" s="27" t="s">
        <v>7</v>
      </c>
      <c r="PM439" s="27" t="s">
        <v>8</v>
      </c>
      <c r="PN439" s="27" t="s">
        <v>7</v>
      </c>
      <c r="PO439" s="27" t="s">
        <v>8</v>
      </c>
      <c r="PS439" s="27" t="s">
        <v>8</v>
      </c>
      <c r="PT439" s="27" t="s">
        <v>7</v>
      </c>
      <c r="PU439" s="27" t="s">
        <v>8</v>
      </c>
      <c r="PV439" s="27" t="s">
        <v>7</v>
      </c>
      <c r="SB439" s="27" t="s">
        <v>7</v>
      </c>
      <c r="SC439" s="27" t="s">
        <v>8</v>
      </c>
      <c r="SD439" s="27" t="s">
        <v>7</v>
      </c>
      <c r="SE439" s="27" t="s">
        <v>8</v>
      </c>
      <c r="SF439" s="27" t="s">
        <v>7</v>
      </c>
      <c r="SG439" s="27" t="s">
        <v>8</v>
      </c>
      <c r="SH439" s="27" t="s">
        <v>7</v>
      </c>
      <c r="SI439" s="27" t="s">
        <v>8</v>
      </c>
      <c r="SJ439" s="27" t="s">
        <v>7</v>
      </c>
      <c r="SK439" s="27" t="s">
        <v>8</v>
      </c>
      <c r="SL439" s="27" t="s">
        <v>7</v>
      </c>
      <c r="SM439" s="27" t="s">
        <v>8</v>
      </c>
      <c r="SV439" s="27" t="s">
        <v>7</v>
      </c>
    </row>
    <row r="440" spans="1:520" x14ac:dyDescent="0.25">
      <c r="A440" s="7">
        <v>18.374911201915726</v>
      </c>
      <c r="B440"/>
      <c r="C440"/>
      <c r="D440"/>
      <c r="E440"/>
      <c r="JE440" s="27" t="s">
        <v>8</v>
      </c>
      <c r="JF440" s="27" t="s">
        <v>7</v>
      </c>
      <c r="ME440" s="27" t="s">
        <v>8</v>
      </c>
      <c r="MG440" s="27" t="s">
        <v>8</v>
      </c>
      <c r="MH440" s="27" t="s">
        <v>7</v>
      </c>
      <c r="MI440" s="27" t="s">
        <v>8</v>
      </c>
      <c r="OT440" s="27" t="s">
        <v>7</v>
      </c>
      <c r="OU440" s="27" t="s">
        <v>8</v>
      </c>
      <c r="PF440" s="27" t="s">
        <v>7</v>
      </c>
      <c r="PG440" s="27" t="s">
        <v>8</v>
      </c>
      <c r="PH440" s="27" t="s">
        <v>7</v>
      </c>
      <c r="PI440" s="27" t="s">
        <v>8</v>
      </c>
      <c r="PJ440" s="27" t="s">
        <v>7</v>
      </c>
      <c r="PK440" s="27" t="s">
        <v>8</v>
      </c>
      <c r="PL440" s="27" t="s">
        <v>7</v>
      </c>
      <c r="PM440" s="27" t="s">
        <v>8</v>
      </c>
      <c r="PN440" s="27" t="s">
        <v>7</v>
      </c>
      <c r="PO440" s="27" t="s">
        <v>8</v>
      </c>
      <c r="PP440" s="27" t="s">
        <v>7</v>
      </c>
      <c r="PS440" s="27" t="s">
        <v>8</v>
      </c>
      <c r="PT440" s="27" t="s">
        <v>7</v>
      </c>
      <c r="PU440" s="27" t="s">
        <v>8</v>
      </c>
      <c r="SB440" s="27" t="s">
        <v>7</v>
      </c>
      <c r="SC440" s="27" t="s">
        <v>8</v>
      </c>
      <c r="SD440" s="27" t="s">
        <v>7</v>
      </c>
      <c r="SE440" s="27" t="s">
        <v>8</v>
      </c>
      <c r="SF440" s="27" t="s">
        <v>7</v>
      </c>
      <c r="SH440" s="27" t="s">
        <v>7</v>
      </c>
      <c r="SI440" s="27" t="s">
        <v>8</v>
      </c>
      <c r="SJ440" s="27" t="s">
        <v>7</v>
      </c>
      <c r="SK440" s="27" t="s">
        <v>8</v>
      </c>
      <c r="SL440" s="27" t="s">
        <v>7</v>
      </c>
      <c r="SV440" s="27" t="s">
        <v>7</v>
      </c>
    </row>
    <row r="441" spans="1:520" x14ac:dyDescent="0.25">
      <c r="A441" s="7">
        <v>18.014618825407574</v>
      </c>
      <c r="B441"/>
      <c r="C441"/>
      <c r="D441"/>
      <c r="E441"/>
      <c r="JC441" s="27" t="s">
        <v>8</v>
      </c>
      <c r="JE441" s="27" t="s">
        <v>8</v>
      </c>
      <c r="JF441" s="27" t="s">
        <v>7</v>
      </c>
      <c r="ME441" s="27" t="s">
        <v>8</v>
      </c>
      <c r="MF441" s="27" t="s">
        <v>7</v>
      </c>
      <c r="MG441" s="27" t="s">
        <v>8</v>
      </c>
      <c r="MH441" s="27" t="s">
        <v>7</v>
      </c>
      <c r="MI441" s="27" t="s">
        <v>8</v>
      </c>
      <c r="OT441" s="27" t="s">
        <v>7</v>
      </c>
      <c r="OU441" s="27" t="s">
        <v>8</v>
      </c>
      <c r="PF441" s="27" t="s">
        <v>7</v>
      </c>
      <c r="PG441" s="27" t="s">
        <v>8</v>
      </c>
      <c r="PH441" s="27" t="s">
        <v>7</v>
      </c>
      <c r="PI441" s="27" t="s">
        <v>8</v>
      </c>
      <c r="PJ441" s="27" t="s">
        <v>7</v>
      </c>
      <c r="PK441" s="27" t="s">
        <v>8</v>
      </c>
      <c r="PL441" s="27" t="s">
        <v>7</v>
      </c>
      <c r="PN441" s="27" t="s">
        <v>7</v>
      </c>
      <c r="PO441" s="27" t="s">
        <v>8</v>
      </c>
      <c r="PP441" s="27" t="s">
        <v>7</v>
      </c>
      <c r="PS441" s="27" t="s">
        <v>8</v>
      </c>
      <c r="PT441" s="27" t="s">
        <v>7</v>
      </c>
      <c r="PU441" s="27" t="s">
        <v>8</v>
      </c>
      <c r="SB441" s="27" t="s">
        <v>7</v>
      </c>
      <c r="SC441" s="27" t="s">
        <v>8</v>
      </c>
      <c r="SD441" s="27" t="s">
        <v>7</v>
      </c>
      <c r="SE441" s="27" t="s">
        <v>8</v>
      </c>
      <c r="SH441" s="27" t="s">
        <v>7</v>
      </c>
      <c r="SI441" s="27" t="s">
        <v>8</v>
      </c>
      <c r="SJ441" s="27" t="s">
        <v>7</v>
      </c>
      <c r="SV441" s="27" t="s">
        <v>7</v>
      </c>
    </row>
    <row r="442" spans="1:520" x14ac:dyDescent="0.25">
      <c r="A442" s="7">
        <v>17.661391005301542</v>
      </c>
      <c r="B442"/>
      <c r="C442"/>
      <c r="D442"/>
      <c r="E442"/>
      <c r="JC442" s="27" t="s">
        <v>8</v>
      </c>
      <c r="JD442" s="27" t="s">
        <v>7</v>
      </c>
      <c r="JE442" s="27" t="s">
        <v>8</v>
      </c>
      <c r="JF442" s="27" t="s">
        <v>7</v>
      </c>
      <c r="JO442" s="27" t="s">
        <v>8</v>
      </c>
      <c r="ME442" s="27" t="s">
        <v>8</v>
      </c>
      <c r="MF442" s="27" t="s">
        <v>7</v>
      </c>
      <c r="MG442" s="27" t="s">
        <v>8</v>
      </c>
      <c r="MH442" s="27" t="s">
        <v>7</v>
      </c>
      <c r="MI442" s="27" t="s">
        <v>8</v>
      </c>
      <c r="OT442" s="27" t="s">
        <v>7</v>
      </c>
      <c r="OU442" s="27" t="s">
        <v>8</v>
      </c>
      <c r="PF442" s="27" t="s">
        <v>7</v>
      </c>
      <c r="PG442" s="27" t="s">
        <v>8</v>
      </c>
      <c r="PH442" s="27" t="s">
        <v>7</v>
      </c>
      <c r="PI442" s="27" t="s">
        <v>8</v>
      </c>
      <c r="PJ442" s="27" t="s">
        <v>7</v>
      </c>
      <c r="PK442" s="27" t="s">
        <v>8</v>
      </c>
      <c r="PN442" s="27" t="s">
        <v>7</v>
      </c>
      <c r="PP442" s="27" t="s">
        <v>7</v>
      </c>
      <c r="PS442" s="27" t="s">
        <v>8</v>
      </c>
      <c r="PT442" s="27" t="s">
        <v>7</v>
      </c>
      <c r="SB442" s="27" t="s">
        <v>7</v>
      </c>
      <c r="SC442" s="27" t="s">
        <v>8</v>
      </c>
      <c r="SD442" s="27" t="s">
        <v>7</v>
      </c>
      <c r="SE442" s="27" t="s">
        <v>8</v>
      </c>
      <c r="SH442" s="27" t="s">
        <v>7</v>
      </c>
      <c r="SI442" s="27" t="s">
        <v>8</v>
      </c>
      <c r="SV442" s="27" t="s">
        <v>7</v>
      </c>
    </row>
    <row r="443" spans="1:520" x14ac:dyDescent="0.25">
      <c r="A443" s="7">
        <v>17.315089220883866</v>
      </c>
      <c r="B443"/>
      <c r="C443"/>
      <c r="D443"/>
      <c r="E443"/>
      <c r="JC443" s="27" t="s">
        <v>8</v>
      </c>
      <c r="JD443" s="27" t="s">
        <v>7</v>
      </c>
      <c r="JE443" s="27" t="s">
        <v>8</v>
      </c>
      <c r="JF443" s="27" t="s">
        <v>7</v>
      </c>
      <c r="JO443" s="27" t="s">
        <v>8</v>
      </c>
      <c r="JP443" s="27" t="s">
        <v>7</v>
      </c>
      <c r="MC443" s="27" t="s">
        <v>8</v>
      </c>
      <c r="ME443" s="27" t="s">
        <v>8</v>
      </c>
      <c r="MF443" s="27" t="s">
        <v>7</v>
      </c>
      <c r="MG443" s="27" t="s">
        <v>8</v>
      </c>
      <c r="MH443" s="27" t="s">
        <v>7</v>
      </c>
      <c r="OT443" s="27" t="s">
        <v>7</v>
      </c>
      <c r="OU443" s="27" t="s">
        <v>8</v>
      </c>
      <c r="PF443" s="27" t="s">
        <v>7</v>
      </c>
      <c r="PG443" s="27" t="s">
        <v>8</v>
      </c>
      <c r="PH443" s="27" t="s">
        <v>7</v>
      </c>
      <c r="PI443" s="27" t="s">
        <v>8</v>
      </c>
      <c r="PJ443" s="27" t="s">
        <v>7</v>
      </c>
      <c r="PP443" s="27" t="s">
        <v>7</v>
      </c>
      <c r="PS443" s="27" t="s">
        <v>8</v>
      </c>
      <c r="SB443" s="27" t="s">
        <v>7</v>
      </c>
      <c r="SC443" s="27" t="s">
        <v>8</v>
      </c>
      <c r="SD443" s="27" t="s">
        <v>7</v>
      </c>
      <c r="SH443" s="27" t="s">
        <v>7</v>
      </c>
      <c r="SV443" s="27" t="s">
        <v>7</v>
      </c>
    </row>
    <row r="444" spans="1:520" x14ac:dyDescent="0.25">
      <c r="A444" s="7">
        <v>16.975577667533202</v>
      </c>
      <c r="B444"/>
      <c r="C444"/>
      <c r="D444"/>
      <c r="E444"/>
      <c r="JC444" s="27" t="s">
        <v>8</v>
      </c>
      <c r="JD444" s="27" t="s">
        <v>7</v>
      </c>
      <c r="JE444" s="27" t="s">
        <v>8</v>
      </c>
      <c r="JF444" s="27" t="s">
        <v>7</v>
      </c>
      <c r="JG444" s="27" t="s">
        <v>8</v>
      </c>
      <c r="JO444" s="27" t="s">
        <v>8</v>
      </c>
      <c r="JP444" s="27" t="s">
        <v>7</v>
      </c>
      <c r="MC444" s="27" t="s">
        <v>8</v>
      </c>
      <c r="MD444" s="27" t="s">
        <v>7</v>
      </c>
      <c r="ME444" s="27" t="s">
        <v>8</v>
      </c>
      <c r="MF444" s="27" t="s">
        <v>7</v>
      </c>
      <c r="MG444" s="27" t="s">
        <v>8</v>
      </c>
      <c r="OT444" s="27" t="s">
        <v>7</v>
      </c>
      <c r="OU444" s="27" t="s">
        <v>8</v>
      </c>
      <c r="PF444" s="27" t="s">
        <v>7</v>
      </c>
      <c r="PG444" s="27" t="s">
        <v>8</v>
      </c>
      <c r="PH444" s="27" t="s">
        <v>7</v>
      </c>
      <c r="PI444" s="27" t="s">
        <v>8</v>
      </c>
      <c r="PP444" s="27" t="s">
        <v>7</v>
      </c>
      <c r="PS444" s="27" t="s">
        <v>8</v>
      </c>
      <c r="SB444" s="27" t="s">
        <v>7</v>
      </c>
      <c r="SC444" s="27" t="s">
        <v>8</v>
      </c>
      <c r="SV444" s="27" t="s">
        <v>7</v>
      </c>
    </row>
    <row r="445" spans="1:520" x14ac:dyDescent="0.25">
      <c r="A445" s="7">
        <v>16.642723203463923</v>
      </c>
      <c r="B445"/>
      <c r="C445"/>
      <c r="D445"/>
      <c r="E445"/>
      <c r="JC445" s="27" t="s">
        <v>8</v>
      </c>
      <c r="JD445" s="27" t="s">
        <v>7</v>
      </c>
      <c r="JE445" s="27" t="s">
        <v>8</v>
      </c>
      <c r="JF445" s="27" t="s">
        <v>7</v>
      </c>
      <c r="JG445" s="27" t="s">
        <v>8</v>
      </c>
      <c r="JH445" s="27" t="s">
        <v>7</v>
      </c>
      <c r="JO445" s="27" t="s">
        <v>8</v>
      </c>
      <c r="JP445" s="27" t="s">
        <v>7</v>
      </c>
      <c r="MC445" s="27" t="s">
        <v>8</v>
      </c>
      <c r="MD445" s="27" t="s">
        <v>7</v>
      </c>
      <c r="ME445" s="27" t="s">
        <v>8</v>
      </c>
      <c r="MF445" s="27" t="s">
        <v>7</v>
      </c>
      <c r="MG445" s="27" t="s">
        <v>8</v>
      </c>
      <c r="OT445" s="27" t="s">
        <v>7</v>
      </c>
      <c r="OU445" s="27" t="s">
        <v>8</v>
      </c>
      <c r="PF445" s="27" t="s">
        <v>7</v>
      </c>
      <c r="PG445" s="27" t="s">
        <v>8</v>
      </c>
      <c r="PH445" s="27" t="s">
        <v>7</v>
      </c>
      <c r="PI445" s="27" t="s">
        <v>8</v>
      </c>
      <c r="PP445" s="27" t="s">
        <v>7</v>
      </c>
      <c r="PS445" s="27" t="s">
        <v>8</v>
      </c>
      <c r="SB445" s="27" t="s">
        <v>7</v>
      </c>
      <c r="SC445" s="27" t="s">
        <v>8</v>
      </c>
      <c r="SV445" s="27" t="s">
        <v>7</v>
      </c>
      <c r="SW445" s="27" t="s">
        <v>8</v>
      </c>
      <c r="SY445" s="27" t="s">
        <v>8</v>
      </c>
    </row>
    <row r="446" spans="1:520" x14ac:dyDescent="0.25">
      <c r="A446" s="7">
        <v>16.316395297513651</v>
      </c>
      <c r="B446"/>
      <c r="C446"/>
      <c r="D446"/>
      <c r="E446"/>
      <c r="JC446" s="27" t="s">
        <v>8</v>
      </c>
      <c r="JD446" s="27" t="s">
        <v>7</v>
      </c>
      <c r="JF446" s="27" t="s">
        <v>7</v>
      </c>
      <c r="JG446" s="27" t="s">
        <v>8</v>
      </c>
      <c r="JH446" s="27" t="s">
        <v>7</v>
      </c>
      <c r="JI446" s="27" t="s">
        <v>8</v>
      </c>
      <c r="JO446" s="27" t="s">
        <v>8</v>
      </c>
      <c r="JP446" s="27" t="s">
        <v>7</v>
      </c>
      <c r="LE446" s="27" t="s">
        <v>8</v>
      </c>
      <c r="MC446" s="27" t="s">
        <v>8</v>
      </c>
      <c r="MD446" s="27" t="s">
        <v>7</v>
      </c>
      <c r="ME446" s="27" t="s">
        <v>8</v>
      </c>
      <c r="MF446" s="27" t="s">
        <v>7</v>
      </c>
      <c r="MG446" s="27" t="s">
        <v>8</v>
      </c>
      <c r="OT446" s="27" t="s">
        <v>7</v>
      </c>
      <c r="OU446" s="27" t="s">
        <v>8</v>
      </c>
      <c r="PF446" s="27" t="s">
        <v>7</v>
      </c>
      <c r="PG446" s="27" t="s">
        <v>8</v>
      </c>
      <c r="PH446" s="27" t="s">
        <v>7</v>
      </c>
      <c r="PI446" s="27" t="s">
        <v>8</v>
      </c>
      <c r="PP446" s="27" t="s">
        <v>7</v>
      </c>
      <c r="PS446" s="27" t="s">
        <v>8</v>
      </c>
      <c r="SB446" s="27" t="s">
        <v>7</v>
      </c>
      <c r="SC446" s="27" t="s">
        <v>8</v>
      </c>
      <c r="SV446" s="27" t="s">
        <v>7</v>
      </c>
      <c r="SW446" s="27" t="s">
        <v>8</v>
      </c>
      <c r="SX446" s="27" t="s">
        <v>7</v>
      </c>
      <c r="SY446" s="27" t="s">
        <v>8</v>
      </c>
      <c r="SZ446" s="27" t="s">
        <v>7</v>
      </c>
    </row>
    <row r="447" spans="1:520" x14ac:dyDescent="0.25">
      <c r="A447" s="7">
        <v>15.996465977954561</v>
      </c>
      <c r="B447"/>
      <c r="C447"/>
      <c r="D447"/>
      <c r="E447"/>
      <c r="JC447" s="27" t="s">
        <v>8</v>
      </c>
      <c r="JF447" s="27" t="s">
        <v>7</v>
      </c>
      <c r="JG447" s="27" t="s">
        <v>8</v>
      </c>
      <c r="JH447" s="27" t="s">
        <v>7</v>
      </c>
      <c r="JI447" s="27" t="s">
        <v>8</v>
      </c>
      <c r="JJ447" s="27" t="s">
        <v>7</v>
      </c>
      <c r="JO447" s="27" t="s">
        <v>8</v>
      </c>
      <c r="JP447" s="27" t="s">
        <v>7</v>
      </c>
      <c r="LE447" s="27" t="s">
        <v>8</v>
      </c>
      <c r="LF447" s="27" t="s">
        <v>7</v>
      </c>
      <c r="MC447" s="27" t="s">
        <v>8</v>
      </c>
      <c r="MD447" s="27" t="s">
        <v>7</v>
      </c>
      <c r="ME447" s="27" t="s">
        <v>8</v>
      </c>
      <c r="MF447" s="27" t="s">
        <v>7</v>
      </c>
      <c r="MG447" s="27" t="s">
        <v>8</v>
      </c>
      <c r="OT447" s="27" t="s">
        <v>7</v>
      </c>
      <c r="OU447" s="27" t="s">
        <v>8</v>
      </c>
      <c r="PF447" s="27" t="s">
        <v>7</v>
      </c>
      <c r="PG447" s="27" t="s">
        <v>8</v>
      </c>
      <c r="PH447" s="27" t="s">
        <v>7</v>
      </c>
      <c r="PP447" s="27" t="s">
        <v>7</v>
      </c>
      <c r="PQ447" s="27" t="s">
        <v>8</v>
      </c>
      <c r="PS447" s="27" t="s">
        <v>8</v>
      </c>
      <c r="SB447" s="27" t="s">
        <v>7</v>
      </c>
      <c r="SC447" s="27" t="s">
        <v>8</v>
      </c>
      <c r="SV447" s="27" t="s">
        <v>7</v>
      </c>
      <c r="SW447" s="27" t="s">
        <v>8</v>
      </c>
      <c r="SX447" s="27" t="s">
        <v>7</v>
      </c>
      <c r="SY447" s="27" t="s">
        <v>8</v>
      </c>
      <c r="SZ447" s="27" t="s">
        <v>7</v>
      </c>
    </row>
    <row r="448" spans="1:520" x14ac:dyDescent="0.25">
      <c r="A448" s="7">
        <v>15.682809782308393</v>
      </c>
      <c r="B448"/>
      <c r="C448"/>
      <c r="D448"/>
      <c r="E448"/>
      <c r="JC448" s="27" t="s">
        <v>8</v>
      </c>
      <c r="JF448" s="27" t="s">
        <v>7</v>
      </c>
      <c r="JG448" s="27" t="s">
        <v>8</v>
      </c>
      <c r="JH448" s="27" t="s">
        <v>7</v>
      </c>
      <c r="JI448" s="27" t="s">
        <v>8</v>
      </c>
      <c r="JJ448" s="27" t="s">
        <v>7</v>
      </c>
      <c r="JK448" s="27" t="s">
        <v>8</v>
      </c>
      <c r="JO448" s="27" t="s">
        <v>8</v>
      </c>
      <c r="JP448" s="27" t="s">
        <v>7</v>
      </c>
      <c r="LC448" s="27" t="s">
        <v>8</v>
      </c>
      <c r="LE448" s="27" t="s">
        <v>8</v>
      </c>
      <c r="LF448" s="27" t="s">
        <v>7</v>
      </c>
      <c r="MC448" s="27" t="s">
        <v>8</v>
      </c>
      <c r="MD448" s="27" t="s">
        <v>7</v>
      </c>
      <c r="ME448" s="27" t="s">
        <v>8</v>
      </c>
      <c r="MF448" s="27" t="s">
        <v>7</v>
      </c>
      <c r="MG448" s="27" t="s">
        <v>8</v>
      </c>
      <c r="OT448" s="27" t="s">
        <v>7</v>
      </c>
      <c r="OU448" s="27" t="s">
        <v>8</v>
      </c>
      <c r="PF448" s="27" t="s">
        <v>7</v>
      </c>
      <c r="PG448" s="27" t="s">
        <v>8</v>
      </c>
      <c r="PP448" s="27" t="s">
        <v>7</v>
      </c>
      <c r="PQ448" s="27" t="s">
        <v>8</v>
      </c>
      <c r="PR448" s="27" t="s">
        <v>7</v>
      </c>
      <c r="PS448" s="27" t="s">
        <v>8</v>
      </c>
      <c r="SB448" s="27" t="s">
        <v>7</v>
      </c>
      <c r="SC448" s="27" t="s">
        <v>8</v>
      </c>
      <c r="SV448" s="27" t="s">
        <v>7</v>
      </c>
      <c r="SW448" s="27" t="s">
        <v>8</v>
      </c>
      <c r="SX448" s="27" t="s">
        <v>7</v>
      </c>
      <c r="SY448" s="27" t="s">
        <v>8</v>
      </c>
      <c r="SZ448" s="27" t="s">
        <v>7</v>
      </c>
    </row>
    <row r="449" spans="1:520" x14ac:dyDescent="0.25">
      <c r="A449" s="7">
        <v>15.375303708145482</v>
      </c>
      <c r="B449"/>
      <c r="C449"/>
      <c r="D449"/>
      <c r="E449"/>
      <c r="JC449" s="27" t="s">
        <v>8</v>
      </c>
      <c r="JF449" s="27" t="s">
        <v>7</v>
      </c>
      <c r="JG449" s="27" t="s">
        <v>8</v>
      </c>
      <c r="JH449" s="27" t="s">
        <v>7</v>
      </c>
      <c r="JI449" s="27" t="s">
        <v>8</v>
      </c>
      <c r="JJ449" s="27" t="s">
        <v>7</v>
      </c>
      <c r="JK449" s="27" t="s">
        <v>8</v>
      </c>
      <c r="JL449" s="27" t="s">
        <v>7</v>
      </c>
      <c r="JM449" s="27" t="s">
        <v>8</v>
      </c>
      <c r="JO449" s="27" t="s">
        <v>8</v>
      </c>
      <c r="JP449" s="27" t="s">
        <v>7</v>
      </c>
      <c r="LC449" s="27" t="s">
        <v>8</v>
      </c>
      <c r="LD449" s="27" t="s">
        <v>7</v>
      </c>
      <c r="LE449" s="27" t="s">
        <v>8</v>
      </c>
      <c r="LF449" s="27" t="s">
        <v>7</v>
      </c>
      <c r="MA449" s="27" t="s">
        <v>8</v>
      </c>
      <c r="MC449" s="27" t="s">
        <v>8</v>
      </c>
      <c r="MD449" s="27" t="s">
        <v>7</v>
      </c>
      <c r="ME449" s="27" t="s">
        <v>8</v>
      </c>
      <c r="MF449" s="27" t="s">
        <v>7</v>
      </c>
      <c r="MG449" s="27" t="s">
        <v>8</v>
      </c>
      <c r="OT449" s="27" t="s">
        <v>7</v>
      </c>
      <c r="OU449" s="27" t="s">
        <v>8</v>
      </c>
      <c r="PF449" s="27" t="s">
        <v>7</v>
      </c>
      <c r="PG449" s="27" t="s">
        <v>8</v>
      </c>
      <c r="PP449" s="27" t="s">
        <v>7</v>
      </c>
      <c r="PQ449" s="27" t="s">
        <v>8</v>
      </c>
      <c r="PR449" s="27" t="s">
        <v>7</v>
      </c>
      <c r="PS449" s="27" t="s">
        <v>8</v>
      </c>
      <c r="SB449" s="27" t="s">
        <v>7</v>
      </c>
      <c r="SV449" s="27" t="s">
        <v>7</v>
      </c>
      <c r="SW449" s="27" t="s">
        <v>8</v>
      </c>
      <c r="SX449" s="27" t="s">
        <v>7</v>
      </c>
      <c r="SY449" s="27" t="s">
        <v>8</v>
      </c>
      <c r="SZ449" s="27" t="s">
        <v>7</v>
      </c>
    </row>
    <row r="450" spans="1:520" x14ac:dyDescent="0.25">
      <c r="A450" s="7">
        <v>15.073827164848511</v>
      </c>
      <c r="B450"/>
      <c r="C450"/>
      <c r="D450"/>
      <c r="E450"/>
      <c r="JC450" s="27" t="s">
        <v>8</v>
      </c>
      <c r="JF450" s="27" t="s">
        <v>7</v>
      </c>
      <c r="JG450" s="27" t="s">
        <v>8</v>
      </c>
      <c r="JH450" s="27" t="s">
        <v>7</v>
      </c>
      <c r="JI450" s="27" t="s">
        <v>8</v>
      </c>
      <c r="JJ450" s="27" t="s">
        <v>7</v>
      </c>
      <c r="JK450" s="27" t="s">
        <v>8</v>
      </c>
      <c r="JL450" s="27" t="s">
        <v>7</v>
      </c>
      <c r="JM450" s="27" t="s">
        <v>8</v>
      </c>
      <c r="JN450" s="27" t="s">
        <v>7</v>
      </c>
      <c r="JO450" s="27" t="s">
        <v>8</v>
      </c>
      <c r="JP450" s="27" t="s">
        <v>7</v>
      </c>
      <c r="LC450" s="27" t="s">
        <v>8</v>
      </c>
      <c r="LD450" s="27" t="s">
        <v>7</v>
      </c>
      <c r="LE450" s="27" t="s">
        <v>8</v>
      </c>
      <c r="LF450" s="27" t="s">
        <v>7</v>
      </c>
      <c r="MA450" s="27" t="s">
        <v>8</v>
      </c>
      <c r="MB450" s="27" t="s">
        <v>7</v>
      </c>
      <c r="MC450" s="27" t="s">
        <v>8</v>
      </c>
      <c r="MD450" s="27" t="s">
        <v>7</v>
      </c>
      <c r="ME450" s="27" t="s">
        <v>8</v>
      </c>
      <c r="MF450" s="27" t="s">
        <v>7</v>
      </c>
      <c r="MG450" s="27" t="s">
        <v>8</v>
      </c>
      <c r="OT450" s="27" t="s">
        <v>7</v>
      </c>
      <c r="PF450" s="27" t="s">
        <v>7</v>
      </c>
      <c r="PP450" s="27" t="s">
        <v>7</v>
      </c>
      <c r="PR450" s="27" t="s">
        <v>7</v>
      </c>
      <c r="PS450" s="27" t="s">
        <v>8</v>
      </c>
      <c r="SV450" s="27" t="s">
        <v>7</v>
      </c>
      <c r="SW450" s="27" t="s">
        <v>8</v>
      </c>
      <c r="SX450" s="27" t="s">
        <v>7</v>
      </c>
      <c r="SY450" s="27" t="s">
        <v>8</v>
      </c>
      <c r="SZ450" s="27" t="s">
        <v>7</v>
      </c>
    </row>
    <row r="451" spans="1:520" x14ac:dyDescent="0.25">
      <c r="A451" s="7">
        <v>14.77826192632207</v>
      </c>
      <c r="B451"/>
      <c r="C451"/>
      <c r="D451"/>
      <c r="E451"/>
      <c r="JC451" s="27" t="s">
        <v>8</v>
      </c>
      <c r="JF451" s="27" t="s">
        <v>7</v>
      </c>
      <c r="JH451" s="27" t="s">
        <v>7</v>
      </c>
      <c r="JI451" s="27" t="s">
        <v>8</v>
      </c>
      <c r="JJ451" s="27" t="s">
        <v>7</v>
      </c>
      <c r="JL451" s="27" t="s">
        <v>7</v>
      </c>
      <c r="JM451" s="27" t="s">
        <v>8</v>
      </c>
      <c r="JN451" s="27" t="s">
        <v>7</v>
      </c>
      <c r="JO451" s="27" t="s">
        <v>8</v>
      </c>
      <c r="JP451" s="27" t="s">
        <v>7</v>
      </c>
      <c r="LC451" s="27" t="s">
        <v>8</v>
      </c>
      <c r="LD451" s="27" t="s">
        <v>7</v>
      </c>
      <c r="LE451" s="27" t="s">
        <v>8</v>
      </c>
      <c r="LF451" s="27" t="s">
        <v>7</v>
      </c>
      <c r="LG451" s="27" t="s">
        <v>8</v>
      </c>
      <c r="MA451" s="27" t="s">
        <v>8</v>
      </c>
      <c r="MB451" s="27" t="s">
        <v>7</v>
      </c>
      <c r="MC451" s="27" t="s">
        <v>8</v>
      </c>
      <c r="MD451" s="27" t="s">
        <v>7</v>
      </c>
      <c r="ME451" s="27" t="s">
        <v>8</v>
      </c>
      <c r="MF451" s="27" t="s">
        <v>7</v>
      </c>
      <c r="MG451" s="27" t="s">
        <v>8</v>
      </c>
      <c r="PR451" s="27" t="s">
        <v>7</v>
      </c>
      <c r="PS451" s="27" t="s">
        <v>8</v>
      </c>
      <c r="SV451" s="27" t="s">
        <v>7</v>
      </c>
      <c r="SW451" s="27" t="s">
        <v>8</v>
      </c>
      <c r="SX451" s="27" t="s">
        <v>7</v>
      </c>
      <c r="SY451" s="27" t="s">
        <v>8</v>
      </c>
      <c r="SZ451" s="27" t="s">
        <v>7</v>
      </c>
    </row>
    <row r="452" spans="1:520" x14ac:dyDescent="0.25">
      <c r="A452" s="7">
        <v>14.488492084629481</v>
      </c>
      <c r="B452"/>
      <c r="C452"/>
      <c r="D452"/>
      <c r="E452"/>
      <c r="JC452" s="27" t="s">
        <v>8</v>
      </c>
      <c r="JH452" s="27" t="s">
        <v>7</v>
      </c>
      <c r="JI452" s="27" t="s">
        <v>8</v>
      </c>
      <c r="JL452" s="27" t="s">
        <v>7</v>
      </c>
      <c r="JM452" s="27" t="s">
        <v>8</v>
      </c>
      <c r="JN452" s="27" t="s">
        <v>7</v>
      </c>
      <c r="JO452" s="27" t="s">
        <v>8</v>
      </c>
      <c r="JP452" s="27" t="s">
        <v>7</v>
      </c>
      <c r="LC452" s="27" t="s">
        <v>8</v>
      </c>
      <c r="LD452" s="27" t="s">
        <v>7</v>
      </c>
      <c r="LF452" s="27" t="s">
        <v>7</v>
      </c>
      <c r="LG452" s="27" t="s">
        <v>8</v>
      </c>
      <c r="LH452" s="27" t="s">
        <v>7</v>
      </c>
      <c r="LQ452" s="27" t="s">
        <v>8</v>
      </c>
      <c r="MA452" s="27" t="s">
        <v>8</v>
      </c>
      <c r="MB452" s="27" t="s">
        <v>7</v>
      </c>
      <c r="MC452" s="27" t="s">
        <v>8</v>
      </c>
      <c r="MD452" s="27" t="s">
        <v>7</v>
      </c>
      <c r="ME452" s="27" t="s">
        <v>8</v>
      </c>
      <c r="MF452" s="27" t="s">
        <v>7</v>
      </c>
      <c r="MG452" s="27" t="s">
        <v>8</v>
      </c>
      <c r="PR452" s="18" t="s">
        <v>7</v>
      </c>
      <c r="PS452" s="27" t="s">
        <v>8</v>
      </c>
      <c r="SV452" s="27" t="s">
        <v>7</v>
      </c>
      <c r="SX452" s="27" t="s">
        <v>7</v>
      </c>
      <c r="SY452" s="27" t="s">
        <v>8</v>
      </c>
    </row>
    <row r="453" spans="1:520" x14ac:dyDescent="0.25">
      <c r="A453" s="7">
        <v>14.204404004538707</v>
      </c>
      <c r="B453"/>
      <c r="C453"/>
      <c r="D453"/>
      <c r="E453"/>
      <c r="JA453" s="27" t="s">
        <v>8</v>
      </c>
      <c r="JC453" s="27" t="s">
        <v>8</v>
      </c>
      <c r="JH453" s="27" t="s">
        <v>7</v>
      </c>
      <c r="JI453" s="27" t="s">
        <v>8</v>
      </c>
      <c r="JL453" s="27" t="s">
        <v>7</v>
      </c>
      <c r="JM453" s="27" t="s">
        <v>8</v>
      </c>
      <c r="JN453" s="27" t="s">
        <v>7</v>
      </c>
      <c r="JP453" s="27" t="s">
        <v>7</v>
      </c>
      <c r="LA453" s="27" t="s">
        <v>8</v>
      </c>
      <c r="LC453" s="27" t="s">
        <v>8</v>
      </c>
      <c r="LF453" s="27" t="s">
        <v>7</v>
      </c>
      <c r="LG453" s="27" t="s">
        <v>8</v>
      </c>
      <c r="LH453" s="27" t="s">
        <v>7</v>
      </c>
      <c r="LI453" s="27" t="s">
        <v>8</v>
      </c>
      <c r="LQ453" s="27" t="s">
        <v>8</v>
      </c>
      <c r="LR453" s="27" t="s">
        <v>7</v>
      </c>
      <c r="MA453" s="27" t="s">
        <v>8</v>
      </c>
      <c r="MB453" s="27" t="s">
        <v>7</v>
      </c>
      <c r="MC453" s="27" t="s">
        <v>8</v>
      </c>
      <c r="MD453" s="27" t="s">
        <v>7</v>
      </c>
      <c r="MF453" s="27" t="s">
        <v>7</v>
      </c>
      <c r="MG453" s="27" t="s">
        <v>8</v>
      </c>
      <c r="PR453" s="27" t="s">
        <v>7</v>
      </c>
      <c r="PS453" s="27" t="s">
        <v>8</v>
      </c>
      <c r="SX453" s="27" t="s">
        <v>7</v>
      </c>
      <c r="SY453" s="27" t="s">
        <v>8</v>
      </c>
    </row>
    <row r="454" spans="1:520" x14ac:dyDescent="0.25">
      <c r="A454" s="7">
        <v>13.925886278959517</v>
      </c>
      <c r="B454"/>
      <c r="C454"/>
      <c r="D454"/>
      <c r="E454"/>
      <c r="JA454" s="27" t="s">
        <v>8</v>
      </c>
      <c r="JB454" s="27" t="s">
        <v>7</v>
      </c>
      <c r="JC454" s="27" t="s">
        <v>8</v>
      </c>
      <c r="JH454" s="27" t="s">
        <v>7</v>
      </c>
      <c r="JI454" s="27" t="s">
        <v>8</v>
      </c>
      <c r="JL454" s="27" t="s">
        <v>7</v>
      </c>
      <c r="JM454" s="27" t="s">
        <v>8</v>
      </c>
      <c r="JP454" s="27" t="s">
        <v>7</v>
      </c>
      <c r="LA454" s="27" t="s">
        <v>8</v>
      </c>
      <c r="LB454" s="27" t="s">
        <v>7</v>
      </c>
      <c r="LC454" s="27" t="s">
        <v>8</v>
      </c>
      <c r="LF454" s="27" t="s">
        <v>7</v>
      </c>
      <c r="LG454" s="27" t="s">
        <v>8</v>
      </c>
      <c r="LH454" s="27" t="s">
        <v>7</v>
      </c>
      <c r="LI454" s="27" t="s">
        <v>8</v>
      </c>
      <c r="LJ454" s="27" t="s">
        <v>7</v>
      </c>
      <c r="LQ454" s="27" t="s">
        <v>8</v>
      </c>
      <c r="LR454" s="27" t="s">
        <v>7</v>
      </c>
      <c r="MA454" s="27" t="s">
        <v>8</v>
      </c>
      <c r="MB454" s="27" t="s">
        <v>7</v>
      </c>
      <c r="MC454" s="27" t="s">
        <v>8</v>
      </c>
      <c r="MF454" s="27" t="s">
        <v>7</v>
      </c>
      <c r="MG454" s="27" t="s">
        <v>8</v>
      </c>
      <c r="PR454" s="27" t="s">
        <v>7</v>
      </c>
      <c r="PS454" s="27" t="s">
        <v>8</v>
      </c>
      <c r="SX454" s="27" t="s">
        <v>7</v>
      </c>
      <c r="SY454" s="27" t="s">
        <v>8</v>
      </c>
    </row>
    <row r="455" spans="1:520" x14ac:dyDescent="0.25">
      <c r="A455" s="7">
        <v>13.652829685254428</v>
      </c>
      <c r="B455"/>
      <c r="C455"/>
      <c r="D455"/>
      <c r="E455"/>
      <c r="JA455" s="27" t="s">
        <v>8</v>
      </c>
      <c r="JB455" s="27" t="s">
        <v>7</v>
      </c>
      <c r="JC455" s="27" t="s">
        <v>8</v>
      </c>
      <c r="JH455" s="27" t="s">
        <v>7</v>
      </c>
      <c r="JI455" s="27" t="s">
        <v>8</v>
      </c>
      <c r="JL455" s="27" t="s">
        <v>7</v>
      </c>
      <c r="JP455" s="27" t="s">
        <v>7</v>
      </c>
      <c r="LA455" s="27" t="s">
        <v>8</v>
      </c>
      <c r="LB455" s="27" t="s">
        <v>7</v>
      </c>
      <c r="LC455" s="27" t="s">
        <v>8</v>
      </c>
      <c r="LF455" s="27" t="s">
        <v>7</v>
      </c>
      <c r="LG455" s="27" t="s">
        <v>8</v>
      </c>
      <c r="LH455" s="27" t="s">
        <v>7</v>
      </c>
      <c r="LI455" s="27" t="s">
        <v>8</v>
      </c>
      <c r="LJ455" s="27" t="s">
        <v>7</v>
      </c>
      <c r="LQ455" s="27" t="s">
        <v>8</v>
      </c>
      <c r="LR455" s="27" t="s">
        <v>7</v>
      </c>
      <c r="MA455" s="27" t="s">
        <v>8</v>
      </c>
      <c r="MB455" s="27" t="s">
        <v>7</v>
      </c>
      <c r="MC455" s="27" t="s">
        <v>8</v>
      </c>
      <c r="MF455" s="27" t="s">
        <v>7</v>
      </c>
      <c r="MG455" s="27" t="s">
        <v>8</v>
      </c>
      <c r="PR455" s="27" t="s">
        <v>7</v>
      </c>
      <c r="PS455" s="27" t="s">
        <v>8</v>
      </c>
      <c r="SX455" s="27" t="s">
        <v>7</v>
      </c>
    </row>
    <row r="456" spans="1:520" x14ac:dyDescent="0.25">
      <c r="A456" s="7">
        <v>13.385127142406303</v>
      </c>
      <c r="B456"/>
      <c r="C456"/>
      <c r="D456"/>
      <c r="E456"/>
      <c r="JA456" s="27" t="s">
        <v>8</v>
      </c>
      <c r="JB456" s="27" t="s">
        <v>7</v>
      </c>
      <c r="JC456" s="27" t="s">
        <v>8</v>
      </c>
      <c r="JH456" s="27" t="s">
        <v>7</v>
      </c>
      <c r="JI456" s="27" t="s">
        <v>8</v>
      </c>
      <c r="JP456" s="27" t="s">
        <v>7</v>
      </c>
      <c r="KW456" s="27" t="s">
        <v>8</v>
      </c>
      <c r="KY456" s="27" t="s">
        <v>8</v>
      </c>
      <c r="LA456" s="27" t="s">
        <v>8</v>
      </c>
      <c r="LB456" s="27" t="s">
        <v>7</v>
      </c>
      <c r="LC456" s="27" t="s">
        <v>8</v>
      </c>
      <c r="LF456" s="27" t="s">
        <v>7</v>
      </c>
      <c r="LG456" s="27" t="s">
        <v>8</v>
      </c>
      <c r="LH456" s="27" t="s">
        <v>7</v>
      </c>
      <c r="LI456" s="27" t="s">
        <v>8</v>
      </c>
      <c r="LJ456" s="27" t="s">
        <v>7</v>
      </c>
      <c r="LK456" s="27" t="s">
        <v>8</v>
      </c>
      <c r="LQ456" s="27" t="s">
        <v>8</v>
      </c>
      <c r="LR456" s="27" t="s">
        <v>7</v>
      </c>
      <c r="MA456" s="27" t="s">
        <v>8</v>
      </c>
      <c r="MB456" s="27" t="s">
        <v>7</v>
      </c>
      <c r="MC456" s="27" t="s">
        <v>8</v>
      </c>
      <c r="MF456" s="27" t="s">
        <v>7</v>
      </c>
      <c r="MG456" s="27" t="s">
        <v>8</v>
      </c>
      <c r="PR456" s="27" t="s">
        <v>7</v>
      </c>
    </row>
    <row r="457" spans="1:520" x14ac:dyDescent="0.25">
      <c r="A457" s="7">
        <v>13.122673669025787</v>
      </c>
      <c r="B457"/>
      <c r="C457"/>
      <c r="D457"/>
      <c r="E457"/>
      <c r="JA457" s="27" t="s">
        <v>8</v>
      </c>
      <c r="JB457" s="27" t="s">
        <v>7</v>
      </c>
      <c r="JC457" s="27" t="s">
        <v>8</v>
      </c>
      <c r="JH457" s="27" t="s">
        <v>7</v>
      </c>
      <c r="JP457" s="27" t="s">
        <v>7</v>
      </c>
      <c r="JS457" s="27" t="s">
        <v>8</v>
      </c>
      <c r="JW457" s="27" t="s">
        <v>8</v>
      </c>
      <c r="KW457" s="27" t="s">
        <v>8</v>
      </c>
      <c r="KX457" s="27" t="s">
        <v>7</v>
      </c>
      <c r="KY457" s="27" t="s">
        <v>8</v>
      </c>
      <c r="KZ457" s="27" t="s">
        <v>7</v>
      </c>
      <c r="LA457" s="27" t="s">
        <v>8</v>
      </c>
      <c r="LB457" s="27" t="s">
        <v>7</v>
      </c>
      <c r="LF457" s="27" t="s">
        <v>7</v>
      </c>
      <c r="LG457" s="27" t="s">
        <v>8</v>
      </c>
      <c r="LH457" s="27" t="s">
        <v>7</v>
      </c>
      <c r="LJ457" s="27" t="s">
        <v>7</v>
      </c>
      <c r="LK457" s="27" t="s">
        <v>8</v>
      </c>
      <c r="LL457" s="27" t="s">
        <v>7</v>
      </c>
      <c r="LO457" s="27" t="s">
        <v>8</v>
      </c>
      <c r="LQ457" s="27" t="s">
        <v>8</v>
      </c>
      <c r="LR457" s="27" t="s">
        <v>7</v>
      </c>
      <c r="MA457" s="27" t="s">
        <v>8</v>
      </c>
      <c r="MB457" s="27" t="s">
        <v>7</v>
      </c>
      <c r="MF457" s="27" t="s">
        <v>7</v>
      </c>
      <c r="MG457" s="27" t="s">
        <v>8</v>
      </c>
    </row>
    <row r="458" spans="1:520" x14ac:dyDescent="0.25">
      <c r="A458" s="7">
        <v>12.865366342182144</v>
      </c>
      <c r="B458"/>
      <c r="C458"/>
      <c r="D458"/>
      <c r="E458"/>
      <c r="JA458" s="27" t="s">
        <v>8</v>
      </c>
      <c r="JB458" s="27" t="s">
        <v>7</v>
      </c>
      <c r="JC458" s="27" t="s">
        <v>8</v>
      </c>
      <c r="JP458" s="27" t="s">
        <v>7</v>
      </c>
      <c r="JQ458" s="27" t="s">
        <v>8</v>
      </c>
      <c r="JS458" s="27" t="s">
        <v>8</v>
      </c>
      <c r="JT458" s="27" t="s">
        <v>7</v>
      </c>
      <c r="JW458" s="27" t="s">
        <v>8</v>
      </c>
      <c r="JX458" s="27" t="s">
        <v>7</v>
      </c>
      <c r="KQ458" s="27" t="s">
        <v>8</v>
      </c>
      <c r="KW458" s="27" t="s">
        <v>8</v>
      </c>
      <c r="KX458" s="27" t="s">
        <v>7</v>
      </c>
      <c r="KY458" s="27" t="s">
        <v>8</v>
      </c>
      <c r="KZ458" s="27" t="s">
        <v>7</v>
      </c>
      <c r="LA458" s="27" t="s">
        <v>8</v>
      </c>
      <c r="LF458" s="27" t="s">
        <v>7</v>
      </c>
      <c r="LG458" s="27" t="s">
        <v>8</v>
      </c>
      <c r="LJ458" s="27" t="s">
        <v>7</v>
      </c>
      <c r="LK458" s="27" t="s">
        <v>8</v>
      </c>
      <c r="LL458" s="27" t="s">
        <v>7</v>
      </c>
      <c r="LO458" s="27" t="s">
        <v>8</v>
      </c>
      <c r="LP458" s="27" t="s">
        <v>7</v>
      </c>
      <c r="LQ458" s="27" t="s">
        <v>8</v>
      </c>
      <c r="LR458" s="27" t="s">
        <v>7</v>
      </c>
      <c r="LU458" s="27" t="s">
        <v>8</v>
      </c>
      <c r="MA458" s="27" t="s">
        <v>8</v>
      </c>
      <c r="MF458" s="27" t="s">
        <v>7</v>
      </c>
      <c r="MG458" s="27" t="s">
        <v>8</v>
      </c>
    </row>
    <row r="459" spans="1:520" x14ac:dyDescent="0.25">
      <c r="A459" s="7">
        <v>12.613104257041318</v>
      </c>
      <c r="B459"/>
      <c r="C459"/>
      <c r="D459"/>
      <c r="E459"/>
      <c r="JA459" s="27" t="s">
        <v>8</v>
      </c>
      <c r="JB459" s="27" t="s">
        <v>7</v>
      </c>
      <c r="JC459" s="27" t="s">
        <v>8</v>
      </c>
      <c r="JP459" s="27" t="s">
        <v>7</v>
      </c>
      <c r="JQ459" s="27" t="s">
        <v>8</v>
      </c>
      <c r="JR459" s="27" t="s">
        <v>7</v>
      </c>
      <c r="JS459" s="27" t="s">
        <v>8</v>
      </c>
      <c r="JT459" s="27" t="s">
        <v>7</v>
      </c>
      <c r="JU459" s="27" t="s">
        <v>8</v>
      </c>
      <c r="JW459" s="27" t="s">
        <v>8</v>
      </c>
      <c r="JX459" s="27" t="s">
        <v>7</v>
      </c>
      <c r="KQ459" s="27" t="s">
        <v>8</v>
      </c>
      <c r="KR459" s="27" t="s">
        <v>7</v>
      </c>
      <c r="KW459" s="27" t="s">
        <v>8</v>
      </c>
      <c r="KX459" s="27" t="s">
        <v>7</v>
      </c>
      <c r="KY459" s="27" t="s">
        <v>8</v>
      </c>
      <c r="KZ459" s="27" t="s">
        <v>7</v>
      </c>
      <c r="LA459" s="27" t="s">
        <v>8</v>
      </c>
      <c r="LF459" s="27" t="s">
        <v>7</v>
      </c>
      <c r="LG459" s="27" t="s">
        <v>8</v>
      </c>
      <c r="LJ459" s="27" t="s">
        <v>7</v>
      </c>
      <c r="LL459" s="27" t="s">
        <v>7</v>
      </c>
      <c r="LM459" s="27" t="s">
        <v>8</v>
      </c>
      <c r="LO459" s="27" t="s">
        <v>8</v>
      </c>
      <c r="LP459" s="27" t="s">
        <v>7</v>
      </c>
      <c r="LQ459" s="27" t="s">
        <v>8</v>
      </c>
      <c r="LR459" s="27" t="s">
        <v>7</v>
      </c>
      <c r="LU459" s="27" t="s">
        <v>8</v>
      </c>
      <c r="LV459" s="27" t="s">
        <v>7</v>
      </c>
      <c r="MA459" s="27" t="s">
        <v>8</v>
      </c>
      <c r="MF459" s="27" t="s">
        <v>7</v>
      </c>
    </row>
    <row r="460" spans="1:520" x14ac:dyDescent="0.25">
      <c r="A460" s="7">
        <v>12.36578848729541</v>
      </c>
      <c r="B460"/>
      <c r="C460"/>
      <c r="D460"/>
      <c r="E460"/>
      <c r="JA460" s="27" t="s">
        <v>8</v>
      </c>
      <c r="JB460" s="27" t="s">
        <v>7</v>
      </c>
      <c r="JC460" s="27" t="s">
        <v>8</v>
      </c>
      <c r="JP460" s="27" t="s">
        <v>7</v>
      </c>
      <c r="JQ460" s="27" t="s">
        <v>8</v>
      </c>
      <c r="JR460" s="27" t="s">
        <v>7</v>
      </c>
      <c r="JS460" s="27" t="s">
        <v>8</v>
      </c>
      <c r="JT460" s="27" t="s">
        <v>7</v>
      </c>
      <c r="JU460" s="27" t="s">
        <v>8</v>
      </c>
      <c r="JV460" s="27" t="s">
        <v>7</v>
      </c>
      <c r="JW460" s="27" t="s">
        <v>8</v>
      </c>
      <c r="JX460" s="27" t="s">
        <v>7</v>
      </c>
      <c r="KO460" s="27" t="s">
        <v>8</v>
      </c>
      <c r="KQ460" s="27" t="s">
        <v>8</v>
      </c>
      <c r="KR460" s="27" t="s">
        <v>7</v>
      </c>
      <c r="KS460" s="27" t="s">
        <v>8</v>
      </c>
      <c r="KW460" s="27" t="s">
        <v>8</v>
      </c>
      <c r="KX460" s="27" t="s">
        <v>7</v>
      </c>
      <c r="KY460" s="27" t="s">
        <v>8</v>
      </c>
      <c r="KZ460" s="27" t="s">
        <v>7</v>
      </c>
      <c r="LA460" s="27" t="s">
        <v>8</v>
      </c>
      <c r="LF460" s="27" t="s">
        <v>7</v>
      </c>
      <c r="LG460" s="27" t="s">
        <v>8</v>
      </c>
      <c r="LL460" s="27" t="s">
        <v>7</v>
      </c>
      <c r="LM460" s="27" t="s">
        <v>8</v>
      </c>
      <c r="LN460" s="27" t="s">
        <v>7</v>
      </c>
      <c r="LO460" s="27" t="s">
        <v>8</v>
      </c>
      <c r="LP460" s="27" t="s">
        <v>7</v>
      </c>
      <c r="LR460" s="27" t="s">
        <v>7</v>
      </c>
      <c r="LU460" s="27" t="s">
        <v>8</v>
      </c>
      <c r="LV460" s="27" t="s">
        <v>7</v>
      </c>
      <c r="LY460" s="27" t="s">
        <v>8</v>
      </c>
      <c r="MA460" s="27" t="s">
        <v>8</v>
      </c>
    </row>
    <row r="461" spans="1:520" x14ac:dyDescent="0.25">
      <c r="A461" s="7">
        <v>12.123322046368049</v>
      </c>
      <c r="B461"/>
      <c r="C461"/>
      <c r="D461"/>
      <c r="E461"/>
      <c r="JA461" s="27" t="s">
        <v>8</v>
      </c>
      <c r="JB461" s="27" t="s">
        <v>7</v>
      </c>
      <c r="JP461" s="27" t="s">
        <v>7</v>
      </c>
      <c r="JQ461" s="27" t="s">
        <v>8</v>
      </c>
      <c r="JR461" s="27" t="s">
        <v>7</v>
      </c>
      <c r="JS461" s="27" t="s">
        <v>8</v>
      </c>
      <c r="JT461" s="27" t="s">
        <v>7</v>
      </c>
      <c r="JU461" s="27" t="s">
        <v>8</v>
      </c>
      <c r="JV461" s="27" t="s">
        <v>7</v>
      </c>
      <c r="JW461" s="27" t="s">
        <v>8</v>
      </c>
      <c r="JX461" s="27" t="s">
        <v>7</v>
      </c>
      <c r="KO461" s="27" t="s">
        <v>8</v>
      </c>
      <c r="KP461" s="27" t="s">
        <v>7</v>
      </c>
      <c r="KQ461" s="27" t="s">
        <v>8</v>
      </c>
      <c r="KR461" s="27" t="s">
        <v>7</v>
      </c>
      <c r="KS461" s="27" t="s">
        <v>8</v>
      </c>
      <c r="KT461" s="27" t="s">
        <v>7</v>
      </c>
      <c r="KW461" s="27" t="s">
        <v>8</v>
      </c>
      <c r="KX461" s="27" t="s">
        <v>7</v>
      </c>
      <c r="KY461" s="27" t="s">
        <v>8</v>
      </c>
      <c r="KZ461" s="27" t="s">
        <v>7</v>
      </c>
      <c r="LA461" s="27" t="s">
        <v>8</v>
      </c>
      <c r="LF461" s="27" t="s">
        <v>7</v>
      </c>
      <c r="LG461" s="27" t="s">
        <v>8</v>
      </c>
      <c r="LL461" s="27" t="s">
        <v>7</v>
      </c>
      <c r="LM461" s="27" t="s">
        <v>8</v>
      </c>
      <c r="LN461" s="27" t="s">
        <v>7</v>
      </c>
      <c r="LO461" s="27" t="s">
        <v>8</v>
      </c>
      <c r="LR461" s="27" t="s">
        <v>7</v>
      </c>
      <c r="LU461" s="27" t="s">
        <v>8</v>
      </c>
      <c r="LV461" s="27" t="s">
        <v>7</v>
      </c>
      <c r="LY461" s="27" t="s">
        <v>8</v>
      </c>
      <c r="LZ461" s="27" t="s">
        <v>7</v>
      </c>
      <c r="MA461" s="27" t="s">
        <v>8</v>
      </c>
    </row>
    <row r="462" spans="1:520" x14ac:dyDescent="0.25">
      <c r="A462" s="7">
        <v>11.88560984938044</v>
      </c>
      <c r="B462"/>
      <c r="C462"/>
      <c r="D462"/>
      <c r="E462"/>
      <c r="JA462" s="27" t="s">
        <v>8</v>
      </c>
      <c r="JP462" s="27" t="s">
        <v>7</v>
      </c>
      <c r="JQ462" s="27" t="s">
        <v>8</v>
      </c>
      <c r="JR462" s="27" t="s">
        <v>7</v>
      </c>
      <c r="JS462" s="27" t="s">
        <v>8</v>
      </c>
      <c r="JT462" s="27" t="s">
        <v>7</v>
      </c>
      <c r="JU462" s="27" t="s">
        <v>8</v>
      </c>
      <c r="JV462" s="27" t="s">
        <v>7</v>
      </c>
      <c r="JW462" s="27" t="s">
        <v>8</v>
      </c>
      <c r="JX462" s="27" t="s">
        <v>7</v>
      </c>
      <c r="KO462" s="27" t="s">
        <v>8</v>
      </c>
      <c r="KP462" s="27" t="s">
        <v>7</v>
      </c>
      <c r="KQ462" s="27" t="s">
        <v>8</v>
      </c>
      <c r="KR462" s="27" t="s">
        <v>7</v>
      </c>
      <c r="KS462" s="27" t="s">
        <v>8</v>
      </c>
      <c r="KT462" s="27" t="s">
        <v>7</v>
      </c>
      <c r="KW462" s="27" t="s">
        <v>8</v>
      </c>
      <c r="KX462" s="27" t="s">
        <v>7</v>
      </c>
      <c r="KY462" s="27" t="s">
        <v>8</v>
      </c>
      <c r="KZ462" s="27" t="s">
        <v>7</v>
      </c>
      <c r="LF462" s="27" t="s">
        <v>7</v>
      </c>
      <c r="LG462" s="27" t="s">
        <v>8</v>
      </c>
      <c r="LL462" s="27" t="s">
        <v>7</v>
      </c>
      <c r="LM462" s="27" t="s">
        <v>8</v>
      </c>
      <c r="LN462" s="27" t="s">
        <v>7</v>
      </c>
      <c r="LO462" s="27" t="s">
        <v>8</v>
      </c>
      <c r="LR462" s="27" t="s">
        <v>7</v>
      </c>
      <c r="LS462" s="27" t="s">
        <v>8</v>
      </c>
      <c r="LU462" s="27" t="s">
        <v>8</v>
      </c>
      <c r="LV462" s="27" t="s">
        <v>7</v>
      </c>
      <c r="LW462" s="27" t="s">
        <v>8</v>
      </c>
      <c r="LY462" s="27" t="s">
        <v>8</v>
      </c>
      <c r="LZ462" s="27" t="s">
        <v>7</v>
      </c>
      <c r="MA462" s="27" t="s">
        <v>8</v>
      </c>
    </row>
    <row r="463" spans="1:520" x14ac:dyDescent="0.25">
      <c r="A463" s="7">
        <v>11.652558675863176</v>
      </c>
      <c r="B463"/>
      <c r="C463"/>
      <c r="D463"/>
      <c r="E463"/>
      <c r="JA463" s="27" t="s">
        <v>8</v>
      </c>
      <c r="JP463" s="27" t="s">
        <v>7</v>
      </c>
      <c r="JQ463" s="27" t="s">
        <v>8</v>
      </c>
      <c r="JR463" s="27" t="s">
        <v>7</v>
      </c>
      <c r="JS463" s="27" t="s">
        <v>8</v>
      </c>
      <c r="JT463" s="27" t="s">
        <v>7</v>
      </c>
      <c r="JU463" s="27" t="s">
        <v>8</v>
      </c>
      <c r="JV463" s="27" t="s">
        <v>7</v>
      </c>
      <c r="JX463" s="27" t="s">
        <v>7</v>
      </c>
      <c r="JY463" s="27" t="s">
        <v>8</v>
      </c>
      <c r="KI463" s="27" t="s">
        <v>8</v>
      </c>
      <c r="KO463" s="27" t="s">
        <v>8</v>
      </c>
      <c r="KP463" s="27" t="s">
        <v>7</v>
      </c>
      <c r="KR463" s="27" t="s">
        <v>7</v>
      </c>
      <c r="KS463" s="27" t="s">
        <v>8</v>
      </c>
      <c r="KT463" s="27" t="s">
        <v>7</v>
      </c>
      <c r="KU463" s="27" t="s">
        <v>8</v>
      </c>
      <c r="KW463" s="27" t="s">
        <v>8</v>
      </c>
      <c r="KX463" s="27" t="s">
        <v>7</v>
      </c>
      <c r="LF463" s="27" t="s">
        <v>7</v>
      </c>
      <c r="LG463" s="27" t="s">
        <v>8</v>
      </c>
      <c r="LL463" s="27" t="s">
        <v>7</v>
      </c>
      <c r="LN463" s="27" t="s">
        <v>7</v>
      </c>
      <c r="LR463" s="27" t="s">
        <v>7</v>
      </c>
      <c r="LS463" s="27" t="s">
        <v>8</v>
      </c>
      <c r="LT463" s="27" t="s">
        <v>7</v>
      </c>
      <c r="LU463" s="27" t="s">
        <v>8</v>
      </c>
      <c r="LV463" s="27" t="s">
        <v>7</v>
      </c>
      <c r="LW463" s="27" t="s">
        <v>8</v>
      </c>
      <c r="LX463" s="27" t="s">
        <v>7</v>
      </c>
      <c r="LY463" s="27" t="s">
        <v>8</v>
      </c>
      <c r="LZ463" s="27" t="s">
        <v>7</v>
      </c>
    </row>
    <row r="464" spans="1:520" x14ac:dyDescent="0.25">
      <c r="A464" s="7">
        <v>11.424077133199193</v>
      </c>
      <c r="B464"/>
      <c r="C464"/>
      <c r="D464"/>
      <c r="E464"/>
      <c r="JA464" s="27" t="s">
        <v>8</v>
      </c>
      <c r="JP464" s="27" t="s">
        <v>7</v>
      </c>
      <c r="JQ464" s="27" t="s">
        <v>8</v>
      </c>
      <c r="JR464" s="27" t="s">
        <v>7</v>
      </c>
      <c r="JS464" s="27" t="s">
        <v>8</v>
      </c>
      <c r="JT464" s="27" t="s">
        <v>7</v>
      </c>
      <c r="JU464" s="27" t="s">
        <v>8</v>
      </c>
      <c r="JX464" s="27" t="s">
        <v>7</v>
      </c>
      <c r="JY464" s="27" t="s">
        <v>8</v>
      </c>
      <c r="JZ464" s="27" t="s">
        <v>7</v>
      </c>
      <c r="KI464" s="27" t="s">
        <v>8</v>
      </c>
      <c r="KJ464" s="27" t="s">
        <v>7</v>
      </c>
      <c r="KO464" s="27" t="s">
        <v>8</v>
      </c>
      <c r="KR464" s="27" t="s">
        <v>7</v>
      </c>
      <c r="KT464" s="27" t="s">
        <v>7</v>
      </c>
      <c r="KU464" s="27" t="s">
        <v>8</v>
      </c>
      <c r="KV464" s="27" t="s">
        <v>7</v>
      </c>
      <c r="KW464" s="27" t="s">
        <v>8</v>
      </c>
      <c r="LF464" s="27" t="s">
        <v>7</v>
      </c>
      <c r="LR464" s="27" t="s">
        <v>7</v>
      </c>
      <c r="LS464" s="27" t="s">
        <v>8</v>
      </c>
      <c r="LT464" s="27" t="s">
        <v>7</v>
      </c>
      <c r="LU464" s="27" t="s">
        <v>8</v>
      </c>
      <c r="LV464" s="27" t="s">
        <v>7</v>
      </c>
      <c r="LW464" s="27" t="s">
        <v>8</v>
      </c>
      <c r="LX464" s="27" t="s">
        <v>7</v>
      </c>
      <c r="LY464" s="27" t="s">
        <v>8</v>
      </c>
    </row>
    <row r="465" spans="1:337" x14ac:dyDescent="0.25">
      <c r="A465" s="7">
        <v>11.200075620783522</v>
      </c>
      <c r="B465"/>
      <c r="C465"/>
      <c r="D465"/>
      <c r="E465"/>
      <c r="JA465" s="27" t="s">
        <v>8</v>
      </c>
      <c r="JP465" s="27" t="s">
        <v>7</v>
      </c>
      <c r="JQ465" s="27" t="s">
        <v>8</v>
      </c>
      <c r="JR465" s="27" t="s">
        <v>7</v>
      </c>
      <c r="JS465" s="27" t="s">
        <v>8</v>
      </c>
      <c r="JT465" s="27" t="s">
        <v>7</v>
      </c>
      <c r="JX465" s="27" t="s">
        <v>7</v>
      </c>
      <c r="JY465" s="27" t="s">
        <v>8</v>
      </c>
      <c r="JZ465" s="27" t="s">
        <v>7</v>
      </c>
      <c r="KI465" s="27" t="s">
        <v>8</v>
      </c>
      <c r="KJ465" s="27" t="s">
        <v>7</v>
      </c>
      <c r="KK465" s="27" t="s">
        <v>8</v>
      </c>
      <c r="KM465" s="27" t="s">
        <v>8</v>
      </c>
      <c r="KO465" s="27" t="s">
        <v>8</v>
      </c>
      <c r="KT465" s="27" t="s">
        <v>7</v>
      </c>
      <c r="KU465" s="27" t="s">
        <v>8</v>
      </c>
      <c r="KV465" s="27" t="s">
        <v>7</v>
      </c>
      <c r="KW465" s="27" t="s">
        <v>8</v>
      </c>
      <c r="LR465" s="27" t="s">
        <v>7</v>
      </c>
      <c r="LS465" s="27" t="s">
        <v>8</v>
      </c>
      <c r="LT465" s="27" t="s">
        <v>7</v>
      </c>
      <c r="LU465" s="27" t="s">
        <v>8</v>
      </c>
      <c r="LV465" s="27" t="s">
        <v>7</v>
      </c>
      <c r="LW465" s="27" t="s">
        <v>8</v>
      </c>
      <c r="LX465" s="27" t="s">
        <v>7</v>
      </c>
      <c r="LY465" s="27" t="s">
        <v>8</v>
      </c>
    </row>
    <row r="466" spans="1:337" x14ac:dyDescent="0.25">
      <c r="A466" s="7">
        <v>10.980466294885806</v>
      </c>
      <c r="B466"/>
      <c r="C466"/>
      <c r="D466"/>
      <c r="E466"/>
      <c r="JA466" s="27" t="s">
        <v>8</v>
      </c>
      <c r="JP466" s="27" t="s">
        <v>7</v>
      </c>
      <c r="JR466" s="27" t="s">
        <v>7</v>
      </c>
      <c r="JS466" s="27" t="s">
        <v>8</v>
      </c>
      <c r="JX466" s="27" t="s">
        <v>7</v>
      </c>
      <c r="JY466" s="27" t="s">
        <v>8</v>
      </c>
      <c r="JZ466" s="27" t="s">
        <v>7</v>
      </c>
      <c r="KA466" s="27" t="s">
        <v>8</v>
      </c>
      <c r="KC466" s="27" t="s">
        <v>8</v>
      </c>
      <c r="KI466" s="27" t="s">
        <v>8</v>
      </c>
      <c r="KJ466" s="27" t="s">
        <v>7</v>
      </c>
      <c r="KK466" s="27" t="s">
        <v>8</v>
      </c>
      <c r="KL466" s="27" t="s">
        <v>7</v>
      </c>
      <c r="KM466" s="27" t="s">
        <v>8</v>
      </c>
      <c r="KN466" s="27" t="s">
        <v>7</v>
      </c>
      <c r="KO466" s="27" t="s">
        <v>8</v>
      </c>
      <c r="KT466" s="27" t="s">
        <v>7</v>
      </c>
      <c r="KU466" s="27" t="s">
        <v>8</v>
      </c>
      <c r="KV466" s="27" t="s">
        <v>7</v>
      </c>
      <c r="KW466" s="27" t="s">
        <v>8</v>
      </c>
      <c r="LR466" s="27" t="s">
        <v>7</v>
      </c>
      <c r="LS466" s="27" t="s">
        <v>8</v>
      </c>
      <c r="LT466" s="27" t="s">
        <v>7</v>
      </c>
      <c r="LU466" s="27" t="s">
        <v>8</v>
      </c>
      <c r="LV466" s="27" t="s">
        <v>7</v>
      </c>
      <c r="LX466" s="27" t="s">
        <v>7</v>
      </c>
    </row>
    <row r="467" spans="1:337" x14ac:dyDescent="0.25">
      <c r="A467" s="7">
        <v>10.765163034201771</v>
      </c>
      <c r="B467"/>
      <c r="C467"/>
      <c r="D467"/>
      <c r="E467"/>
      <c r="JA467" s="27" t="s">
        <v>8</v>
      </c>
      <c r="JR467" s="27" t="s">
        <v>7</v>
      </c>
      <c r="JS467" s="27" t="s">
        <v>8</v>
      </c>
      <c r="JX467" s="27" t="s">
        <v>7</v>
      </c>
      <c r="JY467" s="27" t="s">
        <v>8</v>
      </c>
      <c r="JZ467" s="27" t="s">
        <v>7</v>
      </c>
      <c r="KA467" s="27" t="s">
        <v>8</v>
      </c>
      <c r="KB467" s="27" t="s">
        <v>7</v>
      </c>
      <c r="KC467" s="27" t="s">
        <v>8</v>
      </c>
      <c r="KD467" s="27" t="s">
        <v>7</v>
      </c>
      <c r="KI467" s="27" t="s">
        <v>8</v>
      </c>
      <c r="KJ467" s="27" t="s">
        <v>7</v>
      </c>
      <c r="KK467" s="27" t="s">
        <v>8</v>
      </c>
      <c r="KL467" s="27" t="s">
        <v>7</v>
      </c>
      <c r="KM467" s="27" t="s">
        <v>8</v>
      </c>
      <c r="KN467" s="27" t="s">
        <v>7</v>
      </c>
      <c r="KO467" s="27" t="s">
        <v>8</v>
      </c>
      <c r="KT467" s="27" t="s">
        <v>7</v>
      </c>
      <c r="KV467" s="27" t="s">
        <v>7</v>
      </c>
      <c r="KW467" s="27" t="s">
        <v>8</v>
      </c>
      <c r="LR467" s="27" t="s">
        <v>7</v>
      </c>
      <c r="LS467" s="27" t="s">
        <v>8</v>
      </c>
      <c r="LT467" s="27" t="s">
        <v>7</v>
      </c>
      <c r="LU467" s="27" t="s">
        <v>8</v>
      </c>
    </row>
    <row r="468" spans="1:337" x14ac:dyDescent="0.25">
      <c r="A468" s="7">
        <v>10.554081406080169</v>
      </c>
      <c r="B468"/>
      <c r="C468"/>
      <c r="D468"/>
      <c r="E468"/>
      <c r="JA468" s="27" t="s">
        <v>8</v>
      </c>
      <c r="JR468" s="27" t="s">
        <v>7</v>
      </c>
      <c r="JS468" s="27" t="s">
        <v>8</v>
      </c>
      <c r="JX468" s="27" t="s">
        <v>7</v>
      </c>
      <c r="JZ468" s="27" t="s">
        <v>7</v>
      </c>
      <c r="KA468" s="27" t="s">
        <v>8</v>
      </c>
      <c r="KB468" s="27" t="s">
        <v>7</v>
      </c>
      <c r="KC468" s="27" t="s">
        <v>8</v>
      </c>
      <c r="KD468" s="27" t="s">
        <v>7</v>
      </c>
      <c r="KI468" s="27" t="s">
        <v>8</v>
      </c>
      <c r="KJ468" s="27" t="s">
        <v>7</v>
      </c>
      <c r="KL468" s="27" t="s">
        <v>7</v>
      </c>
      <c r="KM468" s="27" t="s">
        <v>8</v>
      </c>
      <c r="KN468" s="27" t="s">
        <v>7</v>
      </c>
      <c r="KO468" s="27" t="s">
        <v>8</v>
      </c>
      <c r="KV468" s="27" t="s">
        <v>7</v>
      </c>
      <c r="KW468" s="27" t="s">
        <v>8</v>
      </c>
      <c r="LR468" s="27" t="s">
        <v>7</v>
      </c>
      <c r="LS468" s="27" t="s">
        <v>8</v>
      </c>
      <c r="LT468" s="27" t="s">
        <v>7</v>
      </c>
    </row>
    <row r="469" spans="1:337" x14ac:dyDescent="0.25">
      <c r="A469" s="7">
        <v>10.34713863341193</v>
      </c>
      <c r="B469"/>
      <c r="C469"/>
      <c r="D469"/>
      <c r="E469"/>
      <c r="JA469" s="27" t="s">
        <v>8</v>
      </c>
      <c r="JR469" s="27" t="s">
        <v>7</v>
      </c>
      <c r="JS469" s="27" t="s">
        <v>8</v>
      </c>
      <c r="JZ469" s="27" t="s">
        <v>7</v>
      </c>
      <c r="KA469" s="27" t="s">
        <v>8</v>
      </c>
      <c r="KB469" s="27" t="s">
        <v>7</v>
      </c>
      <c r="KC469" s="27" t="s">
        <v>8</v>
      </c>
      <c r="KD469" s="27" t="s">
        <v>7</v>
      </c>
      <c r="KE469" s="27" t="s">
        <v>8</v>
      </c>
      <c r="KI469" s="27" t="s">
        <v>8</v>
      </c>
      <c r="KL469" s="27" t="s">
        <v>7</v>
      </c>
      <c r="KN469" s="27" t="s">
        <v>7</v>
      </c>
      <c r="KO469" s="27" t="s">
        <v>8</v>
      </c>
      <c r="KV469" s="27" t="s">
        <v>7</v>
      </c>
      <c r="KW469" s="27" t="s">
        <v>8</v>
      </c>
      <c r="LR469" s="27" t="s">
        <v>7</v>
      </c>
      <c r="LS469" s="27" t="s">
        <v>8</v>
      </c>
    </row>
    <row r="470" spans="1:337" x14ac:dyDescent="0.25">
      <c r="A470" s="7">
        <v>10.14425356216856</v>
      </c>
      <c r="B470"/>
      <c r="C470"/>
      <c r="D470"/>
      <c r="E470"/>
      <c r="IY470" s="27" t="s">
        <v>8</v>
      </c>
      <c r="JA470" s="27" t="s">
        <v>8</v>
      </c>
      <c r="JR470" s="27" t="s">
        <v>7</v>
      </c>
      <c r="JS470" s="27" t="s">
        <v>8</v>
      </c>
      <c r="JZ470" s="27" t="s">
        <v>7</v>
      </c>
      <c r="KA470" s="27" t="s">
        <v>8</v>
      </c>
      <c r="KB470" s="27" t="s">
        <v>7</v>
      </c>
      <c r="KC470" s="27" t="s">
        <v>8</v>
      </c>
      <c r="KD470" s="27" t="s">
        <v>7</v>
      </c>
      <c r="KE470" s="27" t="s">
        <v>8</v>
      </c>
      <c r="KF470" s="27" t="s">
        <v>7</v>
      </c>
      <c r="KI470" s="27" t="s">
        <v>8</v>
      </c>
      <c r="KN470" s="27" t="s">
        <v>7</v>
      </c>
      <c r="KO470" s="27" t="s">
        <v>8</v>
      </c>
      <c r="KV470" s="27" t="s">
        <v>7</v>
      </c>
      <c r="KW470" s="27" t="s">
        <v>8</v>
      </c>
      <c r="LR470" s="27" t="s">
        <v>7</v>
      </c>
      <c r="LS470" s="27" t="s">
        <v>8</v>
      </c>
    </row>
    <row r="471" spans="1:337" x14ac:dyDescent="0.25">
      <c r="A471" s="7">
        <v>9.9453466295770188</v>
      </c>
      <c r="B471"/>
      <c r="C471"/>
      <c r="D471"/>
      <c r="E471"/>
      <c r="IW471" s="27" t="s">
        <v>8</v>
      </c>
      <c r="IY471" s="27" t="s">
        <v>8</v>
      </c>
      <c r="IZ471" s="27" t="s">
        <v>7</v>
      </c>
      <c r="JA471" s="27" t="s">
        <v>8</v>
      </c>
      <c r="JR471" s="27" t="s">
        <v>7</v>
      </c>
      <c r="JS471" s="27" t="s">
        <v>8</v>
      </c>
      <c r="JZ471" s="27" t="s">
        <v>7</v>
      </c>
      <c r="KA471" s="27" t="s">
        <v>8</v>
      </c>
      <c r="KB471" s="27" t="s">
        <v>7</v>
      </c>
      <c r="KD471" s="27" t="s">
        <v>7</v>
      </c>
      <c r="KE471" s="27" t="s">
        <v>8</v>
      </c>
      <c r="KF471" s="27" t="s">
        <v>7</v>
      </c>
      <c r="KI471" s="27" t="s">
        <v>8</v>
      </c>
      <c r="KN471" s="27" t="s">
        <v>7</v>
      </c>
      <c r="KV471" s="27" t="s">
        <v>7</v>
      </c>
      <c r="KW471" s="27" t="s">
        <v>8</v>
      </c>
      <c r="LR471" s="27" t="s">
        <v>7</v>
      </c>
      <c r="LS471" s="27" t="s">
        <v>8</v>
      </c>
    </row>
    <row r="472" spans="1:337" x14ac:dyDescent="0.25">
      <c r="A472" s="7">
        <v>9.7503398329186464</v>
      </c>
      <c r="B472"/>
      <c r="C472"/>
      <c r="D472"/>
      <c r="E472"/>
      <c r="IW472" s="27" t="s">
        <v>8</v>
      </c>
      <c r="IX472" s="27" t="s">
        <v>7</v>
      </c>
      <c r="IY472" s="27" t="s">
        <v>8</v>
      </c>
      <c r="IZ472" s="27" t="s">
        <v>7</v>
      </c>
      <c r="JA472" s="27" t="s">
        <v>8</v>
      </c>
      <c r="JR472" s="27" t="s">
        <v>7</v>
      </c>
      <c r="JS472" s="27" t="s">
        <v>8</v>
      </c>
      <c r="JZ472" s="27" t="s">
        <v>7</v>
      </c>
      <c r="KA472" s="27" t="s">
        <v>8</v>
      </c>
      <c r="KD472" s="27" t="s">
        <v>7</v>
      </c>
      <c r="KE472" s="27" t="s">
        <v>8</v>
      </c>
      <c r="KF472" s="27" t="s">
        <v>7</v>
      </c>
      <c r="KI472" s="27" t="s">
        <v>8</v>
      </c>
      <c r="KV472" s="27" t="s">
        <v>7</v>
      </c>
      <c r="LR472" s="27" t="s">
        <v>7</v>
      </c>
      <c r="LS472" s="27" t="s">
        <v>8</v>
      </c>
    </row>
    <row r="473" spans="1:337" x14ac:dyDescent="0.25">
      <c r="A473" s="7">
        <v>9.5591566989398498</v>
      </c>
      <c r="B473"/>
      <c r="C473"/>
      <c r="D473"/>
      <c r="E473"/>
      <c r="IW473" s="27" t="s">
        <v>8</v>
      </c>
      <c r="IX473" s="27" t="s">
        <v>7</v>
      </c>
      <c r="IY473" s="27" t="s">
        <v>8</v>
      </c>
      <c r="IZ473" s="27" t="s">
        <v>7</v>
      </c>
      <c r="JA473" s="27" t="s">
        <v>8</v>
      </c>
      <c r="JR473" s="27" t="s">
        <v>7</v>
      </c>
      <c r="JS473" s="27" t="s">
        <v>8</v>
      </c>
      <c r="JZ473" s="27" t="s">
        <v>7</v>
      </c>
      <c r="KA473" s="27" t="s">
        <v>8</v>
      </c>
      <c r="KD473" s="27" t="s">
        <v>7</v>
      </c>
      <c r="KF473" s="27" t="s">
        <v>7</v>
      </c>
      <c r="KG473" s="27" t="s">
        <v>8</v>
      </c>
      <c r="KI473" s="27" t="s">
        <v>8</v>
      </c>
      <c r="LR473" s="27" t="s">
        <v>7</v>
      </c>
      <c r="LS473" s="27" t="s">
        <v>8</v>
      </c>
    </row>
    <row r="474" spans="1:337" x14ac:dyDescent="0.25">
      <c r="A474" s="7">
        <v>9.3717222538625968</v>
      </c>
      <c r="B474"/>
      <c r="C474"/>
      <c r="D474"/>
      <c r="E474"/>
      <c r="IW474" s="27" t="s">
        <v>8</v>
      </c>
      <c r="IX474" s="27" t="s">
        <v>7</v>
      </c>
      <c r="IZ474" s="27" t="s">
        <v>7</v>
      </c>
      <c r="JA474" s="27" t="s">
        <v>8</v>
      </c>
      <c r="JR474" s="27" t="s">
        <v>7</v>
      </c>
      <c r="JS474" s="27" t="s">
        <v>8</v>
      </c>
      <c r="JZ474" s="27" t="s">
        <v>7</v>
      </c>
      <c r="KA474" s="27" t="s">
        <v>8</v>
      </c>
      <c r="KF474" s="27" t="s">
        <v>7</v>
      </c>
      <c r="KG474" s="27" t="s">
        <v>8</v>
      </c>
      <c r="KH474" s="27" t="s">
        <v>7</v>
      </c>
      <c r="KI474" s="27" t="s">
        <v>8</v>
      </c>
      <c r="LR474" s="27" t="s">
        <v>7</v>
      </c>
      <c r="LS474" s="27" t="s">
        <v>8</v>
      </c>
    </row>
    <row r="475" spans="1:337" x14ac:dyDescent="0.25">
      <c r="A475" s="7">
        <v>9.1879629939829375</v>
      </c>
      <c r="B475"/>
      <c r="C475"/>
      <c r="D475"/>
      <c r="E475"/>
      <c r="IW475" s="27" t="s">
        <v>8</v>
      </c>
      <c r="IZ475" s="27" t="s">
        <v>7</v>
      </c>
      <c r="JR475" s="27" t="s">
        <v>7</v>
      </c>
      <c r="JZ475" s="27" t="s">
        <v>7</v>
      </c>
      <c r="KA475" s="27" t="s">
        <v>8</v>
      </c>
      <c r="KF475" s="27" t="s">
        <v>7</v>
      </c>
      <c r="KG475" s="27" t="s">
        <v>8</v>
      </c>
      <c r="KH475" s="27" t="s">
        <v>7</v>
      </c>
      <c r="KI475" s="27" t="s">
        <v>8</v>
      </c>
      <c r="LR475" s="27" t="s">
        <v>7</v>
      </c>
      <c r="LS475" s="27" t="s">
        <v>8</v>
      </c>
    </row>
    <row r="476" spans="1:337" x14ac:dyDescent="0.25">
      <c r="A476" s="7">
        <v>9.0078068568460168</v>
      </c>
      <c r="B476"/>
      <c r="C476"/>
      <c r="D476"/>
      <c r="E476"/>
      <c r="IW476" s="27" t="s">
        <v>8</v>
      </c>
      <c r="JZ476" s="27" t="s">
        <v>7</v>
      </c>
      <c r="KA476" s="27" t="s">
        <v>8</v>
      </c>
      <c r="KF476" s="27" t="s">
        <v>7</v>
      </c>
      <c r="KG476" s="27" t="s">
        <v>8</v>
      </c>
      <c r="KH476" s="27" t="s">
        <v>7</v>
      </c>
      <c r="KI476" s="27" t="s">
        <v>8</v>
      </c>
      <c r="LR476" s="27" t="s">
        <v>7</v>
      </c>
      <c r="LS476" s="27" t="s">
        <v>8</v>
      </c>
    </row>
    <row r="477" spans="1:337" x14ac:dyDescent="0.25">
      <c r="A477" s="7">
        <v>8.8311831929862912</v>
      </c>
      <c r="B477"/>
      <c r="C477"/>
      <c r="D477"/>
      <c r="E477"/>
      <c r="IO477" s="27" t="s">
        <v>8</v>
      </c>
      <c r="IW477" s="27" t="s">
        <v>8</v>
      </c>
      <c r="JZ477" s="27" t="s">
        <v>7</v>
      </c>
      <c r="KA477" s="27" t="s">
        <v>8</v>
      </c>
      <c r="KF477" s="27" t="s">
        <v>7</v>
      </c>
      <c r="KH477" s="27" t="s">
        <v>7</v>
      </c>
      <c r="KI477" s="27" t="s">
        <v>8</v>
      </c>
      <c r="LR477" s="27" t="s">
        <v>7</v>
      </c>
      <c r="LS477" s="27" t="s">
        <v>8</v>
      </c>
    </row>
    <row r="478" spans="1:337" x14ac:dyDescent="0.25">
      <c r="A478" s="7">
        <v>8.6580227382218542</v>
      </c>
      <c r="B478"/>
      <c r="C478"/>
      <c r="D478"/>
      <c r="E478"/>
      <c r="IO478" s="27" t="s">
        <v>8</v>
      </c>
      <c r="IP478" s="27" t="s">
        <v>7</v>
      </c>
      <c r="IW478" s="27" t="s">
        <v>8</v>
      </c>
      <c r="JZ478" s="27" t="s">
        <v>7</v>
      </c>
      <c r="KA478" s="27" t="s">
        <v>8</v>
      </c>
      <c r="KH478" s="27" t="s">
        <v>7</v>
      </c>
      <c r="KI478" s="27" t="s">
        <v>8</v>
      </c>
      <c r="LR478" s="27" t="s">
        <v>7</v>
      </c>
      <c r="LS478" s="27" t="s">
        <v>8</v>
      </c>
    </row>
    <row r="479" spans="1:337" x14ac:dyDescent="0.25">
      <c r="A479" s="7">
        <v>8.4882575864920131</v>
      </c>
      <c r="B479"/>
      <c r="C479"/>
      <c r="D479"/>
      <c r="E479"/>
      <c r="IO479" s="27" t="s">
        <v>8</v>
      </c>
      <c r="IP479" s="27" t="s">
        <v>7</v>
      </c>
      <c r="IQ479" s="27" t="s">
        <v>8</v>
      </c>
      <c r="IW479" s="27" t="s">
        <v>8</v>
      </c>
      <c r="JZ479" s="27" t="s">
        <v>7</v>
      </c>
      <c r="KA479" s="27" t="s">
        <v>8</v>
      </c>
      <c r="KH479" s="27" t="s">
        <v>7</v>
      </c>
      <c r="LR479" s="27" t="s">
        <v>7</v>
      </c>
      <c r="LS479" s="27" t="s">
        <v>8</v>
      </c>
    </row>
    <row r="480" spans="1:337" x14ac:dyDescent="0.25">
      <c r="A480" s="7">
        <v>8.3218211632274635</v>
      </c>
      <c r="B480"/>
      <c r="C480"/>
      <c r="D480"/>
      <c r="E480"/>
      <c r="IM480" s="27" t="s">
        <v>8</v>
      </c>
      <c r="IO480" s="27" t="s">
        <v>8</v>
      </c>
      <c r="IP480" s="27" t="s">
        <v>7</v>
      </c>
      <c r="IQ480" s="27" t="s">
        <v>8</v>
      </c>
      <c r="IR480" s="27" t="s">
        <v>7</v>
      </c>
      <c r="IW480" s="27" t="s">
        <v>8</v>
      </c>
      <c r="JZ480" s="27" t="s">
        <v>7</v>
      </c>
      <c r="KA480" s="27" t="s">
        <v>8</v>
      </c>
      <c r="LR480" s="27" t="s">
        <v>7</v>
      </c>
      <c r="LS480" s="27" t="s">
        <v>8</v>
      </c>
    </row>
    <row r="481" spans="1:330" x14ac:dyDescent="0.25">
      <c r="A481" s="7">
        <v>8.1586481992426112</v>
      </c>
      <c r="B481"/>
      <c r="C481"/>
      <c r="D481"/>
      <c r="E481"/>
      <c r="IM481" s="27" t="s">
        <v>8</v>
      </c>
      <c r="IN481" s="27" t="s">
        <v>7</v>
      </c>
      <c r="IO481" s="27" t="s">
        <v>8</v>
      </c>
      <c r="IP481" s="27" t="s">
        <v>7</v>
      </c>
      <c r="IQ481" s="27" t="s">
        <v>8</v>
      </c>
      <c r="IR481" s="27" t="s">
        <v>7</v>
      </c>
      <c r="IS481" s="27" t="s">
        <v>8</v>
      </c>
      <c r="IW481" s="27" t="s">
        <v>8</v>
      </c>
      <c r="JZ481" s="27" t="s">
        <v>7</v>
      </c>
      <c r="KA481" s="27" t="s">
        <v>8</v>
      </c>
      <c r="LR481" s="27" t="s">
        <v>7</v>
      </c>
    </row>
    <row r="482" spans="1:330" x14ac:dyDescent="0.25">
      <c r="A482" s="7">
        <v>7.9986747051398144</v>
      </c>
      <c r="B482"/>
      <c r="C482"/>
      <c r="D482"/>
      <c r="E482"/>
      <c r="IM482" s="27" t="s">
        <v>8</v>
      </c>
      <c r="IN482" s="27" t="s">
        <v>7</v>
      </c>
      <c r="IO482" s="27" t="s">
        <v>8</v>
      </c>
      <c r="IP482" s="27" t="s">
        <v>7</v>
      </c>
      <c r="IR482" s="27" t="s">
        <v>7</v>
      </c>
      <c r="IS482" s="27" t="s">
        <v>8</v>
      </c>
      <c r="IT482" s="27" t="s">
        <v>7</v>
      </c>
      <c r="IU482" s="27" t="s">
        <v>8</v>
      </c>
      <c r="IW482" s="27" t="s">
        <v>8</v>
      </c>
      <c r="JZ482" s="27" t="s">
        <v>7</v>
      </c>
      <c r="KA482" s="27" t="s">
        <v>8</v>
      </c>
    </row>
    <row r="483" spans="1:330" x14ac:dyDescent="0.25">
      <c r="A483" s="7">
        <v>7.8418379462155041</v>
      </c>
      <c r="B483"/>
      <c r="C483"/>
      <c r="D483"/>
      <c r="E483"/>
      <c r="IM483" s="27" t="s">
        <v>8</v>
      </c>
      <c r="IN483" s="27" t="s">
        <v>7</v>
      </c>
      <c r="IO483" s="27" t="s">
        <v>8</v>
      </c>
      <c r="IR483" s="27" t="s">
        <v>7</v>
      </c>
      <c r="IS483" s="27" t="s">
        <v>8</v>
      </c>
      <c r="IT483" s="27" t="s">
        <v>7</v>
      </c>
      <c r="IU483" s="27" t="s">
        <v>8</v>
      </c>
      <c r="IV483" s="27" t="s">
        <v>7</v>
      </c>
      <c r="IW483" s="27" t="s">
        <v>8</v>
      </c>
      <c r="JZ483" s="27" t="s">
        <v>7</v>
      </c>
      <c r="KA483" s="27" t="s">
        <v>8</v>
      </c>
    </row>
    <row r="484" spans="1:330" x14ac:dyDescent="0.25">
      <c r="A484" s="7">
        <v>7.688076417858337</v>
      </c>
      <c r="B484"/>
      <c r="C484"/>
      <c r="D484"/>
      <c r="E484"/>
      <c r="IM484" s="27" t="s">
        <v>8</v>
      </c>
      <c r="IN484" s="27" t="s">
        <v>7</v>
      </c>
      <c r="IO484" s="27" t="s">
        <v>8</v>
      </c>
      <c r="IR484" s="27" t="s">
        <v>7</v>
      </c>
      <c r="IT484" s="27" t="s">
        <v>7</v>
      </c>
      <c r="IU484" s="27" t="s">
        <v>8</v>
      </c>
      <c r="IV484" s="27" t="s">
        <v>7</v>
      </c>
      <c r="IW484" s="27" t="s">
        <v>8</v>
      </c>
      <c r="JZ484" s="27" t="s">
        <v>7</v>
      </c>
      <c r="KA484" s="27" t="s">
        <v>8</v>
      </c>
    </row>
    <row r="485" spans="1:330" x14ac:dyDescent="0.25">
      <c r="A485" s="7">
        <v>7.5373298214297417</v>
      </c>
      <c r="B485"/>
      <c r="C485"/>
      <c r="D485"/>
      <c r="E485"/>
      <c r="IM485" s="27" t="s">
        <v>8</v>
      </c>
      <c r="IN485" s="27" t="s">
        <v>7</v>
      </c>
      <c r="IO485" s="27" t="s">
        <v>8</v>
      </c>
      <c r="IT485" s="27" t="s">
        <v>7</v>
      </c>
      <c r="IU485" s="27" t="s">
        <v>8</v>
      </c>
      <c r="IV485" s="27" t="s">
        <v>7</v>
      </c>
      <c r="IW485" s="27" t="s">
        <v>8</v>
      </c>
      <c r="JZ485" s="27" t="s">
        <v>7</v>
      </c>
      <c r="KA485" s="27" t="s">
        <v>8</v>
      </c>
    </row>
    <row r="486" spans="1:330" x14ac:dyDescent="0.25">
      <c r="A486" s="7">
        <v>7.389539040617394</v>
      </c>
      <c r="B486"/>
      <c r="C486"/>
      <c r="D486"/>
      <c r="E486"/>
      <c r="IM486" s="27" t="s">
        <v>8</v>
      </c>
      <c r="IN486" s="27" t="s">
        <v>7</v>
      </c>
      <c r="IO486" s="27" t="s">
        <v>8</v>
      </c>
      <c r="IT486" s="27" t="s">
        <v>7</v>
      </c>
      <c r="IU486" s="27" t="s">
        <v>8</v>
      </c>
      <c r="IV486" s="27" t="s">
        <v>7</v>
      </c>
      <c r="IW486" s="27" t="s">
        <v>8</v>
      </c>
      <c r="JZ486" s="27" t="s">
        <v>7</v>
      </c>
    </row>
    <row r="487" spans="1:330" x14ac:dyDescent="0.25">
      <c r="A487" s="7">
        <v>7.2446461182523469</v>
      </c>
      <c r="B487"/>
      <c r="C487"/>
      <c r="D487"/>
      <c r="E487"/>
      <c r="IM487" s="27" t="s">
        <v>8</v>
      </c>
      <c r="IN487" s="27" t="s">
        <v>7</v>
      </c>
      <c r="IO487" s="27" t="s">
        <v>8</v>
      </c>
      <c r="IT487" s="27" t="s">
        <v>7</v>
      </c>
      <c r="IU487" s="27" t="s">
        <v>8</v>
      </c>
      <c r="IV487" s="27" t="s">
        <v>7</v>
      </c>
      <c r="IW487" s="27" t="s">
        <v>8</v>
      </c>
    </row>
    <row r="488" spans="1:330" x14ac:dyDescent="0.25">
      <c r="A488" s="7">
        <v>7.1025942335807324</v>
      </c>
      <c r="B488"/>
      <c r="C488"/>
      <c r="D488"/>
      <c r="E488"/>
      <c r="IM488" s="27" t="s">
        <v>8</v>
      </c>
      <c r="IN488" s="27" t="s">
        <v>7</v>
      </c>
      <c r="IT488" s="27" t="s">
        <v>7</v>
      </c>
      <c r="IU488" s="27" t="s">
        <v>8</v>
      </c>
      <c r="IV488" s="27" t="s">
        <v>7</v>
      </c>
      <c r="IW488" s="27" t="s">
        <v>8</v>
      </c>
    </row>
    <row r="489" spans="1:330" x14ac:dyDescent="0.25">
      <c r="A489" s="7">
        <v>6.9633276799811101</v>
      </c>
      <c r="B489"/>
      <c r="C489"/>
      <c r="D489"/>
      <c r="E489"/>
      <c r="IM489" s="27" t="s">
        <v>8</v>
      </c>
      <c r="IT489" s="27" t="s">
        <v>7</v>
      </c>
      <c r="IV489" s="27" t="s">
        <v>7</v>
      </c>
      <c r="IW489" s="27" t="s">
        <v>8</v>
      </c>
    </row>
    <row r="490" spans="1:330" x14ac:dyDescent="0.25">
      <c r="A490" s="7">
        <v>6.8267918431187349</v>
      </c>
      <c r="B490"/>
      <c r="C490"/>
      <c r="D490"/>
      <c r="E490"/>
      <c r="IM490" s="27" t="s">
        <v>8</v>
      </c>
      <c r="IV490" s="27" t="s">
        <v>7</v>
      </c>
      <c r="IW490" s="27" t="s">
        <v>8</v>
      </c>
    </row>
    <row r="491" spans="1:330" x14ac:dyDescent="0.25">
      <c r="A491" s="7">
        <v>6.692933179528171</v>
      </c>
      <c r="B491"/>
      <c r="C491"/>
      <c r="D491"/>
      <c r="E491"/>
      <c r="IM491" s="27" t="s">
        <v>8</v>
      </c>
      <c r="IV491" s="27" t="s">
        <v>7</v>
      </c>
      <c r="IW491" s="27" t="s">
        <v>8</v>
      </c>
    </row>
    <row r="492" spans="1:330" x14ac:dyDescent="0.25">
      <c r="A492" s="7">
        <v>6.5616991956158541</v>
      </c>
      <c r="B492"/>
      <c r="C492"/>
      <c r="D492"/>
      <c r="E492"/>
      <c r="IK492" s="27" t="s">
        <v>8</v>
      </c>
      <c r="IM492" s="27" t="s">
        <v>8</v>
      </c>
      <c r="IV492" s="27" t="s">
        <v>7</v>
      </c>
    </row>
    <row r="493" spans="1:330" x14ac:dyDescent="0.25">
      <c r="A493" s="7">
        <v>6.4330384270743668</v>
      </c>
      <c r="B493"/>
      <c r="C493"/>
      <c r="D493"/>
      <c r="E493"/>
      <c r="IK493" s="27" t="s">
        <v>8</v>
      </c>
      <c r="IL493" s="27" t="s">
        <v>7</v>
      </c>
      <c r="IM493" s="27" t="s">
        <v>8</v>
      </c>
    </row>
    <row r="494" spans="1:330" x14ac:dyDescent="0.25">
      <c r="A494" s="7">
        <v>6.3069004187003594</v>
      </c>
      <c r="B494"/>
      <c r="C494"/>
      <c r="D494"/>
      <c r="E494"/>
      <c r="IK494" s="27" t="s">
        <v>8</v>
      </c>
      <c r="IL494" s="27" t="s">
        <v>7</v>
      </c>
      <c r="IM494" s="27" t="s">
        <v>8</v>
      </c>
    </row>
    <row r="495" spans="1:330" x14ac:dyDescent="0.25">
      <c r="A495" s="7">
        <v>6.1832357046081956</v>
      </c>
      <c r="B495"/>
      <c r="C495"/>
      <c r="D495"/>
      <c r="E495"/>
      <c r="IK495" s="27" t="s">
        <v>8</v>
      </c>
      <c r="IL495" s="27" t="s">
        <v>7</v>
      </c>
      <c r="IM495" s="27" t="s">
        <v>8</v>
      </c>
    </row>
    <row r="496" spans="1:330" x14ac:dyDescent="0.25">
      <c r="A496" s="7">
        <v>6.0619957888315641</v>
      </c>
      <c r="B496"/>
      <c r="C496"/>
      <c r="D496"/>
      <c r="E496"/>
      <c r="IK496" s="27" t="s">
        <v>8</v>
      </c>
      <c r="IL496" s="27" t="s">
        <v>7</v>
      </c>
      <c r="IM496" s="27" t="s">
        <v>8</v>
      </c>
    </row>
    <row r="497" spans="1:247" x14ac:dyDescent="0.25">
      <c r="A497" s="7">
        <v>5.9431331263054545</v>
      </c>
      <c r="B497"/>
      <c r="C497"/>
      <c r="D497"/>
      <c r="E497"/>
      <c r="IK497" s="27" t="s">
        <v>8</v>
      </c>
      <c r="IL497" s="27" t="s">
        <v>7</v>
      </c>
      <c r="IM497" s="27" t="s">
        <v>8</v>
      </c>
    </row>
    <row r="498" spans="1:247" x14ac:dyDescent="0.25">
      <c r="A498" s="7">
        <v>5.8266011042210337</v>
      </c>
      <c r="B498"/>
      <c r="C498"/>
      <c r="D498"/>
      <c r="E498"/>
      <c r="IK498" s="27" t="s">
        <v>8</v>
      </c>
      <c r="IL498" s="27" t="s">
        <v>7</v>
      </c>
      <c r="IM498" s="27" t="s">
        <v>8</v>
      </c>
    </row>
    <row r="499" spans="1:247" x14ac:dyDescent="0.25">
      <c r="A499" s="7">
        <v>5.7123540237461112</v>
      </c>
      <c r="B499"/>
      <c r="C499"/>
      <c r="D499"/>
      <c r="E499"/>
      <c r="IK499" s="27" t="s">
        <v>8</v>
      </c>
      <c r="IL499" s="27" t="s">
        <v>7</v>
      </c>
    </row>
    <row r="500" spans="1:247" x14ac:dyDescent="0.25">
      <c r="A500" s="7">
        <v>5.6003470821040304</v>
      </c>
      <c r="B500"/>
      <c r="C500"/>
      <c r="D500"/>
      <c r="E500"/>
      <c r="IK500" s="27" t="s">
        <v>8</v>
      </c>
    </row>
    <row r="501" spans="1:247" x14ac:dyDescent="0.25">
      <c r="A501" s="7">
        <v>5.4905363550039512</v>
      </c>
      <c r="B501"/>
      <c r="C501"/>
      <c r="D501"/>
      <c r="E501"/>
      <c r="IK501" s="27" t="s">
        <v>8</v>
      </c>
    </row>
    <row r="502" spans="1:247" x14ac:dyDescent="0.25">
      <c r="A502" s="7">
        <v>5.3828787794156385</v>
      </c>
      <c r="B502"/>
      <c r="C502"/>
      <c r="D502"/>
      <c r="E502"/>
      <c r="IK502" s="27" t="s">
        <v>8</v>
      </c>
    </row>
    <row r="503" spans="1:247" x14ac:dyDescent="0.25">
      <c r="A503" s="7">
        <v>5.2773321366819985</v>
      </c>
      <c r="B503"/>
      <c r="C503"/>
      <c r="D503"/>
      <c r="E503"/>
      <c r="IK503" s="27" t="s">
        <v>8</v>
      </c>
    </row>
    <row r="504" spans="1:247" x14ac:dyDescent="0.25">
      <c r="A504" s="7">
        <v>5.1738550359627435</v>
      </c>
      <c r="B504"/>
      <c r="C504"/>
      <c r="D504"/>
      <c r="E504"/>
      <c r="IK504" s="27" t="s">
        <v>8</v>
      </c>
    </row>
    <row r="505" spans="1:247" x14ac:dyDescent="0.25">
      <c r="A505" s="7">
        <v>5.07240689800269</v>
      </c>
      <c r="B505"/>
      <c r="C505"/>
      <c r="D505"/>
      <c r="E505"/>
      <c r="IK505" s="27" t="s">
        <v>8</v>
      </c>
    </row>
    <row r="506" spans="1:247" x14ac:dyDescent="0.25">
      <c r="A506" s="7">
        <v>4.9729479392183231</v>
      </c>
      <c r="B506"/>
      <c r="C506"/>
      <c r="D506"/>
      <c r="E506"/>
      <c r="GO506" s="27" t="s">
        <v>8</v>
      </c>
      <c r="IK506" s="27" t="s">
        <v>8</v>
      </c>
    </row>
    <row r="507" spans="1:247" x14ac:dyDescent="0.25">
      <c r="A507" s="7">
        <v>4.8754391560963954</v>
      </c>
      <c r="B507"/>
      <c r="C507"/>
      <c r="D507"/>
      <c r="E507"/>
      <c r="GO507" s="27" t="s">
        <v>8</v>
      </c>
      <c r="GP507" s="27" t="s">
        <v>7</v>
      </c>
      <c r="IG507" s="27" t="s">
        <v>8</v>
      </c>
      <c r="IK507" s="27" t="s">
        <v>8</v>
      </c>
    </row>
    <row r="508" spans="1:247" x14ac:dyDescent="0.25">
      <c r="A508" s="7">
        <v>4.7798423098984264</v>
      </c>
      <c r="B508"/>
      <c r="C508"/>
      <c r="D508"/>
      <c r="E508"/>
      <c r="GE508" s="27" t="s">
        <v>8</v>
      </c>
      <c r="GG508" s="27" t="s">
        <v>8</v>
      </c>
      <c r="GO508" s="27" t="s">
        <v>8</v>
      </c>
      <c r="GP508" s="27" t="s">
        <v>7</v>
      </c>
      <c r="IG508" s="27" t="s">
        <v>8</v>
      </c>
      <c r="IH508" s="27" t="s">
        <v>7</v>
      </c>
      <c r="II508" s="27" t="s">
        <v>8</v>
      </c>
      <c r="IK508" s="27" t="s">
        <v>8</v>
      </c>
    </row>
    <row r="509" spans="1:247" x14ac:dyDescent="0.25">
      <c r="A509" s="7">
        <v>4.6861199116651235</v>
      </c>
      <c r="B509"/>
      <c r="C509"/>
      <c r="D509"/>
      <c r="E509"/>
      <c r="GE509" s="27" t="s">
        <v>8</v>
      </c>
      <c r="GF509" s="27" t="s">
        <v>7</v>
      </c>
      <c r="GG509" s="27" t="s">
        <v>8</v>
      </c>
      <c r="GH509" s="27" t="s">
        <v>7</v>
      </c>
      <c r="GO509" s="27" t="s">
        <v>8</v>
      </c>
      <c r="GP509" s="27" t="s">
        <v>7</v>
      </c>
      <c r="IG509" s="27" t="s">
        <v>8</v>
      </c>
      <c r="IH509" s="27" t="s">
        <v>7</v>
      </c>
      <c r="II509" s="27" t="s">
        <v>8</v>
      </c>
      <c r="IJ509" s="27" t="s">
        <v>7</v>
      </c>
      <c r="IK509" s="27" t="s">
        <v>8</v>
      </c>
    </row>
    <row r="510" spans="1:247" x14ac:dyDescent="0.25">
      <c r="A510" s="7">
        <v>4.5942352075148269</v>
      </c>
      <c r="B510"/>
      <c r="C510"/>
      <c r="D510"/>
      <c r="E510"/>
      <c r="GE510" s="27" t="s">
        <v>8</v>
      </c>
      <c r="GF510" s="27" t="s">
        <v>7</v>
      </c>
      <c r="GG510" s="27" t="s">
        <v>8</v>
      </c>
      <c r="GH510" s="27" t="s">
        <v>7</v>
      </c>
      <c r="GO510" s="27" t="s">
        <v>8</v>
      </c>
      <c r="GP510" s="27" t="s">
        <v>7</v>
      </c>
      <c r="IA510" s="27" t="s">
        <v>8</v>
      </c>
      <c r="IG510" s="27" t="s">
        <v>8</v>
      </c>
      <c r="IH510" s="27" t="s">
        <v>7</v>
      </c>
      <c r="II510" s="27" t="s">
        <v>8</v>
      </c>
      <c r="IJ510" s="27" t="s">
        <v>7</v>
      </c>
      <c r="IK510" s="27" t="s">
        <v>8</v>
      </c>
    </row>
    <row r="511" spans="1:247" x14ac:dyDescent="0.25">
      <c r="A511" s="7">
        <v>4.5041521642302227</v>
      </c>
      <c r="B511"/>
      <c r="C511"/>
      <c r="D511"/>
      <c r="E511"/>
      <c r="CG511" s="27" t="s">
        <v>8</v>
      </c>
      <c r="GE511" s="27" t="s">
        <v>8</v>
      </c>
      <c r="GF511" s="27" t="s">
        <v>7</v>
      </c>
      <c r="GG511" s="27" t="s">
        <v>8</v>
      </c>
      <c r="GH511" s="27" t="s">
        <v>7</v>
      </c>
      <c r="GI511" s="27" t="s">
        <v>8</v>
      </c>
      <c r="GO511" s="27" t="s">
        <v>8</v>
      </c>
      <c r="GP511" s="27" t="s">
        <v>7</v>
      </c>
      <c r="IA511" s="27" t="s">
        <v>8</v>
      </c>
      <c r="IB511" s="27" t="s">
        <v>7</v>
      </c>
      <c r="IC511" s="27" t="s">
        <v>8</v>
      </c>
      <c r="IG511" s="27" t="s">
        <v>8</v>
      </c>
      <c r="IH511" s="27" t="s">
        <v>7</v>
      </c>
      <c r="IJ511" s="27" t="s">
        <v>7</v>
      </c>
      <c r="IK511" s="27" t="s">
        <v>8</v>
      </c>
    </row>
    <row r="512" spans="1:247" x14ac:dyDescent="0.25">
      <c r="A512" s="7">
        <v>4.4158354551276693</v>
      </c>
      <c r="B512"/>
      <c r="C512"/>
      <c r="D512"/>
      <c r="E512"/>
      <c r="CG512" s="27" t="s">
        <v>8</v>
      </c>
      <c r="CH512" s="27" t="s">
        <v>7</v>
      </c>
      <c r="GE512" s="27" t="s">
        <v>8</v>
      </c>
      <c r="GF512" s="27" t="s">
        <v>7</v>
      </c>
      <c r="GG512" s="27" t="s">
        <v>8</v>
      </c>
      <c r="GH512" s="27" t="s">
        <v>7</v>
      </c>
      <c r="GI512" s="27" t="s">
        <v>8</v>
      </c>
      <c r="GJ512" s="27" t="s">
        <v>7</v>
      </c>
      <c r="GO512" s="27" t="s">
        <v>8</v>
      </c>
      <c r="GP512" s="27" t="s">
        <v>7</v>
      </c>
      <c r="IA512" s="27" t="s">
        <v>8</v>
      </c>
      <c r="IB512" s="27" t="s">
        <v>7</v>
      </c>
      <c r="IC512" s="27" t="s">
        <v>8</v>
      </c>
      <c r="ID512" s="27" t="s">
        <v>7</v>
      </c>
      <c r="IG512" s="27" t="s">
        <v>8</v>
      </c>
      <c r="IJ512" s="27" t="s">
        <v>7</v>
      </c>
      <c r="IK512" s="27" t="s">
        <v>8</v>
      </c>
    </row>
    <row r="513" spans="1:244" x14ac:dyDescent="0.25">
      <c r="A513" s="7">
        <v>4.3292504462035977</v>
      </c>
      <c r="B513"/>
      <c r="C513"/>
      <c r="D513"/>
      <c r="E513"/>
      <c r="CG513" s="27" t="s">
        <v>8</v>
      </c>
      <c r="CH513" s="27" t="s">
        <v>7</v>
      </c>
      <c r="GE513" s="27" t="s">
        <v>8</v>
      </c>
      <c r="GF513" s="27" t="s">
        <v>7</v>
      </c>
      <c r="GG513" s="27" t="s">
        <v>8</v>
      </c>
      <c r="GH513" s="27" t="s">
        <v>7</v>
      </c>
      <c r="GI513" s="27" t="s">
        <v>8</v>
      </c>
      <c r="GJ513" s="27" t="s">
        <v>7</v>
      </c>
      <c r="GK513" s="27" t="s">
        <v>8</v>
      </c>
      <c r="GM513" s="27" t="s">
        <v>8</v>
      </c>
      <c r="GO513" s="27" t="s">
        <v>8</v>
      </c>
      <c r="GP513" s="27" t="s">
        <v>7</v>
      </c>
      <c r="IA513" s="27" t="s">
        <v>8</v>
      </c>
      <c r="IB513" s="27" t="s">
        <v>7</v>
      </c>
      <c r="IC513" s="27" t="s">
        <v>8</v>
      </c>
      <c r="ID513" s="27" t="s">
        <v>7</v>
      </c>
      <c r="IG513" s="27" t="s">
        <v>8</v>
      </c>
      <c r="IJ513" s="27" t="s">
        <v>7</v>
      </c>
    </row>
    <row r="514" spans="1:244" x14ac:dyDescent="0.25">
      <c r="A514" s="7">
        <v>4.2443631825525463</v>
      </c>
      <c r="B514"/>
      <c r="C514"/>
      <c r="D514"/>
      <c r="E514"/>
      <c r="CG514" s="27" t="s">
        <v>8</v>
      </c>
      <c r="CH514" s="27" t="s">
        <v>7</v>
      </c>
      <c r="GE514" s="27" t="s">
        <v>8</v>
      </c>
      <c r="GF514" s="27" t="s">
        <v>7</v>
      </c>
      <c r="GG514" s="27" t="s">
        <v>8</v>
      </c>
      <c r="GH514" s="27" t="s">
        <v>7</v>
      </c>
      <c r="GI514" s="27" t="s">
        <v>8</v>
      </c>
      <c r="GJ514" s="27" t="s">
        <v>7</v>
      </c>
      <c r="GK514" s="27" t="s">
        <v>8</v>
      </c>
      <c r="GL514" s="27" t="s">
        <v>7</v>
      </c>
      <c r="GM514" s="27" t="s">
        <v>8</v>
      </c>
      <c r="GN514" s="27" t="s">
        <v>7</v>
      </c>
      <c r="GO514" s="27" t="s">
        <v>8</v>
      </c>
      <c r="GP514" s="27" t="s">
        <v>7</v>
      </c>
      <c r="IA514" s="27" t="s">
        <v>8</v>
      </c>
      <c r="IB514" s="27" t="s">
        <v>7</v>
      </c>
      <c r="ID514" s="27" t="s">
        <v>7</v>
      </c>
      <c r="IG514" s="27" t="s">
        <v>8</v>
      </c>
    </row>
    <row r="515" spans="1:244" x14ac:dyDescent="0.25">
      <c r="A515" s="7">
        <v>4.1611403750515157</v>
      </c>
      <c r="B515"/>
      <c r="C515"/>
      <c r="D515"/>
      <c r="E515"/>
      <c r="CG515" s="27" t="s">
        <v>8</v>
      </c>
      <c r="CH515" s="27" t="s">
        <v>7</v>
      </c>
      <c r="GC515" s="27" t="s">
        <v>8</v>
      </c>
      <c r="GE515" s="27" t="s">
        <v>8</v>
      </c>
      <c r="GF515" s="27" t="s">
        <v>7</v>
      </c>
      <c r="GG515" s="27" t="s">
        <v>8</v>
      </c>
      <c r="GH515" s="27" t="s">
        <v>7</v>
      </c>
      <c r="GI515" s="27" t="s">
        <v>8</v>
      </c>
      <c r="GJ515" s="27" t="s">
        <v>7</v>
      </c>
      <c r="GK515" s="27" t="s">
        <v>8</v>
      </c>
      <c r="GL515" s="27" t="s">
        <v>7</v>
      </c>
      <c r="GM515" s="27" t="s">
        <v>8</v>
      </c>
      <c r="GN515" s="27" t="s">
        <v>7</v>
      </c>
      <c r="GO515" s="27" t="s">
        <v>8</v>
      </c>
      <c r="GP515" s="27" t="s">
        <v>7</v>
      </c>
      <c r="GQ515" s="27" t="s">
        <v>8</v>
      </c>
      <c r="HS515" s="27" t="s">
        <v>8</v>
      </c>
      <c r="HW515" s="27" t="s">
        <v>8</v>
      </c>
      <c r="IA515" s="27" t="s">
        <v>8</v>
      </c>
      <c r="ID515" s="27" t="s">
        <v>7</v>
      </c>
      <c r="IE515" s="27" t="s">
        <v>8</v>
      </c>
      <c r="IG515" s="27" t="s">
        <v>8</v>
      </c>
    </row>
    <row r="516" spans="1:244" x14ac:dyDescent="0.25">
      <c r="A516" s="7">
        <v>4.0795493873054074</v>
      </c>
      <c r="B516"/>
      <c r="C516"/>
      <c r="D516"/>
      <c r="E516"/>
      <c r="CG516" s="27" t="s">
        <v>8</v>
      </c>
      <c r="CH516" s="27" t="s">
        <v>7</v>
      </c>
      <c r="GC516" s="27" t="s">
        <v>8</v>
      </c>
      <c r="GD516" s="27" t="s">
        <v>7</v>
      </c>
      <c r="GE516" s="27" t="s">
        <v>8</v>
      </c>
      <c r="GF516" s="27" t="s">
        <v>7</v>
      </c>
      <c r="GG516" s="27" t="s">
        <v>8</v>
      </c>
      <c r="GH516" s="27" t="s">
        <v>7</v>
      </c>
      <c r="GJ516" s="27" t="s">
        <v>7</v>
      </c>
      <c r="GL516" s="27" t="s">
        <v>7</v>
      </c>
      <c r="GM516" s="27" t="s">
        <v>8</v>
      </c>
      <c r="GN516" s="27" t="s">
        <v>7</v>
      </c>
      <c r="GO516" s="27" t="s">
        <v>8</v>
      </c>
      <c r="GP516" s="27" t="s">
        <v>7</v>
      </c>
      <c r="GQ516" s="27" t="s">
        <v>8</v>
      </c>
      <c r="GR516" s="27" t="s">
        <v>7</v>
      </c>
      <c r="HS516" s="27" t="s">
        <v>8</v>
      </c>
      <c r="HT516" s="27" t="s">
        <v>7</v>
      </c>
      <c r="HW516" s="27" t="s">
        <v>8</v>
      </c>
      <c r="HX516" s="27" t="s">
        <v>7</v>
      </c>
      <c r="HY516" s="27" t="s">
        <v>8</v>
      </c>
      <c r="IA516" s="27" t="s">
        <v>8</v>
      </c>
      <c r="ID516" s="27" t="s">
        <v>7</v>
      </c>
      <c r="IE516" s="27" t="s">
        <v>8</v>
      </c>
      <c r="IF516" s="27" t="s">
        <v>7</v>
      </c>
      <c r="IG516" s="27" t="s">
        <v>8</v>
      </c>
    </row>
    <row r="517" spans="1:244" x14ac:dyDescent="0.25">
      <c r="A517" s="7">
        <v>3.9995582228484383</v>
      </c>
      <c r="B517"/>
      <c r="C517"/>
      <c r="D517"/>
      <c r="E517"/>
      <c r="CG517" s="27" t="s">
        <v>8</v>
      </c>
      <c r="CH517" s="27" t="s">
        <v>7</v>
      </c>
      <c r="GC517" s="27" t="s">
        <v>8</v>
      </c>
      <c r="GD517" s="27" t="s">
        <v>7</v>
      </c>
      <c r="GE517" s="27" t="s">
        <v>8</v>
      </c>
      <c r="GF517" s="27" t="s">
        <v>7</v>
      </c>
      <c r="GG517" s="27" t="s">
        <v>8</v>
      </c>
      <c r="GL517" s="27" t="s">
        <v>7</v>
      </c>
      <c r="GM517" s="27" t="s">
        <v>8</v>
      </c>
      <c r="GN517" s="27" t="s">
        <v>7</v>
      </c>
      <c r="GO517" s="27" t="s">
        <v>8</v>
      </c>
      <c r="GP517" s="27" t="s">
        <v>7</v>
      </c>
      <c r="GQ517" s="27" t="s">
        <v>8</v>
      </c>
      <c r="GR517" s="27" t="s">
        <v>7</v>
      </c>
      <c r="HS517" s="27" t="s">
        <v>8</v>
      </c>
      <c r="HT517" s="27" t="s">
        <v>7</v>
      </c>
      <c r="HW517" s="27" t="s">
        <v>8</v>
      </c>
      <c r="HX517" s="27" t="s">
        <v>7</v>
      </c>
      <c r="HY517" s="27" t="s">
        <v>8</v>
      </c>
      <c r="HZ517" s="27" t="s">
        <v>7</v>
      </c>
      <c r="IA517" s="27" t="s">
        <v>8</v>
      </c>
      <c r="ID517" s="27" t="s">
        <v>7</v>
      </c>
      <c r="IE517" s="27" t="s">
        <v>8</v>
      </c>
      <c r="IF517" s="27" t="s">
        <v>7</v>
      </c>
      <c r="IG517" s="27" t="s">
        <v>8</v>
      </c>
    </row>
    <row r="518" spans="1:244" x14ac:dyDescent="0.25">
      <c r="A518" s="7">
        <v>3.9211355125965079</v>
      </c>
      <c r="B518"/>
      <c r="C518"/>
      <c r="D518"/>
      <c r="E518"/>
      <c r="CG518" s="27" t="s">
        <v>8</v>
      </c>
      <c r="CH518" s="27" t="s">
        <v>7</v>
      </c>
      <c r="CI518" s="27" t="s">
        <v>8</v>
      </c>
      <c r="GC518" s="27" t="s">
        <v>8</v>
      </c>
      <c r="GD518" s="27" t="s">
        <v>7</v>
      </c>
      <c r="GE518" s="27" t="s">
        <v>8</v>
      </c>
      <c r="GF518" s="27" t="s">
        <v>7</v>
      </c>
      <c r="GL518" s="27" t="s">
        <v>7</v>
      </c>
      <c r="GM518" s="27" t="s">
        <v>8</v>
      </c>
      <c r="GN518" s="27" t="s">
        <v>7</v>
      </c>
      <c r="GO518" s="27" t="s">
        <v>8</v>
      </c>
      <c r="GP518" s="27" t="s">
        <v>7</v>
      </c>
      <c r="GQ518" s="27" t="s">
        <v>8</v>
      </c>
      <c r="GR518" s="27" t="s">
        <v>7</v>
      </c>
      <c r="HO518" s="27" t="s">
        <v>8</v>
      </c>
      <c r="HS518" s="27" t="s">
        <v>8</v>
      </c>
      <c r="HT518" s="27" t="s">
        <v>7</v>
      </c>
      <c r="HW518" s="27" t="s">
        <v>8</v>
      </c>
      <c r="HX518" s="27" t="s">
        <v>7</v>
      </c>
      <c r="HY518" s="27" t="s">
        <v>8</v>
      </c>
      <c r="HZ518" s="27" t="s">
        <v>7</v>
      </c>
      <c r="IA518" s="27" t="s">
        <v>8</v>
      </c>
      <c r="ID518" s="27" t="s">
        <v>7</v>
      </c>
      <c r="IF518" s="27" t="s">
        <v>7</v>
      </c>
      <c r="IG518" s="27" t="s">
        <v>8</v>
      </c>
    </row>
    <row r="519" spans="1:244" x14ac:dyDescent="0.25">
      <c r="A519" s="7">
        <v>3.844250502545596</v>
      </c>
      <c r="B519"/>
      <c r="C519"/>
      <c r="D519"/>
      <c r="E519"/>
      <c r="CG519" s="27" t="s">
        <v>8</v>
      </c>
      <c r="CH519" s="27" t="s">
        <v>7</v>
      </c>
      <c r="CI519" s="27" t="s">
        <v>8</v>
      </c>
      <c r="CJ519" s="27" t="s">
        <v>7</v>
      </c>
      <c r="GC519" s="27" t="s">
        <v>8</v>
      </c>
      <c r="GD519" s="27" t="s">
        <v>7</v>
      </c>
      <c r="GE519" s="27" t="s">
        <v>8</v>
      </c>
      <c r="GL519" s="27" t="s">
        <v>7</v>
      </c>
      <c r="GM519" s="27" t="s">
        <v>8</v>
      </c>
      <c r="GN519" s="27" t="s">
        <v>7</v>
      </c>
      <c r="GO519" s="27" t="s">
        <v>8</v>
      </c>
      <c r="GP519" s="27" t="s">
        <v>7</v>
      </c>
      <c r="GQ519" s="27" t="s">
        <v>8</v>
      </c>
      <c r="GR519" s="27" t="s">
        <v>7</v>
      </c>
      <c r="HM519" s="27" t="s">
        <v>8</v>
      </c>
      <c r="HO519" s="27" t="s">
        <v>8</v>
      </c>
      <c r="HP519" s="27" t="s">
        <v>7</v>
      </c>
      <c r="HQ519" s="27" t="s">
        <v>8</v>
      </c>
      <c r="HS519" s="27" t="s">
        <v>8</v>
      </c>
      <c r="HT519" s="27" t="s">
        <v>7</v>
      </c>
      <c r="HU519" s="27" t="s">
        <v>8</v>
      </c>
      <c r="HW519" s="27" t="s">
        <v>8</v>
      </c>
      <c r="HX519" s="27" t="s">
        <v>7</v>
      </c>
      <c r="HZ519" s="27" t="s">
        <v>7</v>
      </c>
      <c r="IF519" s="27" t="s">
        <v>7</v>
      </c>
      <c r="IG519" s="27" t="s">
        <v>8</v>
      </c>
    </row>
    <row r="520" spans="1:244" x14ac:dyDescent="0.25">
      <c r="A520" s="7">
        <v>3.7688730417113687</v>
      </c>
      <c r="B520"/>
      <c r="C520"/>
      <c r="D520"/>
      <c r="E520"/>
      <c r="CG520" s="27" t="s">
        <v>8</v>
      </c>
      <c r="CH520" s="27" t="s">
        <v>7</v>
      </c>
      <c r="CI520" s="27" t="s">
        <v>8</v>
      </c>
      <c r="CJ520" s="27" t="s">
        <v>7</v>
      </c>
      <c r="GC520" s="27" t="s">
        <v>8</v>
      </c>
      <c r="GD520" s="27" t="s">
        <v>7</v>
      </c>
      <c r="GL520" s="27" t="s">
        <v>7</v>
      </c>
      <c r="GM520" s="27" t="s">
        <v>8</v>
      </c>
      <c r="GN520" s="27" t="s">
        <v>7</v>
      </c>
      <c r="GP520" s="27" t="s">
        <v>7</v>
      </c>
      <c r="GQ520" s="27" t="s">
        <v>8</v>
      </c>
      <c r="GR520" s="27" t="s">
        <v>7</v>
      </c>
      <c r="HK520" s="27" t="s">
        <v>8</v>
      </c>
      <c r="HM520" s="27" t="s">
        <v>8</v>
      </c>
      <c r="HN520" s="27" t="s">
        <v>7</v>
      </c>
      <c r="HO520" s="27" t="s">
        <v>8</v>
      </c>
      <c r="HP520" s="27" t="s">
        <v>7</v>
      </c>
      <c r="HQ520" s="27" t="s">
        <v>8</v>
      </c>
      <c r="HR520" s="27" t="s">
        <v>7</v>
      </c>
      <c r="HS520" s="27" t="s">
        <v>8</v>
      </c>
      <c r="HT520" s="27" t="s">
        <v>7</v>
      </c>
      <c r="HU520" s="27" t="s">
        <v>8</v>
      </c>
      <c r="HV520" s="27" t="s">
        <v>7</v>
      </c>
      <c r="HW520" s="27" t="s">
        <v>8</v>
      </c>
      <c r="IF520" s="27" t="s">
        <v>7</v>
      </c>
      <c r="IG520" s="27" t="s">
        <v>8</v>
      </c>
    </row>
    <row r="521" spans="1:244" x14ac:dyDescent="0.25">
      <c r="A521" s="7">
        <v>3.6949735703052635</v>
      </c>
      <c r="B521"/>
      <c r="C521"/>
      <c r="D521"/>
      <c r="E521"/>
      <c r="CG521" s="27" t="s">
        <v>8</v>
      </c>
      <c r="CH521" s="27" t="s">
        <v>7</v>
      </c>
      <c r="CI521" s="27" t="s">
        <v>8</v>
      </c>
      <c r="CJ521" s="27" t="s">
        <v>7</v>
      </c>
      <c r="CK521" s="27" t="s">
        <v>8</v>
      </c>
      <c r="GC521" s="27" t="s">
        <v>8</v>
      </c>
      <c r="GL521" s="27" t="s">
        <v>7</v>
      </c>
      <c r="GM521" s="27" t="s">
        <v>8</v>
      </c>
      <c r="GP521" s="27" t="s">
        <v>7</v>
      </c>
      <c r="GQ521" s="27" t="s">
        <v>8</v>
      </c>
      <c r="GR521" s="27" t="s">
        <v>7</v>
      </c>
      <c r="HK521" s="27" t="s">
        <v>8</v>
      </c>
      <c r="HL521" s="27" t="s">
        <v>7</v>
      </c>
      <c r="HM521" s="27" t="s">
        <v>8</v>
      </c>
      <c r="HN521" s="27" t="s">
        <v>7</v>
      </c>
      <c r="HO521" s="27" t="s">
        <v>8</v>
      </c>
      <c r="HP521" s="27" t="s">
        <v>7</v>
      </c>
      <c r="HQ521" s="27" t="s">
        <v>8</v>
      </c>
      <c r="HR521" s="27" t="s">
        <v>7</v>
      </c>
      <c r="HS521" s="27" t="s">
        <v>8</v>
      </c>
      <c r="HT521" s="27" t="s">
        <v>7</v>
      </c>
      <c r="HU521" s="27" t="s">
        <v>8</v>
      </c>
      <c r="HV521" s="27" t="s">
        <v>7</v>
      </c>
      <c r="HW521" s="27" t="s">
        <v>8</v>
      </c>
      <c r="IF521" s="27" t="s">
        <v>7</v>
      </c>
    </row>
    <row r="522" spans="1:244" x14ac:dyDescent="0.25">
      <c r="A522" s="7">
        <v>3.6225231081424152</v>
      </c>
      <c r="B522"/>
      <c r="C522"/>
      <c r="D522"/>
      <c r="E522"/>
      <c r="CG522" s="27" t="s">
        <v>8</v>
      </c>
      <c r="CH522" s="27" t="s">
        <v>7</v>
      </c>
      <c r="CI522" s="27" t="s">
        <v>8</v>
      </c>
      <c r="CJ522" s="27" t="s">
        <v>7</v>
      </c>
      <c r="CK522" s="27" t="s">
        <v>8</v>
      </c>
      <c r="CL522" s="27" t="s">
        <v>7</v>
      </c>
      <c r="GC522" s="27" t="s">
        <v>8</v>
      </c>
      <c r="GL522" s="27" t="s">
        <v>7</v>
      </c>
      <c r="GM522" s="27" t="s">
        <v>8</v>
      </c>
      <c r="GP522" s="27" t="s">
        <v>7</v>
      </c>
      <c r="GR522" s="27" t="s">
        <v>7</v>
      </c>
      <c r="HG522" s="27" t="s">
        <v>8</v>
      </c>
      <c r="HK522" s="27" t="s">
        <v>8</v>
      </c>
      <c r="HL522" s="27" t="s">
        <v>7</v>
      </c>
      <c r="HM522" s="27" t="s">
        <v>8</v>
      </c>
      <c r="HN522" s="27" t="s">
        <v>7</v>
      </c>
      <c r="HO522" s="27" t="s">
        <v>8</v>
      </c>
      <c r="HP522" s="27" t="s">
        <v>7</v>
      </c>
      <c r="HR522" s="27" t="s">
        <v>7</v>
      </c>
      <c r="HS522" s="27" t="s">
        <v>8</v>
      </c>
      <c r="HT522" s="27" t="s">
        <v>7</v>
      </c>
      <c r="HU522" s="27" t="s">
        <v>8</v>
      </c>
      <c r="HV522" s="27" t="s">
        <v>7</v>
      </c>
    </row>
    <row r="523" spans="1:244" x14ac:dyDescent="0.25">
      <c r="A523" s="7">
        <v>3.5514932432768775</v>
      </c>
      <c r="B523"/>
      <c r="C523"/>
      <c r="D523"/>
      <c r="E523"/>
      <c r="CG523" s="27" t="s">
        <v>8</v>
      </c>
      <c r="CH523" s="27" t="s">
        <v>7</v>
      </c>
      <c r="CI523" s="27" t="s">
        <v>8</v>
      </c>
      <c r="CJ523" s="27" t="s">
        <v>7</v>
      </c>
      <c r="CK523" s="27" t="s">
        <v>8</v>
      </c>
      <c r="CL523" s="27" t="s">
        <v>7</v>
      </c>
      <c r="CM523" s="27" t="s">
        <v>8</v>
      </c>
      <c r="GC523" s="27" t="s">
        <v>8</v>
      </c>
      <c r="GL523" s="27" t="s">
        <v>7</v>
      </c>
      <c r="GM523" s="27" t="s">
        <v>8</v>
      </c>
      <c r="GR523" s="27" t="s">
        <v>7</v>
      </c>
      <c r="HG523" s="27" t="s">
        <v>8</v>
      </c>
      <c r="HH523" s="27" t="s">
        <v>7</v>
      </c>
      <c r="HK523" s="27" t="s">
        <v>8</v>
      </c>
      <c r="HL523" s="27" t="s">
        <v>7</v>
      </c>
      <c r="HM523" s="27" t="s">
        <v>8</v>
      </c>
      <c r="HN523" s="27" t="s">
        <v>7</v>
      </c>
      <c r="HO523" s="27" t="s">
        <v>8</v>
      </c>
      <c r="HR523" s="27" t="s">
        <v>7</v>
      </c>
      <c r="HT523" s="27" t="s">
        <v>7</v>
      </c>
      <c r="HU523" s="27" t="s">
        <v>8</v>
      </c>
    </row>
    <row r="524" spans="1:244" x14ac:dyDescent="0.25">
      <c r="A524" s="7">
        <v>3.4818561208596837</v>
      </c>
      <c r="B524"/>
      <c r="C524"/>
      <c r="D524"/>
      <c r="E524"/>
      <c r="CG524" s="27" t="s">
        <v>8</v>
      </c>
      <c r="CH524" s="27" t="s">
        <v>7</v>
      </c>
      <c r="CI524" s="27" t="s">
        <v>8</v>
      </c>
      <c r="CJ524" s="27" t="s">
        <v>7</v>
      </c>
      <c r="CK524" s="27" t="s">
        <v>8</v>
      </c>
      <c r="CL524" s="27" t="s">
        <v>7</v>
      </c>
      <c r="CM524" s="27" t="s">
        <v>8</v>
      </c>
      <c r="CN524" s="27" t="s">
        <v>7</v>
      </c>
      <c r="GA524" s="27" t="s">
        <v>8</v>
      </c>
      <c r="GC524" s="27" t="s">
        <v>8</v>
      </c>
      <c r="GL524" s="27" t="s">
        <v>7</v>
      </c>
      <c r="GM524" s="27" t="s">
        <v>8</v>
      </c>
      <c r="GR524" s="27" t="s">
        <v>7</v>
      </c>
      <c r="HG524" s="27" t="s">
        <v>8</v>
      </c>
      <c r="HH524" s="27" t="s">
        <v>7</v>
      </c>
      <c r="HK524" s="27" t="s">
        <v>8</v>
      </c>
      <c r="HL524" s="27" t="s">
        <v>7</v>
      </c>
      <c r="HM524" s="27" t="s">
        <v>8</v>
      </c>
      <c r="HN524" s="27" t="s">
        <v>7</v>
      </c>
      <c r="HT524" s="27" t="s">
        <v>7</v>
      </c>
      <c r="HU524" s="27" t="s">
        <v>8</v>
      </c>
    </row>
    <row r="525" spans="1:244" x14ac:dyDescent="0.25">
      <c r="A525" s="7">
        <v>3.4135844322153761</v>
      </c>
      <c r="B525"/>
      <c r="C525"/>
      <c r="D525"/>
      <c r="E525"/>
      <c r="CG525" s="27" t="s">
        <v>8</v>
      </c>
      <c r="CH525" s="27" t="s">
        <v>7</v>
      </c>
      <c r="CI525" s="27" t="s">
        <v>8</v>
      </c>
      <c r="CJ525" s="27" t="s">
        <v>7</v>
      </c>
      <c r="CK525" s="27" t="s">
        <v>8</v>
      </c>
      <c r="CL525" s="27" t="s">
        <v>7</v>
      </c>
      <c r="CM525" s="27" t="s">
        <v>8</v>
      </c>
      <c r="CN525" s="27" t="s">
        <v>7</v>
      </c>
      <c r="GA525" s="27" t="s">
        <v>8</v>
      </c>
      <c r="GB525" s="27" t="s">
        <v>7</v>
      </c>
      <c r="GC525" s="27" t="s">
        <v>8</v>
      </c>
      <c r="GL525" s="27" t="s">
        <v>7</v>
      </c>
      <c r="GM525" s="27" t="s">
        <v>8</v>
      </c>
      <c r="GR525" s="27" t="s">
        <v>7</v>
      </c>
      <c r="HE525" s="27" t="s">
        <v>8</v>
      </c>
      <c r="HG525" s="27" t="s">
        <v>8</v>
      </c>
      <c r="HH525" s="27" t="s">
        <v>7</v>
      </c>
      <c r="HI525" s="27" t="s">
        <v>8</v>
      </c>
      <c r="HK525" s="27" t="s">
        <v>8</v>
      </c>
      <c r="HL525" s="27" t="s">
        <v>7</v>
      </c>
      <c r="HT525" s="27" t="s">
        <v>7</v>
      </c>
      <c r="HU525" s="27" t="s">
        <v>8</v>
      </c>
    </row>
    <row r="526" spans="1:244" x14ac:dyDescent="0.25">
      <c r="A526" s="7">
        <v>3.3466514041327216</v>
      </c>
      <c r="B526"/>
      <c r="C526"/>
      <c r="D526"/>
      <c r="E526"/>
      <c r="CG526" s="27" t="s">
        <v>8</v>
      </c>
      <c r="CH526" s="27" t="s">
        <v>7</v>
      </c>
      <c r="CI526" s="27" t="s">
        <v>8</v>
      </c>
      <c r="CJ526" s="27" t="s">
        <v>7</v>
      </c>
      <c r="CK526" s="27" t="s">
        <v>8</v>
      </c>
      <c r="CL526" s="27" t="s">
        <v>7</v>
      </c>
      <c r="CM526" s="27" t="s">
        <v>8</v>
      </c>
      <c r="CN526" s="27" t="s">
        <v>7</v>
      </c>
      <c r="GA526" s="27" t="s">
        <v>8</v>
      </c>
      <c r="GB526" s="27" t="s">
        <v>7</v>
      </c>
      <c r="GC526" s="27" t="s">
        <v>8</v>
      </c>
      <c r="GL526" s="27" t="s">
        <v>7</v>
      </c>
      <c r="GR526" s="27" t="s">
        <v>7</v>
      </c>
      <c r="HE526" s="27" t="s">
        <v>8</v>
      </c>
      <c r="HF526" s="27" t="s">
        <v>7</v>
      </c>
      <c r="HG526" s="27" t="s">
        <v>8</v>
      </c>
      <c r="HH526" s="27" t="s">
        <v>7</v>
      </c>
      <c r="HI526" s="27" t="s">
        <v>8</v>
      </c>
      <c r="HJ526" s="27" t="s">
        <v>7</v>
      </c>
      <c r="HK526" s="27" t="s">
        <v>8</v>
      </c>
      <c r="HT526" s="27" t="s">
        <v>7</v>
      </c>
    </row>
    <row r="527" spans="1:244" x14ac:dyDescent="0.25">
      <c r="A527" s="7">
        <v>3.2810307883654133</v>
      </c>
      <c r="B527"/>
      <c r="C527"/>
      <c r="D527"/>
      <c r="E527"/>
      <c r="CG527" s="27" t="s">
        <v>8</v>
      </c>
      <c r="CH527" s="27" t="s">
        <v>7</v>
      </c>
      <c r="CI527" s="27" t="s">
        <v>8</v>
      </c>
      <c r="CJ527" s="27" t="s">
        <v>7</v>
      </c>
      <c r="CK527" s="27" t="s">
        <v>8</v>
      </c>
      <c r="CL527" s="27" t="s">
        <v>7</v>
      </c>
      <c r="CN527" s="27" t="s">
        <v>7</v>
      </c>
      <c r="CO527" s="27" t="s">
        <v>8</v>
      </c>
      <c r="GA527" s="27" t="s">
        <v>8</v>
      </c>
      <c r="GB527" s="27" t="s">
        <v>7</v>
      </c>
      <c r="GR527" s="27" t="s">
        <v>7</v>
      </c>
      <c r="HE527" s="27" t="s">
        <v>8</v>
      </c>
      <c r="HF527" s="27" t="s">
        <v>7</v>
      </c>
      <c r="HG527" s="27" t="s">
        <v>8</v>
      </c>
      <c r="HH527" s="27" t="s">
        <v>7</v>
      </c>
      <c r="HI527" s="27" t="s">
        <v>8</v>
      </c>
      <c r="HJ527" s="27" t="s">
        <v>7</v>
      </c>
      <c r="HK527" s="27" t="s">
        <v>8</v>
      </c>
    </row>
    <row r="528" spans="1:244" x14ac:dyDescent="0.25">
      <c r="A528" s="7">
        <v>3.2166968513386403</v>
      </c>
      <c r="B528"/>
      <c r="C528"/>
      <c r="D528"/>
      <c r="E528"/>
      <c r="CG528" s="27" t="s">
        <v>8</v>
      </c>
      <c r="CH528" s="27" t="s">
        <v>7</v>
      </c>
      <c r="CI528" s="27" t="s">
        <v>8</v>
      </c>
      <c r="CJ528" s="27" t="s">
        <v>7</v>
      </c>
      <c r="CN528" s="27" t="s">
        <v>7</v>
      </c>
      <c r="CO528" s="27" t="s">
        <v>8</v>
      </c>
      <c r="CP528" s="27" t="s">
        <v>7</v>
      </c>
      <c r="GA528" s="27" t="s">
        <v>8</v>
      </c>
      <c r="GR528" s="27" t="s">
        <v>7</v>
      </c>
      <c r="HE528" s="27" t="s">
        <v>8</v>
      </c>
      <c r="HF528" s="27" t="s">
        <v>7</v>
      </c>
      <c r="HG528" s="27" t="s">
        <v>8</v>
      </c>
      <c r="HH528" s="27" t="s">
        <v>7</v>
      </c>
      <c r="HJ528" s="27" t="s">
        <v>7</v>
      </c>
      <c r="HK528" s="27" t="s">
        <v>8</v>
      </c>
    </row>
    <row r="529" spans="1:219" x14ac:dyDescent="0.25">
      <c r="A529" s="7">
        <v>3.1536243640574906</v>
      </c>
      <c r="B529"/>
      <c r="C529"/>
      <c r="D529"/>
      <c r="E529"/>
      <c r="CG529" s="27" t="s">
        <v>8</v>
      </c>
      <c r="CH529" s="27" t="s">
        <v>7</v>
      </c>
      <c r="CI529" s="27" t="s">
        <v>8</v>
      </c>
      <c r="CN529" s="27" t="s">
        <v>7</v>
      </c>
      <c r="CO529" s="27" t="s">
        <v>8</v>
      </c>
      <c r="CP529" s="27" t="s">
        <v>7</v>
      </c>
      <c r="EU529" s="27" t="s">
        <v>8</v>
      </c>
      <c r="GA529" s="27" t="s">
        <v>8</v>
      </c>
      <c r="GR529" s="27" t="s">
        <v>7</v>
      </c>
      <c r="HE529" s="27" t="s">
        <v>8</v>
      </c>
      <c r="HF529" s="27" t="s">
        <v>7</v>
      </c>
      <c r="HG529" s="27" t="s">
        <v>8</v>
      </c>
      <c r="HJ529" s="27" t="s">
        <v>7</v>
      </c>
      <c r="HK529" s="27" t="s">
        <v>8</v>
      </c>
    </row>
    <row r="530" spans="1:219" x14ac:dyDescent="0.25">
      <c r="A530" s="7">
        <v>3.0917885922132262</v>
      </c>
      <c r="B530"/>
      <c r="C530"/>
      <c r="D530"/>
      <c r="E530"/>
      <c r="CG530" s="27" t="s">
        <v>8</v>
      </c>
      <c r="CH530" s="27" t="s">
        <v>7</v>
      </c>
      <c r="CI530" s="27" t="s">
        <v>8</v>
      </c>
      <c r="CN530" s="27" t="s">
        <v>7</v>
      </c>
      <c r="CO530" s="27" t="s">
        <v>8</v>
      </c>
      <c r="CP530" s="27" t="s">
        <v>7</v>
      </c>
      <c r="EU530" s="27" t="s">
        <v>8</v>
      </c>
      <c r="EV530" s="27" t="s">
        <v>7</v>
      </c>
      <c r="GA530" s="27" t="s">
        <v>8</v>
      </c>
      <c r="GR530" s="27" t="s">
        <v>7</v>
      </c>
      <c r="HE530" s="27" t="s">
        <v>8</v>
      </c>
      <c r="HF530" s="27" t="s">
        <v>7</v>
      </c>
      <c r="HG530" s="27" t="s">
        <v>8</v>
      </c>
      <c r="HJ530" s="27" t="s">
        <v>7</v>
      </c>
      <c r="HK530" s="27" t="s">
        <v>8</v>
      </c>
    </row>
    <row r="531" spans="1:219" x14ac:dyDescent="0.25">
      <c r="A531" s="7">
        <v>3.0311652864835552</v>
      </c>
      <c r="B531"/>
      <c r="C531"/>
      <c r="D531"/>
      <c r="E531"/>
      <c r="CG531" s="27" t="s">
        <v>8</v>
      </c>
      <c r="CH531" s="27" t="s">
        <v>7</v>
      </c>
      <c r="CI531" s="27" t="s">
        <v>8</v>
      </c>
      <c r="CN531" s="27" t="s">
        <v>7</v>
      </c>
      <c r="CO531" s="27" t="s">
        <v>8</v>
      </c>
      <c r="CP531" s="27" t="s">
        <v>7</v>
      </c>
      <c r="EU531" s="27" t="s">
        <v>8</v>
      </c>
      <c r="EV531" s="27" t="s">
        <v>7</v>
      </c>
      <c r="EW531" s="27" t="s">
        <v>8</v>
      </c>
      <c r="GA531" s="27" t="s">
        <v>8</v>
      </c>
      <c r="GR531" s="27" t="s">
        <v>7</v>
      </c>
      <c r="HE531" s="27" t="s">
        <v>8</v>
      </c>
      <c r="HF531" s="27" t="s">
        <v>7</v>
      </c>
      <c r="HG531" s="27" t="s">
        <v>8</v>
      </c>
      <c r="HJ531" s="27" t="s">
        <v>7</v>
      </c>
    </row>
    <row r="532" spans="1:219" x14ac:dyDescent="0.25">
      <c r="A532" s="7">
        <v>2.9717306730230932</v>
      </c>
      <c r="B532"/>
      <c r="C532"/>
      <c r="D532"/>
      <c r="E532"/>
      <c r="CG532" s="27" t="s">
        <v>8</v>
      </c>
      <c r="CH532" s="27" t="s">
        <v>7</v>
      </c>
      <c r="CN532" s="27" t="s">
        <v>7</v>
      </c>
      <c r="CO532" s="27" t="s">
        <v>8</v>
      </c>
      <c r="CP532" s="27" t="s">
        <v>7</v>
      </c>
      <c r="EO532" s="27" t="s">
        <v>8</v>
      </c>
      <c r="EU532" s="27" t="s">
        <v>8</v>
      </c>
      <c r="EV532" s="27" t="s">
        <v>7</v>
      </c>
      <c r="EW532" s="27" t="s">
        <v>8</v>
      </c>
      <c r="EX532" s="27" t="s">
        <v>7</v>
      </c>
      <c r="GA532" s="27" t="s">
        <v>8</v>
      </c>
      <c r="GR532" s="27" t="s">
        <v>7</v>
      </c>
      <c r="HE532" s="27" t="s">
        <v>8</v>
      </c>
      <c r="HF532" s="27" t="s">
        <v>7</v>
      </c>
    </row>
    <row r="533" spans="1:219" x14ac:dyDescent="0.25">
      <c r="A533" s="7">
        <v>2.9134614441402875</v>
      </c>
      <c r="B533"/>
      <c r="C533"/>
      <c r="D533"/>
      <c r="E533"/>
      <c r="CG533" s="27" t="s">
        <v>8</v>
      </c>
      <c r="CN533" s="27" t="s">
        <v>7</v>
      </c>
      <c r="CO533" s="27" t="s">
        <v>8</v>
      </c>
      <c r="CP533" s="27" t="s">
        <v>7</v>
      </c>
      <c r="EE533" s="27" t="s">
        <v>8</v>
      </c>
      <c r="EO533" s="27" t="s">
        <v>8</v>
      </c>
      <c r="EP533" s="27" t="s">
        <v>7</v>
      </c>
      <c r="EU533" s="27" t="s">
        <v>8</v>
      </c>
      <c r="EV533" s="27" t="s">
        <v>7</v>
      </c>
      <c r="EW533" s="27" t="s">
        <v>8</v>
      </c>
      <c r="EX533" s="27" t="s">
        <v>7</v>
      </c>
      <c r="FY533" s="27" t="s">
        <v>8</v>
      </c>
      <c r="GA533" s="27" t="s">
        <v>8</v>
      </c>
      <c r="GR533" s="27" t="s">
        <v>7</v>
      </c>
      <c r="HE533" s="27" t="s">
        <v>8</v>
      </c>
    </row>
    <row r="534" spans="1:219" x14ac:dyDescent="0.25">
      <c r="A534" s="7">
        <v>2.8563347491571447</v>
      </c>
      <c r="B534"/>
      <c r="C534"/>
      <c r="D534"/>
      <c r="E534"/>
      <c r="CG534" s="27" t="s">
        <v>8</v>
      </c>
      <c r="CN534" s="27" t="s">
        <v>7</v>
      </c>
      <c r="CO534" s="27" t="s">
        <v>8</v>
      </c>
      <c r="CP534" s="27" t="s">
        <v>7</v>
      </c>
      <c r="EE534" s="27" t="s">
        <v>8</v>
      </c>
      <c r="EF534" s="27" t="s">
        <v>7</v>
      </c>
      <c r="EO534" s="27" t="s">
        <v>8</v>
      </c>
      <c r="EP534" s="27" t="s">
        <v>7</v>
      </c>
      <c r="EQ534" s="27" t="s">
        <v>8</v>
      </c>
      <c r="EU534" s="27" t="s">
        <v>8</v>
      </c>
      <c r="EV534" s="27" t="s">
        <v>7</v>
      </c>
      <c r="EW534" s="27" t="s">
        <v>8</v>
      </c>
      <c r="EX534" s="27" t="s">
        <v>7</v>
      </c>
      <c r="FU534" s="27" t="s">
        <v>8</v>
      </c>
      <c r="FY534" s="27" t="s">
        <v>8</v>
      </c>
      <c r="FZ534" s="27" t="s">
        <v>7</v>
      </c>
      <c r="GA534" s="27" t="s">
        <v>8</v>
      </c>
      <c r="GR534" s="27" t="s">
        <v>7</v>
      </c>
      <c r="HE534" s="27" t="s">
        <v>8</v>
      </c>
    </row>
    <row r="535" spans="1:219" x14ac:dyDescent="0.25">
      <c r="A535" s="7">
        <v>2.8003281854481812</v>
      </c>
      <c r="B535"/>
      <c r="C535"/>
      <c r="D535"/>
      <c r="E535"/>
      <c r="CG535" s="27" t="s">
        <v>8</v>
      </c>
      <c r="CN535" s="27" t="s">
        <v>7</v>
      </c>
      <c r="CO535" s="27" t="s">
        <v>8</v>
      </c>
      <c r="CP535" s="27" t="s">
        <v>7</v>
      </c>
      <c r="CQ535" s="27" t="s">
        <v>8</v>
      </c>
      <c r="EE535" s="27" t="s">
        <v>8</v>
      </c>
      <c r="EF535" s="27" t="s">
        <v>7</v>
      </c>
      <c r="EM535" s="27" t="s">
        <v>8</v>
      </c>
      <c r="EO535" s="27" t="s">
        <v>8</v>
      </c>
      <c r="EP535" s="27" t="s">
        <v>7</v>
      </c>
      <c r="EQ535" s="27" t="s">
        <v>8</v>
      </c>
      <c r="ER535" s="27" t="s">
        <v>7</v>
      </c>
      <c r="ES535" s="27" t="s">
        <v>8</v>
      </c>
      <c r="EU535" s="27" t="s">
        <v>8</v>
      </c>
      <c r="EV535" s="27" t="s">
        <v>7</v>
      </c>
      <c r="EX535" s="27" t="s">
        <v>7</v>
      </c>
      <c r="FU535" s="27" t="s">
        <v>8</v>
      </c>
      <c r="FV535" s="27" t="s">
        <v>7</v>
      </c>
      <c r="FW535" s="27" t="s">
        <v>8</v>
      </c>
      <c r="FY535" s="27" t="s">
        <v>8</v>
      </c>
      <c r="FZ535" s="27" t="s">
        <v>7</v>
      </c>
      <c r="GA535" s="27" t="s">
        <v>8</v>
      </c>
      <c r="GR535" s="27" t="s">
        <v>7</v>
      </c>
      <c r="HE535" s="27" t="s">
        <v>8</v>
      </c>
    </row>
    <row r="536" spans="1:219" x14ac:dyDescent="0.25">
      <c r="A536" s="7">
        <v>2.7454197896550796</v>
      </c>
      <c r="B536"/>
      <c r="C536"/>
      <c r="D536"/>
      <c r="E536"/>
      <c r="CG536" s="27" t="s">
        <v>8</v>
      </c>
      <c r="CN536" s="27" t="s">
        <v>7</v>
      </c>
      <c r="CO536" s="27" t="s">
        <v>8</v>
      </c>
      <c r="CP536" s="27" t="s">
        <v>7</v>
      </c>
      <c r="CQ536" s="27" t="s">
        <v>8</v>
      </c>
      <c r="CR536" s="27" t="s">
        <v>7</v>
      </c>
      <c r="EE536" s="27" t="s">
        <v>8</v>
      </c>
      <c r="EF536" s="27" t="s">
        <v>7</v>
      </c>
      <c r="EG536" s="27" t="s">
        <v>8</v>
      </c>
      <c r="EM536" s="27" t="s">
        <v>8</v>
      </c>
      <c r="EN536" s="27" t="s">
        <v>7</v>
      </c>
      <c r="EO536" s="27" t="s">
        <v>8</v>
      </c>
      <c r="EP536" s="27" t="s">
        <v>7</v>
      </c>
      <c r="EQ536" s="27" t="s">
        <v>8</v>
      </c>
      <c r="ER536" s="27" t="s">
        <v>7</v>
      </c>
      <c r="ES536" s="27" t="s">
        <v>8</v>
      </c>
      <c r="ET536" s="27" t="s">
        <v>7</v>
      </c>
      <c r="EU536" s="27" t="s">
        <v>8</v>
      </c>
      <c r="EX536" s="27" t="s">
        <v>7</v>
      </c>
      <c r="EY536" s="27" t="s">
        <v>8</v>
      </c>
      <c r="FU536" s="27" t="s">
        <v>8</v>
      </c>
      <c r="FV536" s="27" t="s">
        <v>7</v>
      </c>
      <c r="FW536" s="27" t="s">
        <v>8</v>
      </c>
      <c r="FX536" s="27" t="s">
        <v>7</v>
      </c>
      <c r="FY536" s="27" t="s">
        <v>8</v>
      </c>
      <c r="FZ536" s="27" t="s">
        <v>7</v>
      </c>
      <c r="GA536" s="27" t="s">
        <v>8</v>
      </c>
      <c r="GR536" s="27" t="s">
        <v>7</v>
      </c>
      <c r="GS536" s="27" t="s">
        <v>8</v>
      </c>
      <c r="HE536" s="27" t="s">
        <v>8</v>
      </c>
    </row>
    <row r="537" spans="1:219" x14ac:dyDescent="0.25">
      <c r="A537" s="7">
        <v>2.6915880290736074</v>
      </c>
      <c r="B537"/>
      <c r="C537"/>
      <c r="D537"/>
      <c r="E537"/>
      <c r="CG537" s="27" t="s">
        <v>8</v>
      </c>
      <c r="CN537" s="27" t="s">
        <v>7</v>
      </c>
      <c r="CO537" s="27" t="s">
        <v>8</v>
      </c>
      <c r="CP537" s="27" t="s">
        <v>7</v>
      </c>
      <c r="CQ537" s="27" t="s">
        <v>8</v>
      </c>
      <c r="CR537" s="27" t="s">
        <v>7</v>
      </c>
      <c r="CS537" s="27" t="s">
        <v>8</v>
      </c>
      <c r="CW537" s="27" t="s">
        <v>8</v>
      </c>
      <c r="EE537" s="27" t="s">
        <v>8</v>
      </c>
      <c r="EF537" s="27" t="s">
        <v>7</v>
      </c>
      <c r="EG537" s="27" t="s">
        <v>8</v>
      </c>
      <c r="EH537" s="27" t="s">
        <v>7</v>
      </c>
      <c r="EM537" s="27" t="s">
        <v>8</v>
      </c>
      <c r="EN537" s="27" t="s">
        <v>7</v>
      </c>
      <c r="EO537" s="27" t="s">
        <v>8</v>
      </c>
      <c r="EP537" s="27" t="s">
        <v>7</v>
      </c>
      <c r="ER537" s="27" t="s">
        <v>7</v>
      </c>
      <c r="ES537" s="27" t="s">
        <v>8</v>
      </c>
      <c r="ET537" s="27" t="s">
        <v>7</v>
      </c>
      <c r="EU537" s="27" t="s">
        <v>8</v>
      </c>
      <c r="EX537" s="27" t="s">
        <v>7</v>
      </c>
      <c r="EY537" s="27" t="s">
        <v>8</v>
      </c>
      <c r="EZ537" s="27" t="s">
        <v>7</v>
      </c>
      <c r="FU537" s="27" t="s">
        <v>8</v>
      </c>
      <c r="FV537" s="27" t="s">
        <v>7</v>
      </c>
      <c r="FW537" s="27" t="s">
        <v>8</v>
      </c>
      <c r="FX537" s="27" t="s">
        <v>7</v>
      </c>
      <c r="FY537" s="27" t="s">
        <v>8</v>
      </c>
      <c r="FZ537" s="27" t="s">
        <v>7</v>
      </c>
      <c r="GR537" s="27" t="s">
        <v>7</v>
      </c>
      <c r="GS537" s="27" t="s">
        <v>8</v>
      </c>
      <c r="GT537" s="27" t="s">
        <v>7</v>
      </c>
      <c r="HE537" s="27" t="s">
        <v>8</v>
      </c>
    </row>
    <row r="538" spans="1:219" x14ac:dyDescent="0.25">
      <c r="A538" s="7">
        <v>2.6388117932094191</v>
      </c>
      <c r="B538"/>
      <c r="C538"/>
      <c r="D538"/>
      <c r="E538"/>
      <c r="CG538" s="27" t="s">
        <v>8</v>
      </c>
      <c r="CN538" s="27" t="s">
        <v>7</v>
      </c>
      <c r="CP538" s="27" t="s">
        <v>7</v>
      </c>
      <c r="CQ538" s="27" t="s">
        <v>8</v>
      </c>
      <c r="CR538" s="27" t="s">
        <v>7</v>
      </c>
      <c r="CS538" s="27" t="s">
        <v>8</v>
      </c>
      <c r="CT538" s="27" t="s">
        <v>7</v>
      </c>
      <c r="CW538" s="27" t="s">
        <v>8</v>
      </c>
      <c r="CX538" s="27" t="s">
        <v>7</v>
      </c>
      <c r="CY538" s="27" t="s">
        <v>8</v>
      </c>
      <c r="EE538" s="27" t="s">
        <v>8</v>
      </c>
      <c r="EF538" s="27" t="s">
        <v>7</v>
      </c>
      <c r="EG538" s="27" t="s">
        <v>8</v>
      </c>
      <c r="EH538" s="27" t="s">
        <v>7</v>
      </c>
      <c r="EI538" s="27" t="s">
        <v>8</v>
      </c>
      <c r="EM538" s="27" t="s">
        <v>8</v>
      </c>
      <c r="EN538" s="27" t="s">
        <v>7</v>
      </c>
      <c r="EO538" s="27" t="s">
        <v>8</v>
      </c>
      <c r="ER538" s="27" t="s">
        <v>7</v>
      </c>
      <c r="ES538" s="27" t="s">
        <v>8</v>
      </c>
      <c r="ET538" s="27" t="s">
        <v>7</v>
      </c>
      <c r="EX538" s="27" t="s">
        <v>7</v>
      </c>
      <c r="EY538" s="27" t="s">
        <v>8</v>
      </c>
      <c r="EZ538" s="27" t="s">
        <v>7</v>
      </c>
      <c r="FU538" s="27" t="s">
        <v>8</v>
      </c>
      <c r="FV538" s="27" t="s">
        <v>7</v>
      </c>
      <c r="FW538" s="27" t="s">
        <v>8</v>
      </c>
      <c r="FX538" s="27" t="s">
        <v>7</v>
      </c>
      <c r="FY538" s="27" t="s">
        <v>8</v>
      </c>
      <c r="GR538" s="27" t="s">
        <v>7</v>
      </c>
      <c r="GS538" s="27" t="s">
        <v>8</v>
      </c>
      <c r="GT538" s="27" t="s">
        <v>7</v>
      </c>
      <c r="HE538" s="27" t="s">
        <v>8</v>
      </c>
    </row>
    <row r="539" spans="1:219" x14ac:dyDescent="0.25">
      <c r="A539" s="7">
        <v>2.5870703854994304</v>
      </c>
      <c r="B539"/>
      <c r="C539"/>
      <c r="D539"/>
      <c r="E539"/>
      <c r="CG539" s="27" t="s">
        <v>8</v>
      </c>
      <c r="CP539" s="27" t="s">
        <v>7</v>
      </c>
      <c r="CQ539" s="27" t="s">
        <v>8</v>
      </c>
      <c r="CR539" s="27" t="s">
        <v>7</v>
      </c>
      <c r="CS539" s="27" t="s">
        <v>8</v>
      </c>
      <c r="CT539" s="27" t="s">
        <v>7</v>
      </c>
      <c r="CW539" s="27" t="s">
        <v>8</v>
      </c>
      <c r="CX539" s="27" t="s">
        <v>7</v>
      </c>
      <c r="CY539" s="27" t="s">
        <v>8</v>
      </c>
      <c r="CZ539" s="27" t="s">
        <v>7</v>
      </c>
      <c r="DG539" s="27" t="s">
        <v>8</v>
      </c>
      <c r="EE539" s="27" t="s">
        <v>8</v>
      </c>
      <c r="EF539" s="27" t="s">
        <v>7</v>
      </c>
      <c r="EG539" s="27" t="s">
        <v>8</v>
      </c>
      <c r="EH539" s="27" t="s">
        <v>7</v>
      </c>
      <c r="EI539" s="27" t="s">
        <v>8</v>
      </c>
      <c r="EJ539" s="27" t="s">
        <v>7</v>
      </c>
      <c r="EM539" s="27" t="s">
        <v>8</v>
      </c>
      <c r="EN539" s="27" t="s">
        <v>7</v>
      </c>
      <c r="EO539" s="27" t="s">
        <v>8</v>
      </c>
      <c r="ER539" s="27" t="s">
        <v>7</v>
      </c>
      <c r="ES539" s="27" t="s">
        <v>8</v>
      </c>
      <c r="EX539" s="27" t="s">
        <v>7</v>
      </c>
      <c r="EZ539" s="27" t="s">
        <v>7</v>
      </c>
      <c r="FU539" s="27" t="s">
        <v>8</v>
      </c>
      <c r="FV539" s="27" t="s">
        <v>7</v>
      </c>
      <c r="FX539" s="27" t="s">
        <v>7</v>
      </c>
      <c r="FY539" s="27" t="s">
        <v>8</v>
      </c>
      <c r="GR539" s="27" t="s">
        <v>7</v>
      </c>
      <c r="GS539" s="27" t="s">
        <v>8</v>
      </c>
      <c r="GT539" s="27" t="s">
        <v>7</v>
      </c>
      <c r="GW539" s="27" t="s">
        <v>8</v>
      </c>
      <c r="HE539" s="27" t="s">
        <v>8</v>
      </c>
    </row>
    <row r="540" spans="1:219" x14ac:dyDescent="0.25">
      <c r="A540" s="7">
        <v>2.53634351519552</v>
      </c>
      <c r="B540"/>
      <c r="C540"/>
      <c r="D540"/>
      <c r="E540"/>
      <c r="CG540" s="27" t="s">
        <v>8</v>
      </c>
      <c r="CP540" s="27" t="s">
        <v>7</v>
      </c>
      <c r="CQ540" s="27" t="s">
        <v>8</v>
      </c>
      <c r="CR540" s="27" t="s">
        <v>7</v>
      </c>
      <c r="CT540" s="27" t="s">
        <v>7</v>
      </c>
      <c r="CW540" s="27" t="s">
        <v>8</v>
      </c>
      <c r="CX540" s="27" t="s">
        <v>7</v>
      </c>
      <c r="CY540" s="27" t="s">
        <v>8</v>
      </c>
      <c r="CZ540" s="27" t="s">
        <v>7</v>
      </c>
      <c r="DG540" s="27" t="s">
        <v>8</v>
      </c>
      <c r="DH540" s="27" t="s">
        <v>7</v>
      </c>
      <c r="EE540" s="27" t="s">
        <v>8</v>
      </c>
      <c r="EF540" s="27" t="s">
        <v>7</v>
      </c>
      <c r="EG540" s="27" t="s">
        <v>8</v>
      </c>
      <c r="EH540" s="27" t="s">
        <v>7</v>
      </c>
      <c r="EI540" s="27" t="s">
        <v>8</v>
      </c>
      <c r="EJ540" s="27" t="s">
        <v>7</v>
      </c>
      <c r="EM540" s="27" t="s">
        <v>8</v>
      </c>
      <c r="EN540" s="27" t="s">
        <v>7</v>
      </c>
      <c r="EO540" s="27" t="s">
        <v>8</v>
      </c>
      <c r="ER540" s="27" t="s">
        <v>7</v>
      </c>
      <c r="EZ540" s="27" t="s">
        <v>7</v>
      </c>
      <c r="FS540" s="27" t="s">
        <v>8</v>
      </c>
      <c r="FU540" s="27" t="s">
        <v>8</v>
      </c>
      <c r="FX540" s="27" t="s">
        <v>7</v>
      </c>
      <c r="FY540" s="27" t="s">
        <v>8</v>
      </c>
      <c r="GR540" s="27" t="s">
        <v>7</v>
      </c>
      <c r="GS540" s="27" t="s">
        <v>8</v>
      </c>
      <c r="GT540" s="27" t="s">
        <v>7</v>
      </c>
      <c r="GW540" s="27" t="s">
        <v>8</v>
      </c>
      <c r="GX540" s="27" t="s">
        <v>7</v>
      </c>
      <c r="HE540" s="27" t="s">
        <v>8</v>
      </c>
    </row>
    <row r="541" spans="1:219" x14ac:dyDescent="0.25">
      <c r="A541" s="7">
        <v>2.4866112894073726</v>
      </c>
      <c r="B541"/>
      <c r="C541"/>
      <c r="D541"/>
      <c r="E541"/>
      <c r="CG541" s="27" t="s">
        <v>8</v>
      </c>
      <c r="CP541" s="27" t="s">
        <v>7</v>
      </c>
      <c r="CQ541" s="27" t="s">
        <v>8</v>
      </c>
      <c r="CT541" s="27" t="s">
        <v>7</v>
      </c>
      <c r="CU541" s="27" t="s">
        <v>8</v>
      </c>
      <c r="CW541" s="27" t="s">
        <v>8</v>
      </c>
      <c r="CX541" s="27" t="s">
        <v>7</v>
      </c>
      <c r="CY541" s="27" t="s">
        <v>8</v>
      </c>
      <c r="CZ541" s="27" t="s">
        <v>7</v>
      </c>
      <c r="DA541" s="27" t="s">
        <v>8</v>
      </c>
      <c r="DC541" s="27" t="s">
        <v>8</v>
      </c>
      <c r="DG541" s="27" t="s">
        <v>8</v>
      </c>
      <c r="DH541" s="27" t="s">
        <v>7</v>
      </c>
      <c r="EE541" s="27" t="s">
        <v>8</v>
      </c>
      <c r="EF541" s="27" t="s">
        <v>7</v>
      </c>
      <c r="EH541" s="27" t="s">
        <v>7</v>
      </c>
      <c r="EI541" s="27" t="s">
        <v>8</v>
      </c>
      <c r="EJ541" s="27" t="s">
        <v>7</v>
      </c>
      <c r="EK541" s="27" t="s">
        <v>8</v>
      </c>
      <c r="EM541" s="27" t="s">
        <v>8</v>
      </c>
      <c r="EN541" s="27" t="s">
        <v>7</v>
      </c>
      <c r="EO541" s="27" t="s">
        <v>8</v>
      </c>
      <c r="EZ541" s="27" t="s">
        <v>7</v>
      </c>
      <c r="FS541" s="27" t="s">
        <v>8</v>
      </c>
      <c r="FT541" s="27" t="s">
        <v>7</v>
      </c>
      <c r="FU541" s="27" t="s">
        <v>8</v>
      </c>
      <c r="FX541" s="27" t="s">
        <v>7</v>
      </c>
      <c r="FY541" s="27" t="s">
        <v>8</v>
      </c>
      <c r="GR541" s="27" t="s">
        <v>7</v>
      </c>
      <c r="GS541" s="27" t="s">
        <v>8</v>
      </c>
      <c r="GT541" s="27" t="s">
        <v>7</v>
      </c>
      <c r="GW541" s="27" t="s">
        <v>8</v>
      </c>
      <c r="GX541" s="27" t="s">
        <v>7</v>
      </c>
      <c r="HE541" s="27" t="s">
        <v>8</v>
      </c>
    </row>
    <row r="542" spans="1:219" x14ac:dyDescent="0.25">
      <c r="A542" s="7">
        <v>2.4378542053013459</v>
      </c>
      <c r="B542"/>
      <c r="C542"/>
      <c r="D542"/>
      <c r="E542"/>
      <c r="CG542" s="27" t="s">
        <v>8</v>
      </c>
      <c r="CP542" s="27" t="s">
        <v>7</v>
      </c>
      <c r="CQ542" s="27" t="s">
        <v>8</v>
      </c>
      <c r="CT542" s="27" t="s">
        <v>7</v>
      </c>
      <c r="CU542" s="27" t="s">
        <v>8</v>
      </c>
      <c r="CV542" s="27" t="s">
        <v>7</v>
      </c>
      <c r="CW542" s="27" t="s">
        <v>8</v>
      </c>
      <c r="CX542" s="27" t="s">
        <v>7</v>
      </c>
      <c r="CY542" s="27" t="s">
        <v>8</v>
      </c>
      <c r="CZ542" s="27" t="s">
        <v>7</v>
      </c>
      <c r="DA542" s="27" t="s">
        <v>8</v>
      </c>
      <c r="DB542" s="27" t="s">
        <v>7</v>
      </c>
      <c r="DC542" s="27" t="s">
        <v>8</v>
      </c>
      <c r="DD542" s="27" t="s">
        <v>7</v>
      </c>
      <c r="DE542" s="27" t="s">
        <v>8</v>
      </c>
      <c r="DG542" s="27" t="s">
        <v>8</v>
      </c>
      <c r="DH542" s="27" t="s">
        <v>7</v>
      </c>
      <c r="EE542" s="27" t="s">
        <v>8</v>
      </c>
      <c r="EH542" s="27" t="s">
        <v>7</v>
      </c>
      <c r="EJ542" s="27" t="s">
        <v>7</v>
      </c>
      <c r="EK542" s="27" t="s">
        <v>8</v>
      </c>
      <c r="EL542" s="27" t="s">
        <v>7</v>
      </c>
      <c r="EM542" s="27" t="s">
        <v>8</v>
      </c>
      <c r="EN542" s="27" t="s">
        <v>7</v>
      </c>
      <c r="EO542" s="27" t="s">
        <v>8</v>
      </c>
      <c r="EZ542" s="27" t="s">
        <v>7</v>
      </c>
      <c r="FA542" s="27" t="s">
        <v>8</v>
      </c>
      <c r="FS542" s="27" t="s">
        <v>8</v>
      </c>
      <c r="FT542" s="27" t="s">
        <v>7</v>
      </c>
      <c r="FU542" s="27" t="s">
        <v>8</v>
      </c>
      <c r="FX542" s="27" t="s">
        <v>7</v>
      </c>
      <c r="FY542" s="27" t="s">
        <v>8</v>
      </c>
      <c r="GR542" s="27" t="s">
        <v>7</v>
      </c>
      <c r="GS542" s="27" t="s">
        <v>8</v>
      </c>
      <c r="GT542" s="27" t="s">
        <v>7</v>
      </c>
      <c r="GW542" s="27" t="s">
        <v>8</v>
      </c>
      <c r="GX542" s="27" t="s">
        <v>7</v>
      </c>
      <c r="HC542" s="27" t="s">
        <v>8</v>
      </c>
      <c r="HE542" s="27" t="s">
        <v>8</v>
      </c>
    </row>
    <row r="543" spans="1:219" x14ac:dyDescent="0.25">
      <c r="A543" s="7">
        <v>2.3900531424522997</v>
      </c>
      <c r="B543"/>
      <c r="C543"/>
      <c r="D543"/>
      <c r="E543"/>
      <c r="CG543" s="27" t="s">
        <v>8</v>
      </c>
      <c r="CP543" s="27" t="s">
        <v>7</v>
      </c>
      <c r="CQ543" s="27" t="s">
        <v>8</v>
      </c>
      <c r="CT543" s="27" t="s">
        <v>7</v>
      </c>
      <c r="CU543" s="27" t="s">
        <v>8</v>
      </c>
      <c r="CV543" s="27" t="s">
        <v>7</v>
      </c>
      <c r="CW543" s="27" t="s">
        <v>8</v>
      </c>
      <c r="CX543" s="27" t="s">
        <v>7</v>
      </c>
      <c r="CZ543" s="27" t="s">
        <v>7</v>
      </c>
      <c r="DA543" s="27" t="s">
        <v>8</v>
      </c>
      <c r="DB543" s="27" t="s">
        <v>7</v>
      </c>
      <c r="DC543" s="27" t="s">
        <v>8</v>
      </c>
      <c r="DD543" s="27" t="s">
        <v>7</v>
      </c>
      <c r="DE543" s="27" t="s">
        <v>8</v>
      </c>
      <c r="DF543" s="27" t="s">
        <v>7</v>
      </c>
      <c r="DG543" s="27" t="s">
        <v>8</v>
      </c>
      <c r="DH543" s="27" t="s">
        <v>7</v>
      </c>
      <c r="EE543" s="27" t="s">
        <v>8</v>
      </c>
      <c r="EJ543" s="27" t="s">
        <v>7</v>
      </c>
      <c r="EK543" s="27" t="s">
        <v>8</v>
      </c>
      <c r="EL543" s="27" t="s">
        <v>7</v>
      </c>
      <c r="EM543" s="27" t="s">
        <v>8</v>
      </c>
      <c r="EN543" s="27" t="s">
        <v>7</v>
      </c>
      <c r="EZ543" s="27" t="s">
        <v>7</v>
      </c>
      <c r="FA543" s="27" t="s">
        <v>8</v>
      </c>
      <c r="FB543" s="27" t="s">
        <v>7</v>
      </c>
      <c r="FS543" s="27" t="s">
        <v>8</v>
      </c>
      <c r="FT543" s="27" t="s">
        <v>7</v>
      </c>
      <c r="FU543" s="27" t="s">
        <v>8</v>
      </c>
      <c r="FX543" s="27" t="s">
        <v>7</v>
      </c>
      <c r="GR543" s="27" t="s">
        <v>7</v>
      </c>
      <c r="GS543" s="27" t="s">
        <v>8</v>
      </c>
      <c r="GT543" s="27" t="s">
        <v>7</v>
      </c>
      <c r="GW543" s="27" t="s">
        <v>8</v>
      </c>
      <c r="GX543" s="27" t="s">
        <v>7</v>
      </c>
      <c r="HC543" s="27" t="s">
        <v>8</v>
      </c>
      <c r="HD543" s="27" t="s">
        <v>7</v>
      </c>
      <c r="HE543" s="27" t="s">
        <v>8</v>
      </c>
    </row>
    <row r="544" spans="1:219" x14ac:dyDescent="0.25">
      <c r="A544" s="7">
        <v>2.343189355345392</v>
      </c>
      <c r="B544"/>
      <c r="C544"/>
      <c r="D544"/>
      <c r="E544"/>
      <c r="CG544" s="27" t="s">
        <v>8</v>
      </c>
      <c r="CP544" s="27" t="s">
        <v>7</v>
      </c>
      <c r="CQ544" s="27" t="s">
        <v>8</v>
      </c>
      <c r="CT544" s="27" t="s">
        <v>7</v>
      </c>
      <c r="CU544" s="27" t="s">
        <v>8</v>
      </c>
      <c r="CV544" s="27" t="s">
        <v>7</v>
      </c>
      <c r="CW544" s="27" t="s">
        <v>8</v>
      </c>
      <c r="CZ544" s="27" t="s">
        <v>7</v>
      </c>
      <c r="DB544" s="27" t="s">
        <v>7</v>
      </c>
      <c r="DC544" s="27" t="s">
        <v>8</v>
      </c>
      <c r="DD544" s="27" t="s">
        <v>7</v>
      </c>
      <c r="DE544" s="27" t="s">
        <v>8</v>
      </c>
      <c r="DF544" s="27" t="s">
        <v>7</v>
      </c>
      <c r="DG544" s="27" t="s">
        <v>8</v>
      </c>
      <c r="DH544" s="27" t="s">
        <v>7</v>
      </c>
      <c r="EE544" s="27" t="s">
        <v>8</v>
      </c>
      <c r="EJ544" s="27" t="s">
        <v>7</v>
      </c>
      <c r="EK544" s="27" t="s">
        <v>8</v>
      </c>
      <c r="EL544" s="27" t="s">
        <v>7</v>
      </c>
      <c r="EM544" s="27" t="s">
        <v>8</v>
      </c>
      <c r="EZ544" s="27" t="s">
        <v>7</v>
      </c>
      <c r="FA544" s="27" t="s">
        <v>8</v>
      </c>
      <c r="FB544" s="27" t="s">
        <v>7</v>
      </c>
      <c r="FC544" s="27" t="s">
        <v>8</v>
      </c>
      <c r="FE544" s="27" t="s">
        <v>8</v>
      </c>
      <c r="FO544" s="27" t="s">
        <v>8</v>
      </c>
      <c r="FQ544" s="27" t="s">
        <v>8</v>
      </c>
      <c r="FS544" s="27" t="s">
        <v>8</v>
      </c>
      <c r="FT544" s="27" t="s">
        <v>7</v>
      </c>
      <c r="FU544" s="27" t="s">
        <v>8</v>
      </c>
      <c r="GR544" s="27" t="s">
        <v>7</v>
      </c>
      <c r="GS544" s="27" t="s">
        <v>8</v>
      </c>
      <c r="GT544" s="27" t="s">
        <v>7</v>
      </c>
      <c r="GW544" s="27" t="s">
        <v>8</v>
      </c>
      <c r="GX544" s="27" t="s">
        <v>7</v>
      </c>
      <c r="GY544" s="27" t="s">
        <v>8</v>
      </c>
      <c r="HC544" s="27" t="s">
        <v>8</v>
      </c>
      <c r="HD544" s="27" t="s">
        <v>7</v>
      </c>
      <c r="HE544" s="27" t="s">
        <v>8</v>
      </c>
    </row>
    <row r="545" spans="1:213" x14ac:dyDescent="0.25">
      <c r="A545" s="7">
        <v>2.2972444660248938</v>
      </c>
      <c r="B545"/>
      <c r="C545"/>
      <c r="D545"/>
      <c r="E545"/>
      <c r="CG545" s="27" t="s">
        <v>8</v>
      </c>
      <c r="CP545" s="27" t="s">
        <v>7</v>
      </c>
      <c r="CQ545" s="27" t="s">
        <v>8</v>
      </c>
      <c r="CT545" s="27" t="s">
        <v>7</v>
      </c>
      <c r="CU545" s="27" t="s">
        <v>8</v>
      </c>
      <c r="CV545" s="27" t="s">
        <v>7</v>
      </c>
      <c r="CW545" s="27" t="s">
        <v>8</v>
      </c>
      <c r="DB545" s="27" t="s">
        <v>7</v>
      </c>
      <c r="DC545" s="27" t="s">
        <v>8</v>
      </c>
      <c r="DD545" s="27" t="s">
        <v>7</v>
      </c>
      <c r="DE545" s="27" t="s">
        <v>8</v>
      </c>
      <c r="DF545" s="27" t="s">
        <v>7</v>
      </c>
      <c r="DG545" s="27" t="s">
        <v>8</v>
      </c>
      <c r="DH545" s="27" t="s">
        <v>7</v>
      </c>
      <c r="EE545" s="27" t="s">
        <v>8</v>
      </c>
      <c r="EJ545" s="27" t="s">
        <v>7</v>
      </c>
      <c r="EK545" s="27" t="s">
        <v>8</v>
      </c>
      <c r="EL545" s="27" t="s">
        <v>7</v>
      </c>
      <c r="EZ545" s="27" t="s">
        <v>7</v>
      </c>
      <c r="FA545" s="27" t="s">
        <v>8</v>
      </c>
      <c r="FB545" s="27" t="s">
        <v>7</v>
      </c>
      <c r="FC545" s="27" t="s">
        <v>8</v>
      </c>
      <c r="FD545" s="27" t="s">
        <v>7</v>
      </c>
      <c r="FE545" s="27" t="s">
        <v>8</v>
      </c>
      <c r="FF545" s="27" t="s">
        <v>7</v>
      </c>
      <c r="FG545" s="27" t="s">
        <v>8</v>
      </c>
      <c r="FO545" s="27" t="s">
        <v>8</v>
      </c>
      <c r="FP545" s="27" t="s">
        <v>7</v>
      </c>
      <c r="FQ545" s="27" t="s">
        <v>8</v>
      </c>
      <c r="FR545" s="27" t="s">
        <v>7</v>
      </c>
      <c r="FS545" s="27" t="s">
        <v>8</v>
      </c>
      <c r="FT545" s="27" t="s">
        <v>7</v>
      </c>
      <c r="GR545" s="27" t="s">
        <v>7</v>
      </c>
      <c r="GS545" s="27" t="s">
        <v>8</v>
      </c>
      <c r="GT545" s="27" t="s">
        <v>7</v>
      </c>
      <c r="GW545" s="27" t="s">
        <v>8</v>
      </c>
      <c r="GX545" s="27" t="s">
        <v>7</v>
      </c>
      <c r="GY545" s="27" t="s">
        <v>8</v>
      </c>
      <c r="GZ545" s="27" t="s">
        <v>7</v>
      </c>
      <c r="HA545" s="27" t="s">
        <v>8</v>
      </c>
      <c r="HC545" s="27" t="s">
        <v>8</v>
      </c>
      <c r="HD545" s="27" t="s">
        <v>7</v>
      </c>
      <c r="HE545" s="27" t="s">
        <v>8</v>
      </c>
    </row>
    <row r="546" spans="1:213" x14ac:dyDescent="0.25">
      <c r="A546" s="7">
        <v>2.252200456887151</v>
      </c>
      <c r="B546"/>
      <c r="C546"/>
      <c r="D546"/>
      <c r="E546"/>
      <c r="CG546" s="27" t="s">
        <v>8</v>
      </c>
      <c r="CP546" s="27" t="s">
        <v>7</v>
      </c>
      <c r="CQ546" s="27" t="s">
        <v>8</v>
      </c>
      <c r="CT546" s="27" t="s">
        <v>7</v>
      </c>
      <c r="CV546" s="27" t="s">
        <v>7</v>
      </c>
      <c r="CW546" s="27" t="s">
        <v>8</v>
      </c>
      <c r="DB546" s="27" t="s">
        <v>7</v>
      </c>
      <c r="DC546" s="27" t="s">
        <v>8</v>
      </c>
      <c r="DD546" s="27" t="s">
        <v>7</v>
      </c>
      <c r="DE546" s="27" t="s">
        <v>8</v>
      </c>
      <c r="DF546" s="27" t="s">
        <v>7</v>
      </c>
      <c r="DH546" s="27" t="s">
        <v>7</v>
      </c>
      <c r="EE546" s="27" t="s">
        <v>8</v>
      </c>
      <c r="EJ546" s="27" t="s">
        <v>7</v>
      </c>
      <c r="EK546" s="27" t="s">
        <v>8</v>
      </c>
      <c r="EZ546" s="27" t="s">
        <v>7</v>
      </c>
      <c r="FA546" s="27" t="s">
        <v>8</v>
      </c>
      <c r="FB546" s="27" t="s">
        <v>7</v>
      </c>
      <c r="FC546" s="27" t="s">
        <v>8</v>
      </c>
      <c r="FD546" s="27" t="s">
        <v>7</v>
      </c>
      <c r="FE546" s="27" t="s">
        <v>8</v>
      </c>
      <c r="FF546" s="27" t="s">
        <v>7</v>
      </c>
      <c r="FG546" s="27" t="s">
        <v>8</v>
      </c>
      <c r="FH546" s="27" t="s">
        <v>7</v>
      </c>
      <c r="FO546" s="27" t="s">
        <v>8</v>
      </c>
      <c r="FP546" s="27" t="s">
        <v>7</v>
      </c>
      <c r="FQ546" s="27" t="s">
        <v>8</v>
      </c>
      <c r="FR546" s="27" t="s">
        <v>7</v>
      </c>
      <c r="FS546" s="27" t="s">
        <v>8</v>
      </c>
      <c r="GR546" s="27" t="s">
        <v>7</v>
      </c>
      <c r="GS546" s="27" t="s">
        <v>8</v>
      </c>
      <c r="GT546" s="27" t="s">
        <v>7</v>
      </c>
      <c r="GW546" s="27" t="s">
        <v>8</v>
      </c>
      <c r="GX546" s="27" t="s">
        <v>7</v>
      </c>
      <c r="GY546" s="27" t="s">
        <v>8</v>
      </c>
      <c r="GZ546" s="27" t="s">
        <v>7</v>
      </c>
      <c r="HA546" s="27" t="s">
        <v>8</v>
      </c>
      <c r="HB546" s="27" t="s">
        <v>7</v>
      </c>
      <c r="HC546" s="27" t="s">
        <v>8</v>
      </c>
      <c r="HD546" s="27" t="s">
        <v>7</v>
      </c>
    </row>
    <row r="547" spans="1:213" x14ac:dyDescent="0.25">
      <c r="A547" s="7">
        <v>2.208039663614854</v>
      </c>
      <c r="B547"/>
      <c r="C547"/>
      <c r="D547"/>
      <c r="E547"/>
      <c r="CG547" s="27" t="s">
        <v>8</v>
      </c>
      <c r="CP547" s="27" t="s">
        <v>7</v>
      </c>
      <c r="CQ547" s="27" t="s">
        <v>8</v>
      </c>
      <c r="CV547" s="27" t="s">
        <v>7</v>
      </c>
      <c r="CW547" s="27" t="s">
        <v>8</v>
      </c>
      <c r="DB547" s="27" t="s">
        <v>7</v>
      </c>
      <c r="DC547" s="27" t="s">
        <v>8</v>
      </c>
      <c r="DD547" s="27" t="s">
        <v>7</v>
      </c>
      <c r="DE547" s="27" t="s">
        <v>8</v>
      </c>
      <c r="DH547" s="27" t="s">
        <v>7</v>
      </c>
      <c r="EE547" s="27" t="s">
        <v>8</v>
      </c>
      <c r="EJ547" s="27" t="s">
        <v>7</v>
      </c>
      <c r="EZ547" s="27" t="s">
        <v>7</v>
      </c>
      <c r="FA547" s="27" t="s">
        <v>8</v>
      </c>
      <c r="FB547" s="27" t="s">
        <v>7</v>
      </c>
      <c r="FC547" s="27" t="s">
        <v>8</v>
      </c>
      <c r="FD547" s="27" t="s">
        <v>7</v>
      </c>
      <c r="FE547" s="27" t="s">
        <v>8</v>
      </c>
      <c r="FF547" s="27" t="s">
        <v>7</v>
      </c>
      <c r="FG547" s="27" t="s">
        <v>8</v>
      </c>
      <c r="FH547" s="27" t="s">
        <v>7</v>
      </c>
      <c r="FO547" s="27" t="s">
        <v>8</v>
      </c>
      <c r="FP547" s="27" t="s">
        <v>7</v>
      </c>
      <c r="FQ547" s="27" t="s">
        <v>8</v>
      </c>
      <c r="FR547" s="27" t="s">
        <v>7</v>
      </c>
      <c r="FS547" s="27" t="s">
        <v>8</v>
      </c>
      <c r="GR547" s="27" t="s">
        <v>7</v>
      </c>
      <c r="GS547" s="27" t="s">
        <v>8</v>
      </c>
      <c r="GT547" s="27" t="s">
        <v>7</v>
      </c>
      <c r="GW547" s="27" t="s">
        <v>8</v>
      </c>
      <c r="GX547" s="27" t="s">
        <v>7</v>
      </c>
      <c r="GY547" s="27" t="s">
        <v>8</v>
      </c>
      <c r="GZ547" s="27" t="s">
        <v>7</v>
      </c>
      <c r="HA547" s="27" t="s">
        <v>8</v>
      </c>
      <c r="HB547" s="27" t="s">
        <v>7</v>
      </c>
      <c r="HC547" s="27" t="s">
        <v>8</v>
      </c>
    </row>
    <row r="548" spans="1:213" x14ac:dyDescent="0.25">
      <c r="A548" s="7">
        <v>2.1647447682498568</v>
      </c>
      <c r="B548"/>
      <c r="C548"/>
      <c r="D548"/>
      <c r="E548"/>
      <c r="CG548" s="27" t="s">
        <v>8</v>
      </c>
      <c r="CP548" s="27" t="s">
        <v>7</v>
      </c>
      <c r="CQ548" s="27" t="s">
        <v>8</v>
      </c>
      <c r="CV548" s="27" t="s">
        <v>7</v>
      </c>
      <c r="CW548" s="27" t="s">
        <v>8</v>
      </c>
      <c r="DB548" s="27" t="s">
        <v>7</v>
      </c>
      <c r="DD548" s="27" t="s">
        <v>7</v>
      </c>
      <c r="DH548" s="27" t="s">
        <v>7</v>
      </c>
      <c r="DI548" s="27" t="s">
        <v>8</v>
      </c>
      <c r="EE548" s="27" t="s">
        <v>8</v>
      </c>
      <c r="EZ548" s="27" t="s">
        <v>7</v>
      </c>
      <c r="FA548" s="27" t="s">
        <v>8</v>
      </c>
      <c r="FB548" s="27" t="s">
        <v>7</v>
      </c>
      <c r="FC548" s="27" t="s">
        <v>8</v>
      </c>
      <c r="FD548" s="27" t="s">
        <v>7</v>
      </c>
      <c r="FE548" s="27" t="s">
        <v>8</v>
      </c>
      <c r="FF548" s="27" t="s">
        <v>7</v>
      </c>
      <c r="FG548" s="27" t="s">
        <v>8</v>
      </c>
      <c r="FH548" s="27" t="s">
        <v>7</v>
      </c>
      <c r="FO548" s="27" t="s">
        <v>8</v>
      </c>
      <c r="FP548" s="27" t="s">
        <v>7</v>
      </c>
      <c r="FQ548" s="27" t="s">
        <v>8</v>
      </c>
      <c r="FR548" s="27" t="s">
        <v>7</v>
      </c>
      <c r="GR548" s="27" t="s">
        <v>7</v>
      </c>
      <c r="GS548" s="27" t="s">
        <v>8</v>
      </c>
      <c r="GT548" s="27" t="s">
        <v>7</v>
      </c>
      <c r="GW548" s="27" t="s">
        <v>8</v>
      </c>
      <c r="GX548" s="27" t="s">
        <v>7</v>
      </c>
      <c r="GY548" s="27" t="s">
        <v>8</v>
      </c>
      <c r="GZ548" s="27" t="s">
        <v>7</v>
      </c>
      <c r="HA548" s="27" t="s">
        <v>8</v>
      </c>
      <c r="HB548" s="27" t="s">
        <v>7</v>
      </c>
    </row>
    <row r="549" spans="1:213" x14ac:dyDescent="0.25">
      <c r="A549" s="7">
        <v>2.1222987924018204</v>
      </c>
      <c r="B549"/>
      <c r="C549"/>
      <c r="D549"/>
      <c r="E549"/>
      <c r="CG549" s="27" t="s">
        <v>8</v>
      </c>
      <c r="CP549" s="27" t="s">
        <v>7</v>
      </c>
      <c r="CQ549" s="27" t="s">
        <v>8</v>
      </c>
      <c r="CV549" s="27" t="s">
        <v>7</v>
      </c>
      <c r="CW549" s="27" t="s">
        <v>8</v>
      </c>
      <c r="DH549" s="27" t="s">
        <v>7</v>
      </c>
      <c r="DI549" s="27" t="s">
        <v>8</v>
      </c>
      <c r="DJ549" s="27" t="s">
        <v>7</v>
      </c>
      <c r="EE549" s="27" t="s">
        <v>8</v>
      </c>
      <c r="EZ549" s="27" t="s">
        <v>7</v>
      </c>
      <c r="FB549" s="27" t="s">
        <v>7</v>
      </c>
      <c r="FC549" s="27" t="s">
        <v>8</v>
      </c>
      <c r="FD549" s="27" t="s">
        <v>7</v>
      </c>
      <c r="FF549" s="27" t="s">
        <v>7</v>
      </c>
      <c r="FG549" s="27" t="s">
        <v>8</v>
      </c>
      <c r="FH549" s="27" t="s">
        <v>7</v>
      </c>
      <c r="FO549" s="27" t="s">
        <v>8</v>
      </c>
      <c r="FP549" s="27" t="s">
        <v>7</v>
      </c>
      <c r="GR549" s="27" t="s">
        <v>7</v>
      </c>
      <c r="GS549" s="27" t="s">
        <v>8</v>
      </c>
      <c r="GT549" s="27" t="s">
        <v>7</v>
      </c>
      <c r="GW549" s="27" t="s">
        <v>8</v>
      </c>
      <c r="GX549" s="27" t="s">
        <v>7</v>
      </c>
      <c r="GY549" s="27" t="s">
        <v>8</v>
      </c>
      <c r="GZ549" s="27" t="s">
        <v>7</v>
      </c>
      <c r="HA549" s="27" t="s">
        <v>8</v>
      </c>
    </row>
    <row r="550" spans="1:213" x14ac:dyDescent="0.25">
      <c r="A550" s="7">
        <v>2.0806850905900198</v>
      </c>
      <c r="B550"/>
      <c r="C550"/>
      <c r="D550"/>
      <c r="E550"/>
      <c r="CG550" s="27" t="s">
        <v>8</v>
      </c>
      <c r="CP550" s="27" t="s">
        <v>7</v>
      </c>
      <c r="CV550" s="27" t="s">
        <v>7</v>
      </c>
      <c r="CW550" s="27" t="s">
        <v>8</v>
      </c>
      <c r="DH550" s="27" t="s">
        <v>7</v>
      </c>
      <c r="DI550" s="27" t="s">
        <v>8</v>
      </c>
      <c r="DJ550" s="27" t="s">
        <v>7</v>
      </c>
      <c r="EE550" s="27" t="s">
        <v>8</v>
      </c>
      <c r="FB550" s="27" t="s">
        <v>7</v>
      </c>
      <c r="FC550" s="27" t="s">
        <v>8</v>
      </c>
      <c r="FF550" s="27" t="s">
        <v>7</v>
      </c>
      <c r="FG550" s="27" t="s">
        <v>8</v>
      </c>
      <c r="FH550" s="27" t="s">
        <v>7</v>
      </c>
      <c r="FI550" s="27" t="s">
        <v>8</v>
      </c>
      <c r="FO550" s="27" t="s">
        <v>8</v>
      </c>
      <c r="GR550" s="27" t="s">
        <v>7</v>
      </c>
      <c r="GS550" s="27" t="s">
        <v>8</v>
      </c>
      <c r="GT550" s="27" t="s">
        <v>7</v>
      </c>
      <c r="GW550" s="27" t="s">
        <v>8</v>
      </c>
      <c r="GX550" s="27" t="s">
        <v>7</v>
      </c>
      <c r="GY550" s="27" t="s">
        <v>8</v>
      </c>
      <c r="GZ550" s="27" t="s">
        <v>7</v>
      </c>
      <c r="HA550" s="27" t="s">
        <v>8</v>
      </c>
    </row>
    <row r="551" spans="1:213" x14ac:dyDescent="0.25">
      <c r="A551" s="7">
        <v>2.0398873437157055</v>
      </c>
      <c r="B551"/>
      <c r="C551"/>
      <c r="D551"/>
      <c r="E551"/>
      <c r="CA551" s="27" t="s">
        <v>8</v>
      </c>
      <c r="CG551" s="27" t="s">
        <v>8</v>
      </c>
      <c r="CV551" s="27" t="s">
        <v>7</v>
      </c>
      <c r="CW551" s="27" t="s">
        <v>8</v>
      </c>
      <c r="DH551" s="27" t="s">
        <v>7</v>
      </c>
      <c r="DJ551" s="27" t="s">
        <v>7</v>
      </c>
      <c r="EE551" s="27" t="s">
        <v>8</v>
      </c>
      <c r="FB551" s="27" t="s">
        <v>7</v>
      </c>
      <c r="FF551" s="27" t="s">
        <v>7</v>
      </c>
      <c r="FG551" s="27" t="s">
        <v>8</v>
      </c>
      <c r="FH551" s="27" t="s">
        <v>7</v>
      </c>
      <c r="FI551" s="27" t="s">
        <v>8</v>
      </c>
      <c r="FJ551" s="27" t="s">
        <v>7</v>
      </c>
      <c r="FO551" s="27" t="s">
        <v>8</v>
      </c>
      <c r="GR551" s="27" t="s">
        <v>7</v>
      </c>
      <c r="GS551" s="27" t="s">
        <v>8</v>
      </c>
      <c r="GT551" s="27" t="s">
        <v>7</v>
      </c>
      <c r="GU551" s="27" t="s">
        <v>8</v>
      </c>
      <c r="GW551" s="27" t="s">
        <v>8</v>
      </c>
      <c r="GX551" s="27" t="s">
        <v>7</v>
      </c>
      <c r="GY551" s="27" t="s">
        <v>8</v>
      </c>
      <c r="GZ551" s="27" t="s">
        <v>7</v>
      </c>
    </row>
    <row r="552" spans="1:213" x14ac:dyDescent="0.25">
      <c r="A552" s="7">
        <v>1.9998895526624565</v>
      </c>
      <c r="B552"/>
      <c r="C552"/>
      <c r="D552"/>
      <c r="E552"/>
      <c r="CA552" s="27" t="s">
        <v>8</v>
      </c>
      <c r="CB552" s="27" t="s">
        <v>7</v>
      </c>
      <c r="CG552" s="27" t="s">
        <v>8</v>
      </c>
      <c r="CV552" s="27" t="s">
        <v>7</v>
      </c>
      <c r="DJ552" s="27" t="s">
        <v>7</v>
      </c>
      <c r="EC552" s="27" t="s">
        <v>8</v>
      </c>
      <c r="EE552" s="27" t="s">
        <v>8</v>
      </c>
      <c r="FF552" s="27" t="s">
        <v>7</v>
      </c>
      <c r="FG552" s="27" t="s">
        <v>8</v>
      </c>
      <c r="FH552" s="27" t="s">
        <v>7</v>
      </c>
      <c r="FI552" s="27" t="s">
        <v>8</v>
      </c>
      <c r="FJ552" s="27" t="s">
        <v>7</v>
      </c>
      <c r="FO552" s="27" t="s">
        <v>8</v>
      </c>
      <c r="GR552" s="27" t="s">
        <v>7</v>
      </c>
      <c r="GS552" s="27" t="s">
        <v>8</v>
      </c>
      <c r="GT552" s="27" t="s">
        <v>7</v>
      </c>
      <c r="GU552" s="27" t="s">
        <v>8</v>
      </c>
      <c r="GV552" s="27" t="s">
        <v>7</v>
      </c>
      <c r="GW552" s="27" t="s">
        <v>8</v>
      </c>
      <c r="GX552" s="27" t="s">
        <v>7</v>
      </c>
      <c r="GY552" s="27" t="s">
        <v>8</v>
      </c>
    </row>
    <row r="553" spans="1:213" x14ac:dyDescent="0.25">
      <c r="A553" s="7">
        <v>1.9606760320220162</v>
      </c>
      <c r="B553"/>
      <c r="C553"/>
      <c r="D553"/>
      <c r="E553"/>
      <c r="BW553" s="27" t="s">
        <v>8</v>
      </c>
      <c r="CA553" s="27" t="s">
        <v>8</v>
      </c>
      <c r="CB553" s="27" t="s">
        <v>7</v>
      </c>
      <c r="CG553" s="27" t="s">
        <v>8</v>
      </c>
      <c r="DJ553" s="27" t="s">
        <v>7</v>
      </c>
      <c r="EC553" s="27" t="s">
        <v>8</v>
      </c>
      <c r="ED553" s="27" t="s">
        <v>7</v>
      </c>
      <c r="EE553" s="27" t="s">
        <v>8</v>
      </c>
      <c r="FF553" s="27" t="s">
        <v>7</v>
      </c>
      <c r="FH553" s="27" t="s">
        <v>7</v>
      </c>
      <c r="FJ553" s="27" t="s">
        <v>7</v>
      </c>
      <c r="FO553" s="27" t="s">
        <v>8</v>
      </c>
      <c r="GR553" s="27" t="s">
        <v>7</v>
      </c>
      <c r="GS553" s="27" t="s">
        <v>8</v>
      </c>
      <c r="GT553" s="27" t="s">
        <v>7</v>
      </c>
      <c r="GU553" s="27" t="s">
        <v>8</v>
      </c>
      <c r="GV553" s="27" t="s">
        <v>7</v>
      </c>
      <c r="GW553" s="27" t="s">
        <v>8</v>
      </c>
      <c r="GX553" s="27" t="s">
        <v>7</v>
      </c>
    </row>
    <row r="554" spans="1:213" x14ac:dyDescent="0.25">
      <c r="A554" s="7">
        <v>1.9222314039431532</v>
      </c>
      <c r="B554"/>
      <c r="C554"/>
      <c r="D554"/>
      <c r="E554"/>
      <c r="BW554" s="27" t="s">
        <v>8</v>
      </c>
      <c r="BX554" s="27" t="s">
        <v>7</v>
      </c>
      <c r="CA554" s="27" t="s">
        <v>8</v>
      </c>
      <c r="CB554" s="27" t="s">
        <v>7</v>
      </c>
      <c r="CE554" s="27" t="s">
        <v>8</v>
      </c>
      <c r="CG554" s="27" t="s">
        <v>8</v>
      </c>
      <c r="DJ554" s="27" t="s">
        <v>7</v>
      </c>
      <c r="DM554" s="27" t="s">
        <v>8</v>
      </c>
      <c r="DY554" s="27" t="s">
        <v>8</v>
      </c>
      <c r="EC554" s="27" t="s">
        <v>8</v>
      </c>
      <c r="ED554" s="27" t="s">
        <v>7</v>
      </c>
      <c r="EE554" s="27" t="s">
        <v>8</v>
      </c>
      <c r="FJ554" s="27" t="s">
        <v>7</v>
      </c>
      <c r="FK554" s="27" t="s">
        <v>8</v>
      </c>
      <c r="FM554" s="27" t="s">
        <v>8</v>
      </c>
      <c r="FO554" s="27" t="s">
        <v>8</v>
      </c>
      <c r="GR554" s="27" t="s">
        <v>7</v>
      </c>
      <c r="GS554" s="27" t="s">
        <v>8</v>
      </c>
      <c r="GT554" s="27" t="s">
        <v>7</v>
      </c>
      <c r="GU554" s="27" t="s">
        <v>8</v>
      </c>
      <c r="GV554" s="27" t="s">
        <v>7</v>
      </c>
      <c r="GW554" s="27" t="s">
        <v>8</v>
      </c>
    </row>
    <row r="555" spans="1:213" x14ac:dyDescent="0.25">
      <c r="A555" s="7">
        <v>1.8845405921011305</v>
      </c>
      <c r="B555"/>
      <c r="C555"/>
      <c r="D555"/>
      <c r="E555"/>
      <c r="BW555" s="27" t="s">
        <v>8</v>
      </c>
      <c r="BX555" s="27" t="s">
        <v>7</v>
      </c>
      <c r="CA555" s="27" t="s">
        <v>8</v>
      </c>
      <c r="CB555" s="27" t="s">
        <v>7</v>
      </c>
      <c r="CC555" s="27" t="s">
        <v>8</v>
      </c>
      <c r="CE555" s="27" t="s">
        <v>8</v>
      </c>
      <c r="CF555" s="27" t="s">
        <v>7</v>
      </c>
      <c r="CG555" s="27" t="s">
        <v>8</v>
      </c>
      <c r="DJ555" s="27" t="s">
        <v>7</v>
      </c>
      <c r="DK555" s="27" t="s">
        <v>8</v>
      </c>
      <c r="DM555" s="27" t="s">
        <v>8</v>
      </c>
      <c r="DN555" s="27" t="s">
        <v>7</v>
      </c>
      <c r="DQ555" s="27" t="s">
        <v>8</v>
      </c>
      <c r="DU555" s="27" t="s">
        <v>8</v>
      </c>
      <c r="DW555" s="27" t="s">
        <v>8</v>
      </c>
      <c r="DY555" s="27" t="s">
        <v>8</v>
      </c>
      <c r="DZ555" s="27" t="s">
        <v>7</v>
      </c>
      <c r="EC555" s="27" t="s">
        <v>8</v>
      </c>
      <c r="ED555" s="27" t="s">
        <v>7</v>
      </c>
      <c r="FJ555" s="27" t="s">
        <v>7</v>
      </c>
      <c r="FK555" s="27" t="s">
        <v>8</v>
      </c>
      <c r="FL555" s="27" t="s">
        <v>7</v>
      </c>
      <c r="FM555" s="27" t="s">
        <v>8</v>
      </c>
      <c r="FN555" s="27" t="s">
        <v>7</v>
      </c>
      <c r="FO555" s="27" t="s">
        <v>8</v>
      </c>
      <c r="GR555" s="27" t="s">
        <v>7</v>
      </c>
      <c r="GS555" s="27" t="s">
        <v>8</v>
      </c>
      <c r="GT555" s="27" t="s">
        <v>7</v>
      </c>
      <c r="GU555" s="27" t="s">
        <v>8</v>
      </c>
      <c r="GV555" s="27" t="s">
        <v>7</v>
      </c>
      <c r="GW555" s="27" t="s">
        <v>8</v>
      </c>
    </row>
    <row r="556" spans="1:213" x14ac:dyDescent="0.25">
      <c r="A556" s="7">
        <v>1.8475888157854219</v>
      </c>
      <c r="B556"/>
      <c r="C556"/>
      <c r="D556"/>
      <c r="E556"/>
      <c r="BW556" s="27" t="s">
        <v>8</v>
      </c>
      <c r="BX556" s="27" t="s">
        <v>7</v>
      </c>
      <c r="CA556" s="27" t="s">
        <v>8</v>
      </c>
      <c r="CB556" s="27" t="s">
        <v>7</v>
      </c>
      <c r="CC556" s="27" t="s">
        <v>8</v>
      </c>
      <c r="CD556" s="27" t="s">
        <v>7</v>
      </c>
      <c r="CE556" s="27" t="s">
        <v>8</v>
      </c>
      <c r="CF556" s="27" t="s">
        <v>7</v>
      </c>
      <c r="CG556" s="27" t="s">
        <v>8</v>
      </c>
      <c r="DJ556" s="27" t="s">
        <v>7</v>
      </c>
      <c r="DK556" s="27" t="s">
        <v>8</v>
      </c>
      <c r="DL556" s="27" t="s">
        <v>7</v>
      </c>
      <c r="DM556" s="27" t="s">
        <v>8</v>
      </c>
      <c r="DN556" s="27" t="s">
        <v>7</v>
      </c>
      <c r="DO556" s="27" t="s">
        <v>8</v>
      </c>
      <c r="DQ556" s="27" t="s">
        <v>8</v>
      </c>
      <c r="DR556" s="27" t="s">
        <v>7</v>
      </c>
      <c r="DU556" s="27" t="s">
        <v>8</v>
      </c>
      <c r="DV556" s="27" t="s">
        <v>7</v>
      </c>
      <c r="DW556" s="27" t="s">
        <v>8</v>
      </c>
      <c r="DX556" s="27" t="s">
        <v>7</v>
      </c>
      <c r="DY556" s="27" t="s">
        <v>8</v>
      </c>
      <c r="DZ556" s="27" t="s">
        <v>7</v>
      </c>
      <c r="EC556" s="27" t="s">
        <v>8</v>
      </c>
      <c r="FJ556" s="27" t="s">
        <v>7</v>
      </c>
      <c r="FK556" s="27" t="s">
        <v>8</v>
      </c>
      <c r="FL556" s="27" t="s">
        <v>7</v>
      </c>
      <c r="FM556" s="27" t="s">
        <v>8</v>
      </c>
      <c r="FN556" s="27" t="s">
        <v>7</v>
      </c>
      <c r="FO556" s="27" t="s">
        <v>8</v>
      </c>
      <c r="GR556" s="27" t="s">
        <v>7</v>
      </c>
      <c r="GS556" s="27" t="s">
        <v>8</v>
      </c>
      <c r="GT556" s="27" t="s">
        <v>7</v>
      </c>
      <c r="GU556" s="27" t="s">
        <v>8</v>
      </c>
      <c r="GV556" s="27" t="s">
        <v>7</v>
      </c>
      <c r="GW556" s="27" t="s">
        <v>8</v>
      </c>
    </row>
    <row r="557" spans="1:213" x14ac:dyDescent="0.25">
      <c r="A557" s="7">
        <v>1.8113615841033548</v>
      </c>
      <c r="B557"/>
      <c r="C557"/>
      <c r="D557"/>
      <c r="E557"/>
      <c r="BW557" s="27" t="s">
        <v>8</v>
      </c>
      <c r="BX557" s="27" t="s">
        <v>7</v>
      </c>
      <c r="CA557" s="27" t="s">
        <v>8</v>
      </c>
      <c r="CB557" s="27" t="s">
        <v>7</v>
      </c>
      <c r="CC557" s="27" t="s">
        <v>8</v>
      </c>
      <c r="CD557" s="27" t="s">
        <v>7</v>
      </c>
      <c r="CE557" s="27" t="s">
        <v>8</v>
      </c>
      <c r="CF557" s="27" t="s">
        <v>7</v>
      </c>
      <c r="CG557" s="27" t="s">
        <v>8</v>
      </c>
      <c r="DJ557" s="27" t="s">
        <v>7</v>
      </c>
      <c r="DK557" s="27" t="s">
        <v>8</v>
      </c>
      <c r="DL557" s="27" t="s">
        <v>7</v>
      </c>
      <c r="DM557" s="27" t="s">
        <v>8</v>
      </c>
      <c r="DN557" s="27" t="s">
        <v>7</v>
      </c>
      <c r="DO557" s="27" t="s">
        <v>8</v>
      </c>
      <c r="DP557" s="27" t="s">
        <v>7</v>
      </c>
      <c r="DQ557" s="27" t="s">
        <v>8</v>
      </c>
      <c r="DR557" s="27" t="s">
        <v>7</v>
      </c>
      <c r="DU557" s="27" t="s">
        <v>8</v>
      </c>
      <c r="DV557" s="27" t="s">
        <v>7</v>
      </c>
      <c r="DW557" s="27" t="s">
        <v>8</v>
      </c>
      <c r="DX557" s="27" t="s">
        <v>7</v>
      </c>
      <c r="DY557" s="27" t="s">
        <v>8</v>
      </c>
      <c r="DZ557" s="27" t="s">
        <v>7</v>
      </c>
      <c r="EC557" s="27" t="s">
        <v>8</v>
      </c>
      <c r="FJ557" s="27" t="s">
        <v>7</v>
      </c>
      <c r="FK557" s="27" t="s">
        <v>8</v>
      </c>
      <c r="FL557" s="27" t="s">
        <v>7</v>
      </c>
      <c r="FM557" s="27" t="s">
        <v>8</v>
      </c>
      <c r="FN557" s="27" t="s">
        <v>7</v>
      </c>
      <c r="FO557" s="27" t="s">
        <v>8</v>
      </c>
      <c r="GR557" s="27" t="s">
        <v>7</v>
      </c>
      <c r="GS557" s="27" t="s">
        <v>8</v>
      </c>
      <c r="GT557" s="27" t="s">
        <v>7</v>
      </c>
      <c r="GU557" s="27" t="s">
        <v>8</v>
      </c>
      <c r="GV557" s="27" t="s">
        <v>7</v>
      </c>
      <c r="GW557" s="27" t="s">
        <v>8</v>
      </c>
    </row>
    <row r="558" spans="1:213" x14ac:dyDescent="0.25">
      <c r="A558" s="7">
        <v>1.7758446902974065</v>
      </c>
      <c r="B558"/>
      <c r="C558"/>
      <c r="D558"/>
      <c r="E558"/>
      <c r="BW558" s="27" t="s">
        <v>8</v>
      </c>
      <c r="BX558" s="27" t="s">
        <v>7</v>
      </c>
      <c r="BY558" s="27" t="s">
        <v>8</v>
      </c>
      <c r="CA558" s="27" t="s">
        <v>8</v>
      </c>
      <c r="CB558" s="27" t="s">
        <v>7</v>
      </c>
      <c r="CD558" s="27" t="s">
        <v>7</v>
      </c>
      <c r="CE558" s="27" t="s">
        <v>8</v>
      </c>
      <c r="CF558" s="27" t="s">
        <v>7</v>
      </c>
      <c r="DJ558" s="27" t="s">
        <v>7</v>
      </c>
      <c r="DK558" s="27" t="s">
        <v>8</v>
      </c>
      <c r="DL558" s="27" t="s">
        <v>7</v>
      </c>
      <c r="DM558" s="27" t="s">
        <v>8</v>
      </c>
      <c r="DN558" s="27" t="s">
        <v>7</v>
      </c>
      <c r="DO558" s="27" t="s">
        <v>8</v>
      </c>
      <c r="DP558" s="27" t="s">
        <v>7</v>
      </c>
      <c r="DQ558" s="27" t="s">
        <v>8</v>
      </c>
      <c r="DR558" s="27" t="s">
        <v>7</v>
      </c>
      <c r="DU558" s="27" t="s">
        <v>8</v>
      </c>
      <c r="DV558" s="27" t="s">
        <v>7</v>
      </c>
      <c r="DX558" s="27" t="s">
        <v>7</v>
      </c>
      <c r="DY558" s="27" t="s">
        <v>8</v>
      </c>
      <c r="DZ558" s="27" t="s">
        <v>7</v>
      </c>
      <c r="EC558" s="27" t="s">
        <v>8</v>
      </c>
      <c r="FJ558" s="27" t="s">
        <v>7</v>
      </c>
      <c r="FK558" s="27" t="s">
        <v>8</v>
      </c>
      <c r="FL558" s="27" t="s">
        <v>7</v>
      </c>
      <c r="FN558" s="27" t="s">
        <v>7</v>
      </c>
      <c r="FO558" s="27" t="s">
        <v>8</v>
      </c>
      <c r="GR558" s="27" t="s">
        <v>7</v>
      </c>
      <c r="GS558" s="27" t="s">
        <v>8</v>
      </c>
      <c r="GT558" s="27" t="s">
        <v>7</v>
      </c>
      <c r="GU558" s="27" t="s">
        <v>8</v>
      </c>
      <c r="GV558" s="27" t="s">
        <v>7</v>
      </c>
    </row>
    <row r="559" spans="1:213" x14ac:dyDescent="0.25">
      <c r="A559" s="7">
        <v>1.7410242061739281</v>
      </c>
      <c r="B559"/>
      <c r="C559"/>
      <c r="D559"/>
      <c r="E559"/>
      <c r="BW559" s="27" t="s">
        <v>8</v>
      </c>
      <c r="BX559" s="27" t="s">
        <v>7</v>
      </c>
      <c r="BY559" s="27" t="s">
        <v>8</v>
      </c>
      <c r="BZ559" s="27" t="s">
        <v>7</v>
      </c>
      <c r="CA559" s="27" t="s">
        <v>8</v>
      </c>
      <c r="CD559" s="27" t="s">
        <v>7</v>
      </c>
      <c r="CE559" s="27" t="s">
        <v>8</v>
      </c>
      <c r="DJ559" s="27" t="s">
        <v>7</v>
      </c>
      <c r="DL559" s="27" t="s">
        <v>7</v>
      </c>
      <c r="DN559" s="27" t="s">
        <v>7</v>
      </c>
      <c r="DP559" s="27" t="s">
        <v>7</v>
      </c>
      <c r="DQ559" s="27" t="s">
        <v>8</v>
      </c>
      <c r="DR559" s="27" t="s">
        <v>7</v>
      </c>
      <c r="DU559" s="27" t="s">
        <v>8</v>
      </c>
      <c r="DX559" s="27" t="s">
        <v>7</v>
      </c>
      <c r="DY559" s="27" t="s">
        <v>8</v>
      </c>
      <c r="DZ559" s="27" t="s">
        <v>7</v>
      </c>
      <c r="EA559" s="27" t="s">
        <v>8</v>
      </c>
      <c r="EC559" s="27" t="s">
        <v>8</v>
      </c>
      <c r="FJ559" s="27" t="s">
        <v>7</v>
      </c>
      <c r="FK559" s="27" t="s">
        <v>8</v>
      </c>
      <c r="FN559" s="27" t="s">
        <v>7</v>
      </c>
      <c r="FO559" s="27" t="s">
        <v>8</v>
      </c>
      <c r="GR559" s="27" t="s">
        <v>7</v>
      </c>
      <c r="GS559" s="27" t="s">
        <v>8</v>
      </c>
      <c r="GT559" s="27" t="s">
        <v>7</v>
      </c>
      <c r="GU559" s="27" t="s">
        <v>8</v>
      </c>
    </row>
    <row r="560" spans="1:213" x14ac:dyDescent="0.25">
      <c r="A560" s="7">
        <v>1.7068864766411058</v>
      </c>
      <c r="B560"/>
      <c r="C560"/>
      <c r="D560"/>
      <c r="E560"/>
      <c r="BW560" s="27" t="s">
        <v>8</v>
      </c>
      <c r="BX560" s="27" t="s">
        <v>7</v>
      </c>
      <c r="BY560" s="27" t="s">
        <v>8</v>
      </c>
      <c r="BZ560" s="27" t="s">
        <v>7</v>
      </c>
      <c r="CA560" s="27" t="s">
        <v>8</v>
      </c>
      <c r="CD560" s="27" t="s">
        <v>7</v>
      </c>
      <c r="CE560" s="27" t="s">
        <v>8</v>
      </c>
      <c r="DP560" s="27" t="s">
        <v>7</v>
      </c>
      <c r="DR560" s="27" t="s">
        <v>7</v>
      </c>
      <c r="DU560" s="27" t="s">
        <v>8</v>
      </c>
      <c r="DX560" s="27" t="s">
        <v>7</v>
      </c>
      <c r="DY560" s="27" t="s">
        <v>8</v>
      </c>
      <c r="DZ560" s="27" t="s">
        <v>7</v>
      </c>
      <c r="EA560" s="27" t="s">
        <v>8</v>
      </c>
      <c r="EB560" s="27" t="s">
        <v>7</v>
      </c>
      <c r="EC560" s="27" t="s">
        <v>8</v>
      </c>
      <c r="FJ560" s="27" t="s">
        <v>7</v>
      </c>
      <c r="FK560" s="27" t="s">
        <v>8</v>
      </c>
      <c r="FN560" s="27" t="s">
        <v>7</v>
      </c>
      <c r="GR560" s="27" t="s">
        <v>7</v>
      </c>
      <c r="GS560" s="27" t="s">
        <v>8</v>
      </c>
      <c r="GT560" s="27" t="s">
        <v>7</v>
      </c>
      <c r="GU560" s="27" t="s">
        <v>8</v>
      </c>
    </row>
    <row r="561" spans="1:203" x14ac:dyDescent="0.25">
      <c r="A561" s="7">
        <v>1.6734181143540252</v>
      </c>
      <c r="B561"/>
      <c r="C561"/>
      <c r="D561"/>
      <c r="E561"/>
      <c r="BW561" s="27" t="s">
        <v>8</v>
      </c>
      <c r="BX561" s="27" t="s">
        <v>7</v>
      </c>
      <c r="BY561" s="27" t="s">
        <v>8</v>
      </c>
      <c r="BZ561" s="27" t="s">
        <v>7</v>
      </c>
      <c r="CA561" s="27" t="s">
        <v>8</v>
      </c>
      <c r="CD561" s="27" t="s">
        <v>7</v>
      </c>
      <c r="CE561" s="27" t="s">
        <v>8</v>
      </c>
      <c r="DR561" s="27" t="s">
        <v>7</v>
      </c>
      <c r="DU561" s="27" t="s">
        <v>8</v>
      </c>
      <c r="DX561" s="27" t="s">
        <v>7</v>
      </c>
      <c r="DY561" s="27" t="s">
        <v>8</v>
      </c>
      <c r="DZ561" s="27" t="s">
        <v>7</v>
      </c>
      <c r="EA561" s="27" t="s">
        <v>8</v>
      </c>
      <c r="EB561" s="27" t="s">
        <v>7</v>
      </c>
      <c r="EC561" s="27" t="s">
        <v>8</v>
      </c>
      <c r="FJ561" s="27" t="s">
        <v>7</v>
      </c>
      <c r="FK561" s="27" t="s">
        <v>8</v>
      </c>
      <c r="GR561" s="27" t="s">
        <v>7</v>
      </c>
      <c r="GS561" s="27" t="s">
        <v>8</v>
      </c>
      <c r="GT561" s="27" t="s">
        <v>7</v>
      </c>
      <c r="GU561" s="27" t="s">
        <v>8</v>
      </c>
    </row>
    <row r="562" spans="1:203" x14ac:dyDescent="0.25">
      <c r="A562" s="7">
        <v>1.6406059944647307</v>
      </c>
      <c r="B562"/>
      <c r="C562"/>
      <c r="D562"/>
      <c r="E562"/>
      <c r="BW562" s="27" t="s">
        <v>8</v>
      </c>
      <c r="BX562" s="27" t="s">
        <v>7</v>
      </c>
      <c r="BY562" s="27" t="s">
        <v>8</v>
      </c>
      <c r="BZ562" s="27" t="s">
        <v>7</v>
      </c>
      <c r="CA562" s="27" t="s">
        <v>8</v>
      </c>
      <c r="CD562" s="27" t="s">
        <v>7</v>
      </c>
      <c r="DR562" s="27" t="s">
        <v>7</v>
      </c>
      <c r="DS562" s="27" t="s">
        <v>8</v>
      </c>
      <c r="DU562" s="27" t="s">
        <v>8</v>
      </c>
      <c r="DX562" s="27" t="s">
        <v>7</v>
      </c>
      <c r="DY562" s="27" t="s">
        <v>8</v>
      </c>
      <c r="DZ562" s="27" t="s">
        <v>7</v>
      </c>
      <c r="EA562" s="27" t="s">
        <v>8</v>
      </c>
      <c r="EB562" s="27" t="s">
        <v>7</v>
      </c>
      <c r="FJ562" s="27" t="s">
        <v>7</v>
      </c>
      <c r="FK562" s="27" t="s">
        <v>8</v>
      </c>
      <c r="GR562" s="27" t="s">
        <v>7</v>
      </c>
      <c r="GS562" s="27" t="s">
        <v>8</v>
      </c>
      <c r="GT562" s="27" t="s">
        <v>7</v>
      </c>
      <c r="GU562" s="27" t="s">
        <v>8</v>
      </c>
    </row>
    <row r="563" spans="1:203" x14ac:dyDescent="0.25">
      <c r="A563" s="7">
        <v>1.6084372494752261</v>
      </c>
      <c r="B563"/>
      <c r="C563"/>
      <c r="D563"/>
      <c r="E563"/>
      <c r="BW563" s="27" t="s">
        <v>8</v>
      </c>
      <c r="BX563" s="27" t="s">
        <v>7</v>
      </c>
      <c r="BY563" s="27" t="s">
        <v>8</v>
      </c>
      <c r="BZ563" s="27" t="s">
        <v>7</v>
      </c>
      <c r="DR563" s="27" t="s">
        <v>7</v>
      </c>
      <c r="DS563" s="27" t="s">
        <v>8</v>
      </c>
      <c r="DT563" s="27" t="s">
        <v>7</v>
      </c>
      <c r="DU563" s="27" t="s">
        <v>8</v>
      </c>
      <c r="DX563" s="27" t="s">
        <v>7</v>
      </c>
      <c r="DY563" s="27" t="s">
        <v>8</v>
      </c>
      <c r="DZ563" s="27" t="s">
        <v>7</v>
      </c>
      <c r="EA563" s="27" t="s">
        <v>8</v>
      </c>
      <c r="FJ563" s="27" t="s">
        <v>7</v>
      </c>
      <c r="GR563" s="27" t="s">
        <v>7</v>
      </c>
      <c r="GS563" s="27" t="s">
        <v>8</v>
      </c>
      <c r="GT563" s="27" t="s">
        <v>7</v>
      </c>
      <c r="GU563" s="27" t="s">
        <v>8</v>
      </c>
    </row>
    <row r="564" spans="1:203" x14ac:dyDescent="0.25">
      <c r="A564" s="7">
        <v>1.5768992641913981</v>
      </c>
      <c r="B564"/>
      <c r="C564"/>
      <c r="D564"/>
      <c r="E564"/>
      <c r="BW564" s="27" t="s">
        <v>8</v>
      </c>
      <c r="BX564" s="27" t="s">
        <v>7</v>
      </c>
      <c r="BY564" s="27" t="s">
        <v>8</v>
      </c>
      <c r="DR564" s="27" t="s">
        <v>7</v>
      </c>
      <c r="DS564" s="27" t="s">
        <v>8</v>
      </c>
      <c r="DT564" s="27" t="s">
        <v>7</v>
      </c>
      <c r="DU564" s="27" t="s">
        <v>8</v>
      </c>
      <c r="DX564" s="27" t="s">
        <v>7</v>
      </c>
      <c r="DY564" s="27" t="s">
        <v>8</v>
      </c>
      <c r="DZ564" s="27" t="s">
        <v>7</v>
      </c>
      <c r="EA564" s="27" t="s">
        <v>8</v>
      </c>
      <c r="GR564" s="27" t="s">
        <v>7</v>
      </c>
      <c r="GS564" s="27" t="s">
        <v>8</v>
      </c>
      <c r="GT564" s="27" t="s">
        <v>7</v>
      </c>
    </row>
    <row r="565" spans="1:203" x14ac:dyDescent="0.25">
      <c r="A565" s="7">
        <v>1.5459796707758806</v>
      </c>
      <c r="B565"/>
      <c r="C565"/>
      <c r="D565"/>
      <c r="E565"/>
      <c r="BW565" s="27" t="s">
        <v>8</v>
      </c>
      <c r="BX565" s="27" t="s">
        <v>7</v>
      </c>
      <c r="BY565" s="27" t="s">
        <v>8</v>
      </c>
      <c r="DR565" s="27" t="s">
        <v>7</v>
      </c>
      <c r="DS565" s="27" t="s">
        <v>8</v>
      </c>
      <c r="DT565" s="27" t="s">
        <v>7</v>
      </c>
      <c r="DX565" s="27" t="s">
        <v>7</v>
      </c>
      <c r="DY565" s="27" t="s">
        <v>8</v>
      </c>
      <c r="DZ565" s="27" t="s">
        <v>7</v>
      </c>
      <c r="GR565" s="27" t="s">
        <v>7</v>
      </c>
      <c r="GS565" s="27" t="s">
        <v>8</v>
      </c>
    </row>
    <row r="566" spans="1:203" x14ac:dyDescent="0.25">
      <c r="A566" s="7">
        <v>1.5156663438979221</v>
      </c>
      <c r="B566"/>
      <c r="C566"/>
      <c r="D566"/>
      <c r="E566"/>
      <c r="BW566" s="27" t="s">
        <v>8</v>
      </c>
      <c r="BX566" s="27" t="s">
        <v>7</v>
      </c>
      <c r="DR566" s="27" t="s">
        <v>7</v>
      </c>
      <c r="DX566" s="27" t="s">
        <v>7</v>
      </c>
      <c r="DY566" s="27" t="s">
        <v>8</v>
      </c>
      <c r="GR566" s="27" t="s">
        <v>7</v>
      </c>
      <c r="GS566" s="27" t="s">
        <v>8</v>
      </c>
    </row>
    <row r="567" spans="1:203" x14ac:dyDescent="0.25">
      <c r="A567" s="7">
        <v>1.4859473959783549</v>
      </c>
      <c r="B567"/>
      <c r="C567"/>
      <c r="D567"/>
      <c r="E567"/>
      <c r="BW567" s="27" t="s">
        <v>8</v>
      </c>
      <c r="DX567" s="27" t="s">
        <v>7</v>
      </c>
      <c r="GR567" s="27" t="s">
        <v>7</v>
      </c>
      <c r="GS567" s="27" t="s">
        <v>8</v>
      </c>
    </row>
    <row r="568" spans="1:203" x14ac:dyDescent="0.25">
      <c r="A568" s="7">
        <v>1.4568111725277988</v>
      </c>
      <c r="B568"/>
      <c r="C568"/>
      <c r="D568"/>
      <c r="E568"/>
      <c r="BI568" s="27" t="s">
        <v>8</v>
      </c>
      <c r="BW568" s="27" t="s">
        <v>8</v>
      </c>
      <c r="GR568" s="27" t="s">
        <v>7</v>
      </c>
      <c r="GS568" s="27" t="s">
        <v>8</v>
      </c>
    </row>
    <row r="569" spans="1:203" x14ac:dyDescent="0.25">
      <c r="A569" s="7">
        <v>1.4282462475762734</v>
      </c>
      <c r="B569"/>
      <c r="C569"/>
      <c r="D569"/>
      <c r="E569"/>
      <c r="BI569" s="27" t="s">
        <v>8</v>
      </c>
      <c r="BJ569" s="27" t="s">
        <v>7</v>
      </c>
      <c r="BK569" s="27" t="s">
        <v>8</v>
      </c>
      <c r="BW569" s="27" t="s">
        <v>8</v>
      </c>
      <c r="GR569" s="27" t="s">
        <v>7</v>
      </c>
      <c r="GS569" s="27" t="s">
        <v>8</v>
      </c>
    </row>
    <row r="570" spans="1:203" x14ac:dyDescent="0.25">
      <c r="A570" s="7">
        <v>1.4002414191924248</v>
      </c>
      <c r="B570"/>
      <c r="C570"/>
      <c r="D570"/>
      <c r="E570"/>
      <c r="BI570" s="27" t="s">
        <v>8</v>
      </c>
      <c r="BJ570" s="27" t="s">
        <v>7</v>
      </c>
      <c r="BK570" s="27" t="s">
        <v>8</v>
      </c>
      <c r="BL570" s="27" t="s">
        <v>7</v>
      </c>
      <c r="BW570" s="27" t="s">
        <v>8</v>
      </c>
      <c r="GR570" s="27" t="s">
        <v>7</v>
      </c>
      <c r="GS570" s="27" t="s">
        <v>8</v>
      </c>
    </row>
    <row r="571" spans="1:203" x14ac:dyDescent="0.25">
      <c r="A571" s="7">
        <v>1.3727857050906125</v>
      </c>
      <c r="B571"/>
      <c r="C571"/>
      <c r="D571"/>
      <c r="E571"/>
      <c r="BI571" s="27" t="s">
        <v>8</v>
      </c>
      <c r="BJ571" s="27" t="s">
        <v>7</v>
      </c>
      <c r="BK571" s="27" t="s">
        <v>8</v>
      </c>
      <c r="BL571" s="27" t="s">
        <v>7</v>
      </c>
      <c r="BW571" s="27" t="s">
        <v>8</v>
      </c>
      <c r="GR571" s="27" t="s">
        <v>7</v>
      </c>
      <c r="GS571" s="27" t="s">
        <v>8</v>
      </c>
    </row>
    <row r="572" spans="1:203" x14ac:dyDescent="0.25">
      <c r="A572" s="7">
        <v>1.3458683383241299</v>
      </c>
      <c r="B572"/>
      <c r="C572"/>
      <c r="D572"/>
      <c r="E572"/>
      <c r="BI572" s="27" t="s">
        <v>8</v>
      </c>
      <c r="BJ572" s="27" t="s">
        <v>7</v>
      </c>
      <c r="BK572" s="27" t="s">
        <v>8</v>
      </c>
      <c r="BL572" s="27" t="s">
        <v>7</v>
      </c>
      <c r="BM572" s="27" t="s">
        <v>8</v>
      </c>
      <c r="BW572" s="27" t="s">
        <v>8</v>
      </c>
      <c r="GR572" s="27" t="s">
        <v>7</v>
      </c>
      <c r="GS572" s="27" t="s">
        <v>8</v>
      </c>
    </row>
    <row r="573" spans="1:203" x14ac:dyDescent="0.25">
      <c r="A573" s="7">
        <v>1.3194787630628724</v>
      </c>
      <c r="B573"/>
      <c r="C573"/>
      <c r="D573"/>
      <c r="E573"/>
      <c r="BI573" s="27" t="s">
        <v>8</v>
      </c>
      <c r="BJ573" s="27" t="s">
        <v>7</v>
      </c>
      <c r="BK573" s="27" t="s">
        <v>8</v>
      </c>
      <c r="BL573" s="27" t="s">
        <v>7</v>
      </c>
      <c r="BM573" s="27" t="s">
        <v>8</v>
      </c>
      <c r="BN573" s="27" t="s">
        <v>7</v>
      </c>
      <c r="BW573" s="27" t="s">
        <v>8</v>
      </c>
      <c r="GR573" s="27" t="s">
        <v>7</v>
      </c>
      <c r="GS573" s="27" t="s">
        <v>8</v>
      </c>
    </row>
    <row r="574" spans="1:203" x14ac:dyDescent="0.25">
      <c r="A574" s="7">
        <v>1.2936066304537963</v>
      </c>
      <c r="B574"/>
      <c r="C574"/>
      <c r="D574"/>
      <c r="E574"/>
      <c r="BI574" s="27" t="s">
        <v>8</v>
      </c>
      <c r="BJ574" s="27" t="s">
        <v>7</v>
      </c>
      <c r="BK574" s="27" t="s">
        <v>8</v>
      </c>
      <c r="BL574" s="27" t="s">
        <v>7</v>
      </c>
      <c r="BM574" s="27" t="s">
        <v>8</v>
      </c>
      <c r="BN574" s="27" t="s">
        <v>7</v>
      </c>
      <c r="BW574" s="27" t="s">
        <v>8</v>
      </c>
      <c r="GR574" s="27" t="s">
        <v>7</v>
      </c>
      <c r="GS574" s="27" t="s">
        <v>8</v>
      </c>
    </row>
    <row r="575" spans="1:203" x14ac:dyDescent="0.25">
      <c r="A575" s="7">
        <v>1.2682417945625455</v>
      </c>
      <c r="B575"/>
      <c r="C575"/>
      <c r="D575"/>
      <c r="E575"/>
      <c r="BI575" s="27" t="s">
        <v>8</v>
      </c>
      <c r="BJ575" s="27" t="s">
        <v>7</v>
      </c>
      <c r="BK575" s="27" t="s">
        <v>8</v>
      </c>
      <c r="BL575" s="27" t="s">
        <v>7</v>
      </c>
      <c r="BM575" s="27" t="s">
        <v>8</v>
      </c>
      <c r="BN575" s="27" t="s">
        <v>7</v>
      </c>
      <c r="BQ575" s="27" t="s">
        <v>8</v>
      </c>
      <c r="BW575" s="27" t="s">
        <v>8</v>
      </c>
      <c r="GR575" s="27" t="s">
        <v>7</v>
      </c>
      <c r="GS575" s="27" t="s">
        <v>8</v>
      </c>
    </row>
    <row r="576" spans="1:203" x14ac:dyDescent="0.25">
      <c r="A576" s="7">
        <v>1.2433743083946525</v>
      </c>
      <c r="B576"/>
      <c r="C576"/>
      <c r="D576"/>
      <c r="E576"/>
      <c r="BI576" s="27" t="s">
        <v>8</v>
      </c>
      <c r="BJ576" s="27" t="s">
        <v>7</v>
      </c>
      <c r="BK576" s="27" t="s">
        <v>8</v>
      </c>
      <c r="BL576" s="27" t="s">
        <v>7</v>
      </c>
      <c r="BM576" s="27" t="s">
        <v>8</v>
      </c>
      <c r="BN576" s="27" t="s">
        <v>7</v>
      </c>
      <c r="BQ576" s="27" t="s">
        <v>8</v>
      </c>
      <c r="BR576" s="27" t="s">
        <v>7</v>
      </c>
      <c r="BW576" s="27" t="s">
        <v>8</v>
      </c>
      <c r="GR576" s="27" t="s">
        <v>7</v>
      </c>
      <c r="GS576" s="27" t="s">
        <v>8</v>
      </c>
    </row>
    <row r="577" spans="1:201" x14ac:dyDescent="0.25">
      <c r="A577" s="7">
        <v>1.2189944199947573</v>
      </c>
      <c r="B577"/>
      <c r="C577"/>
      <c r="D577"/>
      <c r="E577"/>
      <c r="BI577" s="27" t="s">
        <v>8</v>
      </c>
      <c r="BJ577" s="27" t="s">
        <v>7</v>
      </c>
      <c r="BK577" s="27" t="s">
        <v>8</v>
      </c>
      <c r="BL577" s="27" t="s">
        <v>7</v>
      </c>
      <c r="BM577" s="27" t="s">
        <v>8</v>
      </c>
      <c r="BN577" s="27" t="s">
        <v>7</v>
      </c>
      <c r="BQ577" s="27" t="s">
        <v>8</v>
      </c>
      <c r="BR577" s="27" t="s">
        <v>7</v>
      </c>
      <c r="BW577" s="27" t="s">
        <v>8</v>
      </c>
      <c r="GR577" s="27" t="s">
        <v>7</v>
      </c>
      <c r="GS577" s="27" t="s">
        <v>8</v>
      </c>
    </row>
    <row r="578" spans="1:201" x14ac:dyDescent="0.25">
      <c r="A578" s="7">
        <v>1.1950925686223111</v>
      </c>
      <c r="B578"/>
      <c r="C578"/>
      <c r="D578"/>
      <c r="E578"/>
      <c r="BI578" s="27" t="s">
        <v>8</v>
      </c>
      <c r="BJ578" s="27" t="s">
        <v>7</v>
      </c>
      <c r="BK578" s="27" t="s">
        <v>8</v>
      </c>
      <c r="BL578" s="27" t="s">
        <v>7</v>
      </c>
      <c r="BM578" s="27" t="s">
        <v>8</v>
      </c>
      <c r="BN578" s="27" t="s">
        <v>7</v>
      </c>
      <c r="BQ578" s="27" t="s">
        <v>8</v>
      </c>
      <c r="BR578" s="27" t="s">
        <v>7</v>
      </c>
      <c r="BS578" s="27" t="s">
        <v>8</v>
      </c>
      <c r="BU578" s="27" t="s">
        <v>8</v>
      </c>
      <c r="BW578" s="27" t="s">
        <v>8</v>
      </c>
      <c r="GR578" s="27" t="s">
        <v>7</v>
      </c>
      <c r="GS578" s="27" t="s">
        <v>8</v>
      </c>
    </row>
    <row r="579" spans="1:201" x14ac:dyDescent="0.25">
      <c r="A579" s="7">
        <v>1.1716593810022657</v>
      </c>
      <c r="B579"/>
      <c r="C579"/>
      <c r="D579"/>
      <c r="E579"/>
      <c r="BI579" s="27" t="s">
        <v>8</v>
      </c>
      <c r="BJ579" s="27" t="s">
        <v>7</v>
      </c>
      <c r="BK579" s="27" t="s">
        <v>8</v>
      </c>
      <c r="BL579" s="27" t="s">
        <v>7</v>
      </c>
      <c r="BM579" s="27" t="s">
        <v>8</v>
      </c>
      <c r="BN579" s="27" t="s">
        <v>7</v>
      </c>
      <c r="BQ579" s="27" t="s">
        <v>8</v>
      </c>
      <c r="BR579" s="27" t="s">
        <v>7</v>
      </c>
      <c r="BS579" s="27" t="s">
        <v>8</v>
      </c>
      <c r="BT579" s="27" t="s">
        <v>7</v>
      </c>
      <c r="BU579" s="27" t="s">
        <v>8</v>
      </c>
      <c r="BV579" s="27" t="s">
        <v>7</v>
      </c>
      <c r="BW579" s="27" t="s">
        <v>8</v>
      </c>
      <c r="GR579" s="27" t="s">
        <v>7</v>
      </c>
      <c r="GS579" s="27" t="s">
        <v>8</v>
      </c>
    </row>
    <row r="580" spans="1:201" x14ac:dyDescent="0.25">
      <c r="A580" s="7">
        <v>1.14868566764928</v>
      </c>
      <c r="B580"/>
      <c r="C580"/>
      <c r="D580"/>
      <c r="E580"/>
      <c r="BI580" s="27" t="s">
        <v>8</v>
      </c>
      <c r="BJ580" s="27" t="s">
        <v>7</v>
      </c>
      <c r="BL580" s="27" t="s">
        <v>7</v>
      </c>
      <c r="BM580" s="27" t="s">
        <v>8</v>
      </c>
      <c r="BN580" s="27" t="s">
        <v>7</v>
      </c>
      <c r="BQ580" s="27" t="s">
        <v>8</v>
      </c>
      <c r="BR580" s="27" t="s">
        <v>7</v>
      </c>
      <c r="BS580" s="27" t="s">
        <v>8</v>
      </c>
      <c r="BT580" s="27" t="s">
        <v>7</v>
      </c>
      <c r="BU580" s="27" t="s">
        <v>8</v>
      </c>
      <c r="BV580" s="27" t="s">
        <v>7</v>
      </c>
      <c r="BW580" s="27" t="s">
        <v>8</v>
      </c>
      <c r="GR580" s="27" t="s">
        <v>7</v>
      </c>
      <c r="GS580" s="27" t="s">
        <v>8</v>
      </c>
    </row>
    <row r="581" spans="1:201" x14ac:dyDescent="0.25">
      <c r="A581" s="7">
        <v>1.1261624192640001</v>
      </c>
      <c r="B581"/>
      <c r="C581"/>
      <c r="D581"/>
      <c r="E581"/>
      <c r="BI581" s="27" t="s">
        <v>8</v>
      </c>
      <c r="BL581" s="27" t="s">
        <v>7</v>
      </c>
      <c r="BM581" s="27" t="s">
        <v>8</v>
      </c>
      <c r="BN581" s="27" t="s">
        <v>7</v>
      </c>
      <c r="BQ581" s="27" t="s">
        <v>8</v>
      </c>
      <c r="BR581" s="27" t="s">
        <v>7</v>
      </c>
      <c r="BS581" s="27" t="s">
        <v>8</v>
      </c>
      <c r="BT581" s="27" t="s">
        <v>7</v>
      </c>
      <c r="BU581" s="27" t="s">
        <v>8</v>
      </c>
      <c r="BV581" s="27" t="s">
        <v>7</v>
      </c>
      <c r="BW581" s="27" t="s">
        <v>8</v>
      </c>
      <c r="GR581" s="27" t="s">
        <v>7</v>
      </c>
      <c r="GS581" s="27" t="s">
        <v>8</v>
      </c>
    </row>
    <row r="582" spans="1:201" x14ac:dyDescent="0.25">
      <c r="A582" s="7">
        <v>1.1040808032</v>
      </c>
      <c r="B582"/>
      <c r="C582"/>
      <c r="D582"/>
      <c r="E582"/>
      <c r="BI582" s="27" t="s">
        <v>8</v>
      </c>
      <c r="BL582" s="27" t="s">
        <v>7</v>
      </c>
      <c r="BM582" s="27" t="s">
        <v>8</v>
      </c>
      <c r="BN582" s="27" t="s">
        <v>7</v>
      </c>
      <c r="BQ582" s="27" t="s">
        <v>8</v>
      </c>
      <c r="BR582" s="27" t="s">
        <v>7</v>
      </c>
      <c r="BS582" s="27" t="s">
        <v>8</v>
      </c>
      <c r="BT582" s="27" t="s">
        <v>7</v>
      </c>
      <c r="BU582" s="27" t="s">
        <v>8</v>
      </c>
      <c r="BV582" s="27" t="s">
        <v>7</v>
      </c>
      <c r="GR582" s="27" t="s">
        <v>7</v>
      </c>
      <c r="GS582" s="27" t="s">
        <v>8</v>
      </c>
    </row>
    <row r="583" spans="1:201" x14ac:dyDescent="0.25">
      <c r="A583" s="7">
        <v>1.08243216</v>
      </c>
      <c r="B583"/>
      <c r="C583"/>
      <c r="D583"/>
      <c r="E583"/>
      <c r="BI583" s="27" t="s">
        <v>8</v>
      </c>
      <c r="BL583" s="27" t="s">
        <v>7</v>
      </c>
      <c r="BM583" s="27" t="s">
        <v>8</v>
      </c>
      <c r="BN583" s="27" t="s">
        <v>7</v>
      </c>
      <c r="BQ583" s="27" t="s">
        <v>8</v>
      </c>
      <c r="BR583" s="27" t="s">
        <v>7</v>
      </c>
      <c r="BT583" s="27" t="s">
        <v>7</v>
      </c>
      <c r="BU583" s="27" t="s">
        <v>8</v>
      </c>
      <c r="GR583" s="27" t="s">
        <v>7</v>
      </c>
      <c r="GS583" s="27" t="s">
        <v>8</v>
      </c>
    </row>
    <row r="584" spans="1:201" x14ac:dyDescent="0.25">
      <c r="A584" s="7">
        <v>1.0612079999999999</v>
      </c>
      <c r="B584"/>
      <c r="C584"/>
      <c r="D584"/>
      <c r="E584"/>
      <c r="BI584" s="27" t="s">
        <v>8</v>
      </c>
      <c r="BL584" s="27" t="s">
        <v>7</v>
      </c>
      <c r="BM584" s="27" t="s">
        <v>8</v>
      </c>
      <c r="BN584" s="27" t="s">
        <v>7</v>
      </c>
      <c r="BQ584" s="27" t="s">
        <v>8</v>
      </c>
      <c r="BT584" s="27" t="s">
        <v>7</v>
      </c>
      <c r="BU584" s="27" t="s">
        <v>8</v>
      </c>
      <c r="GR584" s="27" t="s">
        <v>7</v>
      </c>
      <c r="GS584" s="27" t="s">
        <v>8</v>
      </c>
    </row>
    <row r="585" spans="1:201" x14ac:dyDescent="0.25">
      <c r="A585" s="7">
        <v>1.0404</v>
      </c>
      <c r="B585"/>
      <c r="C585"/>
      <c r="D585"/>
      <c r="E585"/>
      <c r="BI585" s="27" t="s">
        <v>8</v>
      </c>
      <c r="BL585" s="27" t="s">
        <v>7</v>
      </c>
      <c r="BN585" s="27" t="s">
        <v>7</v>
      </c>
      <c r="BO585" s="27" t="s">
        <v>8</v>
      </c>
      <c r="BQ585" s="27" t="s">
        <v>8</v>
      </c>
      <c r="BT585" s="27" t="s">
        <v>7</v>
      </c>
      <c r="BU585" s="27" t="s">
        <v>8</v>
      </c>
      <c r="GR585" s="27" t="s">
        <v>7</v>
      </c>
      <c r="GS585" s="27" t="s">
        <v>8</v>
      </c>
    </row>
    <row r="586" spans="1:201" x14ac:dyDescent="0.25">
      <c r="A586" s="7">
        <v>1.02</v>
      </c>
      <c r="B586"/>
      <c r="C586"/>
      <c r="D586"/>
      <c r="E586"/>
      <c r="BI586" s="27" t="s">
        <v>8</v>
      </c>
      <c r="BN586" s="27" t="s">
        <v>7</v>
      </c>
      <c r="BO586" s="27" t="s">
        <v>8</v>
      </c>
      <c r="BP586" s="27" t="s">
        <v>7</v>
      </c>
      <c r="BQ586" s="27" t="s">
        <v>8</v>
      </c>
      <c r="BT586" s="27" t="s">
        <v>7</v>
      </c>
      <c r="GR586" s="27" t="s">
        <v>7</v>
      </c>
      <c r="GS586" s="27" t="s">
        <v>8</v>
      </c>
    </row>
    <row r="587" spans="1:201" x14ac:dyDescent="0.25">
      <c r="A587" s="7">
        <v>1</v>
      </c>
      <c r="B587"/>
      <c r="C587"/>
      <c r="D587"/>
      <c r="E587" s="29" t="s">
        <v>8</v>
      </c>
      <c r="BI587" s="27" t="s">
        <v>8</v>
      </c>
      <c r="BN587" s="27" t="s">
        <v>7</v>
      </c>
      <c r="BO587" s="27" t="s">
        <v>8</v>
      </c>
      <c r="BP587" s="27" t="s">
        <v>7</v>
      </c>
      <c r="BQ587" s="27" t="s">
        <v>8</v>
      </c>
      <c r="GR587" s="27" t="s">
        <v>7</v>
      </c>
      <c r="GS587" s="27" t="s">
        <v>8</v>
      </c>
    </row>
    <row r="588" spans="1:201" x14ac:dyDescent="0.25">
      <c r="A588" s="7">
        <v>0.98039215686274506</v>
      </c>
      <c r="B588"/>
      <c r="C588"/>
      <c r="D588"/>
      <c r="E588"/>
      <c r="F588" s="27" t="s">
        <v>7</v>
      </c>
      <c r="BG588" s="27" t="s">
        <v>8</v>
      </c>
      <c r="BI588" s="27" t="s">
        <v>8</v>
      </c>
      <c r="BN588" s="27" t="s">
        <v>7</v>
      </c>
      <c r="BO588" s="27" t="s">
        <v>8</v>
      </c>
      <c r="BP588" s="27" t="s">
        <v>7</v>
      </c>
      <c r="BQ588" s="27" t="s">
        <v>8</v>
      </c>
      <c r="GR588" s="27" t="s">
        <v>7</v>
      </c>
      <c r="GS588" s="27" t="s">
        <v>8</v>
      </c>
    </row>
    <row r="589" spans="1:201" x14ac:dyDescent="0.25">
      <c r="A589" s="7">
        <v>0.96116878123798544</v>
      </c>
      <c r="B589"/>
      <c r="C589"/>
      <c r="D589"/>
      <c r="E589"/>
      <c r="F589" s="27" t="s">
        <v>7</v>
      </c>
      <c r="BG589" s="27" t="s">
        <v>8</v>
      </c>
      <c r="BH589" s="27" t="s">
        <v>7</v>
      </c>
      <c r="BI589" s="27" t="s">
        <v>8</v>
      </c>
      <c r="BN589" s="27" t="s">
        <v>7</v>
      </c>
      <c r="BO589" s="27" t="s">
        <v>8</v>
      </c>
      <c r="BP589" s="27" t="s">
        <v>7</v>
      </c>
      <c r="BQ589" s="27" t="s">
        <v>8</v>
      </c>
      <c r="GR589" s="27" t="s">
        <v>7</v>
      </c>
      <c r="GS589" s="27" t="s">
        <v>8</v>
      </c>
    </row>
    <row r="590" spans="1:201" x14ac:dyDescent="0.25">
      <c r="A590" s="7">
        <v>0.94232233454704462</v>
      </c>
      <c r="B590"/>
      <c r="C590"/>
      <c r="D590"/>
      <c r="E590"/>
      <c r="F590" s="27" t="s">
        <v>7</v>
      </c>
      <c r="BE590" s="27" t="s">
        <v>8</v>
      </c>
      <c r="BG590" s="27" t="s">
        <v>8</v>
      </c>
      <c r="BH590" s="27" t="s">
        <v>7</v>
      </c>
      <c r="BI590" s="27" t="s">
        <v>8</v>
      </c>
      <c r="BN590" s="27" t="s">
        <v>7</v>
      </c>
      <c r="BO590" s="27" t="s">
        <v>8</v>
      </c>
      <c r="BP590" s="27" t="s">
        <v>7</v>
      </c>
      <c r="BQ590" s="27" t="s">
        <v>8</v>
      </c>
      <c r="GR590" s="27" t="s">
        <v>7</v>
      </c>
      <c r="GS590" s="27" t="s">
        <v>8</v>
      </c>
    </row>
    <row r="591" spans="1:201" x14ac:dyDescent="0.25">
      <c r="A591" s="7">
        <v>0.92384542602651432</v>
      </c>
      <c r="B591"/>
      <c r="C591"/>
      <c r="D591"/>
      <c r="E591"/>
      <c r="F591" s="27" t="s">
        <v>7</v>
      </c>
      <c r="BE591" s="27" t="s">
        <v>8</v>
      </c>
      <c r="BF591" s="27" t="s">
        <v>7</v>
      </c>
      <c r="BG591" s="27" t="s">
        <v>8</v>
      </c>
      <c r="BH591" s="27" t="s">
        <v>7</v>
      </c>
      <c r="BI591" s="27" t="s">
        <v>8</v>
      </c>
      <c r="BN591" s="27" t="s">
        <v>7</v>
      </c>
      <c r="BO591" s="27" t="s">
        <v>8</v>
      </c>
      <c r="BP591" s="27" t="s">
        <v>7</v>
      </c>
      <c r="BQ591" s="27" t="s">
        <v>8</v>
      </c>
      <c r="GR591" s="27" t="s">
        <v>7</v>
      </c>
      <c r="GS591" s="27" t="s">
        <v>8</v>
      </c>
    </row>
    <row r="592" spans="1:201" x14ac:dyDescent="0.25">
      <c r="A592" s="7">
        <v>0.90573080982991594</v>
      </c>
      <c r="B592"/>
      <c r="C592"/>
      <c r="D592"/>
      <c r="E592"/>
      <c r="F592" s="27" t="s">
        <v>7</v>
      </c>
      <c r="BE592" s="27" t="s">
        <v>8</v>
      </c>
      <c r="BF592" s="27" t="s">
        <v>7</v>
      </c>
      <c r="BG592" s="27" t="s">
        <v>8</v>
      </c>
      <c r="BH592" s="27" t="s">
        <v>7</v>
      </c>
      <c r="BI592" s="27" t="s">
        <v>8</v>
      </c>
      <c r="BN592" s="27" t="s">
        <v>7</v>
      </c>
      <c r="BP592" s="27" t="s">
        <v>7</v>
      </c>
      <c r="BQ592" s="27" t="s">
        <v>8</v>
      </c>
      <c r="GR592" s="27" t="s">
        <v>7</v>
      </c>
      <c r="GS592" s="27" t="s">
        <v>8</v>
      </c>
    </row>
    <row r="593" spans="1:201" x14ac:dyDescent="0.25">
      <c r="A593" s="7">
        <v>0.8879713821861922</v>
      </c>
      <c r="B593"/>
      <c r="C593"/>
      <c r="D593"/>
      <c r="E593"/>
      <c r="F593" s="27" t="s">
        <v>7</v>
      </c>
      <c r="BE593" s="27" t="s">
        <v>8</v>
      </c>
      <c r="BF593" s="27" t="s">
        <v>7</v>
      </c>
      <c r="BG593" s="27" t="s">
        <v>8</v>
      </c>
      <c r="BH593" s="27" t="s">
        <v>7</v>
      </c>
      <c r="BI593" s="27" t="s">
        <v>8</v>
      </c>
      <c r="BP593" s="27" t="s">
        <v>7</v>
      </c>
      <c r="BQ593" s="27" t="s">
        <v>8</v>
      </c>
      <c r="GR593" s="27" t="s">
        <v>7</v>
      </c>
      <c r="GS593" s="27" t="s">
        <v>8</v>
      </c>
    </row>
    <row r="594" spans="1:201" x14ac:dyDescent="0.25">
      <c r="A594" s="7">
        <v>0.87056017861391399</v>
      </c>
      <c r="B594"/>
      <c r="C594"/>
      <c r="D594"/>
      <c r="E594"/>
      <c r="F594" s="27" t="s">
        <v>7</v>
      </c>
      <c r="BE594" s="27" t="s">
        <v>8</v>
      </c>
      <c r="BF594" s="27" t="s">
        <v>7</v>
      </c>
      <c r="BG594" s="27" t="s">
        <v>8</v>
      </c>
      <c r="BH594" s="27" t="s">
        <v>7</v>
      </c>
      <c r="BI594" s="27" t="s">
        <v>8</v>
      </c>
      <c r="BP594" s="27" t="s">
        <v>7</v>
      </c>
      <c r="BQ594" s="27" t="s">
        <v>8</v>
      </c>
      <c r="GR594" s="27" t="s">
        <v>7</v>
      </c>
      <c r="GS594" s="27" t="s">
        <v>8</v>
      </c>
    </row>
    <row r="595" spans="1:201" x14ac:dyDescent="0.25">
      <c r="A595" s="7">
        <v>0.85349037119011173</v>
      </c>
      <c r="B595"/>
      <c r="C595"/>
      <c r="D595"/>
      <c r="E595"/>
      <c r="F595" s="27" t="s">
        <v>7</v>
      </c>
      <c r="BE595" s="27" t="s">
        <v>8</v>
      </c>
      <c r="BF595" s="27" t="s">
        <v>7</v>
      </c>
      <c r="BG595" s="27" t="s">
        <v>8</v>
      </c>
      <c r="BH595" s="27" t="s">
        <v>7</v>
      </c>
      <c r="BP595" s="27" t="s">
        <v>7</v>
      </c>
      <c r="GR595" s="27" t="s">
        <v>7</v>
      </c>
      <c r="GS595" s="27" t="s">
        <v>8</v>
      </c>
    </row>
    <row r="596" spans="1:201" x14ac:dyDescent="0.25">
      <c r="A596" s="7">
        <v>0.83675526587265858</v>
      </c>
      <c r="B596"/>
      <c r="C596"/>
      <c r="D596"/>
      <c r="E596"/>
      <c r="F596" s="27" t="s">
        <v>7</v>
      </c>
      <c r="BE596" s="27" t="s">
        <v>8</v>
      </c>
      <c r="BF596" s="27" t="s">
        <v>7</v>
      </c>
      <c r="BG596" s="27" t="s">
        <v>8</v>
      </c>
      <c r="GR596" s="27" t="s">
        <v>7</v>
      </c>
      <c r="GS596" s="27" t="s">
        <v>8</v>
      </c>
    </row>
    <row r="597" spans="1:201" x14ac:dyDescent="0.25">
      <c r="A597" s="7">
        <v>0.82034829987515545</v>
      </c>
      <c r="B597"/>
      <c r="C597"/>
      <c r="D597"/>
      <c r="E597"/>
      <c r="F597" s="27" t="s">
        <v>7</v>
      </c>
      <c r="BE597" s="27" t="s">
        <v>8</v>
      </c>
      <c r="BF597" s="27" t="s">
        <v>7</v>
      </c>
      <c r="BG597" s="27" t="s">
        <v>8</v>
      </c>
      <c r="GR597" s="27" t="s">
        <v>7</v>
      </c>
      <c r="GS597" s="27" t="s">
        <v>8</v>
      </c>
    </row>
    <row r="598" spans="1:201" x14ac:dyDescent="0.25">
      <c r="A598" s="7">
        <v>0.80426303909328967</v>
      </c>
      <c r="B598"/>
      <c r="C598"/>
      <c r="D598"/>
      <c r="E598"/>
      <c r="F598" s="27" t="s">
        <v>7</v>
      </c>
      <c r="BE598" s="27" t="s">
        <v>8</v>
      </c>
      <c r="BF598" s="27" t="s">
        <v>7</v>
      </c>
      <c r="BG598" s="27" t="s">
        <v>8</v>
      </c>
      <c r="GR598" s="27" t="s">
        <v>7</v>
      </c>
      <c r="GS598" s="27" t="s">
        <v>8</v>
      </c>
    </row>
    <row r="599" spans="1:201" x14ac:dyDescent="0.25">
      <c r="A599" s="7">
        <v>0.78849317558165644</v>
      </c>
      <c r="B599"/>
      <c r="C599"/>
      <c r="D599"/>
      <c r="E599"/>
      <c r="F599" s="27" t="s">
        <v>7</v>
      </c>
      <c r="BE599" s="27" t="s">
        <v>8</v>
      </c>
      <c r="BF599" s="27" t="s">
        <v>7</v>
      </c>
      <c r="BG599" s="27" t="s">
        <v>8</v>
      </c>
      <c r="GR599" s="27" t="s">
        <v>7</v>
      </c>
      <c r="GS599" s="27" t="s">
        <v>8</v>
      </c>
    </row>
    <row r="600" spans="1:201" x14ac:dyDescent="0.25">
      <c r="A600" s="7">
        <v>0.77303252508005538</v>
      </c>
      <c r="B600"/>
      <c r="C600"/>
      <c r="D600"/>
      <c r="E600"/>
      <c r="F600" s="27" t="s">
        <v>7</v>
      </c>
      <c r="BE600" s="27" t="s">
        <v>8</v>
      </c>
      <c r="BF600" s="27" t="s">
        <v>7</v>
      </c>
      <c r="BG600" s="27" t="s">
        <v>8</v>
      </c>
      <c r="GR600" s="27" t="s">
        <v>7</v>
      </c>
      <c r="GS600" s="27" t="s">
        <v>8</v>
      </c>
    </row>
    <row r="601" spans="1:201" x14ac:dyDescent="0.25">
      <c r="A601" s="7">
        <v>0.75787502458828959</v>
      </c>
      <c r="B601"/>
      <c r="C601"/>
      <c r="D601"/>
      <c r="E601"/>
      <c r="F601" s="27" t="s">
        <v>7</v>
      </c>
      <c r="BE601" s="27" t="s">
        <v>8</v>
      </c>
      <c r="BF601" s="27" t="s">
        <v>7</v>
      </c>
      <c r="GR601" s="27" t="s">
        <v>7</v>
      </c>
      <c r="GS601" s="27" t="s">
        <v>8</v>
      </c>
    </row>
    <row r="602" spans="1:201" x14ac:dyDescent="0.25">
      <c r="A602" s="7">
        <v>0.74301472998851925</v>
      </c>
      <c r="B602"/>
      <c r="C602"/>
      <c r="D602"/>
      <c r="E602"/>
      <c r="F602" s="27" t="s">
        <v>7</v>
      </c>
      <c r="BC602" s="27" t="s">
        <v>8</v>
      </c>
      <c r="BE602" s="27" t="s">
        <v>8</v>
      </c>
      <c r="GR602" s="27" t="s">
        <v>7</v>
      </c>
      <c r="GS602" s="27" t="s">
        <v>8</v>
      </c>
    </row>
    <row r="603" spans="1:201" x14ac:dyDescent="0.25">
      <c r="A603" s="7">
        <v>0.72844581371423456</v>
      </c>
      <c r="B603"/>
      <c r="C603"/>
      <c r="D603"/>
      <c r="E603"/>
      <c r="F603" s="27" t="s">
        <v>7</v>
      </c>
      <c r="BC603" s="27" t="s">
        <v>8</v>
      </c>
      <c r="BD603" s="27" t="s">
        <v>7</v>
      </c>
      <c r="BE603" s="27" t="s">
        <v>8</v>
      </c>
      <c r="GR603" s="27" t="s">
        <v>7</v>
      </c>
      <c r="GS603" s="27" t="s">
        <v>8</v>
      </c>
    </row>
    <row r="604" spans="1:201" x14ac:dyDescent="0.25">
      <c r="A604" s="7">
        <v>0.71416256246493581</v>
      </c>
      <c r="B604"/>
      <c r="C604"/>
      <c r="D604"/>
      <c r="E604"/>
      <c r="F604" s="27" t="s">
        <v>7</v>
      </c>
      <c r="BC604" s="27" t="s">
        <v>8</v>
      </c>
      <c r="BD604" s="27" t="s">
        <v>7</v>
      </c>
      <c r="BE604" s="27" t="s">
        <v>8</v>
      </c>
      <c r="GR604" s="27" t="s">
        <v>7</v>
      </c>
      <c r="GS604" s="27" t="s">
        <v>8</v>
      </c>
    </row>
    <row r="605" spans="1:201" x14ac:dyDescent="0.25">
      <c r="A605" s="7">
        <v>0.7001593749656233</v>
      </c>
      <c r="B605"/>
      <c r="C605"/>
      <c r="D605"/>
      <c r="E605"/>
      <c r="F605" s="27" t="s">
        <v>7</v>
      </c>
      <c r="BC605" s="27" t="s">
        <v>8</v>
      </c>
      <c r="BD605" s="27" t="s">
        <v>7</v>
      </c>
      <c r="BE605" s="27" t="s">
        <v>8</v>
      </c>
      <c r="GR605" s="27" t="s">
        <v>7</v>
      </c>
      <c r="GS605" s="27" t="s">
        <v>8</v>
      </c>
    </row>
    <row r="606" spans="1:201" x14ac:dyDescent="0.25">
      <c r="A606" s="7">
        <v>0.68643075977021883</v>
      </c>
      <c r="B606"/>
      <c r="C606"/>
      <c r="D606"/>
      <c r="E606"/>
      <c r="F606" s="27" t="s">
        <v>7</v>
      </c>
      <c r="BC606" s="27" t="s">
        <v>8</v>
      </c>
      <c r="BD606" s="27" t="s">
        <v>7</v>
      </c>
      <c r="BE606" s="27" t="s">
        <v>8</v>
      </c>
      <c r="GR606" s="27" t="s">
        <v>7</v>
      </c>
      <c r="GS606" s="27" t="s">
        <v>8</v>
      </c>
    </row>
    <row r="607" spans="1:201" x14ac:dyDescent="0.25">
      <c r="A607" s="7">
        <v>0.67297133310805768</v>
      </c>
      <c r="B607"/>
      <c r="C607"/>
      <c r="D607"/>
      <c r="E607"/>
      <c r="F607" s="27" t="s">
        <v>7</v>
      </c>
      <c r="BC607" s="27" t="s">
        <v>8</v>
      </c>
      <c r="BD607" s="27" t="s">
        <v>7</v>
      </c>
      <c r="BE607" s="27" t="s">
        <v>8</v>
      </c>
      <c r="GR607" s="27" t="s">
        <v>7</v>
      </c>
      <c r="GS607" s="27" t="s">
        <v>8</v>
      </c>
    </row>
    <row r="608" spans="1:201" x14ac:dyDescent="0.25">
      <c r="A608" s="7">
        <v>0.65977581677260566</v>
      </c>
      <c r="B608"/>
      <c r="C608"/>
      <c r="D608"/>
      <c r="E608"/>
      <c r="F608" s="27" t="s">
        <v>7</v>
      </c>
      <c r="BC608" s="27" t="s">
        <v>8</v>
      </c>
      <c r="BD608" s="27" t="s">
        <v>7</v>
      </c>
      <c r="BE608" s="27" t="s">
        <v>8</v>
      </c>
      <c r="GR608" s="27" t="s">
        <v>7</v>
      </c>
      <c r="GS608" s="27" t="s">
        <v>8</v>
      </c>
    </row>
    <row r="609" spans="1:201" x14ac:dyDescent="0.25">
      <c r="A609" s="7">
        <v>0.64683903605157422</v>
      </c>
      <c r="B609"/>
      <c r="C609"/>
      <c r="D609"/>
      <c r="E609"/>
      <c r="F609" s="27" t="s">
        <v>7</v>
      </c>
      <c r="BC609" s="27" t="s">
        <v>8</v>
      </c>
      <c r="BD609" s="27" t="s">
        <v>7</v>
      </c>
      <c r="BE609" s="27" t="s">
        <v>8</v>
      </c>
      <c r="GR609" s="27" t="s">
        <v>7</v>
      </c>
      <c r="GS609" s="27" t="s">
        <v>8</v>
      </c>
    </row>
    <row r="610" spans="1:201" x14ac:dyDescent="0.25">
      <c r="A610" s="7">
        <v>0.63415591769762181</v>
      </c>
      <c r="B610"/>
      <c r="C610"/>
      <c r="D610"/>
      <c r="E610"/>
      <c r="F610" s="27" t="s">
        <v>7</v>
      </c>
      <c r="BC610" s="27" t="s">
        <v>8</v>
      </c>
      <c r="BD610" s="27" t="s">
        <v>7</v>
      </c>
      <c r="GR610" s="27" t="s">
        <v>7</v>
      </c>
      <c r="GS610" s="27" t="s">
        <v>8</v>
      </c>
    </row>
    <row r="611" spans="1:201" x14ac:dyDescent="0.25">
      <c r="A611" s="7">
        <v>0.62172148793884496</v>
      </c>
      <c r="B611"/>
      <c r="C611"/>
      <c r="D611"/>
      <c r="E611"/>
      <c r="F611" s="27" t="s">
        <v>7</v>
      </c>
      <c r="BC611" s="27" t="s">
        <v>8</v>
      </c>
      <c r="GR611" s="27" t="s">
        <v>7</v>
      </c>
      <c r="GS611" s="27" t="s">
        <v>8</v>
      </c>
    </row>
    <row r="612" spans="1:201" x14ac:dyDescent="0.25">
      <c r="A612" s="7">
        <v>0.60953087052827937</v>
      </c>
      <c r="B612"/>
      <c r="C612"/>
      <c r="D612"/>
      <c r="E612"/>
      <c r="F612" s="27" t="s">
        <v>7</v>
      </c>
      <c r="BA612" s="27" t="s">
        <v>8</v>
      </c>
      <c r="BC612" s="27" t="s">
        <v>8</v>
      </c>
      <c r="GR612" s="27" t="s">
        <v>7</v>
      </c>
      <c r="GS612" s="27" t="s">
        <v>8</v>
      </c>
    </row>
    <row r="613" spans="1:201" x14ac:dyDescent="0.25">
      <c r="A613" s="7">
        <v>0.59757928483164646</v>
      </c>
      <c r="B613"/>
      <c r="C613"/>
      <c r="D613"/>
      <c r="E613"/>
      <c r="F613" s="27" t="s">
        <v>7</v>
      </c>
      <c r="AK613" s="27" t="s">
        <v>8</v>
      </c>
      <c r="BA613" s="27" t="s">
        <v>8</v>
      </c>
      <c r="BB613" s="27" t="s">
        <v>7</v>
      </c>
      <c r="BC613" s="27" t="s">
        <v>8</v>
      </c>
      <c r="GR613" s="27" t="s">
        <v>7</v>
      </c>
      <c r="GS613" s="27" t="s">
        <v>8</v>
      </c>
    </row>
    <row r="614" spans="1:201" x14ac:dyDescent="0.25">
      <c r="A614" s="7">
        <v>0.58586204395259456</v>
      </c>
      <c r="B614"/>
      <c r="C614"/>
      <c r="D614"/>
      <c r="E614"/>
      <c r="F614" s="27" t="s">
        <v>7</v>
      </c>
      <c r="AK614" s="27" t="s">
        <v>8</v>
      </c>
      <c r="AL614" s="27" t="s">
        <v>7</v>
      </c>
      <c r="AO614" s="27" t="s">
        <v>8</v>
      </c>
      <c r="BA614" s="27" t="s">
        <v>8</v>
      </c>
      <c r="BB614" s="27" t="s">
        <v>7</v>
      </c>
      <c r="BC614" s="27" t="s">
        <v>8</v>
      </c>
      <c r="GR614" s="27" t="s">
        <v>7</v>
      </c>
      <c r="GS614" s="27" t="s">
        <v>8</v>
      </c>
    </row>
    <row r="615" spans="1:201" x14ac:dyDescent="0.25">
      <c r="A615" s="7">
        <v>0.57437455289470052</v>
      </c>
      <c r="B615"/>
      <c r="C615"/>
      <c r="D615"/>
      <c r="E615"/>
      <c r="F615" s="27" t="s">
        <v>7</v>
      </c>
      <c r="AK615" s="27" t="s">
        <v>8</v>
      </c>
      <c r="AL615" s="27" t="s">
        <v>7</v>
      </c>
      <c r="AM615" s="27" t="s">
        <v>8</v>
      </c>
      <c r="AO615" s="27" t="s">
        <v>8</v>
      </c>
      <c r="AP615" s="27" t="s">
        <v>7</v>
      </c>
      <c r="BA615" s="27" t="s">
        <v>8</v>
      </c>
      <c r="BB615" s="27" t="s">
        <v>7</v>
      </c>
      <c r="BC615" s="27" t="s">
        <v>8</v>
      </c>
      <c r="GR615" s="27" t="s">
        <v>7</v>
      </c>
      <c r="GS615" s="27" t="s">
        <v>8</v>
      </c>
    </row>
    <row r="616" spans="1:201" x14ac:dyDescent="0.25">
      <c r="A616" s="7">
        <v>0.56311230675951029</v>
      </c>
      <c r="B616"/>
      <c r="C616"/>
      <c r="D616"/>
      <c r="E616"/>
      <c r="F616" s="27" t="s">
        <v>7</v>
      </c>
      <c r="I616" s="27" t="s">
        <v>8</v>
      </c>
      <c r="AK616" s="27" t="s">
        <v>8</v>
      </c>
      <c r="AL616" s="27" t="s">
        <v>7</v>
      </c>
      <c r="AM616" s="27" t="s">
        <v>8</v>
      </c>
      <c r="AN616" s="27" t="s">
        <v>7</v>
      </c>
      <c r="AO616" s="27" t="s">
        <v>8</v>
      </c>
      <c r="AP616" s="27" t="s">
        <v>7</v>
      </c>
      <c r="BA616" s="27" t="s">
        <v>8</v>
      </c>
      <c r="BB616" s="27" t="s">
        <v>7</v>
      </c>
      <c r="BC616" s="27" t="s">
        <v>8</v>
      </c>
      <c r="GR616" s="27" t="s">
        <v>7</v>
      </c>
      <c r="GS616" s="27" t="s">
        <v>8</v>
      </c>
    </row>
    <row r="617" spans="1:201" x14ac:dyDescent="0.25">
      <c r="A617" s="7">
        <v>0.55207088897991208</v>
      </c>
      <c r="B617"/>
      <c r="C617"/>
      <c r="D617"/>
      <c r="E617"/>
      <c r="F617" s="27" t="s">
        <v>7</v>
      </c>
      <c r="I617" s="27" t="s">
        <v>8</v>
      </c>
      <c r="J617" s="27" t="s">
        <v>7</v>
      </c>
      <c r="AK617" s="27" t="s">
        <v>8</v>
      </c>
      <c r="AL617" s="27" t="s">
        <v>7</v>
      </c>
      <c r="AM617" s="27" t="s">
        <v>8</v>
      </c>
      <c r="AN617" s="27" t="s">
        <v>7</v>
      </c>
      <c r="AO617" s="27" t="s">
        <v>8</v>
      </c>
      <c r="AP617" s="27" t="s">
        <v>7</v>
      </c>
      <c r="BA617" s="27" t="s">
        <v>8</v>
      </c>
      <c r="BB617" s="27" t="s">
        <v>7</v>
      </c>
      <c r="BC617" s="27" t="s">
        <v>8</v>
      </c>
      <c r="GR617" s="27" t="s">
        <v>7</v>
      </c>
      <c r="GS617" s="27" t="s">
        <v>8</v>
      </c>
    </row>
    <row r="618" spans="1:201" x14ac:dyDescent="0.25">
      <c r="A618" s="7">
        <v>0.54124596958814908</v>
      </c>
      <c r="B618"/>
      <c r="C618"/>
      <c r="D618"/>
      <c r="E618"/>
      <c r="F618" s="27" t="s">
        <v>7</v>
      </c>
      <c r="I618" s="27" t="s">
        <v>8</v>
      </c>
      <c r="J618" s="27" t="s">
        <v>7</v>
      </c>
      <c r="AE618" s="27" t="s">
        <v>8</v>
      </c>
      <c r="AK618" s="27" t="s">
        <v>8</v>
      </c>
      <c r="AL618" s="27" t="s">
        <v>7</v>
      </c>
      <c r="AM618" s="27" t="s">
        <v>8</v>
      </c>
      <c r="AN618" s="27" t="s">
        <v>7</v>
      </c>
      <c r="AP618" s="27" t="s">
        <v>7</v>
      </c>
      <c r="AQ618" s="27" t="s">
        <v>8</v>
      </c>
      <c r="BA618" s="27" t="s">
        <v>8</v>
      </c>
      <c r="BB618" s="27" t="s">
        <v>7</v>
      </c>
      <c r="BC618" s="27" t="s">
        <v>8</v>
      </c>
      <c r="GR618" s="27" t="s">
        <v>7</v>
      </c>
      <c r="GS618" s="27" t="s">
        <v>8</v>
      </c>
    </row>
    <row r="619" spans="1:201" x14ac:dyDescent="0.25">
      <c r="A619" s="7">
        <v>0.53063330351779314</v>
      </c>
      <c r="B619"/>
      <c r="C619"/>
      <c r="D619"/>
      <c r="E619"/>
      <c r="F619" s="27" t="s">
        <v>7</v>
      </c>
      <c r="I619" s="27" t="s">
        <v>8</v>
      </c>
      <c r="J619" s="27" t="s">
        <v>7</v>
      </c>
      <c r="AE619" s="27" t="s">
        <v>8</v>
      </c>
      <c r="AF619" s="27" t="s">
        <v>7</v>
      </c>
      <c r="AK619" s="27" t="s">
        <v>8</v>
      </c>
      <c r="AL619" s="27" t="s">
        <v>7</v>
      </c>
      <c r="AM619" s="27" t="s">
        <v>8</v>
      </c>
      <c r="AP619" s="27" t="s">
        <v>7</v>
      </c>
      <c r="AQ619" s="27" t="s">
        <v>8</v>
      </c>
      <c r="AR619" s="27" t="s">
        <v>7</v>
      </c>
      <c r="AS619" s="27" t="s">
        <v>8</v>
      </c>
      <c r="BA619" s="27" t="s">
        <v>8</v>
      </c>
      <c r="BB619" s="27" t="s">
        <v>7</v>
      </c>
      <c r="GR619" s="27" t="s">
        <v>7</v>
      </c>
      <c r="GS619" s="27" t="s">
        <v>8</v>
      </c>
    </row>
    <row r="620" spans="1:201" x14ac:dyDescent="0.25">
      <c r="A620" s="7">
        <v>0.52022872893901284</v>
      </c>
      <c r="B620"/>
      <c r="C620"/>
      <c r="D620"/>
      <c r="E620"/>
      <c r="F620" s="27" t="s">
        <v>7</v>
      </c>
      <c r="I620" s="27" t="s">
        <v>8</v>
      </c>
      <c r="J620" s="27" t="s">
        <v>7</v>
      </c>
      <c r="AE620" s="27" t="s">
        <v>8</v>
      </c>
      <c r="AF620" s="27" t="s">
        <v>7</v>
      </c>
      <c r="AK620" s="27" t="s">
        <v>8</v>
      </c>
      <c r="AL620" s="27" t="s">
        <v>7</v>
      </c>
      <c r="AP620" s="27" t="s">
        <v>7</v>
      </c>
      <c r="AQ620" s="27" t="s">
        <v>8</v>
      </c>
      <c r="AR620" s="27" t="s">
        <v>7</v>
      </c>
      <c r="AS620" s="27" t="s">
        <v>8</v>
      </c>
      <c r="AT620" s="27" t="s">
        <v>7</v>
      </c>
      <c r="AY620" s="27" t="s">
        <v>8</v>
      </c>
      <c r="BA620" s="27" t="s">
        <v>8</v>
      </c>
      <c r="GR620" s="27" t="s">
        <v>7</v>
      </c>
      <c r="GS620" s="27" t="s">
        <v>8</v>
      </c>
    </row>
    <row r="621" spans="1:201" x14ac:dyDescent="0.25">
      <c r="A621" s="7">
        <v>0.51002816562648323</v>
      </c>
      <c r="B621"/>
      <c r="C621"/>
      <c r="D621"/>
      <c r="E621"/>
      <c r="F621" s="27" t="s">
        <v>7</v>
      </c>
      <c r="I621" s="27" t="s">
        <v>8</v>
      </c>
      <c r="J621" s="27" t="s">
        <v>7</v>
      </c>
      <c r="K621" s="27" t="s">
        <v>8</v>
      </c>
      <c r="AC621" s="27" t="s">
        <v>8</v>
      </c>
      <c r="AE621" s="27" t="s">
        <v>8</v>
      </c>
      <c r="AF621" s="27" t="s">
        <v>7</v>
      </c>
      <c r="AK621" s="27" t="s">
        <v>8</v>
      </c>
      <c r="AP621" s="27" t="s">
        <v>7</v>
      </c>
      <c r="AQ621" s="27" t="s">
        <v>8</v>
      </c>
      <c r="AR621" s="27" t="s">
        <v>7</v>
      </c>
      <c r="AS621" s="27" t="s">
        <v>8</v>
      </c>
      <c r="AT621" s="27" t="s">
        <v>7</v>
      </c>
      <c r="AU621" s="27" t="s">
        <v>8</v>
      </c>
      <c r="AY621" s="27" t="s">
        <v>8</v>
      </c>
      <c r="AZ621" s="27" t="s">
        <v>7</v>
      </c>
      <c r="BA621" s="27" t="s">
        <v>8</v>
      </c>
      <c r="GR621" s="27" t="s">
        <v>7</v>
      </c>
      <c r="GS621" s="27" t="s">
        <v>8</v>
      </c>
    </row>
    <row r="622" spans="1:201" x14ac:dyDescent="0.25">
      <c r="A622" s="7">
        <v>0.50002761335929735</v>
      </c>
      <c r="B622"/>
      <c r="C622"/>
      <c r="D622"/>
      <c r="E622"/>
      <c r="F622" s="27" t="s">
        <v>7</v>
      </c>
      <c r="I622" s="27" t="s">
        <v>8</v>
      </c>
      <c r="J622" s="27" t="s">
        <v>7</v>
      </c>
      <c r="K622" s="27" t="s">
        <v>8</v>
      </c>
      <c r="L622" s="27" t="s">
        <v>7</v>
      </c>
      <c r="AC622" s="27" t="s">
        <v>8</v>
      </c>
      <c r="AD622" s="27" t="s">
        <v>7</v>
      </c>
      <c r="AE622" s="27" t="s">
        <v>8</v>
      </c>
      <c r="AF622" s="27" t="s">
        <v>7</v>
      </c>
      <c r="AG622" s="27" t="s">
        <v>8</v>
      </c>
      <c r="AK622" s="27" t="s">
        <v>8</v>
      </c>
      <c r="AP622" s="27" t="s">
        <v>7</v>
      </c>
      <c r="AQ622" s="27" t="s">
        <v>8</v>
      </c>
      <c r="AR622" s="27" t="s">
        <v>7</v>
      </c>
      <c r="AS622" s="27" t="s">
        <v>8</v>
      </c>
      <c r="AT622" s="27" t="s">
        <v>7</v>
      </c>
      <c r="AU622" s="27" t="s">
        <v>8</v>
      </c>
      <c r="AV622" s="27" t="s">
        <v>7</v>
      </c>
      <c r="AY622" s="27" t="s">
        <v>8</v>
      </c>
      <c r="AZ622" s="27" t="s">
        <v>7</v>
      </c>
      <c r="BA622" s="27" t="s">
        <v>8</v>
      </c>
      <c r="GR622" s="27" t="s">
        <v>7</v>
      </c>
      <c r="GS622" s="27" t="s">
        <v>8</v>
      </c>
    </row>
    <row r="623" spans="1:201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I623" s="27" t="s">
        <v>8</v>
      </c>
      <c r="J623" s="27" t="s">
        <v>7</v>
      </c>
      <c r="K623" s="27" t="s">
        <v>8</v>
      </c>
      <c r="L623" s="27" t="s">
        <v>7</v>
      </c>
      <c r="AC623" s="27" t="s">
        <v>8</v>
      </c>
      <c r="AD623" s="27" t="s">
        <v>7</v>
      </c>
      <c r="AE623" s="27" t="s">
        <v>8</v>
      </c>
      <c r="AF623" s="27" t="s">
        <v>7</v>
      </c>
      <c r="AG623" s="27" t="s">
        <v>8</v>
      </c>
      <c r="AH623" s="27" t="s">
        <v>7</v>
      </c>
      <c r="AI623" s="27" t="s">
        <v>8</v>
      </c>
      <c r="AK623" s="27" t="s">
        <v>8</v>
      </c>
      <c r="AP623" s="27" t="s">
        <v>7</v>
      </c>
      <c r="AQ623" s="27" t="s">
        <v>8</v>
      </c>
      <c r="AR623" s="27" t="s">
        <v>7</v>
      </c>
      <c r="AS623" s="27" t="s">
        <v>8</v>
      </c>
      <c r="AT623" s="27" t="s">
        <v>7</v>
      </c>
      <c r="AU623" s="27" t="s">
        <v>8</v>
      </c>
      <c r="AV623" s="27" t="s">
        <v>7</v>
      </c>
      <c r="AY623" s="27" t="s">
        <v>8</v>
      </c>
      <c r="AZ623" s="27" t="s">
        <v>7</v>
      </c>
      <c r="BA623" s="27" t="s">
        <v>8</v>
      </c>
      <c r="GR623" s="27" t="s">
        <v>7</v>
      </c>
      <c r="GS623" s="27" t="s">
        <v>8</v>
      </c>
    </row>
    <row r="624" spans="1:201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H624" s="27" t="s">
        <v>7</v>
      </c>
      <c r="I624" s="27" t="s">
        <v>8</v>
      </c>
      <c r="J624" s="27" t="s">
        <v>7</v>
      </c>
      <c r="K624" s="27" t="s">
        <v>8</v>
      </c>
      <c r="L624" s="27" t="s">
        <v>7</v>
      </c>
      <c r="S624" s="27" t="s">
        <v>8</v>
      </c>
      <c r="U624" s="27" t="s">
        <v>8</v>
      </c>
      <c r="AC624" s="27" t="s">
        <v>8</v>
      </c>
      <c r="AD624" s="27" t="s">
        <v>7</v>
      </c>
      <c r="AE624" s="27" t="s">
        <v>8</v>
      </c>
      <c r="AF624" s="27" t="s">
        <v>7</v>
      </c>
      <c r="AG624" s="27" t="s">
        <v>8</v>
      </c>
      <c r="AH624" s="27" t="s">
        <v>7</v>
      </c>
      <c r="AI624" s="27" t="s">
        <v>8</v>
      </c>
      <c r="AJ624" s="27" t="s">
        <v>7</v>
      </c>
      <c r="AK624" s="27" t="s">
        <v>8</v>
      </c>
      <c r="AP624" s="27" t="s">
        <v>7</v>
      </c>
      <c r="AQ624" s="27" t="s">
        <v>8</v>
      </c>
      <c r="AR624" s="27" t="s">
        <v>7</v>
      </c>
      <c r="AT624" s="27" t="s">
        <v>7</v>
      </c>
      <c r="AV624" s="27" t="s">
        <v>7</v>
      </c>
      <c r="AY624" s="27" t="s">
        <v>8</v>
      </c>
      <c r="AZ624" s="27" t="s">
        <v>7</v>
      </c>
      <c r="GR624" s="27" t="s">
        <v>7</v>
      </c>
      <c r="GS624" s="27" t="s">
        <v>8</v>
      </c>
    </row>
    <row r="625" spans="1:201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H625" s="27" t="s">
        <v>7</v>
      </c>
      <c r="I625" s="27" t="s">
        <v>8</v>
      </c>
      <c r="J625" s="27" t="s">
        <v>7</v>
      </c>
      <c r="K625" s="27" t="s">
        <v>8</v>
      </c>
      <c r="L625" s="27" t="s">
        <v>7</v>
      </c>
      <c r="S625" s="27" t="s">
        <v>8</v>
      </c>
      <c r="T625" s="27" t="s">
        <v>7</v>
      </c>
      <c r="U625" s="27" t="s">
        <v>8</v>
      </c>
      <c r="V625" s="27" t="s">
        <v>7</v>
      </c>
      <c r="W625" s="27" t="s">
        <v>8</v>
      </c>
      <c r="Y625" s="27" t="s">
        <v>8</v>
      </c>
      <c r="AC625" s="27" t="s">
        <v>8</v>
      </c>
      <c r="AD625" s="27" t="s">
        <v>7</v>
      </c>
      <c r="AE625" s="27" t="s">
        <v>8</v>
      </c>
      <c r="AF625" s="27" t="s">
        <v>7</v>
      </c>
      <c r="AG625" s="27" t="s">
        <v>8</v>
      </c>
      <c r="AH625" s="27" t="s">
        <v>7</v>
      </c>
      <c r="AI625" s="27" t="s">
        <v>8</v>
      </c>
      <c r="AJ625" s="27" t="s">
        <v>7</v>
      </c>
      <c r="AK625" s="27" t="s">
        <v>8</v>
      </c>
      <c r="AP625" s="27" t="s">
        <v>7</v>
      </c>
      <c r="AQ625" s="27" t="s">
        <v>8</v>
      </c>
      <c r="AV625" s="27" t="s">
        <v>7</v>
      </c>
      <c r="AY625" s="27" t="s">
        <v>8</v>
      </c>
      <c r="GR625" s="27" t="s">
        <v>7</v>
      </c>
      <c r="GS625" s="27" t="s">
        <v>8</v>
      </c>
    </row>
    <row r="626" spans="1:201" x14ac:dyDescent="0.25">
      <c r="A626" s="7">
        <v>0.46194822348894116</v>
      </c>
      <c r="B626"/>
      <c r="C626"/>
      <c r="D626"/>
      <c r="E626"/>
      <c r="F626" s="27" t="s">
        <v>7</v>
      </c>
      <c r="H626" s="27" t="s">
        <v>7</v>
      </c>
      <c r="J626" s="27" t="s">
        <v>7</v>
      </c>
      <c r="K626" s="27" t="s">
        <v>8</v>
      </c>
      <c r="L626" s="27" t="s">
        <v>7</v>
      </c>
      <c r="M626" s="27" t="s">
        <v>8</v>
      </c>
      <c r="S626" s="27" t="s">
        <v>8</v>
      </c>
      <c r="T626" s="27" t="s">
        <v>7</v>
      </c>
      <c r="U626" s="27" t="s">
        <v>8</v>
      </c>
      <c r="V626" s="27" t="s">
        <v>7</v>
      </c>
      <c r="W626" s="27" t="s">
        <v>8</v>
      </c>
      <c r="X626" s="27" t="s">
        <v>7</v>
      </c>
      <c r="Y626" s="27" t="s">
        <v>8</v>
      </c>
      <c r="Z626" s="27" t="s">
        <v>7</v>
      </c>
      <c r="AC626" s="27" t="s">
        <v>8</v>
      </c>
      <c r="AD626" s="27" t="s">
        <v>7</v>
      </c>
      <c r="AE626" s="27" t="s">
        <v>8</v>
      </c>
      <c r="AF626" s="27" t="s">
        <v>7</v>
      </c>
      <c r="AG626" s="27" t="s">
        <v>8</v>
      </c>
      <c r="AH626" s="27" t="s">
        <v>7</v>
      </c>
      <c r="AI626" s="27" t="s">
        <v>8</v>
      </c>
      <c r="AJ626" s="27" t="s">
        <v>7</v>
      </c>
      <c r="AK626" s="27" t="s">
        <v>8</v>
      </c>
      <c r="AP626" s="27" t="s">
        <v>7</v>
      </c>
      <c r="AV626" s="27" t="s">
        <v>7</v>
      </c>
      <c r="AW626" s="27" t="s">
        <v>8</v>
      </c>
      <c r="AY626" s="27" t="s">
        <v>8</v>
      </c>
      <c r="GR626" s="27" t="s">
        <v>7</v>
      </c>
      <c r="GS626" s="27" t="s">
        <v>8</v>
      </c>
    </row>
    <row r="627" spans="1:201" x14ac:dyDescent="0.25">
      <c r="A627" s="7">
        <v>0.45289041518523643</v>
      </c>
      <c r="B627"/>
      <c r="C627"/>
      <c r="D627"/>
      <c r="E627"/>
      <c r="J627" s="27" t="s">
        <v>7</v>
      </c>
      <c r="L627" s="27" t="s">
        <v>7</v>
      </c>
      <c r="M627" s="27" t="s">
        <v>8</v>
      </c>
      <c r="N627" s="27" t="s">
        <v>7</v>
      </c>
      <c r="S627" s="27" t="s">
        <v>8</v>
      </c>
      <c r="T627" s="27" t="s">
        <v>7</v>
      </c>
      <c r="U627" s="27" t="s">
        <v>8</v>
      </c>
      <c r="V627" s="27" t="s">
        <v>7</v>
      </c>
      <c r="W627" s="27" t="s">
        <v>8</v>
      </c>
      <c r="X627" s="27" t="s">
        <v>7</v>
      </c>
      <c r="Y627" s="27" t="s">
        <v>8</v>
      </c>
      <c r="Z627" s="27" t="s">
        <v>7</v>
      </c>
      <c r="AC627" s="27" t="s">
        <v>8</v>
      </c>
      <c r="AD627" s="27" t="s">
        <v>7</v>
      </c>
      <c r="AF627" s="27" t="s">
        <v>7</v>
      </c>
      <c r="AG627" s="27" t="s">
        <v>8</v>
      </c>
      <c r="AH627" s="27" t="s">
        <v>7</v>
      </c>
      <c r="AI627" s="27" t="s">
        <v>8</v>
      </c>
      <c r="AJ627" s="27" t="s">
        <v>7</v>
      </c>
      <c r="AV627" s="27" t="s">
        <v>7</v>
      </c>
      <c r="AW627" s="27" t="s">
        <v>8</v>
      </c>
      <c r="AX627" s="27" t="s">
        <v>7</v>
      </c>
      <c r="AY627" s="27" t="s">
        <v>8</v>
      </c>
      <c r="GR627" s="27" t="s">
        <v>7</v>
      </c>
      <c r="GS627" s="27" t="s">
        <v>8</v>
      </c>
    </row>
    <row r="628" spans="1:201" x14ac:dyDescent="0.25">
      <c r="A628" s="7">
        <v>0.44401021096591808</v>
      </c>
      <c r="B628"/>
      <c r="C628"/>
      <c r="D628"/>
      <c r="E628"/>
      <c r="L628" s="27" t="s">
        <v>7</v>
      </c>
      <c r="M628" s="27" t="s">
        <v>8</v>
      </c>
      <c r="N628" s="27" t="s">
        <v>7</v>
      </c>
      <c r="S628" s="27" t="s">
        <v>8</v>
      </c>
      <c r="T628" s="27" t="s">
        <v>7</v>
      </c>
      <c r="U628" s="27" t="s">
        <v>8</v>
      </c>
      <c r="V628" s="27" t="s">
        <v>7</v>
      </c>
      <c r="X628" s="27" t="s">
        <v>7</v>
      </c>
      <c r="Y628" s="27" t="s">
        <v>8</v>
      </c>
      <c r="Z628" s="27" t="s">
        <v>7</v>
      </c>
      <c r="AA628" s="27" t="s">
        <v>8</v>
      </c>
      <c r="AC628" s="27" t="s">
        <v>8</v>
      </c>
      <c r="AF628" s="27" t="s">
        <v>7</v>
      </c>
      <c r="AH628" s="27" t="s">
        <v>7</v>
      </c>
      <c r="AI628" s="27" t="s">
        <v>8</v>
      </c>
      <c r="AV628" s="27" t="s">
        <v>7</v>
      </c>
      <c r="AW628" s="27" t="s">
        <v>8</v>
      </c>
      <c r="AX628" s="27" t="s">
        <v>7</v>
      </c>
      <c r="AY628" s="27" t="s">
        <v>8</v>
      </c>
      <c r="GR628" s="27" t="s">
        <v>7</v>
      </c>
      <c r="GS628" s="27" t="s">
        <v>8</v>
      </c>
    </row>
    <row r="629" spans="1:201" x14ac:dyDescent="0.25">
      <c r="A629" s="7">
        <v>0.4353041283979589</v>
      </c>
      <c r="B629"/>
      <c r="C629"/>
      <c r="D629"/>
      <c r="E629"/>
      <c r="L629" s="27" t="s">
        <v>7</v>
      </c>
      <c r="M629" s="27" t="s">
        <v>8</v>
      </c>
      <c r="N629" s="27" t="s">
        <v>7</v>
      </c>
      <c r="S629" s="27" t="s">
        <v>8</v>
      </c>
      <c r="T629" s="27" t="s">
        <v>7</v>
      </c>
      <c r="U629" s="27" t="s">
        <v>8</v>
      </c>
      <c r="X629" s="27" t="s">
        <v>7</v>
      </c>
      <c r="Y629" s="27" t="s">
        <v>8</v>
      </c>
      <c r="Z629" s="27" t="s">
        <v>7</v>
      </c>
      <c r="AA629" s="27" t="s">
        <v>8</v>
      </c>
      <c r="AB629" s="27" t="s">
        <v>7</v>
      </c>
      <c r="AC629" s="27" t="s">
        <v>8</v>
      </c>
      <c r="AH629" s="27" t="s">
        <v>7</v>
      </c>
      <c r="AV629" s="27" t="s">
        <v>7</v>
      </c>
      <c r="AW629" s="27" t="s">
        <v>8</v>
      </c>
      <c r="AX629" s="27" t="s">
        <v>7</v>
      </c>
      <c r="AY629" s="27" t="s">
        <v>8</v>
      </c>
      <c r="GR629" s="27" t="s">
        <v>7</v>
      </c>
      <c r="GS629" s="27" t="s">
        <v>8</v>
      </c>
    </row>
    <row r="630" spans="1:201" x14ac:dyDescent="0.25">
      <c r="A630" s="7">
        <v>0.4267687533313323</v>
      </c>
      <c r="B630"/>
      <c r="C630"/>
      <c r="D630"/>
      <c r="E630"/>
      <c r="L630" s="27" t="s">
        <v>7</v>
      </c>
      <c r="M630" s="27" t="s">
        <v>8</v>
      </c>
      <c r="N630" s="27" t="s">
        <v>7</v>
      </c>
      <c r="O630" s="27" t="s">
        <v>8</v>
      </c>
      <c r="Q630" s="27" t="s">
        <v>8</v>
      </c>
      <c r="S630" s="27" t="s">
        <v>8</v>
      </c>
      <c r="T630" s="27" t="s">
        <v>7</v>
      </c>
      <c r="U630" s="27" t="s">
        <v>8</v>
      </c>
      <c r="X630" s="27" t="s">
        <v>7</v>
      </c>
      <c r="Y630" s="27" t="s">
        <v>8</v>
      </c>
      <c r="Z630" s="27" t="s">
        <v>7</v>
      </c>
      <c r="AA630" s="27" t="s">
        <v>8</v>
      </c>
      <c r="AB630" s="27" t="s">
        <v>7</v>
      </c>
      <c r="AC630" s="27" t="s">
        <v>8</v>
      </c>
      <c r="AV630" s="27" t="s">
        <v>7</v>
      </c>
      <c r="AX630" s="27" t="s">
        <v>7</v>
      </c>
      <c r="GR630" s="27" t="s">
        <v>7</v>
      </c>
      <c r="GS630" s="27" t="s">
        <v>8</v>
      </c>
    </row>
    <row r="631" spans="1:201" x14ac:dyDescent="0.25">
      <c r="A631" s="7">
        <v>0.41840073856012971</v>
      </c>
      <c r="B631"/>
      <c r="C631"/>
      <c r="D631"/>
      <c r="E631"/>
      <c r="L631" s="27" t="s">
        <v>7</v>
      </c>
      <c r="M631" s="27" t="s">
        <v>8</v>
      </c>
      <c r="N631" s="27" t="s">
        <v>7</v>
      </c>
      <c r="O631" s="27" t="s">
        <v>8</v>
      </c>
      <c r="P631" s="27" t="s">
        <v>7</v>
      </c>
      <c r="Q631" s="27" t="s">
        <v>8</v>
      </c>
      <c r="R631" s="27" t="s">
        <v>7</v>
      </c>
      <c r="S631" s="27" t="s">
        <v>8</v>
      </c>
      <c r="T631" s="27" t="s">
        <v>7</v>
      </c>
      <c r="X631" s="27" t="s">
        <v>7</v>
      </c>
      <c r="Y631" s="27" t="s">
        <v>8</v>
      </c>
      <c r="Z631" s="27" t="s">
        <v>7</v>
      </c>
      <c r="AB631" s="27" t="s">
        <v>7</v>
      </c>
      <c r="AC631" s="27" t="s">
        <v>8</v>
      </c>
      <c r="GR631" s="27" t="s">
        <v>7</v>
      </c>
      <c r="GS631" s="27" t="s">
        <v>8</v>
      </c>
    </row>
    <row r="632" spans="1:201" x14ac:dyDescent="0.25">
      <c r="A632" s="7">
        <v>0.41019680250993112</v>
      </c>
      <c r="B632"/>
      <c r="C632"/>
      <c r="D632"/>
      <c r="E632"/>
      <c r="L632" s="27" t="s">
        <v>7</v>
      </c>
      <c r="M632" s="27" t="s">
        <v>8</v>
      </c>
      <c r="N632" s="27" t="s">
        <v>7</v>
      </c>
      <c r="O632" s="27" t="s">
        <v>8</v>
      </c>
      <c r="P632" s="27" t="s">
        <v>7</v>
      </c>
      <c r="Q632" s="27" t="s">
        <v>8</v>
      </c>
      <c r="R632" s="27" t="s">
        <v>7</v>
      </c>
      <c r="S632" s="27" t="s">
        <v>8</v>
      </c>
      <c r="X632" s="27" t="s">
        <v>7</v>
      </c>
      <c r="Y632" s="27" t="s">
        <v>8</v>
      </c>
      <c r="AB632" s="27" t="s">
        <v>7</v>
      </c>
      <c r="AC632" s="27" t="s">
        <v>8</v>
      </c>
      <c r="GR632" s="27" t="s">
        <v>7</v>
      </c>
      <c r="GS632" s="27" t="s">
        <v>8</v>
      </c>
    </row>
    <row r="633" spans="1:201" x14ac:dyDescent="0.25">
      <c r="A633" s="7">
        <v>0.40215372795091286</v>
      </c>
      <c r="B633"/>
      <c r="C633"/>
      <c r="D633"/>
      <c r="E633"/>
      <c r="L633" s="27" t="s">
        <v>7</v>
      </c>
      <c r="M633" s="27" t="s">
        <v>8</v>
      </c>
      <c r="N633" s="27" t="s">
        <v>7</v>
      </c>
      <c r="O633" s="27" t="s">
        <v>8</v>
      </c>
      <c r="P633" s="27" t="s">
        <v>7</v>
      </c>
      <c r="Q633" s="27" t="s">
        <v>8</v>
      </c>
      <c r="R633" s="27" t="s">
        <v>7</v>
      </c>
      <c r="S633" s="27" t="s">
        <v>8</v>
      </c>
      <c r="X633" s="27" t="s">
        <v>7</v>
      </c>
      <c r="AB633" s="27" t="s">
        <v>7</v>
      </c>
      <c r="AC633" s="27" t="s">
        <v>8</v>
      </c>
      <c r="GR633" s="27" t="s">
        <v>7</v>
      </c>
      <c r="GS633" s="27" t="s">
        <v>8</v>
      </c>
    </row>
    <row r="634" spans="1:201" x14ac:dyDescent="0.25">
      <c r="A634" s="7">
        <v>0.39426836073618904</v>
      </c>
      <c r="B634"/>
      <c r="C634"/>
      <c r="D634"/>
      <c r="E634"/>
      <c r="L634" s="27" t="s">
        <v>7</v>
      </c>
      <c r="M634" s="27" t="s">
        <v>8</v>
      </c>
      <c r="N634" s="27" t="s">
        <v>7</v>
      </c>
      <c r="O634" s="27" t="s">
        <v>8</v>
      </c>
      <c r="P634" s="27" t="s">
        <v>7</v>
      </c>
      <c r="Q634" s="27" t="s">
        <v>8</v>
      </c>
      <c r="R634" s="27" t="s">
        <v>7</v>
      </c>
      <c r="AB634" s="27" t="s">
        <v>7</v>
      </c>
      <c r="GR634" s="27" t="s">
        <v>7</v>
      </c>
      <c r="GS634" s="27" t="s">
        <v>8</v>
      </c>
    </row>
    <row r="635" spans="1:201" x14ac:dyDescent="0.25">
      <c r="A635" s="7">
        <v>0.38653760856489122</v>
      </c>
      <c r="B635"/>
      <c r="C635"/>
      <c r="D635"/>
      <c r="E635"/>
      <c r="L635" s="27" t="s">
        <v>7</v>
      </c>
      <c r="M635" s="27" t="s">
        <v>8</v>
      </c>
      <c r="N635" s="27" t="s">
        <v>7</v>
      </c>
      <c r="P635" s="27" t="s">
        <v>7</v>
      </c>
      <c r="GR635" s="27" t="s">
        <v>7</v>
      </c>
      <c r="GS635" s="27" t="s">
        <v>8</v>
      </c>
    </row>
    <row r="636" spans="1:201" x14ac:dyDescent="0.25">
      <c r="A636" s="7">
        <v>0.37895843976950117</v>
      </c>
      <c r="B636"/>
      <c r="C636"/>
      <c r="D636"/>
      <c r="E636"/>
      <c r="L636" s="27" t="s">
        <v>7</v>
      </c>
      <c r="M636" s="27" t="s">
        <v>8</v>
      </c>
      <c r="GR636" s="27" t="s">
        <v>7</v>
      </c>
      <c r="GS636" s="27" t="s">
        <v>8</v>
      </c>
    </row>
    <row r="637" spans="1:201" x14ac:dyDescent="0.25">
      <c r="A637" s="7">
        <v>0.37152788212696197</v>
      </c>
      <c r="B637"/>
      <c r="C637"/>
      <c r="D637"/>
      <c r="E637"/>
      <c r="L637" s="27" t="s">
        <v>7</v>
      </c>
      <c r="M637" s="27" t="s">
        <v>8</v>
      </c>
      <c r="GR637" s="27" t="s">
        <v>7</v>
      </c>
      <c r="GS637" s="27" t="s">
        <v>8</v>
      </c>
    </row>
    <row r="638" spans="1:201" x14ac:dyDescent="0.25">
      <c r="A638" s="7">
        <v>0.36424302169310002</v>
      </c>
      <c r="B638"/>
      <c r="C638"/>
      <c r="D638"/>
      <c r="E638"/>
      <c r="L638" s="27" t="s">
        <v>7</v>
      </c>
      <c r="M638" s="27" t="s">
        <v>8</v>
      </c>
      <c r="GR638" s="27" t="s">
        <v>7</v>
      </c>
      <c r="GS638" s="27" t="s">
        <v>8</v>
      </c>
    </row>
    <row r="639" spans="1:201" x14ac:dyDescent="0.25">
      <c r="A639" s="7">
        <v>0.35710100165990194</v>
      </c>
      <c r="B639"/>
      <c r="C639"/>
      <c r="D639"/>
      <c r="E639"/>
      <c r="L639" s="27" t="s">
        <v>7</v>
      </c>
      <c r="GR639" s="27" t="s">
        <v>7</v>
      </c>
      <c r="GS639" s="27" t="s">
        <v>8</v>
      </c>
    </row>
    <row r="640" spans="1:201" x14ac:dyDescent="0.25">
      <c r="A640" s="7">
        <v>0.35009902123519804</v>
      </c>
      <c r="B640"/>
      <c r="C640"/>
      <c r="D640"/>
      <c r="E640"/>
      <c r="GR640" s="27" t="s">
        <v>7</v>
      </c>
      <c r="GS640" s="27" t="s">
        <v>8</v>
      </c>
    </row>
    <row r="641" spans="1:201" x14ac:dyDescent="0.25">
      <c r="A641" s="7">
        <v>0.34323433454431179</v>
      </c>
      <c r="B641"/>
      <c r="C641"/>
      <c r="D641"/>
      <c r="E641"/>
      <c r="GR641" s="27" t="s">
        <v>7</v>
      </c>
      <c r="GS641" s="27" t="s">
        <v>8</v>
      </c>
    </row>
    <row r="642" spans="1:201" x14ac:dyDescent="0.25">
      <c r="A642" s="7">
        <v>0.33650424955324681</v>
      </c>
      <c r="B642"/>
      <c r="C642"/>
      <c r="D642"/>
      <c r="E642"/>
      <c r="GR642" s="27" t="s">
        <v>7</v>
      </c>
      <c r="GS642" s="27" t="s">
        <v>8</v>
      </c>
    </row>
    <row r="643" spans="1:201" x14ac:dyDescent="0.25">
      <c r="A643" s="7">
        <v>0.3299061270129871</v>
      </c>
      <c r="B643"/>
      <c r="C643"/>
      <c r="D643"/>
      <c r="E643"/>
      <c r="GR643" s="27" t="s">
        <v>7</v>
      </c>
      <c r="GS643" s="27" t="s">
        <v>8</v>
      </c>
    </row>
    <row r="644" spans="1:201" x14ac:dyDescent="0.25">
      <c r="A644" s="7">
        <v>0.32343737942449713</v>
      </c>
      <c r="B644"/>
      <c r="C644"/>
      <c r="D644"/>
      <c r="E644"/>
      <c r="GR644" s="27" t="s">
        <v>7</v>
      </c>
      <c r="GS644" s="27" t="s">
        <v>8</v>
      </c>
    </row>
    <row r="645" spans="1:201" x14ac:dyDescent="0.25">
      <c r="A645" s="7">
        <v>0.31709547002401678</v>
      </c>
      <c r="B645"/>
      <c r="C645"/>
      <c r="D645"/>
      <c r="E645"/>
      <c r="GR645" s="27" t="s">
        <v>7</v>
      </c>
      <c r="GS645" s="27" t="s">
        <v>8</v>
      </c>
    </row>
    <row r="646" spans="1:201" x14ac:dyDescent="0.25">
      <c r="A646" s="7">
        <v>0.31087791178825175</v>
      </c>
      <c r="B646"/>
      <c r="C646"/>
      <c r="D646"/>
      <c r="E646"/>
      <c r="GR646" s="27" t="s">
        <v>7</v>
      </c>
      <c r="GS646" s="27" t="s">
        <v>8</v>
      </c>
    </row>
    <row r="647" spans="1:201" x14ac:dyDescent="0.25">
      <c r="A647" s="7">
        <v>0.30478226645907036</v>
      </c>
      <c r="B647"/>
      <c r="C647"/>
      <c r="D647"/>
      <c r="E647"/>
      <c r="GR647" s="27" t="s">
        <v>7</v>
      </c>
      <c r="GS647" s="27" t="s">
        <v>8</v>
      </c>
    </row>
    <row r="648" spans="1:201" x14ac:dyDescent="0.25">
      <c r="A648" s="7">
        <v>0.29880614358732388</v>
      </c>
      <c r="B648"/>
      <c r="C648"/>
      <c r="D648"/>
      <c r="E648"/>
      <c r="GR648" s="27" t="s">
        <v>7</v>
      </c>
      <c r="GS648" s="27" t="s">
        <v>8</v>
      </c>
    </row>
    <row r="649" spans="1:201" x14ac:dyDescent="0.25">
      <c r="A649" s="7">
        <v>0.2929471995954156</v>
      </c>
      <c r="B649"/>
      <c r="C649"/>
      <c r="D649"/>
      <c r="E649"/>
      <c r="GR649" s="27" t="s">
        <v>7</v>
      </c>
      <c r="GS649" s="27" t="s">
        <v>8</v>
      </c>
    </row>
    <row r="650" spans="1:201" x14ac:dyDescent="0.25">
      <c r="A650" s="7">
        <v>0.28720313685825055</v>
      </c>
      <c r="B650"/>
      <c r="C650"/>
      <c r="D650"/>
      <c r="E650"/>
      <c r="GR650" s="27" t="s">
        <v>7</v>
      </c>
      <c r="GS650" s="27" t="s">
        <v>8</v>
      </c>
    </row>
    <row r="651" spans="1:201" x14ac:dyDescent="0.25">
      <c r="A651" s="7">
        <v>0.28157170280220645</v>
      </c>
      <c r="B651"/>
      <c r="C651"/>
      <c r="D651"/>
      <c r="E651"/>
      <c r="GR651" s="27" t="s">
        <v>7</v>
      </c>
      <c r="GS651" s="27" t="s">
        <v>8</v>
      </c>
    </row>
    <row r="652" spans="1:201" x14ac:dyDescent="0.25">
      <c r="A652" s="7">
        <v>0.27605068902177105</v>
      </c>
      <c r="B652"/>
      <c r="C652"/>
      <c r="D652"/>
      <c r="E652"/>
      <c r="GR652" s="27" t="s">
        <v>7</v>
      </c>
      <c r="GS652" s="27" t="s">
        <v>8</v>
      </c>
    </row>
    <row r="653" spans="1:201" x14ac:dyDescent="0.25">
      <c r="A653" s="7">
        <v>0.27063793041350104</v>
      </c>
      <c r="B653"/>
      <c r="C653"/>
      <c r="D653"/>
      <c r="E653"/>
      <c r="GR653" s="27" t="s">
        <v>7</v>
      </c>
      <c r="GS653" s="27" t="s">
        <v>8</v>
      </c>
    </row>
    <row r="654" spans="1:201" x14ac:dyDescent="0.25">
      <c r="A654" s="7">
        <v>0.26533130432696184</v>
      </c>
      <c r="B654"/>
      <c r="C654"/>
      <c r="D654"/>
      <c r="E654"/>
      <c r="GR654" s="27" t="s">
        <v>7</v>
      </c>
      <c r="GS654" s="27" t="s">
        <v>8</v>
      </c>
    </row>
    <row r="655" spans="1:201" x14ac:dyDescent="0.25">
      <c r="A655" s="7">
        <v>0.26012872973231554</v>
      </c>
      <c r="B655"/>
      <c r="C655"/>
      <c r="D655"/>
      <c r="E655"/>
      <c r="GR655" s="27" t="s">
        <v>7</v>
      </c>
      <c r="GS655" s="27" t="s">
        <v>8</v>
      </c>
    </row>
    <row r="656" spans="1:201" x14ac:dyDescent="0.25">
      <c r="A656" s="7">
        <v>0.25502816640423093</v>
      </c>
      <c r="B656"/>
      <c r="C656"/>
      <c r="D656"/>
      <c r="E656"/>
      <c r="GR656" s="27" t="s">
        <v>7</v>
      </c>
      <c r="GS656" s="27" t="s">
        <v>8</v>
      </c>
    </row>
    <row r="657" spans="1:201" x14ac:dyDescent="0.25">
      <c r="A657" s="7">
        <v>0.25002761412179503</v>
      </c>
      <c r="B657"/>
      <c r="C657"/>
      <c r="D657"/>
      <c r="E657"/>
      <c r="GR657" s="27" t="s">
        <v>7</v>
      </c>
      <c r="GS657" s="27" t="s">
        <v>8</v>
      </c>
    </row>
    <row r="658" spans="1:201" x14ac:dyDescent="0.25">
      <c r="A658" s="7">
        <v>0.24512511188411276</v>
      </c>
      <c r="B658"/>
      <c r="C658"/>
      <c r="D658"/>
      <c r="E658"/>
      <c r="GR658" s="27" t="s">
        <v>7</v>
      </c>
      <c r="GS658" s="27" t="s">
        <v>8</v>
      </c>
    </row>
    <row r="659" spans="1:201" x14ac:dyDescent="0.25">
      <c r="A659" s="7">
        <v>0.24031873714128701</v>
      </c>
      <c r="B659"/>
      <c r="C659"/>
      <c r="D659"/>
      <c r="E659"/>
      <c r="GR659" s="27" t="s">
        <v>7</v>
      </c>
      <c r="GS659" s="27" t="s">
        <v>8</v>
      </c>
    </row>
    <row r="660" spans="1:201" x14ac:dyDescent="0.25">
      <c r="A660" s="7">
        <v>0.23560660504047748</v>
      </c>
      <c r="B660"/>
      <c r="C660"/>
      <c r="D660"/>
      <c r="E660"/>
      <c r="GR660" s="27" t="s">
        <v>7</v>
      </c>
      <c r="GS660" s="27" t="s">
        <v>8</v>
      </c>
    </row>
    <row r="661" spans="1:201" x14ac:dyDescent="0.25">
      <c r="A661" s="7">
        <v>0.23098686768674265</v>
      </c>
      <c r="B661"/>
      <c r="C661"/>
      <c r="D661"/>
      <c r="E661"/>
      <c r="GR661" s="27" t="s">
        <v>7</v>
      </c>
      <c r="GS661" s="27" t="s">
        <v>8</v>
      </c>
    </row>
    <row r="662" spans="1:201" x14ac:dyDescent="0.25">
      <c r="A662" s="7">
        <v>0.22645771341837515</v>
      </c>
      <c r="B662"/>
      <c r="C662"/>
      <c r="D662"/>
      <c r="E662"/>
      <c r="GR662" s="27" t="s">
        <v>7</v>
      </c>
      <c r="GS662" s="27" t="s">
        <v>8</v>
      </c>
    </row>
    <row r="663" spans="1:201" x14ac:dyDescent="0.25">
      <c r="A663" s="7">
        <v>0.22201736609644623</v>
      </c>
      <c r="B663"/>
      <c r="C663"/>
      <c r="D663"/>
      <c r="E663"/>
      <c r="GR663" s="27" t="s">
        <v>7</v>
      </c>
      <c r="GS663" s="27" t="s">
        <v>8</v>
      </c>
    </row>
    <row r="664" spans="1:201" x14ac:dyDescent="0.25">
      <c r="A664" s="7">
        <v>0.21766408440828061</v>
      </c>
      <c r="B664"/>
      <c r="C664"/>
      <c r="D664"/>
      <c r="E664"/>
      <c r="GR664" s="27" t="s">
        <v>7</v>
      </c>
      <c r="GS664" s="27" t="s">
        <v>8</v>
      </c>
    </row>
    <row r="665" spans="1:201" x14ac:dyDescent="0.25">
      <c r="A665" s="7">
        <v>0.21339616118458882</v>
      </c>
      <c r="B665"/>
      <c r="C665"/>
      <c r="D665"/>
      <c r="E665"/>
      <c r="GR665" s="27" t="s">
        <v>7</v>
      </c>
      <c r="GS665" s="27" t="s">
        <v>8</v>
      </c>
    </row>
    <row r="666" spans="1:201" x14ac:dyDescent="0.25">
      <c r="A666" s="7">
        <v>0.20921192272998904</v>
      </c>
      <c r="B666"/>
      <c r="C666"/>
      <c r="D666"/>
      <c r="E666"/>
      <c r="GR666" s="27" t="s">
        <v>7</v>
      </c>
      <c r="GS666" s="27" t="s">
        <v>8</v>
      </c>
    </row>
    <row r="667" spans="1:201" x14ac:dyDescent="0.25">
      <c r="A667" s="7">
        <v>0.20510972816665593</v>
      </c>
      <c r="B667"/>
      <c r="C667"/>
      <c r="D667"/>
      <c r="E667"/>
      <c r="GR667" s="27" t="s">
        <v>7</v>
      </c>
      <c r="GS667" s="27" t="s">
        <v>8</v>
      </c>
    </row>
    <row r="668" spans="1:201" x14ac:dyDescent="0.25">
      <c r="A668" s="7">
        <v>0.20108796879083912</v>
      </c>
      <c r="B668"/>
      <c r="C668"/>
      <c r="D668"/>
      <c r="E668"/>
      <c r="GR668" s="27" t="s">
        <v>7</v>
      </c>
      <c r="GS668" s="27" t="s">
        <v>8</v>
      </c>
    </row>
    <row r="669" spans="1:201" x14ac:dyDescent="0.25">
      <c r="A669" s="7">
        <v>0.19714506744199917</v>
      </c>
      <c r="B669"/>
      <c r="C669"/>
      <c r="D669"/>
      <c r="E669"/>
      <c r="GR669" s="27" t="s">
        <v>7</v>
      </c>
      <c r="GS669" s="27" t="s">
        <v>8</v>
      </c>
    </row>
    <row r="670" spans="1:201" x14ac:dyDescent="0.25">
      <c r="A670" s="7">
        <v>0.19327947788431293</v>
      </c>
      <c r="B670"/>
      <c r="C670"/>
      <c r="D670"/>
      <c r="E670"/>
      <c r="GR670" s="27" t="s">
        <v>7</v>
      </c>
      <c r="GS670" s="27" t="s">
        <v>8</v>
      </c>
    </row>
    <row r="671" spans="1:201" x14ac:dyDescent="0.25">
      <c r="A671" s="7">
        <v>0.18948968420030682</v>
      </c>
      <c r="B671"/>
      <c r="C671"/>
      <c r="D671"/>
      <c r="E671"/>
      <c r="GR671" s="27" t="s">
        <v>7</v>
      </c>
      <c r="GS671" s="27" t="s">
        <v>8</v>
      </c>
    </row>
    <row r="672" spans="1:201" x14ac:dyDescent="0.25">
      <c r="A672" s="7">
        <v>0.18577420019637925</v>
      </c>
      <c r="B672"/>
      <c r="C672"/>
      <c r="D672"/>
      <c r="E672"/>
      <c r="GR672" s="27" t="s">
        <v>7</v>
      </c>
      <c r="GS672" s="27" t="s">
        <v>8</v>
      </c>
    </row>
    <row r="673" spans="1:201" x14ac:dyDescent="0.25">
      <c r="A673" s="7">
        <v>0.18213156881997963</v>
      </c>
      <c r="B673"/>
      <c r="C673"/>
      <c r="D673"/>
      <c r="E673"/>
      <c r="GR673" s="27" t="s">
        <v>7</v>
      </c>
      <c r="GS673" s="27" t="s">
        <v>8</v>
      </c>
    </row>
    <row r="674" spans="1:201" x14ac:dyDescent="0.25">
      <c r="A674" s="7">
        <v>0.17856036158821534</v>
      </c>
      <c r="B674"/>
      <c r="C674"/>
      <c r="D674"/>
      <c r="E674"/>
      <c r="GR674" s="27" t="s">
        <v>7</v>
      </c>
      <c r="GS674" s="27" t="s">
        <v>8</v>
      </c>
    </row>
    <row r="675" spans="1:201" x14ac:dyDescent="0.25">
      <c r="A675" s="7">
        <v>0.17505917802766208</v>
      </c>
      <c r="B675"/>
      <c r="C675"/>
      <c r="D675"/>
      <c r="E675"/>
      <c r="GR675" s="27" t="s">
        <v>7</v>
      </c>
      <c r="GS675" s="27" t="s">
        <v>8</v>
      </c>
    </row>
    <row r="676" spans="1:201" x14ac:dyDescent="0.25">
      <c r="A676" s="7">
        <v>0.17162664512515888</v>
      </c>
      <c r="B676"/>
      <c r="C676"/>
      <c r="D676"/>
      <c r="E676"/>
      <c r="GR676" s="27" t="s">
        <v>7</v>
      </c>
      <c r="GS676" s="27" t="s">
        <v>8</v>
      </c>
    </row>
    <row r="677" spans="1:201" x14ac:dyDescent="0.25">
      <c r="A677" s="7">
        <v>0.16826141678937145</v>
      </c>
      <c r="B677"/>
      <c r="C677"/>
      <c r="D677"/>
      <c r="E677"/>
      <c r="GR677" s="27" t="s">
        <v>7</v>
      </c>
      <c r="GS677" s="27" t="s">
        <v>8</v>
      </c>
    </row>
    <row r="678" spans="1:201" x14ac:dyDescent="0.25">
      <c r="A678" s="7">
        <v>0.16496217332291319</v>
      </c>
      <c r="B678"/>
      <c r="C678"/>
      <c r="D678"/>
      <c r="E678"/>
      <c r="GR678" s="27" t="s">
        <v>7</v>
      </c>
      <c r="GS678" s="27" t="s">
        <v>8</v>
      </c>
    </row>
    <row r="679" spans="1:201" x14ac:dyDescent="0.25">
      <c r="A679" s="7">
        <v>0.16172762090481685</v>
      </c>
      <c r="B679"/>
      <c r="C679"/>
      <c r="D679"/>
      <c r="E679"/>
      <c r="GR679" s="27" t="s">
        <v>7</v>
      </c>
      <c r="GS679" s="27" t="s">
        <v>8</v>
      </c>
    </row>
    <row r="680" spans="1:201" x14ac:dyDescent="0.25">
      <c r="A680" s="7">
        <v>0.15855649108315376</v>
      </c>
      <c r="B680"/>
      <c r="C680"/>
      <c r="D680"/>
      <c r="E680"/>
      <c r="GR680" s="27" t="s">
        <v>7</v>
      </c>
      <c r="GS680" s="27" t="s">
        <v>8</v>
      </c>
    </row>
    <row r="681" spans="1:201" x14ac:dyDescent="0.25">
      <c r="A681" s="7">
        <v>0.15544754027760171</v>
      </c>
      <c r="B681"/>
      <c r="C681"/>
      <c r="D681"/>
      <c r="E681"/>
      <c r="GR681" s="27" t="s">
        <v>7</v>
      </c>
      <c r="GS681" s="27" t="s">
        <v>8</v>
      </c>
    </row>
    <row r="682" spans="1:201" x14ac:dyDescent="0.25">
      <c r="A682" s="7">
        <v>0.15239954929176638</v>
      </c>
      <c r="B682"/>
      <c r="C682"/>
      <c r="D682"/>
      <c r="E682"/>
      <c r="GR682" s="27" t="s">
        <v>7</v>
      </c>
      <c r="GS682" s="27" t="s">
        <v>8</v>
      </c>
    </row>
    <row r="683" spans="1:201" x14ac:dyDescent="0.25">
      <c r="A683" s="7">
        <v>0.14941132283506509</v>
      </c>
      <c r="B683"/>
      <c r="C683"/>
      <c r="D683"/>
      <c r="E683"/>
      <c r="GR683" s="27" t="s">
        <v>7</v>
      </c>
      <c r="GS683" s="27" t="s">
        <v>8</v>
      </c>
    </row>
    <row r="684" spans="1:201" x14ac:dyDescent="0.25">
      <c r="A684" s="7">
        <v>0.14648168905398537</v>
      </c>
      <c r="B684"/>
      <c r="C684"/>
      <c r="D684"/>
      <c r="E684"/>
      <c r="GR684" s="27" t="s">
        <v>7</v>
      </c>
      <c r="GS684" s="27" t="s">
        <v>8</v>
      </c>
    </row>
    <row r="685" spans="1:201" x14ac:dyDescent="0.25">
      <c r="A685" s="7">
        <v>0.14360949907253467</v>
      </c>
      <c r="B685"/>
      <c r="C685"/>
      <c r="D685"/>
      <c r="E685"/>
      <c r="GR685" s="27" t="s">
        <v>7</v>
      </c>
      <c r="GS685" s="27" t="s">
        <v>8</v>
      </c>
    </row>
    <row r="686" spans="1:201" x14ac:dyDescent="0.25">
      <c r="A686" s="7">
        <v>0.14079362654170066</v>
      </c>
      <c r="B686"/>
      <c r="C686"/>
      <c r="D686"/>
      <c r="E686"/>
      <c r="GR686" s="27" t="s">
        <v>7</v>
      </c>
      <c r="GS686" s="27" t="s">
        <v>8</v>
      </c>
    </row>
    <row r="687" spans="1:201" x14ac:dyDescent="0.25">
      <c r="A687" s="7">
        <v>0.13803296719774574</v>
      </c>
      <c r="B687"/>
      <c r="C687"/>
      <c r="D687"/>
      <c r="E687"/>
      <c r="GR687" s="27" t="s">
        <v>7</v>
      </c>
      <c r="GS687" s="27" t="s">
        <v>8</v>
      </c>
    </row>
    <row r="688" spans="1:201" x14ac:dyDescent="0.25">
      <c r="A688" s="7">
        <v>0.1353264384291625</v>
      </c>
      <c r="B688"/>
      <c r="C688"/>
      <c r="D688"/>
      <c r="E688"/>
      <c r="GR688" s="27" t="s">
        <v>7</v>
      </c>
      <c r="GS688" s="27" t="s">
        <v>8</v>
      </c>
    </row>
    <row r="689" spans="1:201" x14ac:dyDescent="0.25">
      <c r="A689" s="7">
        <v>0.13267297885212009</v>
      </c>
      <c r="B689"/>
      <c r="C689"/>
      <c r="D689"/>
      <c r="E689"/>
      <c r="GR689" s="27" t="s">
        <v>7</v>
      </c>
      <c r="GS689" s="27" t="s">
        <v>8</v>
      </c>
    </row>
    <row r="690" spans="1:201" x14ac:dyDescent="0.25">
      <c r="A690" s="7">
        <v>0.13007154789423539</v>
      </c>
      <c r="B690"/>
      <c r="C690"/>
      <c r="D690"/>
      <c r="E690"/>
      <c r="GR690" s="27" t="s">
        <v>7</v>
      </c>
      <c r="GS690" s="27" t="s">
        <v>8</v>
      </c>
    </row>
    <row r="691" spans="1:201" x14ac:dyDescent="0.25">
      <c r="A691" s="7">
        <v>0.12752112538650529</v>
      </c>
      <c r="B691"/>
      <c r="C691"/>
      <c r="D691"/>
      <c r="E691"/>
      <c r="GR691" s="27" t="s">
        <v>7</v>
      </c>
      <c r="GS691" s="27" t="s">
        <v>8</v>
      </c>
    </row>
    <row r="692" spans="1:201" x14ac:dyDescent="0.25">
      <c r="A692" s="7">
        <v>0.12502071116324048</v>
      </c>
      <c r="B692"/>
      <c r="C692"/>
      <c r="D692"/>
      <c r="E692"/>
      <c r="GR692" s="27" t="s">
        <v>7</v>
      </c>
      <c r="GS692" s="27" t="s">
        <v>8</v>
      </c>
    </row>
    <row r="693" spans="1:201" x14ac:dyDescent="0.25">
      <c r="A693" s="7">
        <v>0.1225693246698436</v>
      </c>
      <c r="B693"/>
      <c r="C693"/>
      <c r="D693"/>
      <c r="E693"/>
      <c r="GR693" s="27" t="s">
        <v>7</v>
      </c>
      <c r="GS693" s="27" t="s">
        <v>8</v>
      </c>
    </row>
    <row r="694" spans="1:201" x14ac:dyDescent="0.25">
      <c r="A694" s="7">
        <v>0.12016600457827803</v>
      </c>
      <c r="B694"/>
      <c r="C694"/>
      <c r="D694"/>
      <c r="E694"/>
      <c r="GR694" s="27" t="s">
        <v>7</v>
      </c>
      <c r="GS694" s="27" t="s">
        <v>8</v>
      </c>
    </row>
    <row r="695" spans="1:201" x14ac:dyDescent="0.25">
      <c r="A695" s="7">
        <v>0.1178098084100765</v>
      </c>
      <c r="B695"/>
      <c r="C695"/>
      <c r="D695"/>
      <c r="E695"/>
      <c r="GR695" s="27" t="s">
        <v>7</v>
      </c>
      <c r="GS695" s="27" t="s">
        <v>8</v>
      </c>
    </row>
    <row r="696" spans="1:201" x14ac:dyDescent="0.25">
      <c r="A696" s="7">
        <v>0.11549981216674166</v>
      </c>
      <c r="B696"/>
      <c r="C696"/>
      <c r="D696"/>
      <c r="E696"/>
      <c r="GR696" s="27" t="s">
        <v>7</v>
      </c>
      <c r="GS696" s="27" t="s">
        <v>8</v>
      </c>
    </row>
    <row r="697" spans="1:201" x14ac:dyDescent="0.25">
      <c r="A697" s="7">
        <v>0.11323510996739378</v>
      </c>
      <c r="B697"/>
      <c r="C697"/>
      <c r="D697"/>
      <c r="E697"/>
      <c r="GR697" s="27" t="s">
        <v>7</v>
      </c>
      <c r="GS697" s="27" t="s">
        <v>8</v>
      </c>
    </row>
    <row r="698" spans="1:201" x14ac:dyDescent="0.25">
      <c r="A698" s="7">
        <v>0.11101481369352331</v>
      </c>
      <c r="B698"/>
      <c r="C698"/>
      <c r="D698"/>
      <c r="E698"/>
      <c r="GR698" s="27" t="s">
        <v>7</v>
      </c>
      <c r="GS698" s="27" t="s">
        <v>8</v>
      </c>
    </row>
    <row r="699" spans="1:201" x14ac:dyDescent="0.25">
      <c r="A699" s="7">
        <v>0.10883805264070913</v>
      </c>
      <c r="B699"/>
      <c r="C699"/>
      <c r="D699"/>
      <c r="E699"/>
      <c r="GR699" s="27" t="s">
        <v>7</v>
      </c>
      <c r="GS699" s="27" t="s">
        <v>8</v>
      </c>
    </row>
    <row r="700" spans="1:201" x14ac:dyDescent="0.25">
      <c r="A700" s="7">
        <v>0.10670397317716582</v>
      </c>
      <c r="B700"/>
      <c r="C700"/>
      <c r="D700"/>
      <c r="E700"/>
      <c r="GR700" s="27" t="s">
        <v>7</v>
      </c>
      <c r="GS700" s="27" t="s">
        <v>8</v>
      </c>
    </row>
    <row r="701" spans="1:201" x14ac:dyDescent="0.25">
      <c r="A701" s="7">
        <v>0.1046117384089861</v>
      </c>
      <c r="B701"/>
      <c r="C701"/>
      <c r="D701"/>
      <c r="E701"/>
      <c r="GR701" s="27" t="s">
        <v>7</v>
      </c>
      <c r="GS701" s="27" t="s">
        <v>8</v>
      </c>
    </row>
    <row r="702" spans="1:201" x14ac:dyDescent="0.25">
      <c r="A702" s="7">
        <v>0.10256052785194716</v>
      </c>
      <c r="B702"/>
      <c r="C702"/>
      <c r="D702"/>
      <c r="E702"/>
      <c r="GR702" s="27" t="s">
        <v>7</v>
      </c>
      <c r="GS702" s="27" t="s">
        <v>8</v>
      </c>
    </row>
    <row r="703" spans="1:201" x14ac:dyDescent="0.25">
      <c r="A703" s="7">
        <v>0.10054953710975212</v>
      </c>
      <c r="B703"/>
      <c r="C703"/>
      <c r="D703"/>
      <c r="E703"/>
      <c r="GR703" s="27" t="s">
        <v>7</v>
      </c>
      <c r="GS703" s="27" t="s">
        <v>8</v>
      </c>
    </row>
    <row r="704" spans="1:201" x14ac:dyDescent="0.25">
      <c r="A704" s="7">
        <v>9.8577977558580512E-2</v>
      </c>
      <c r="B704"/>
      <c r="C704"/>
      <c r="D704"/>
      <c r="E704"/>
      <c r="GR704" s="27" t="s">
        <v>7</v>
      </c>
      <c r="GS704" s="27" t="s">
        <v>8</v>
      </c>
    </row>
    <row r="705" spans="1:201" x14ac:dyDescent="0.25">
      <c r="A705" s="7">
        <v>9.6645076037824032E-2</v>
      </c>
      <c r="B705"/>
      <c r="C705"/>
      <c r="D705"/>
      <c r="E705"/>
      <c r="GR705" s="27" t="s">
        <v>7</v>
      </c>
      <c r="GS705" s="27" t="s">
        <v>8</v>
      </c>
    </row>
    <row r="706" spans="1:201" x14ac:dyDescent="0.25">
      <c r="A706" s="7">
        <v>9.4750074546886304E-2</v>
      </c>
      <c r="B706"/>
      <c r="C706"/>
      <c r="D706"/>
      <c r="E706"/>
      <c r="GR706" s="27" t="s">
        <v>7</v>
      </c>
      <c r="GS706" s="27" t="s">
        <v>8</v>
      </c>
    </row>
    <row r="707" spans="1:201" x14ac:dyDescent="0.25">
      <c r="A707" s="7">
        <v>9.2892229947927743E-2</v>
      </c>
      <c r="B707"/>
      <c r="C707"/>
      <c r="D707"/>
      <c r="E707"/>
      <c r="GR707" s="27" t="s">
        <v>7</v>
      </c>
      <c r="GS707" s="27" t="s">
        <v>8</v>
      </c>
    </row>
    <row r="708" spans="1:201" x14ac:dyDescent="0.25">
      <c r="A708" s="7">
        <v>9.1070813674438963E-2</v>
      </c>
      <c r="B708"/>
      <c r="C708"/>
      <c r="D708"/>
      <c r="E708"/>
      <c r="GR708" s="27" t="s">
        <v>7</v>
      </c>
      <c r="GS708" s="27" t="s">
        <v>8</v>
      </c>
    </row>
    <row r="709" spans="1:201" x14ac:dyDescent="0.25">
      <c r="A709" s="7">
        <v>8.9285111445528392E-2</v>
      </c>
      <c r="B709"/>
      <c r="C709"/>
      <c r="D709"/>
      <c r="E709"/>
      <c r="GR709" s="27" t="s">
        <v>7</v>
      </c>
      <c r="GS709" s="27" t="s">
        <v>8</v>
      </c>
    </row>
    <row r="710" spans="1:201" x14ac:dyDescent="0.25">
      <c r="A710" s="7">
        <v>8.7534422985812155E-2</v>
      </c>
      <c r="B710"/>
      <c r="C710"/>
      <c r="D710"/>
      <c r="E710"/>
      <c r="GR710" s="27" t="s">
        <v>7</v>
      </c>
      <c r="GS710" s="27" t="s">
        <v>8</v>
      </c>
    </row>
    <row r="711" spans="1:201" x14ac:dyDescent="0.25">
      <c r="A711" s="7">
        <v>8.5818061750796232E-2</v>
      </c>
      <c r="B711"/>
      <c r="C711"/>
      <c r="D711"/>
      <c r="E711"/>
      <c r="GR711" s="27" t="s">
        <v>7</v>
      </c>
      <c r="GS711" s="27" t="s">
        <v>8</v>
      </c>
    </row>
    <row r="712" spans="1:201" x14ac:dyDescent="0.25">
      <c r="A712" s="7">
        <v>8.4135354657643366E-2</v>
      </c>
      <c r="B712"/>
      <c r="C712"/>
      <c r="D712"/>
      <c r="E712"/>
      <c r="GR712" s="27" t="s">
        <v>7</v>
      </c>
      <c r="GS712" s="27" t="s">
        <v>8</v>
      </c>
    </row>
    <row r="713" spans="1:201" x14ac:dyDescent="0.25">
      <c r="A713" s="7">
        <v>8.248564182121898E-2</v>
      </c>
      <c r="B713"/>
      <c r="C713"/>
      <c r="D713"/>
      <c r="E713"/>
      <c r="GR713" s="27" t="s">
        <v>7</v>
      </c>
      <c r="GS713" s="27" t="s">
        <v>8</v>
      </c>
    </row>
    <row r="714" spans="1:201" x14ac:dyDescent="0.25">
      <c r="A714" s="7">
        <v>8.0868276295312735E-2</v>
      </c>
      <c r="B714"/>
      <c r="C714"/>
      <c r="D714"/>
      <c r="E714"/>
      <c r="GR714" s="27" t="s">
        <v>7</v>
      </c>
      <c r="GS714" s="27" t="s">
        <v>8</v>
      </c>
    </row>
    <row r="715" spans="1:201" x14ac:dyDescent="0.25">
      <c r="A715" s="7">
        <v>7.9282623818934056E-2</v>
      </c>
      <c r="B715"/>
      <c r="C715"/>
      <c r="D715"/>
      <c r="E715"/>
      <c r="GR715" s="27" t="s">
        <v>7</v>
      </c>
      <c r="GS715" s="27" t="s">
        <v>8</v>
      </c>
    </row>
    <row r="716" spans="1:201" x14ac:dyDescent="0.25">
      <c r="A716" s="7">
        <v>7.7728062567582412E-2</v>
      </c>
      <c r="B716"/>
      <c r="C716"/>
      <c r="D716"/>
      <c r="E716"/>
      <c r="GR716" s="27" t="s">
        <v>7</v>
      </c>
      <c r="GS716" s="27" t="s">
        <v>8</v>
      </c>
    </row>
    <row r="717" spans="1:201" x14ac:dyDescent="0.25">
      <c r="A717" s="7">
        <v>7.6203982909394521E-2</v>
      </c>
      <c r="B717"/>
      <c r="C717"/>
      <c r="D717"/>
      <c r="E717"/>
      <c r="GR717" s="27" t="s">
        <v>7</v>
      </c>
      <c r="GS717" s="27" t="s">
        <v>8</v>
      </c>
    </row>
    <row r="718" spans="1:201" x14ac:dyDescent="0.25">
      <c r="A718" s="7">
        <v>7.4709787166073058E-2</v>
      </c>
      <c r="B718"/>
      <c r="C718"/>
      <c r="D718"/>
      <c r="E718"/>
      <c r="GR718" s="27" t="s">
        <v>7</v>
      </c>
      <c r="GS718" s="27" t="s">
        <v>8</v>
      </c>
    </row>
    <row r="719" spans="1:201" x14ac:dyDescent="0.25">
      <c r="A719" s="7">
        <v>7.3244889378503E-2</v>
      </c>
      <c r="B719"/>
      <c r="C719"/>
      <c r="D719"/>
      <c r="E719"/>
      <c r="GR719" s="27" t="s">
        <v>7</v>
      </c>
      <c r="GS719" s="27" t="s">
        <v>8</v>
      </c>
    </row>
    <row r="720" spans="1:201" x14ac:dyDescent="0.25">
      <c r="A720" s="7">
        <v>7.1808715076963722E-2</v>
      </c>
      <c r="B720"/>
      <c r="C720"/>
      <c r="D720"/>
      <c r="E720"/>
      <c r="GR720" s="27" t="s">
        <v>7</v>
      </c>
      <c r="GS720" s="27" t="s">
        <v>8</v>
      </c>
    </row>
    <row r="721" spans="1:201" x14ac:dyDescent="0.25">
      <c r="A721" s="7">
        <v>7.0400701055846782E-2</v>
      </c>
      <c r="B721"/>
      <c r="C721"/>
      <c r="D721"/>
      <c r="E721"/>
      <c r="GR721" s="27" t="s">
        <v>7</v>
      </c>
      <c r="GS721" s="27" t="s">
        <v>8</v>
      </c>
    </row>
    <row r="722" spans="1:201" x14ac:dyDescent="0.25">
      <c r="A722" s="7">
        <v>6.9020295152790956E-2</v>
      </c>
      <c r="B722"/>
      <c r="C722"/>
      <c r="D722"/>
      <c r="E722"/>
      <c r="GR722" s="27" t="s">
        <v>7</v>
      </c>
      <c r="GS722" s="27" t="s">
        <v>8</v>
      </c>
    </row>
    <row r="723" spans="1:201" x14ac:dyDescent="0.25">
      <c r="A723" s="7">
        <v>6.7666956032147993E-2</v>
      </c>
      <c r="B723"/>
      <c r="C723"/>
      <c r="D723"/>
      <c r="E723"/>
      <c r="GR723" s="27" t="s">
        <v>7</v>
      </c>
      <c r="GS723" s="27" t="s">
        <v>8</v>
      </c>
    </row>
    <row r="724" spans="1:201" x14ac:dyDescent="0.25">
      <c r="A724" s="7">
        <v>6.6340152972694105E-2</v>
      </c>
      <c r="B724"/>
      <c r="C724"/>
      <c r="D724"/>
      <c r="E724"/>
      <c r="GR724" s="27" t="s">
        <v>7</v>
      </c>
      <c r="GS724" s="27" t="s">
        <v>8</v>
      </c>
    </row>
    <row r="725" spans="1:201" x14ac:dyDescent="0.25">
      <c r="A725" s="7">
        <v>6.5039365659504023E-2</v>
      </c>
      <c r="B725"/>
      <c r="C725"/>
      <c r="D725"/>
      <c r="E725"/>
      <c r="GR725" s="27" t="s">
        <v>7</v>
      </c>
      <c r="GS725" s="27" t="s">
        <v>8</v>
      </c>
    </row>
    <row r="726" spans="1:201" x14ac:dyDescent="0.25">
      <c r="A726" s="7">
        <v>6.3764083979905906E-2</v>
      </c>
      <c r="B726"/>
      <c r="C726"/>
      <c r="D726"/>
      <c r="E726"/>
      <c r="GR726" s="27" t="s">
        <v>7</v>
      </c>
      <c r="GS726" s="27" t="s">
        <v>8</v>
      </c>
    </row>
    <row r="727" spans="1:201" x14ac:dyDescent="0.25">
      <c r="A727" s="7">
        <v>6.251380782343717E-2</v>
      </c>
      <c r="B727"/>
      <c r="C727"/>
      <c r="D727"/>
      <c r="E727"/>
      <c r="GR727" s="27" t="s">
        <v>7</v>
      </c>
      <c r="GS727" s="27" t="s">
        <v>8</v>
      </c>
    </row>
    <row r="728" spans="1:201" x14ac:dyDescent="0.25">
      <c r="A728" s="7">
        <v>6.1288046885722716E-2</v>
      </c>
      <c r="B728"/>
      <c r="C728"/>
      <c r="D728"/>
      <c r="E728"/>
      <c r="GR728" s="27" t="s">
        <v>7</v>
      </c>
      <c r="GS728" s="27" t="s">
        <v>8</v>
      </c>
    </row>
    <row r="729" spans="1:201" x14ac:dyDescent="0.25">
      <c r="A729" s="7">
        <v>6.0086320476198739E-2</v>
      </c>
      <c r="B729"/>
      <c r="C729"/>
      <c r="D729"/>
      <c r="E729"/>
      <c r="GR729" s="27" t="s">
        <v>7</v>
      </c>
      <c r="GS729" s="27" t="s">
        <v>8</v>
      </c>
    </row>
    <row r="730" spans="1:201" x14ac:dyDescent="0.25">
      <c r="A730" s="7">
        <v>5.8908157329606609E-2</v>
      </c>
      <c r="B730"/>
      <c r="C730"/>
      <c r="D730"/>
      <c r="E730"/>
      <c r="GR730" s="27" t="s">
        <v>7</v>
      </c>
      <c r="GS730" s="27" t="s">
        <v>8</v>
      </c>
    </row>
    <row r="731" spans="1:201" x14ac:dyDescent="0.25">
      <c r="A731" s="7">
        <v>5.7753095421182947E-2</v>
      </c>
      <c r="B731"/>
      <c r="C731"/>
      <c r="D731"/>
      <c r="E731"/>
      <c r="GR731" s="27" t="s">
        <v>7</v>
      </c>
      <c r="GS731" s="27" t="s">
        <v>8</v>
      </c>
    </row>
    <row r="732" spans="1:201" x14ac:dyDescent="0.25">
      <c r="A732" s="7">
        <v>5.6620681785473484E-2</v>
      </c>
      <c r="B732"/>
      <c r="C732"/>
      <c r="D732"/>
      <c r="E732"/>
      <c r="GR732" s="27" t="s">
        <v>7</v>
      </c>
      <c r="GS732" s="27" t="s">
        <v>8</v>
      </c>
    </row>
    <row r="733" spans="1:201" x14ac:dyDescent="0.25">
      <c r="A733" s="7">
        <v>5.5510472338699497E-2</v>
      </c>
      <c r="B733"/>
      <c r="C733"/>
      <c r="D733"/>
      <c r="E733"/>
      <c r="GR733" s="27" t="s">
        <v>7</v>
      </c>
      <c r="GS733" s="27" t="s">
        <v>8</v>
      </c>
    </row>
    <row r="734" spans="1:201" x14ac:dyDescent="0.25">
      <c r="A734" s="7">
        <v>5.4422031704607354E-2</v>
      </c>
      <c r="B734"/>
      <c r="C734"/>
      <c r="D734"/>
      <c r="E734"/>
      <c r="GR734" s="27" t="s">
        <v>7</v>
      </c>
      <c r="GS734" s="27" t="s">
        <v>8</v>
      </c>
    </row>
    <row r="735" spans="1:201" x14ac:dyDescent="0.25">
      <c r="A735" s="7">
        <v>5.3354933043732705E-2</v>
      </c>
      <c r="B735"/>
      <c r="C735"/>
      <c r="D735"/>
      <c r="E735"/>
      <c r="GR735" s="27" t="s">
        <v>7</v>
      </c>
      <c r="GS735" s="27" t="s">
        <v>8</v>
      </c>
    </row>
    <row r="736" spans="1:201" x14ac:dyDescent="0.25">
      <c r="A736" s="7">
        <v>5.2308757886012455E-2</v>
      </c>
      <c r="B736"/>
      <c r="C736"/>
      <c r="D736"/>
      <c r="E736"/>
      <c r="GR736" s="27" t="s">
        <v>7</v>
      </c>
      <c r="GS736" s="27" t="s">
        <v>8</v>
      </c>
    </row>
    <row r="737" spans="1:201" x14ac:dyDescent="0.25">
      <c r="A737" s="7">
        <v>5.1283095966678877E-2</v>
      </c>
      <c r="B737"/>
      <c r="C737"/>
      <c r="D737"/>
      <c r="E737"/>
      <c r="GR737" s="27" t="s">
        <v>7</v>
      </c>
      <c r="GS737" s="27" t="s">
        <v>8</v>
      </c>
    </row>
    <row r="738" spans="1:201" x14ac:dyDescent="0.25">
      <c r="A738" s="7">
        <v>5.0277545065371444E-2</v>
      </c>
      <c r="B738"/>
      <c r="C738"/>
      <c r="D738"/>
      <c r="E738"/>
      <c r="GR738" s="27" t="s">
        <v>7</v>
      </c>
      <c r="GS738" s="27" t="s">
        <v>8</v>
      </c>
    </row>
    <row r="739" spans="1:201" x14ac:dyDescent="0.25">
      <c r="A739" s="7">
        <v>4.9291710848403378E-2</v>
      </c>
      <c r="B739"/>
      <c r="C739"/>
      <c r="D739"/>
      <c r="E739"/>
      <c r="GR739" s="27" t="s">
        <v>7</v>
      </c>
      <c r="GS739" s="27" t="s">
        <v>8</v>
      </c>
    </row>
    <row r="740" spans="1:201" x14ac:dyDescent="0.25">
      <c r="A740" s="7">
        <v>4.8325206714120959E-2</v>
      </c>
      <c r="B740"/>
      <c r="C740"/>
      <c r="D740"/>
      <c r="E740"/>
      <c r="GR740" s="27" t="s">
        <v>7</v>
      </c>
      <c r="GS740" s="27" t="s">
        <v>8</v>
      </c>
    </row>
    <row r="741" spans="1:201" x14ac:dyDescent="0.25">
      <c r="A741" s="7">
        <v>4.7377653641295057E-2</v>
      </c>
      <c r="B741"/>
      <c r="C741"/>
      <c r="D741"/>
      <c r="E741"/>
      <c r="GR741" s="27" t="s">
        <v>7</v>
      </c>
      <c r="GS741" s="27" t="s">
        <v>8</v>
      </c>
    </row>
    <row r="742" spans="1:201" x14ac:dyDescent="0.25">
      <c r="A742" s="7">
        <v>4.644868004048535E-2</v>
      </c>
      <c r="B742"/>
      <c r="C742"/>
      <c r="D742"/>
      <c r="E742"/>
      <c r="GR742" s="27" t="s">
        <v>7</v>
      </c>
      <c r="GS742" s="27" t="s">
        <v>8</v>
      </c>
    </row>
    <row r="743" spans="1:201" x14ac:dyDescent="0.25">
      <c r="A743" s="7">
        <v>4.5537921608318974E-2</v>
      </c>
      <c r="B743"/>
      <c r="C743"/>
      <c r="D743"/>
      <c r="E743"/>
      <c r="GR743" s="27" t="s">
        <v>7</v>
      </c>
      <c r="GS743" s="27" t="s">
        <v>8</v>
      </c>
    </row>
    <row r="744" spans="1:201" x14ac:dyDescent="0.25">
      <c r="A744" s="7">
        <v>4.4645021184626446E-2</v>
      </c>
      <c r="B744"/>
      <c r="C744"/>
      <c r="D744"/>
      <c r="E744"/>
      <c r="GR744" s="27" t="s">
        <v>7</v>
      </c>
      <c r="GS744" s="27" t="s">
        <v>8</v>
      </c>
    </row>
    <row r="745" spans="1:201" x14ac:dyDescent="0.25">
      <c r="A745" s="7">
        <v>4.3769628612378868E-2</v>
      </c>
      <c r="B745"/>
      <c r="C745"/>
      <c r="D745"/>
      <c r="E745"/>
      <c r="GR745" s="27" t="s">
        <v>7</v>
      </c>
      <c r="GS745" s="27" t="s">
        <v>8</v>
      </c>
    </row>
    <row r="746" spans="1:201" x14ac:dyDescent="0.25">
      <c r="A746" s="7">
        <v>4.2911400600371442E-2</v>
      </c>
      <c r="B746"/>
      <c r="C746"/>
      <c r="D746"/>
      <c r="E746"/>
      <c r="GR746" s="27" t="s">
        <v>7</v>
      </c>
      <c r="GS746" s="27" t="s">
        <v>8</v>
      </c>
    </row>
    <row r="747" spans="1:201" x14ac:dyDescent="0.25">
      <c r="A747" s="7">
        <v>4.2070000588599457E-2</v>
      </c>
      <c r="B747"/>
      <c r="C747"/>
      <c r="D747"/>
      <c r="E747"/>
      <c r="GR747" s="27" t="s">
        <v>7</v>
      </c>
      <c r="GS747" s="27" t="s">
        <v>8</v>
      </c>
    </row>
    <row r="748" spans="1:201" x14ac:dyDescent="0.25">
      <c r="A748" s="7">
        <v>4.1245098616273977E-2</v>
      </c>
      <c r="B748"/>
      <c r="C748"/>
      <c r="D748"/>
      <c r="E748"/>
      <c r="GR748" s="27" t="s">
        <v>7</v>
      </c>
      <c r="GS748" s="27" t="s">
        <v>8</v>
      </c>
    </row>
    <row r="749" spans="1:201" x14ac:dyDescent="0.25">
      <c r="A749" s="7">
        <v>4.043637119242547E-2</v>
      </c>
      <c r="B749"/>
      <c r="C749"/>
      <c r="D749"/>
      <c r="E749"/>
      <c r="GR749" s="27" t="s">
        <v>7</v>
      </c>
      <c r="GS749" s="27" t="s">
        <v>8</v>
      </c>
    </row>
    <row r="750" spans="1:201" x14ac:dyDescent="0.25">
      <c r="A750" s="7">
        <v>3.9643501169044582E-2</v>
      </c>
      <c r="B750"/>
      <c r="C750"/>
      <c r="D750"/>
      <c r="E750"/>
      <c r="GR750" s="27" t="s">
        <v>7</v>
      </c>
      <c r="GS750" s="27" t="s">
        <v>8</v>
      </c>
    </row>
    <row r="751" spans="1:201" x14ac:dyDescent="0.25">
      <c r="A751" s="7">
        <v>3.8866177616710372E-2</v>
      </c>
      <c r="B751"/>
      <c r="C751"/>
      <c r="D751"/>
      <c r="E751"/>
      <c r="GR751" s="27" t="s">
        <v>7</v>
      </c>
      <c r="GS751" s="27" t="s">
        <v>8</v>
      </c>
    </row>
    <row r="752" spans="1:201" x14ac:dyDescent="0.25">
      <c r="A752" s="7">
        <v>3.8104095702657229E-2</v>
      </c>
      <c r="B752"/>
      <c r="C752"/>
      <c r="D752"/>
      <c r="E752"/>
      <c r="GR752" s="27" t="s">
        <v>7</v>
      </c>
      <c r="GS752" s="27" t="s">
        <v>8</v>
      </c>
    </row>
    <row r="753" spans="1:201" x14ac:dyDescent="0.25">
      <c r="A753" s="7">
        <v>3.7356956571232579E-2</v>
      </c>
      <c r="B753"/>
      <c r="C753"/>
      <c r="D753"/>
      <c r="E753"/>
      <c r="GR753" s="27" t="s">
        <v>7</v>
      </c>
      <c r="GS753" s="27" t="s">
        <v>8</v>
      </c>
    </row>
    <row r="754" spans="1:201" x14ac:dyDescent="0.25">
      <c r="A754" s="7">
        <v>3.6624467226698605E-2</v>
      </c>
      <c r="B754"/>
      <c r="C754"/>
      <c r="D754"/>
      <c r="E754"/>
      <c r="GR754" s="27" t="s">
        <v>7</v>
      </c>
      <c r="GS754" s="27" t="s">
        <v>8</v>
      </c>
    </row>
    <row r="755" spans="1:201" x14ac:dyDescent="0.25">
      <c r="A755" s="7">
        <v>3.5906340418331961E-2</v>
      </c>
      <c r="B755"/>
      <c r="C755"/>
      <c r="D755"/>
      <c r="E755"/>
      <c r="GR755" s="27" t="s">
        <v>7</v>
      </c>
      <c r="GS755" s="27" t="s">
        <v>8</v>
      </c>
    </row>
    <row r="756" spans="1:201" x14ac:dyDescent="0.25">
      <c r="A756" s="7">
        <v>3.5202294527776436E-2</v>
      </c>
      <c r="B756"/>
      <c r="C756"/>
      <c r="D756"/>
      <c r="E756"/>
      <c r="GR756" s="27" t="s">
        <v>7</v>
      </c>
      <c r="GS756" s="27" t="s">
        <v>8</v>
      </c>
    </row>
    <row r="757" spans="1:201" x14ac:dyDescent="0.25">
      <c r="A757" s="7">
        <v>3.451205345860435E-2</v>
      </c>
      <c r="B757"/>
      <c r="C757"/>
      <c r="D757"/>
      <c r="E757"/>
      <c r="GR757" s="27" t="s">
        <v>7</v>
      </c>
      <c r="GS757" s="27" t="s">
        <v>8</v>
      </c>
    </row>
    <row r="758" spans="1:201" x14ac:dyDescent="0.25">
      <c r="A758" s="7">
        <v>3.3835346528043479E-2</v>
      </c>
      <c r="B758"/>
      <c r="C758"/>
      <c r="D758"/>
      <c r="E758"/>
      <c r="GR758" s="27" t="s">
        <v>7</v>
      </c>
      <c r="GS758" s="27" t="s">
        <v>8</v>
      </c>
    </row>
    <row r="759" spans="1:201" x14ac:dyDescent="0.25">
      <c r="A759" s="7">
        <v>3.3171908360826938E-2</v>
      </c>
      <c r="B759"/>
      <c r="C759"/>
      <c r="D759"/>
      <c r="E759"/>
      <c r="GR759" s="27" t="s">
        <v>7</v>
      </c>
      <c r="GS759" s="27" t="s">
        <v>8</v>
      </c>
    </row>
    <row r="760" spans="1:201" x14ac:dyDescent="0.25">
      <c r="A760" s="7">
        <v>3.2521478785124451E-2</v>
      </c>
      <c r="B760"/>
      <c r="C760"/>
      <c r="D760"/>
      <c r="E760"/>
      <c r="GR760" s="27" t="s">
        <v>7</v>
      </c>
      <c r="GS760" s="27" t="s">
        <v>8</v>
      </c>
    </row>
    <row r="761" spans="1:201" x14ac:dyDescent="0.25">
      <c r="A761" s="7">
        <v>3.1883802730514173E-2</v>
      </c>
      <c r="B761"/>
      <c r="C761"/>
      <c r="D761"/>
      <c r="E761"/>
      <c r="GR761" s="27" t="s">
        <v>7</v>
      </c>
      <c r="GS761" s="27" t="s">
        <v>8</v>
      </c>
    </row>
    <row r="762" spans="1:201" x14ac:dyDescent="0.25">
      <c r="A762" s="7">
        <v>3.1258630127955073E-2</v>
      </c>
      <c r="B762"/>
      <c r="C762"/>
      <c r="D762"/>
      <c r="E762"/>
      <c r="GR762" s="27" t="s">
        <v>7</v>
      </c>
      <c r="GS762" s="27" t="s">
        <v>8</v>
      </c>
    </row>
    <row r="763" spans="1:201" x14ac:dyDescent="0.25">
      <c r="A763" s="7">
        <v>3.064571581172066E-2</v>
      </c>
      <c r="B763"/>
      <c r="C763"/>
      <c r="D763"/>
      <c r="E763"/>
      <c r="GR763" s="27" t="s">
        <v>7</v>
      </c>
      <c r="GS763" s="27" t="s">
        <v>8</v>
      </c>
    </row>
    <row r="764" spans="1:201" x14ac:dyDescent="0.25">
      <c r="A764" s="7">
        <v>3.0044819423255549E-2</v>
      </c>
      <c r="B764"/>
      <c r="C764"/>
      <c r="D764"/>
      <c r="E764"/>
      <c r="GR764" s="27" t="s">
        <v>7</v>
      </c>
      <c r="GS764" s="27" t="s">
        <v>8</v>
      </c>
    </row>
    <row r="765" spans="1:201" x14ac:dyDescent="0.25">
      <c r="A765" s="7">
        <v>2.9455705316917203E-2</v>
      </c>
      <c r="B765"/>
      <c r="C765"/>
      <c r="D765"/>
      <c r="E765"/>
      <c r="GR765" s="27" t="s">
        <v>7</v>
      </c>
      <c r="GS765" s="27" t="s">
        <v>8</v>
      </c>
    </row>
    <row r="766" spans="1:201" x14ac:dyDescent="0.25">
      <c r="A766" s="7">
        <v>2.8878142467565884E-2</v>
      </c>
      <c r="B766"/>
      <c r="C766"/>
      <c r="D766"/>
      <c r="E766"/>
      <c r="GR766" s="27" t="s">
        <v>7</v>
      </c>
      <c r="GS766" s="27" t="s">
        <v>8</v>
      </c>
    </row>
    <row r="767" spans="1:201" x14ac:dyDescent="0.25">
      <c r="A767" s="7">
        <v>2.8311904379966554E-2</v>
      </c>
      <c r="B767"/>
      <c r="C767"/>
      <c r="D767"/>
      <c r="E767"/>
      <c r="GR767" s="27" t="s">
        <v>7</v>
      </c>
      <c r="GS767" s="27" t="s">
        <v>8</v>
      </c>
    </row>
    <row r="768" spans="1:201" x14ac:dyDescent="0.25">
      <c r="A768" s="7">
        <v>2.7756768999967207E-2</v>
      </c>
      <c r="B768"/>
      <c r="C768"/>
      <c r="D768"/>
      <c r="E768"/>
      <c r="GR768" s="27" t="s">
        <v>7</v>
      </c>
      <c r="GS768" s="27" t="s">
        <v>8</v>
      </c>
    </row>
    <row r="769" spans="1:201" x14ac:dyDescent="0.25">
      <c r="A769" s="7">
        <v>2.7212518627418834E-2</v>
      </c>
      <c r="B769"/>
      <c r="C769"/>
      <c r="D769"/>
      <c r="E769"/>
      <c r="GR769" s="27" t="s">
        <v>7</v>
      </c>
      <c r="GS769" s="27" t="s">
        <v>8</v>
      </c>
    </row>
    <row r="770" spans="1:201" x14ac:dyDescent="0.25">
      <c r="A770" s="7">
        <v>2.6678939830802779E-2</v>
      </c>
      <c r="B770"/>
      <c r="C770"/>
      <c r="D770"/>
      <c r="E770"/>
      <c r="GR770" s="27" t="s">
        <v>7</v>
      </c>
      <c r="GS770" s="27" t="s">
        <v>8</v>
      </c>
    </row>
    <row r="771" spans="1:201" x14ac:dyDescent="0.25">
      <c r="A771" s="7">
        <v>2.615582336353214E-2</v>
      </c>
      <c r="B771"/>
      <c r="C771"/>
      <c r="D771"/>
      <c r="E771"/>
      <c r="GR771" s="27" t="s">
        <v>7</v>
      </c>
      <c r="GS771" s="27" t="s">
        <v>8</v>
      </c>
    </row>
    <row r="772" spans="1:201" x14ac:dyDescent="0.25">
      <c r="A772" s="7">
        <v>2.5642964081894253E-2</v>
      </c>
      <c r="B772"/>
      <c r="C772"/>
      <c r="D772"/>
      <c r="E772"/>
      <c r="GR772" s="27" t="s">
        <v>7</v>
      </c>
      <c r="GS772" s="27" t="s">
        <v>8</v>
      </c>
    </row>
    <row r="773" spans="1:201" x14ac:dyDescent="0.25">
      <c r="A773" s="7">
        <v>2.5140160864602207E-2</v>
      </c>
      <c r="B773"/>
      <c r="C773"/>
      <c r="D773"/>
      <c r="E773"/>
      <c r="GR773" s="27" t="s">
        <v>7</v>
      </c>
      <c r="GS773" s="27" t="s">
        <v>8</v>
      </c>
    </row>
    <row r="774" spans="1:201" x14ac:dyDescent="0.25">
      <c r="A774" s="7">
        <v>2.4647216533923735E-2</v>
      </c>
      <c r="B774"/>
      <c r="C774"/>
      <c r="D774"/>
      <c r="E774"/>
      <c r="GR774" s="27" t="s">
        <v>7</v>
      </c>
      <c r="GS774" s="27" t="s">
        <v>8</v>
      </c>
    </row>
    <row r="775" spans="1:201" x14ac:dyDescent="0.25">
      <c r="A775" s="7">
        <v>2.4163937778356601E-2</v>
      </c>
      <c r="B775"/>
      <c r="C775"/>
      <c r="D775"/>
      <c r="E775"/>
      <c r="GR775" s="27" t="s">
        <v>7</v>
      </c>
      <c r="GS775" s="27" t="s">
        <v>8</v>
      </c>
    </row>
    <row r="776" spans="1:201" x14ac:dyDescent="0.25">
      <c r="A776" s="7">
        <v>2.3690135076820197E-2</v>
      </c>
      <c r="B776"/>
      <c r="C776"/>
      <c r="D776"/>
      <c r="E776"/>
      <c r="GR776" s="27" t="s">
        <v>7</v>
      </c>
      <c r="GS776" s="27" t="s">
        <v>8</v>
      </c>
    </row>
    <row r="777" spans="1:201" x14ac:dyDescent="0.25">
      <c r="A777" s="7">
        <v>2.3225622624333527E-2</v>
      </c>
      <c r="B777"/>
      <c r="C777"/>
      <c r="D777"/>
      <c r="E777"/>
      <c r="GR777" s="27" t="s">
        <v>7</v>
      </c>
      <c r="GS777" s="27" t="s">
        <v>8</v>
      </c>
    </row>
    <row r="778" spans="1:201" x14ac:dyDescent="0.25">
      <c r="A778" s="7">
        <v>2.2770218259150519E-2</v>
      </c>
      <c r="B778"/>
      <c r="C778"/>
      <c r="D778"/>
      <c r="E778"/>
      <c r="GR778" s="27" t="s">
        <v>7</v>
      </c>
      <c r="GS778" s="27" t="s">
        <v>8</v>
      </c>
    </row>
    <row r="779" spans="1:201" x14ac:dyDescent="0.25">
      <c r="A779" s="7">
        <v>2.2323743391324039E-2</v>
      </c>
      <c r="B779"/>
      <c r="C779"/>
      <c r="D779"/>
      <c r="E779"/>
      <c r="GR779" s="27" t="s">
        <v>7</v>
      </c>
      <c r="GS779" s="27" t="s">
        <v>8</v>
      </c>
    </row>
    <row r="780" spans="1:201" x14ac:dyDescent="0.25">
      <c r="A780" s="7">
        <v>2.188602293267063E-2</v>
      </c>
      <c r="B780"/>
      <c r="C780"/>
      <c r="D780"/>
      <c r="E780"/>
      <c r="GR780" s="27" t="s">
        <v>7</v>
      </c>
      <c r="GS780" s="27" t="s">
        <v>8</v>
      </c>
    </row>
    <row r="781" spans="1:201" x14ac:dyDescent="0.25">
      <c r="A781" s="7">
        <v>2.1456885228108461E-2</v>
      </c>
      <c r="B781"/>
      <c r="C781"/>
      <c r="D781"/>
      <c r="E781"/>
      <c r="GR781" s="27" t="s">
        <v>7</v>
      </c>
      <c r="GS781" s="27" t="s">
        <v>8</v>
      </c>
    </row>
    <row r="782" spans="1:201" x14ac:dyDescent="0.25">
      <c r="A782" s="7">
        <v>2.1036161988341632E-2</v>
      </c>
      <c r="B782"/>
      <c r="C782"/>
      <c r="D782"/>
      <c r="E782"/>
      <c r="GR782" s="27" t="s">
        <v>7</v>
      </c>
      <c r="GS782" s="27" t="s">
        <v>8</v>
      </c>
    </row>
    <row r="783" spans="1:201" x14ac:dyDescent="0.25">
      <c r="A783" s="7">
        <v>2.0623688223864345E-2</v>
      </c>
      <c r="B783"/>
      <c r="C783"/>
      <c r="D783"/>
      <c r="E783"/>
      <c r="GR783" s="27" t="s">
        <v>7</v>
      </c>
      <c r="GS783" s="27" t="s">
        <v>8</v>
      </c>
    </row>
    <row r="784" spans="1:201" x14ac:dyDescent="0.25">
      <c r="A784" s="7">
        <v>2.021930218025916E-2</v>
      </c>
      <c r="B784"/>
      <c r="C784"/>
      <c r="D784"/>
      <c r="E784"/>
      <c r="GR784" s="27" t="s">
        <v>7</v>
      </c>
      <c r="GS784" s="27" t="s">
        <v>8</v>
      </c>
    </row>
    <row r="785" spans="1:201" x14ac:dyDescent="0.25">
      <c r="A785" s="7">
        <v>1.9822845274763884E-2</v>
      </c>
      <c r="B785"/>
      <c r="C785"/>
      <c r="D785"/>
      <c r="E785"/>
      <c r="GR785" s="27" t="s">
        <v>7</v>
      </c>
      <c r="GS785" s="27" t="s">
        <v>8</v>
      </c>
    </row>
    <row r="786" spans="1:201" x14ac:dyDescent="0.25">
      <c r="A786" s="7">
        <v>1.9434162034082238E-2</v>
      </c>
      <c r="B786"/>
      <c r="C786"/>
      <c r="D786"/>
      <c r="E786"/>
      <c r="GR786" s="27" t="s">
        <v>7</v>
      </c>
      <c r="GS786" s="27" t="s">
        <v>8</v>
      </c>
    </row>
    <row r="787" spans="1:201" x14ac:dyDescent="0.25">
      <c r="A787" s="7">
        <v>1.9053100033413959E-2</v>
      </c>
      <c r="B787"/>
      <c r="C787"/>
      <c r="D787"/>
      <c r="E787"/>
      <c r="GR787" s="27" t="s">
        <v>7</v>
      </c>
      <c r="GS787" s="27" t="s">
        <v>8</v>
      </c>
    </row>
    <row r="788" spans="1:201" x14ac:dyDescent="0.25">
      <c r="A788" s="7">
        <v>1.867950983668035E-2</v>
      </c>
      <c r="B788"/>
      <c r="C788"/>
      <c r="D788"/>
      <c r="E788"/>
      <c r="GR788" s="27" t="s">
        <v>7</v>
      </c>
      <c r="GS788" s="27" t="s">
        <v>8</v>
      </c>
    </row>
    <row r="789" spans="1:201" x14ac:dyDescent="0.25">
      <c r="A789" s="7">
        <v>1.8313244937921913E-2</v>
      </c>
      <c r="B789"/>
      <c r="C789"/>
      <c r="D789"/>
      <c r="E789"/>
      <c r="GR789" s="27" t="s">
        <v>7</v>
      </c>
      <c r="GS789" s="27" t="s">
        <v>8</v>
      </c>
    </row>
    <row r="790" spans="1:201" x14ac:dyDescent="0.25">
      <c r="A790" s="7">
        <v>1.7954161703845013E-2</v>
      </c>
      <c r="B790"/>
      <c r="C790"/>
      <c r="D790"/>
      <c r="E790"/>
      <c r="GR790" s="27" t="s">
        <v>7</v>
      </c>
      <c r="GS790" s="27" t="s">
        <v>8</v>
      </c>
    </row>
    <row r="791" spans="1:201" x14ac:dyDescent="0.25">
      <c r="A791" s="7">
        <v>1.7602119317495109E-2</v>
      </c>
      <c r="B791"/>
      <c r="C791"/>
      <c r="D791"/>
      <c r="E791"/>
      <c r="GR791" s="27" t="s">
        <v>7</v>
      </c>
      <c r="GS791" s="27" t="s">
        <v>8</v>
      </c>
    </row>
    <row r="792" spans="1:201" x14ac:dyDescent="0.25">
      <c r="A792" s="7">
        <v>1.7256979723034419E-2</v>
      </c>
      <c r="B792"/>
      <c r="C792"/>
      <c r="D792"/>
      <c r="E792"/>
      <c r="GR792" s="27" t="s">
        <v>7</v>
      </c>
      <c r="GS792" s="27" t="s">
        <v>8</v>
      </c>
    </row>
    <row r="793" spans="1:201" x14ac:dyDescent="0.25">
      <c r="A793" s="7">
        <v>1.6918607571602372E-2</v>
      </c>
      <c r="B793"/>
      <c r="C793"/>
      <c r="D793"/>
      <c r="E793"/>
      <c r="GR793" s="27" t="s">
        <v>7</v>
      </c>
      <c r="GS793" s="27" t="s">
        <v>8</v>
      </c>
    </row>
    <row r="794" spans="1:201" x14ac:dyDescent="0.25">
      <c r="A794" s="7">
        <v>1.6586870168237622E-2</v>
      </c>
      <c r="B794"/>
      <c r="C794"/>
      <c r="D794"/>
      <c r="E794"/>
      <c r="GR794" s="27" t="s">
        <v>7</v>
      </c>
      <c r="GS794" s="27" t="s">
        <v>8</v>
      </c>
    </row>
    <row r="795" spans="1:201" x14ac:dyDescent="0.25">
      <c r="A795" s="7">
        <v>1.6261637419840807E-2</v>
      </c>
      <c r="B795"/>
      <c r="C795"/>
      <c r="D795"/>
      <c r="E795"/>
      <c r="GR795" s="27" t="s">
        <v>7</v>
      </c>
      <c r="GS795" s="27" t="s">
        <v>8</v>
      </c>
    </row>
    <row r="796" spans="1:201" x14ac:dyDescent="0.25">
      <c r="A796" s="7">
        <v>1.5942781784157655E-2</v>
      </c>
      <c r="B796"/>
      <c r="C796"/>
      <c r="D796"/>
      <c r="E796"/>
      <c r="GR796" s="27" t="s">
        <v>7</v>
      </c>
      <c r="GS796" s="27" t="s">
        <v>8</v>
      </c>
    </row>
    <row r="797" spans="1:201" x14ac:dyDescent="0.25">
      <c r="A797" s="7">
        <v>1.5630178219762408E-2</v>
      </c>
      <c r="B797"/>
      <c r="C797"/>
      <c r="D797"/>
      <c r="E797"/>
      <c r="GR797" s="27" t="s">
        <v>7</v>
      </c>
      <c r="GS797" s="27" t="s">
        <v>8</v>
      </c>
    </row>
    <row r="798" spans="1:201" x14ac:dyDescent="0.25">
      <c r="A798" s="7">
        <v>1.5323704137021967E-2</v>
      </c>
      <c r="B798"/>
      <c r="C798"/>
      <c r="D798"/>
      <c r="E798"/>
      <c r="GR798" s="27" t="s">
        <v>7</v>
      </c>
      <c r="GS798" s="27" t="s">
        <v>8</v>
      </c>
    </row>
    <row r="799" spans="1:201" x14ac:dyDescent="0.25">
      <c r="A799" s="7">
        <v>1.5023239350021535E-2</v>
      </c>
      <c r="B799"/>
      <c r="C799"/>
      <c r="D799"/>
      <c r="E799"/>
      <c r="GR799" s="27" t="s">
        <v>7</v>
      </c>
      <c r="GS799" s="27" t="s">
        <v>8</v>
      </c>
    </row>
    <row r="800" spans="1:201" x14ac:dyDescent="0.25">
      <c r="A800" s="7">
        <v>1.4728666029432878E-2</v>
      </c>
      <c r="B800"/>
      <c r="C800"/>
      <c r="D800"/>
      <c r="E800"/>
      <c r="GR800" s="27" t="s">
        <v>7</v>
      </c>
      <c r="GS800" s="27" t="s">
        <v>8</v>
      </c>
    </row>
    <row r="801" spans="1:201" x14ac:dyDescent="0.25">
      <c r="A801" s="7">
        <v>1.4439868656306743E-2</v>
      </c>
      <c r="B801"/>
      <c r="C801"/>
      <c r="D801"/>
      <c r="E801"/>
      <c r="GR801" s="27" t="s">
        <v>7</v>
      </c>
      <c r="GS801" s="27" t="s">
        <v>8</v>
      </c>
    </row>
    <row r="802" spans="1:201" x14ac:dyDescent="0.25">
      <c r="A802" s="7">
        <v>1.4156733976771318E-2</v>
      </c>
      <c r="B802"/>
      <c r="C802"/>
      <c r="D802"/>
      <c r="E802"/>
      <c r="GR802" s="27" t="s">
        <v>7</v>
      </c>
      <c r="GS802" s="27" t="s">
        <v>8</v>
      </c>
    </row>
    <row r="803" spans="1:201" x14ac:dyDescent="0.25">
      <c r="A803" s="7">
        <v>1.3879150957618939E-2</v>
      </c>
      <c r="B803"/>
      <c r="C803"/>
      <c r="D803"/>
      <c r="E803"/>
      <c r="GR803" s="27" t="s">
        <v>7</v>
      </c>
      <c r="GS803" s="27" t="s">
        <v>8</v>
      </c>
    </row>
    <row r="804" spans="1:201" x14ac:dyDescent="0.25">
      <c r="A804" s="7">
        <v>1.3607010742763666E-2</v>
      </c>
      <c r="B804"/>
      <c r="C804"/>
      <c r="D804"/>
      <c r="E804"/>
      <c r="GR804" s="27" t="s">
        <v>7</v>
      </c>
      <c r="GS804" s="27" t="s">
        <v>8</v>
      </c>
    </row>
    <row r="805" spans="1:201" x14ac:dyDescent="0.25">
      <c r="A805" s="7">
        <v>1.3340206610552614E-2</v>
      </c>
      <c r="B805"/>
      <c r="C805"/>
      <c r="D805"/>
      <c r="E805"/>
      <c r="GR805" s="27" t="s">
        <v>7</v>
      </c>
      <c r="GS805" s="27" t="s">
        <v>8</v>
      </c>
    </row>
    <row r="806" spans="1:201" x14ac:dyDescent="0.25">
      <c r="A806" s="7">
        <v>1.3078633931914328E-2</v>
      </c>
      <c r="B806"/>
      <c r="C806"/>
      <c r="D806"/>
      <c r="E806"/>
      <c r="GR806" s="27" t="s">
        <v>7</v>
      </c>
      <c r="GS806" s="27" t="s">
        <v>8</v>
      </c>
    </row>
    <row r="807" spans="1:201" x14ac:dyDescent="0.25">
      <c r="A807" s="7">
        <v>1.2822190129327771E-2</v>
      </c>
      <c r="B807"/>
      <c r="C807"/>
      <c r="D807"/>
      <c r="E807"/>
      <c r="GR807" s="27" t="s">
        <v>7</v>
      </c>
      <c r="GS807" s="27" t="s">
        <v>8</v>
      </c>
    </row>
    <row r="808" spans="1:201" x14ac:dyDescent="0.25">
      <c r="A808" s="7">
        <v>1.2570774636595854E-2</v>
      </c>
      <c r="B808"/>
      <c r="C808"/>
      <c r="D808"/>
      <c r="E808"/>
      <c r="GR808" s="27" t="s">
        <v>7</v>
      </c>
      <c r="GS808" s="27" t="s">
        <v>8</v>
      </c>
    </row>
    <row r="809" spans="1:201" x14ac:dyDescent="0.25">
      <c r="A809" s="7">
        <v>1.23242888594077E-2</v>
      </c>
      <c r="B809"/>
      <c r="C809"/>
      <c r="D809"/>
      <c r="E809"/>
      <c r="GR809" s="27" t="s">
        <v>7</v>
      </c>
      <c r="GS809" s="27" t="s">
        <v>8</v>
      </c>
    </row>
    <row r="810" spans="1:201" x14ac:dyDescent="0.25">
      <c r="A810" s="7">
        <v>1.2082636136674216E-2</v>
      </c>
      <c r="B810"/>
      <c r="C810"/>
      <c r="D810"/>
      <c r="E810"/>
      <c r="GR810" s="27" t="s">
        <v>7</v>
      </c>
      <c r="GS810" s="27" t="s">
        <v>8</v>
      </c>
    </row>
    <row r="811" spans="1:201" x14ac:dyDescent="0.25">
      <c r="A811" s="7">
        <v>1.184572170262178E-2</v>
      </c>
      <c r="B811"/>
      <c r="C811"/>
      <c r="D811"/>
      <c r="E811"/>
      <c r="GR811" s="27" t="s">
        <v>7</v>
      </c>
      <c r="GS811" s="27" t="s">
        <v>8</v>
      </c>
    </row>
    <row r="812" spans="1:201" x14ac:dyDescent="0.25">
      <c r="A812" s="7">
        <v>1.1613452649629196E-2</v>
      </c>
      <c r="B812"/>
      <c r="C812"/>
      <c r="D812"/>
      <c r="E812"/>
      <c r="GR812" s="27" t="s">
        <v>7</v>
      </c>
      <c r="GS812" s="27" t="s">
        <v>8</v>
      </c>
    </row>
    <row r="813" spans="1:201" x14ac:dyDescent="0.25">
      <c r="A813" s="7">
        <v>1.138573789179333E-2</v>
      </c>
      <c r="B813"/>
      <c r="C813"/>
      <c r="D813"/>
      <c r="E813"/>
      <c r="GR813" s="27" t="s">
        <v>7</v>
      </c>
      <c r="GS813" s="27" t="s">
        <v>8</v>
      </c>
    </row>
    <row r="814" spans="1:201" x14ac:dyDescent="0.25">
      <c r="A814" s="7">
        <v>1.1162488129209149E-2</v>
      </c>
      <c r="B814"/>
      <c r="C814"/>
      <c r="D814"/>
      <c r="E814"/>
      <c r="GR814" s="27" t="s">
        <v>7</v>
      </c>
      <c r="GS814" s="27" t="s">
        <v>8</v>
      </c>
    </row>
    <row r="815" spans="1:201" x14ac:dyDescent="0.25">
      <c r="A815" s="7">
        <v>1.0943615812950145E-2</v>
      </c>
      <c r="B815"/>
      <c r="C815"/>
      <c r="D815"/>
      <c r="E815"/>
      <c r="GR815" s="27" t="s">
        <v>7</v>
      </c>
      <c r="GS815" s="27" t="s">
        <v>8</v>
      </c>
    </row>
    <row r="816" spans="1:201" x14ac:dyDescent="0.25">
      <c r="A816" s="7">
        <v>1.0729035110735436E-2</v>
      </c>
      <c r="B816"/>
      <c r="C816"/>
      <c r="D816"/>
      <c r="E816"/>
      <c r="GR816" s="27" t="s">
        <v>7</v>
      </c>
      <c r="GS816" s="27" t="s">
        <v>8</v>
      </c>
    </row>
    <row r="817" spans="1:201" x14ac:dyDescent="0.25">
      <c r="A817" s="7">
        <v>1.0518661873270036E-2</v>
      </c>
      <c r="B817"/>
      <c r="C817"/>
      <c r="D817"/>
      <c r="E817"/>
      <c r="GR817" s="27" t="s">
        <v>7</v>
      </c>
      <c r="GS817" s="27" t="s">
        <v>8</v>
      </c>
    </row>
    <row r="818" spans="1:201" x14ac:dyDescent="0.25">
      <c r="A818" s="7">
        <v>1.0312413601245135E-2</v>
      </c>
      <c r="B818"/>
      <c r="C818"/>
      <c r="D818"/>
      <c r="E818"/>
      <c r="GR818" s="27" t="s">
        <v>7</v>
      </c>
      <c r="GS818" s="27" t="s">
        <v>8</v>
      </c>
    </row>
    <row r="819" spans="1:201" x14ac:dyDescent="0.25">
      <c r="A819" s="7">
        <v>1.0110209412985426E-2</v>
      </c>
      <c r="B819"/>
      <c r="C819"/>
      <c r="D819"/>
      <c r="E819"/>
      <c r="GR819" s="27" t="s">
        <v>7</v>
      </c>
      <c r="GS819" s="27" t="s">
        <v>8</v>
      </c>
    </row>
    <row r="820" spans="1:201" x14ac:dyDescent="0.25">
      <c r="A820" s="7">
        <v>9.9119700127308103E-3</v>
      </c>
      <c r="B820"/>
      <c r="C820"/>
      <c r="D820"/>
      <c r="E820"/>
      <c r="GR820" s="27" t="s">
        <v>7</v>
      </c>
      <c r="GS820" s="27" t="s">
        <v>8</v>
      </c>
    </row>
    <row r="821" spans="1:201" x14ac:dyDescent="0.25">
      <c r="A821" s="7">
        <v>9.717617659540009E-3</v>
      </c>
      <c r="B821"/>
      <c r="C821"/>
      <c r="D821"/>
      <c r="E821"/>
      <c r="GR821" s="27" t="s">
        <v>7</v>
      </c>
      <c r="GS821" s="27" t="s">
        <v>8</v>
      </c>
    </row>
    <row r="822" spans="1:201" x14ac:dyDescent="0.25">
      <c r="A822" s="7">
        <v>9.5270761368039299E-3</v>
      </c>
      <c r="B822"/>
      <c r="C822"/>
      <c r="D822"/>
      <c r="E822"/>
      <c r="GR822" s="27" t="s">
        <v>7</v>
      </c>
      <c r="GS822" s="27" t="s">
        <v>8</v>
      </c>
    </row>
    <row r="823" spans="1:201" x14ac:dyDescent="0.25">
      <c r="A823" s="7">
        <v>9.3402707223567936E-3</v>
      </c>
      <c r="B823"/>
      <c r="C823"/>
      <c r="D823"/>
      <c r="E823"/>
      <c r="GR823" s="27" t="s">
        <v>7</v>
      </c>
      <c r="GS823" s="27" t="s">
        <v>8</v>
      </c>
    </row>
    <row r="824" spans="1:201" x14ac:dyDescent="0.25">
      <c r="A824" s="7">
        <v>9.1571281591733261E-3</v>
      </c>
      <c r="B824"/>
      <c r="C824"/>
      <c r="D824"/>
      <c r="E824"/>
      <c r="GR824" s="27" t="s">
        <v>7</v>
      </c>
      <c r="GS824" s="27" t="s">
        <v>8</v>
      </c>
    </row>
    <row r="825" spans="1:201" x14ac:dyDescent="0.25">
      <c r="A825" s="7">
        <v>8.9775766266405148E-3</v>
      </c>
      <c r="B825"/>
      <c r="C825"/>
      <c r="D825"/>
      <c r="E825"/>
      <c r="GR825" s="27" t="s">
        <v>7</v>
      </c>
      <c r="GS825" s="27" t="s">
        <v>8</v>
      </c>
    </row>
    <row r="826" spans="1:201" x14ac:dyDescent="0.25">
      <c r="A826" s="7">
        <v>8.8015457123926614E-3</v>
      </c>
      <c r="B826"/>
      <c r="C826"/>
      <c r="D826"/>
      <c r="E826"/>
      <c r="GR826" s="27" t="s">
        <v>7</v>
      </c>
      <c r="GS826" s="27" t="s">
        <v>8</v>
      </c>
    </row>
    <row r="827" spans="1:201" x14ac:dyDescent="0.25">
      <c r="A827" s="7">
        <v>8.6289663846986879E-3</v>
      </c>
      <c r="B827"/>
      <c r="C827"/>
      <c r="D827"/>
      <c r="E827"/>
      <c r="GR827" s="27" t="s">
        <v>7</v>
      </c>
      <c r="GS827" s="27" t="s">
        <v>8</v>
      </c>
    </row>
    <row r="828" spans="1:201" x14ac:dyDescent="0.25">
      <c r="A828" s="7">
        <v>8.4597709653908715E-3</v>
      </c>
      <c r="B828"/>
      <c r="C828"/>
      <c r="D828"/>
      <c r="E828"/>
      <c r="GR828" s="27" t="s">
        <v>7</v>
      </c>
      <c r="GS828" s="27" t="s">
        <v>8</v>
      </c>
    </row>
    <row r="829" spans="1:201" x14ac:dyDescent="0.25">
      <c r="A829" s="7">
        <v>8.2938931033243839E-3</v>
      </c>
      <c r="B829"/>
      <c r="C829"/>
      <c r="D829"/>
      <c r="E829"/>
      <c r="GR829" s="27" t="s">
        <v>7</v>
      </c>
      <c r="GS829" s="27" t="s">
        <v>8</v>
      </c>
    </row>
    <row r="830" spans="1:201" x14ac:dyDescent="0.25">
      <c r="A830" s="7">
        <v>8.1312677483572383E-3</v>
      </c>
      <c r="B830"/>
      <c r="C830"/>
      <c r="D830"/>
      <c r="E830"/>
      <c r="GR830" s="27" t="s">
        <v>7</v>
      </c>
      <c r="GS830" s="27" t="s">
        <v>8</v>
      </c>
    </row>
    <row r="831" spans="1:201" x14ac:dyDescent="0.25">
      <c r="A831" s="7">
        <v>7.9718311258404305E-3</v>
      </c>
      <c r="B831"/>
      <c r="C831"/>
      <c r="D831"/>
      <c r="E831"/>
      <c r="GR831" s="27" t="s">
        <v>7</v>
      </c>
      <c r="GS831" s="27" t="s">
        <v>8</v>
      </c>
    </row>
    <row r="832" spans="1:201" x14ac:dyDescent="0.25">
      <c r="A832" s="7">
        <v>7.8155207116082648E-3</v>
      </c>
      <c r="B832"/>
      <c r="C832"/>
      <c r="D832"/>
      <c r="E832"/>
      <c r="GR832" s="27" t="s">
        <v>7</v>
      </c>
      <c r="GS832" s="27" t="s">
        <v>8</v>
      </c>
    </row>
    <row r="833" spans="1:201" x14ac:dyDescent="0.25">
      <c r="A833" s="7">
        <v>7.6622752074590825E-3</v>
      </c>
      <c r="B833"/>
      <c r="C833"/>
      <c r="D833"/>
      <c r="E833"/>
      <c r="GR833" s="27" t="s">
        <v>7</v>
      </c>
      <c r="GS833" s="27" t="s">
        <v>8</v>
      </c>
    </row>
    <row r="834" spans="1:201" x14ac:dyDescent="0.25">
      <c r="A834" s="7">
        <v>7.5120345171167469E-3</v>
      </c>
      <c r="B834"/>
      <c r="C834"/>
      <c r="D834"/>
      <c r="E834"/>
      <c r="GR834" s="27" t="s">
        <v>7</v>
      </c>
      <c r="GS834" s="27" t="s">
        <v>8</v>
      </c>
    </row>
    <row r="835" spans="1:201" x14ac:dyDescent="0.25">
      <c r="A835" s="7">
        <v>7.3647397226634772E-3</v>
      </c>
      <c r="B835"/>
      <c r="C835"/>
      <c r="D835"/>
      <c r="E835"/>
      <c r="GR835" s="27" t="s">
        <v>7</v>
      </c>
      <c r="GS835" s="27" t="s">
        <v>8</v>
      </c>
    </row>
    <row r="836" spans="1:201" x14ac:dyDescent="0.25">
      <c r="A836" s="7">
        <v>7.2203330614347815E-3</v>
      </c>
      <c r="B836"/>
      <c r="C836"/>
      <c r="D836"/>
      <c r="E836"/>
      <c r="GR836" s="27" t="s">
        <v>7</v>
      </c>
      <c r="GS836" s="27" t="s">
        <v>8</v>
      </c>
    </row>
    <row r="837" spans="1:201" x14ac:dyDescent="0.25">
      <c r="A837" s="7">
        <v>7.0787579033674327E-3</v>
      </c>
      <c r="B837"/>
      <c r="C837"/>
      <c r="D837"/>
      <c r="E837"/>
      <c r="GR837" s="27" t="s">
        <v>7</v>
      </c>
      <c r="GS837" s="27" t="s">
        <v>8</v>
      </c>
    </row>
    <row r="838" spans="1:201" x14ac:dyDescent="0.25">
      <c r="A838" s="7">
        <v>6.9399587287916013E-3</v>
      </c>
      <c r="B838"/>
      <c r="C838"/>
      <c r="D838"/>
      <c r="E838"/>
      <c r="GR838" s="27" t="s">
        <v>7</v>
      </c>
      <c r="GS838" s="27" t="s">
        <v>8</v>
      </c>
    </row>
    <row r="839" spans="1:201" x14ac:dyDescent="0.25">
      <c r="A839" s="7">
        <v>6.8038811066584333E-3</v>
      </c>
      <c r="B839"/>
      <c r="C839"/>
      <c r="D839"/>
      <c r="E839"/>
      <c r="GR839" s="27" t="s">
        <v>7</v>
      </c>
      <c r="GS839" s="27" t="s">
        <v>8</v>
      </c>
    </row>
    <row r="840" spans="1:201" x14ac:dyDescent="0.25">
      <c r="A840" s="7">
        <v>6.6704716731945425E-3</v>
      </c>
      <c r="B840"/>
      <c r="C840"/>
      <c r="D840"/>
      <c r="E840"/>
      <c r="GR840" s="27" t="s">
        <v>7</v>
      </c>
      <c r="GS840" s="27" t="s">
        <v>8</v>
      </c>
    </row>
    <row r="841" spans="1:201" x14ac:dyDescent="0.25">
      <c r="A841" s="7">
        <v>6.5396781109750427E-3</v>
      </c>
      <c r="B841"/>
      <c r="C841"/>
      <c r="D841"/>
      <c r="E841"/>
      <c r="GR841" s="27" t="s">
        <v>7</v>
      </c>
      <c r="GS841" s="27" t="s">
        <v>8</v>
      </c>
    </row>
    <row r="842" spans="1:201" x14ac:dyDescent="0.25">
      <c r="A842" s="7">
        <v>6.4114491284069045E-3</v>
      </c>
      <c r="B842"/>
      <c r="C842"/>
      <c r="D842"/>
      <c r="E842"/>
      <c r="GR842" s="27" t="s">
        <v>7</v>
      </c>
      <c r="GS842" s="27" t="s">
        <v>8</v>
      </c>
    </row>
    <row r="843" spans="1:201" x14ac:dyDescent="0.25">
      <c r="A843" s="7">
        <v>6.2857344396146115E-3</v>
      </c>
      <c r="B843"/>
      <c r="C843"/>
      <c r="D843"/>
      <c r="E843"/>
      <c r="GR843" s="27" t="s">
        <v>7</v>
      </c>
      <c r="GS843" s="27" t="s">
        <v>8</v>
      </c>
    </row>
    <row r="844" spans="1:201" x14ac:dyDescent="0.25">
      <c r="A844" s="7">
        <v>6.1624847447202076E-3</v>
      </c>
      <c r="B844"/>
      <c r="C844"/>
      <c r="D844"/>
      <c r="E844"/>
      <c r="GR844" s="27" t="s">
        <v>7</v>
      </c>
      <c r="GS844" s="27" t="s">
        <v>8</v>
      </c>
    </row>
    <row r="845" spans="1:201" x14ac:dyDescent="0.25">
      <c r="A845" s="7">
        <v>6.0416517105100079E-3</v>
      </c>
      <c r="B845"/>
      <c r="C845"/>
      <c r="D845"/>
      <c r="E845"/>
      <c r="GR845" s="27" t="s">
        <v>7</v>
      </c>
      <c r="GS845" s="27" t="s">
        <v>8</v>
      </c>
    </row>
    <row r="846" spans="1:201" x14ac:dyDescent="0.25">
      <c r="A846" s="7">
        <v>5.9231879514803996E-3</v>
      </c>
      <c r="B846"/>
      <c r="C846"/>
      <c r="D846"/>
      <c r="E846"/>
      <c r="GR846" s="27" t="s">
        <v>7</v>
      </c>
      <c r="GS846" s="27" t="s">
        <v>8</v>
      </c>
    </row>
    <row r="847" spans="1:201" x14ac:dyDescent="0.25">
      <c r="A847" s="7">
        <v>5.8070470112552936E-3</v>
      </c>
      <c r="B847"/>
      <c r="C847"/>
      <c r="D847"/>
      <c r="E847"/>
      <c r="GR847" s="27" t="s">
        <v>7</v>
      </c>
      <c r="GS847" s="27" t="s">
        <v>8</v>
      </c>
    </row>
    <row r="848" spans="1:201" x14ac:dyDescent="0.25">
      <c r="A848" s="7">
        <v>5.6931833443679353E-3</v>
      </c>
      <c r="B848"/>
      <c r="C848"/>
      <c r="D848"/>
      <c r="E848"/>
      <c r="GR848" s="27" t="s">
        <v>7</v>
      </c>
      <c r="GS848" s="27" t="s">
        <v>8</v>
      </c>
    </row>
    <row r="849" spans="1:201" x14ac:dyDescent="0.25">
      <c r="A849" s="7">
        <v>5.5815522983999367E-3</v>
      </c>
      <c r="B849"/>
      <c r="C849"/>
      <c r="D849"/>
      <c r="E849"/>
      <c r="GR849" s="27" t="s">
        <v>7</v>
      </c>
      <c r="GS849" s="27" t="s">
        <v>8</v>
      </c>
    </row>
    <row r="850" spans="1:201" x14ac:dyDescent="0.25">
      <c r="A850" s="7">
        <v>5.4721100964705257E-3</v>
      </c>
      <c r="B850"/>
      <c r="C850"/>
      <c r="D850"/>
      <c r="E850"/>
      <c r="GR850" s="27" t="s">
        <v>7</v>
      </c>
      <c r="GS850" s="27" t="s">
        <v>8</v>
      </c>
    </row>
    <row r="851" spans="1:201" x14ac:dyDescent="0.25">
      <c r="A851" s="7">
        <v>5.3648138200691423E-3</v>
      </c>
      <c r="B851"/>
      <c r="C851"/>
      <c r="D851"/>
      <c r="E851"/>
      <c r="GR851" s="27" t="s">
        <v>7</v>
      </c>
      <c r="GS851" s="27" t="s">
        <v>8</v>
      </c>
    </row>
    <row r="852" spans="1:201" x14ac:dyDescent="0.25">
      <c r="A852" s="7">
        <v>5.2596213922246494E-3</v>
      </c>
      <c r="B852"/>
      <c r="C852"/>
      <c r="D852"/>
      <c r="E852"/>
      <c r="GR852" s="27" t="s">
        <v>7</v>
      </c>
      <c r="GS852" s="27" t="s">
        <v>8</v>
      </c>
    </row>
    <row r="853" spans="1:201" x14ac:dyDescent="0.25">
      <c r="A853" s="7">
        <v>5.1564915610045588E-3</v>
      </c>
      <c r="B853"/>
      <c r="C853"/>
      <c r="D853"/>
      <c r="E853"/>
      <c r="GR853" s="27" t="s">
        <v>7</v>
      </c>
      <c r="GS853" s="27" t="s">
        <v>8</v>
      </c>
    </row>
    <row r="854" spans="1:201" x14ac:dyDescent="0.25">
      <c r="A854" s="7">
        <v>5.0553838833378023E-3</v>
      </c>
      <c r="B854"/>
      <c r="C854"/>
      <c r="D854"/>
      <c r="E854"/>
      <c r="GR854" s="27" t="s">
        <v>7</v>
      </c>
      <c r="GS854" s="27" t="s">
        <v>8</v>
      </c>
    </row>
    <row r="855" spans="1:201" x14ac:dyDescent="0.25">
      <c r="A855" s="7">
        <v>4.9562587091547079E-3</v>
      </c>
      <c r="B855"/>
      <c r="C855"/>
      <c r="D855"/>
      <c r="E855"/>
      <c r="GR855" s="27" t="s">
        <v>7</v>
      </c>
      <c r="GS855" s="27" t="s">
        <v>8</v>
      </c>
    </row>
    <row r="856" spans="1:201" x14ac:dyDescent="0.25">
      <c r="A856" s="7">
        <v>4.8590771658379491E-3</v>
      </c>
      <c r="B856"/>
      <c r="C856"/>
      <c r="D856"/>
      <c r="E856"/>
      <c r="GR856" s="27" t="s">
        <v>7</v>
      </c>
      <c r="GS856" s="27" t="s">
        <v>8</v>
      </c>
    </row>
    <row r="857" spans="1:201" x14ac:dyDescent="0.25">
      <c r="A857" s="7">
        <v>4.7638011429783815E-3</v>
      </c>
      <c r="B857"/>
      <c r="C857"/>
      <c r="D857"/>
      <c r="E857"/>
      <c r="GR857" s="27" t="s">
        <v>7</v>
      </c>
      <c r="GS857" s="27" t="s">
        <v>8</v>
      </c>
    </row>
    <row r="858" spans="1:201" x14ac:dyDescent="0.25">
      <c r="A858" s="7">
        <v>4.6703932774297859E-3</v>
      </c>
      <c r="B858"/>
      <c r="C858"/>
      <c r="D858"/>
      <c r="E858"/>
      <c r="GR858" s="27" t="s">
        <v>7</v>
      </c>
      <c r="GS858" s="27" t="s">
        <v>8</v>
      </c>
    </row>
    <row r="859" spans="1:201" x14ac:dyDescent="0.25">
      <c r="A859" s="7">
        <v>4.5788169386566527E-3</v>
      </c>
      <c r="B859"/>
      <c r="C859"/>
      <c r="D859"/>
      <c r="E859"/>
      <c r="GR859" s="27" t="s">
        <v>7</v>
      </c>
      <c r="GS859" s="27" t="s">
        <v>8</v>
      </c>
    </row>
    <row r="860" spans="1:201" x14ac:dyDescent="0.25">
      <c r="A860" s="7">
        <v>4.4890362143692672E-3</v>
      </c>
      <c r="B860"/>
      <c r="C860"/>
      <c r="D860"/>
      <c r="E860"/>
      <c r="GR860" s="27" t="s">
        <v>7</v>
      </c>
      <c r="GS860" s="27" t="s">
        <v>8</v>
      </c>
    </row>
    <row r="861" spans="1:201" x14ac:dyDescent="0.25">
      <c r="A861" s="7">
        <v>4.4010158964404578E-3</v>
      </c>
      <c r="B861"/>
      <c r="C861"/>
      <c r="D861"/>
      <c r="E861"/>
      <c r="GR861" s="27" t="s">
        <v>7</v>
      </c>
      <c r="GS861" s="27" t="s">
        <v>8</v>
      </c>
    </row>
    <row r="862" spans="1:201" x14ac:dyDescent="0.25">
      <c r="A862" s="7">
        <v>4.314721467098488E-3</v>
      </c>
      <c r="B862"/>
      <c r="C862"/>
      <c r="D862"/>
      <c r="E862"/>
      <c r="GR862" s="27" t="s">
        <v>7</v>
      </c>
      <c r="GS862" s="27" t="s">
        <v>8</v>
      </c>
    </row>
    <row r="863" spans="1:201" x14ac:dyDescent="0.25">
      <c r="A863" s="7">
        <v>4.2301190853906746E-3</v>
      </c>
      <c r="B863"/>
      <c r="C863"/>
      <c r="D863"/>
      <c r="E863"/>
      <c r="GR863" s="27" t="s">
        <v>7</v>
      </c>
      <c r="GS863" s="27" t="s">
        <v>8</v>
      </c>
    </row>
    <row r="864" spans="1:201" x14ac:dyDescent="0.25">
      <c r="A864" s="7">
        <v>4.1471755739124266E-3</v>
      </c>
      <c r="B864"/>
      <c r="C864"/>
      <c r="D864"/>
      <c r="E864"/>
      <c r="GR864" s="27" t="s">
        <v>7</v>
      </c>
      <c r="GS864" s="27" t="s">
        <v>8</v>
      </c>
    </row>
    <row r="865" spans="1:201" x14ac:dyDescent="0.25">
      <c r="A865" s="7">
        <v>4.0658584057964966E-3</v>
      </c>
      <c r="B865"/>
      <c r="C865"/>
      <c r="D865"/>
      <c r="E865"/>
      <c r="GR865" s="27" t="s">
        <v>7</v>
      </c>
      <c r="GS865" s="27" t="s">
        <v>8</v>
      </c>
    </row>
    <row r="866" spans="1:201" x14ac:dyDescent="0.25">
      <c r="A866" s="7">
        <v>3.9861356919573491E-3</v>
      </c>
      <c r="B866"/>
      <c r="C866"/>
      <c r="D866"/>
      <c r="E866"/>
      <c r="GR866" s="27" t="s">
        <v>7</v>
      </c>
      <c r="GS866" s="27" t="s">
        <v>8</v>
      </c>
    </row>
    <row r="867" spans="1:201" x14ac:dyDescent="0.25">
      <c r="A867" s="7">
        <v>3.9079761685856364E-3</v>
      </c>
      <c r="B867"/>
      <c r="C867"/>
      <c r="D867"/>
      <c r="E867"/>
      <c r="GR867" s="27" t="s">
        <v>7</v>
      </c>
      <c r="GS867" s="27" t="s">
        <v>8</v>
      </c>
    </row>
    <row r="868" spans="1:201" x14ac:dyDescent="0.25">
      <c r="A868" s="7">
        <v>3.8313491848878793E-3</v>
      </c>
      <c r="B868"/>
      <c r="C868"/>
      <c r="D868"/>
      <c r="E868"/>
      <c r="GR868" s="27" t="s">
        <v>7</v>
      </c>
      <c r="GS868" s="27" t="s">
        <v>8</v>
      </c>
    </row>
    <row r="869" spans="1:201" x14ac:dyDescent="0.25">
      <c r="A869" s="7">
        <v>3.7562246910665485E-3</v>
      </c>
      <c r="B869"/>
      <c r="C869"/>
      <c r="D869"/>
      <c r="E869"/>
      <c r="GR869" s="27" t="s">
        <v>7</v>
      </c>
      <c r="GS869" s="27" t="s">
        <v>8</v>
      </c>
    </row>
    <row r="870" spans="1:201" x14ac:dyDescent="0.25">
      <c r="A870" s="7">
        <v>3.6825732265358315E-3</v>
      </c>
      <c r="B870"/>
      <c r="C870"/>
      <c r="D870"/>
      <c r="E870"/>
      <c r="GR870" s="27" t="s">
        <v>7</v>
      </c>
      <c r="GS870" s="27" t="s">
        <v>8</v>
      </c>
    </row>
    <row r="871" spans="1:201" x14ac:dyDescent="0.25">
      <c r="A871" s="7">
        <v>3.6103659083684624E-3</v>
      </c>
      <c r="B871"/>
      <c r="C871"/>
      <c r="D871"/>
      <c r="E871"/>
      <c r="GR871" s="27" t="s">
        <v>7</v>
      </c>
      <c r="GS871" s="27" t="s">
        <v>8</v>
      </c>
    </row>
    <row r="872" spans="1:201" x14ac:dyDescent="0.25">
      <c r="A872" s="7">
        <v>3.539574419969081E-3</v>
      </c>
      <c r="B872"/>
      <c r="C872"/>
      <c r="D872"/>
      <c r="E872"/>
      <c r="GR872" s="27" t="s">
        <v>7</v>
      </c>
      <c r="GS872" s="27" t="s">
        <v>8</v>
      </c>
    </row>
    <row r="873" spans="1:201" x14ac:dyDescent="0.25">
      <c r="A873" s="7">
        <v>3.4701709999696872E-3</v>
      </c>
      <c r="B873"/>
      <c r="C873"/>
      <c r="D873"/>
      <c r="E873"/>
      <c r="GR873" s="27" t="s">
        <v>7</v>
      </c>
      <c r="GS873" s="27" t="s">
        <v>8</v>
      </c>
    </row>
    <row r="874" spans="1:201" x14ac:dyDescent="0.25">
      <c r="A874" s="7">
        <v>3.4021284313428307E-3</v>
      </c>
      <c r="B874"/>
      <c r="C874"/>
      <c r="D874"/>
      <c r="E874"/>
      <c r="GR874" s="27" t="s">
        <v>7</v>
      </c>
      <c r="GS874" s="27" t="s">
        <v>8</v>
      </c>
    </row>
    <row r="875" spans="1:201" x14ac:dyDescent="0.25">
      <c r="A875" s="7">
        <v>3.3354200307282654E-3</v>
      </c>
      <c r="B875"/>
      <c r="C875"/>
      <c r="D875"/>
      <c r="E875"/>
      <c r="GR875" s="27" t="s">
        <v>7</v>
      </c>
      <c r="GS875" s="27" t="s">
        <v>8</v>
      </c>
    </row>
    <row r="876" spans="1:201" x14ac:dyDescent="0.25">
      <c r="A876" s="7">
        <v>3.2700196379688881E-3</v>
      </c>
      <c r="B876"/>
      <c r="C876"/>
      <c r="D876"/>
      <c r="E876"/>
      <c r="GR876" s="27" t="s">
        <v>7</v>
      </c>
      <c r="GS876" s="27" t="s">
        <v>8</v>
      </c>
    </row>
    <row r="877" spans="1:201" x14ac:dyDescent="0.25">
      <c r="A877" s="7">
        <v>3.205901605851851E-3</v>
      </c>
      <c r="B877"/>
      <c r="C877"/>
      <c r="D877"/>
      <c r="E877"/>
      <c r="GR877" s="27" t="s">
        <v>7</v>
      </c>
      <c r="GS877" s="27" t="s">
        <v>8</v>
      </c>
    </row>
    <row r="878" spans="1:201" x14ac:dyDescent="0.25">
      <c r="A878" s="7">
        <v>3.1430407900508344E-3</v>
      </c>
      <c r="B878"/>
      <c r="C878"/>
      <c r="D878"/>
      <c r="E878"/>
      <c r="GR878" s="27" t="s">
        <v>7</v>
      </c>
      <c r="GS878" s="27" t="s">
        <v>8</v>
      </c>
    </row>
    <row r="879" spans="1:201" x14ac:dyDescent="0.25">
      <c r="A879" s="7">
        <v>3.0814125392655241E-3</v>
      </c>
      <c r="B879"/>
      <c r="C879"/>
      <c r="D879"/>
      <c r="E879"/>
      <c r="GR879" s="27" t="s">
        <v>7</v>
      </c>
      <c r="GS879" s="27" t="s">
        <v>8</v>
      </c>
    </row>
    <row r="880" spans="1:201" x14ac:dyDescent="0.25">
      <c r="A880" s="7">
        <v>3.0209926855544354E-3</v>
      </c>
      <c r="B880"/>
      <c r="C880"/>
      <c r="D880"/>
      <c r="E880"/>
      <c r="GR880" s="27" t="s">
        <v>7</v>
      </c>
      <c r="GS880" s="27" t="s">
        <v>8</v>
      </c>
    </row>
    <row r="881" spans="1:201" x14ac:dyDescent="0.25">
      <c r="A881" s="7">
        <v>2.9617575348572897E-3</v>
      </c>
      <c r="B881"/>
      <c r="C881"/>
      <c r="D881"/>
      <c r="E881"/>
      <c r="GR881" s="27" t="s">
        <v>7</v>
      </c>
      <c r="GS881" s="27" t="s">
        <v>8</v>
      </c>
    </row>
    <row r="882" spans="1:201" x14ac:dyDescent="0.25">
      <c r="A882" s="7">
        <v>2.9036838577032251E-3</v>
      </c>
      <c r="B882"/>
      <c r="C882"/>
      <c r="D882"/>
      <c r="E882"/>
      <c r="GR882" s="27" t="s">
        <v>7</v>
      </c>
      <c r="GS882" s="27" t="s">
        <v>8</v>
      </c>
    </row>
    <row r="883" spans="1:201" x14ac:dyDescent="0.25">
      <c r="A883" s="7">
        <v>2.8467488801012012E-3</v>
      </c>
      <c r="B883"/>
      <c r="C883"/>
      <c r="D883"/>
      <c r="E883"/>
      <c r="GR883" s="27" t="s">
        <v>7</v>
      </c>
      <c r="GS883" s="27" t="s">
        <v>8</v>
      </c>
    </row>
    <row r="884" spans="1:201" x14ac:dyDescent="0.25">
      <c r="A884" s="7">
        <v>2.7909302746090209E-3</v>
      </c>
      <c r="B884"/>
      <c r="C884"/>
      <c r="D884"/>
      <c r="E884"/>
      <c r="GR884" s="27" t="s">
        <v>7</v>
      </c>
      <c r="GS884" s="27" t="s">
        <v>8</v>
      </c>
    </row>
    <row r="885" spans="1:201" x14ac:dyDescent="0.25">
      <c r="A885" s="7">
        <v>2.7362061515774716E-3</v>
      </c>
      <c r="B885"/>
      <c r="C885"/>
      <c r="D885"/>
      <c r="E885"/>
      <c r="GR885" s="27" t="s">
        <v>7</v>
      </c>
      <c r="GS885" s="27" t="s">
        <v>8</v>
      </c>
    </row>
    <row r="886" spans="1:201" x14ac:dyDescent="0.25">
      <c r="A886" s="7">
        <v>2.6825550505661486E-3</v>
      </c>
      <c r="B886"/>
      <c r="C886"/>
      <c r="D886"/>
      <c r="E886"/>
      <c r="GR886" s="27" t="s">
        <v>7</v>
      </c>
      <c r="GS886" s="27" t="s">
        <v>8</v>
      </c>
    </row>
    <row r="887" spans="1:201" x14ac:dyDescent="0.25">
      <c r="A887" s="7">
        <v>2.6299559319275965E-3</v>
      </c>
      <c r="B887"/>
      <c r="C887"/>
      <c r="D887"/>
      <c r="E887"/>
      <c r="GR887" s="27" t="s">
        <v>7</v>
      </c>
      <c r="GS887" s="27" t="s">
        <v>8</v>
      </c>
    </row>
    <row r="888" spans="1:201" x14ac:dyDescent="0.25">
      <c r="A888" s="7">
        <v>2.578388168556467E-3</v>
      </c>
      <c r="B888"/>
      <c r="C888"/>
      <c r="D888"/>
      <c r="E888"/>
      <c r="GR888" s="27" t="s">
        <v>7</v>
      </c>
      <c r="GS888" s="27" t="s">
        <v>8</v>
      </c>
    </row>
    <row r="889" spans="1:201" x14ac:dyDescent="0.25">
      <c r="A889" s="7">
        <v>2.5278315378004577E-3</v>
      </c>
      <c r="B889"/>
      <c r="C889"/>
      <c r="D889"/>
      <c r="E889"/>
      <c r="GR889" s="27" t="s">
        <v>7</v>
      </c>
      <c r="GS889" s="27" t="s">
        <v>8</v>
      </c>
    </row>
    <row r="890" spans="1:201" x14ac:dyDescent="0.25">
      <c r="A890" s="7">
        <v>2.4782662135298603E-3</v>
      </c>
      <c r="B890"/>
      <c r="C890"/>
      <c r="D890"/>
      <c r="E890"/>
      <c r="GR890" s="27" t="s">
        <v>7</v>
      </c>
      <c r="GS890" s="27" t="s">
        <v>8</v>
      </c>
    </row>
    <row r="891" spans="1:201" x14ac:dyDescent="0.25">
      <c r="A891" s="7">
        <v>2.4296727583626083E-3</v>
      </c>
      <c r="B891"/>
      <c r="C891"/>
      <c r="D891"/>
      <c r="E891"/>
      <c r="GR891" s="27" t="s">
        <v>7</v>
      </c>
      <c r="GS891" s="27" t="s">
        <v>8</v>
      </c>
    </row>
    <row r="892" spans="1:201" x14ac:dyDescent="0.25">
      <c r="A892" s="7">
        <v>2.3820321160417726E-3</v>
      </c>
      <c r="B892"/>
      <c r="C892"/>
      <c r="D892"/>
      <c r="E892"/>
      <c r="GR892" s="27" t="s">
        <v>7</v>
      </c>
      <c r="GS892" s="27" t="s">
        <v>8</v>
      </c>
    </row>
    <row r="893" spans="1:201" x14ac:dyDescent="0.25">
      <c r="A893" s="7">
        <v>2.3353256039625224E-3</v>
      </c>
      <c r="B893"/>
      <c r="C893"/>
      <c r="D893"/>
      <c r="E893"/>
      <c r="GR893" s="27" t="s">
        <v>7</v>
      </c>
      <c r="GS893" s="27" t="s">
        <v>8</v>
      </c>
    </row>
    <row r="894" spans="1:201" x14ac:dyDescent="0.25">
      <c r="A894" s="7">
        <v>2.2895349058456101E-3</v>
      </c>
      <c r="B894"/>
      <c r="C894"/>
      <c r="D894"/>
      <c r="E894"/>
      <c r="GR894" s="27" t="s">
        <v>7</v>
      </c>
      <c r="GS894" s="27" t="s">
        <v>8</v>
      </c>
    </row>
    <row r="895" spans="1:201" x14ac:dyDescent="0.25">
      <c r="A895" s="7">
        <v>2.24464206455452E-3</v>
      </c>
      <c r="B895"/>
      <c r="C895"/>
      <c r="D895"/>
      <c r="E895"/>
      <c r="GR895" s="27" t="s">
        <v>7</v>
      </c>
      <c r="GS895" s="27" t="s">
        <v>8</v>
      </c>
    </row>
    <row r="896" spans="1:201" x14ac:dyDescent="0.25">
      <c r="A896" s="7">
        <v>2.200629475053451E-3</v>
      </c>
      <c r="B896"/>
      <c r="C896"/>
      <c r="D896"/>
      <c r="E896"/>
      <c r="GR896" s="27" t="s">
        <v>7</v>
      </c>
      <c r="GS896" s="27" t="s">
        <v>8</v>
      </c>
    </row>
    <row r="897" spans="1:201" x14ac:dyDescent="0.25">
      <c r="A897" s="7">
        <v>2.1574798775033832E-3</v>
      </c>
      <c r="B897"/>
      <c r="C897"/>
      <c r="D897"/>
      <c r="E897"/>
      <c r="GR897" s="27" t="s">
        <v>7</v>
      </c>
      <c r="GS897" s="27" t="s">
        <v>8</v>
      </c>
    </row>
    <row r="898" spans="1:201" x14ac:dyDescent="0.25">
      <c r="A898" s="7">
        <v>2.115176350493513E-3</v>
      </c>
      <c r="B898"/>
      <c r="C898"/>
      <c r="D898"/>
      <c r="E898"/>
      <c r="GR898" s="27" t="s">
        <v>7</v>
      </c>
      <c r="GS898" s="27" t="s">
        <v>8</v>
      </c>
    </row>
    <row r="899" spans="1:201" x14ac:dyDescent="0.25">
      <c r="A899" s="7">
        <v>2.0737023044054047E-3</v>
      </c>
      <c r="B899"/>
      <c r="C899"/>
      <c r="D899"/>
      <c r="E899"/>
      <c r="GR899" s="27" t="s">
        <v>7</v>
      </c>
      <c r="GS899" s="27" t="s">
        <v>8</v>
      </c>
    </row>
    <row r="900" spans="1:201" x14ac:dyDescent="0.25">
      <c r="A900" s="7">
        <v>2.0330414749072595E-3</v>
      </c>
      <c r="B900"/>
      <c r="C900"/>
      <c r="D900"/>
      <c r="E900"/>
      <c r="GR900" s="27" t="s">
        <v>7</v>
      </c>
      <c r="GS900" s="27" t="s">
        <v>8</v>
      </c>
    </row>
    <row r="901" spans="1:201" x14ac:dyDescent="0.25">
      <c r="A901" s="7">
        <v>1.9931779165757446E-3</v>
      </c>
      <c r="B901"/>
      <c r="C901"/>
      <c r="D901"/>
      <c r="E901"/>
      <c r="GR901" s="27" t="s">
        <v>7</v>
      </c>
      <c r="GS901" s="27" t="s">
        <v>8</v>
      </c>
    </row>
    <row r="902" spans="1:201" x14ac:dyDescent="0.25">
      <c r="A902" s="7">
        <v>1.954095996642887E-3</v>
      </c>
      <c r="B902"/>
      <c r="C902"/>
      <c r="D902"/>
      <c r="E902"/>
      <c r="GR902" s="27" t="s">
        <v>7</v>
      </c>
      <c r="GS902" s="27" t="s">
        <v>8</v>
      </c>
    </row>
    <row r="903" spans="1:201" x14ac:dyDescent="0.25">
      <c r="A903" s="7">
        <v>1.9157803888655755E-3</v>
      </c>
      <c r="B903"/>
      <c r="C903"/>
      <c r="D903"/>
      <c r="E903"/>
      <c r="GR903" s="27" t="s">
        <v>7</v>
      </c>
      <c r="GS903" s="27" t="s">
        <v>8</v>
      </c>
    </row>
    <row r="904" spans="1:201" x14ac:dyDescent="0.25">
      <c r="A904" s="7">
        <v>1.8782160675152703E-3</v>
      </c>
      <c r="B904"/>
      <c r="C904"/>
      <c r="D904"/>
      <c r="E904"/>
      <c r="GR904" s="27" t="s">
        <v>7</v>
      </c>
      <c r="GS904" s="27" t="s">
        <v>8</v>
      </c>
    </row>
    <row r="905" spans="1:201" x14ac:dyDescent="0.25">
      <c r="A905" s="7">
        <v>1.8413883014855592E-3</v>
      </c>
      <c r="B905"/>
      <c r="C905"/>
      <c r="D905"/>
      <c r="E905"/>
      <c r="GR905" s="27" t="s">
        <v>7</v>
      </c>
      <c r="GS905" s="27" t="s">
        <v>8</v>
      </c>
    </row>
    <row r="906" spans="1:201" x14ac:dyDescent="0.25">
      <c r="A906" s="7">
        <v>1.8052826485152542E-3</v>
      </c>
      <c r="B906"/>
      <c r="C906"/>
      <c r="D906"/>
      <c r="E906"/>
      <c r="GR906" s="27" t="s">
        <v>7</v>
      </c>
      <c r="GS906" s="27" t="s">
        <v>8</v>
      </c>
    </row>
    <row r="907" spans="1:201" x14ac:dyDescent="0.25">
      <c r="A907" s="7">
        <v>1.7698849495247592E-3</v>
      </c>
      <c r="B907"/>
      <c r="C907"/>
      <c r="D907"/>
      <c r="E907"/>
      <c r="GR907" s="27" t="s">
        <v>7</v>
      </c>
      <c r="GS907" s="27" t="s">
        <v>8</v>
      </c>
    </row>
    <row r="908" spans="1:201" x14ac:dyDescent="0.25">
      <c r="A908" s="7">
        <v>1.7351813230634893E-3</v>
      </c>
      <c r="B908"/>
      <c r="C908"/>
      <c r="D908"/>
      <c r="E908"/>
      <c r="GR908" s="27" t="s">
        <v>7</v>
      </c>
      <c r="GS908" s="27" t="s">
        <v>8</v>
      </c>
    </row>
    <row r="909" spans="1:201" x14ac:dyDescent="0.25">
      <c r="A909" s="7">
        <v>1.701158159866166E-3</v>
      </c>
      <c r="B909"/>
      <c r="C909"/>
      <c r="D909"/>
      <c r="E909"/>
      <c r="GR909" s="27" t="s">
        <v>7</v>
      </c>
      <c r="GS909" s="27" t="s">
        <v>8</v>
      </c>
    </row>
    <row r="910" spans="1:201" x14ac:dyDescent="0.25">
      <c r="A910" s="7">
        <v>1.6678021175158492E-3</v>
      </c>
      <c r="B910"/>
      <c r="C910"/>
      <c r="D910"/>
      <c r="E910"/>
      <c r="GR910" s="27" t="s">
        <v>7</v>
      </c>
      <c r="GS910" s="27" t="s">
        <v>8</v>
      </c>
    </row>
    <row r="911" spans="1:201" x14ac:dyDescent="0.25">
      <c r="A911" s="7">
        <v>1.6351001152116167E-3</v>
      </c>
      <c r="B911"/>
      <c r="C911"/>
      <c r="D911"/>
      <c r="E911"/>
      <c r="GR911" s="27" t="s">
        <v>7</v>
      </c>
      <c r="GS911" s="27" t="s">
        <v>8</v>
      </c>
    </row>
    <row r="912" spans="1:201" x14ac:dyDescent="0.25">
      <c r="A912" s="7">
        <v>1.60303932863884E-3</v>
      </c>
      <c r="B912"/>
      <c r="C912"/>
      <c r="D912"/>
      <c r="E912"/>
      <c r="GR912" s="27" t="s">
        <v>7</v>
      </c>
      <c r="GS912" s="27" t="s">
        <v>8</v>
      </c>
    </row>
    <row r="913" spans="1:201" x14ac:dyDescent="0.25">
      <c r="A913" s="7">
        <v>1.5716071849400392E-3</v>
      </c>
      <c r="B913"/>
      <c r="C913"/>
      <c r="D913"/>
      <c r="E913"/>
      <c r="GR913" s="27" t="s">
        <v>7</v>
      </c>
      <c r="GS913" s="27" t="s">
        <v>8</v>
      </c>
    </row>
    <row r="914" spans="1:201" x14ac:dyDescent="0.25">
      <c r="A914" s="7">
        <v>1.5407913577843522E-3</v>
      </c>
      <c r="B914"/>
      <c r="C914"/>
      <c r="D914"/>
      <c r="E914"/>
      <c r="GR914" s="27" t="s">
        <v>7</v>
      </c>
      <c r="GS914" s="27" t="s">
        <v>8</v>
      </c>
    </row>
    <row r="915" spans="1:201" x14ac:dyDescent="0.25">
      <c r="A915" s="7">
        <v>1.5105797625336785E-3</v>
      </c>
      <c r="B915"/>
      <c r="C915"/>
      <c r="D915"/>
      <c r="E915"/>
      <c r="GR915" s="27" t="s">
        <v>7</v>
      </c>
      <c r="GS915" s="27" t="s">
        <v>8</v>
      </c>
    </row>
    <row r="916" spans="1:201" x14ac:dyDescent="0.25">
      <c r="A916" s="7">
        <v>1.4809605515036064E-3</v>
      </c>
      <c r="B916"/>
      <c r="C916"/>
      <c r="D916"/>
      <c r="E916"/>
      <c r="GR916" s="27" t="s">
        <v>7</v>
      </c>
      <c r="GS916" s="27" t="s">
        <v>8</v>
      </c>
    </row>
    <row r="917" spans="1:201" x14ac:dyDescent="0.25">
      <c r="A917" s="7">
        <v>1.4519221093172612E-3</v>
      </c>
      <c r="B917"/>
      <c r="C917"/>
      <c r="D917"/>
      <c r="E917"/>
      <c r="GR917" s="27" t="s">
        <v>7</v>
      </c>
      <c r="GS917" s="27" t="s">
        <v>8</v>
      </c>
    </row>
    <row r="918" spans="1:201" x14ac:dyDescent="0.25">
      <c r="A918" s="7">
        <v>1.423453048350256E-3</v>
      </c>
      <c r="B918"/>
      <c r="C918"/>
      <c r="D918"/>
      <c r="E918"/>
      <c r="GR918" s="27" t="s">
        <v>7</v>
      </c>
      <c r="GS918" s="27" t="s">
        <v>8</v>
      </c>
    </row>
    <row r="919" spans="1:201" x14ac:dyDescent="0.25">
      <c r="A919" s="7">
        <v>1.3955422042649568E-3</v>
      </c>
      <c r="B919"/>
      <c r="C919"/>
      <c r="D919"/>
      <c r="E919"/>
      <c r="GR919" s="27" t="s">
        <v>7</v>
      </c>
      <c r="GS919" s="27" t="s">
        <v>8</v>
      </c>
    </row>
    <row r="920" spans="1:201" x14ac:dyDescent="0.25">
      <c r="A920" s="7">
        <v>1.3681786316323105E-3</v>
      </c>
      <c r="B920"/>
      <c r="C920"/>
      <c r="D920"/>
      <c r="E920"/>
      <c r="GR920" s="27" t="s">
        <v>7</v>
      </c>
      <c r="GS920" s="27" t="s">
        <v>8</v>
      </c>
    </row>
    <row r="921" spans="1:201" x14ac:dyDescent="0.25">
      <c r="A921" s="7">
        <v>1.3413515996395203E-3</v>
      </c>
      <c r="B921"/>
      <c r="C921"/>
      <c r="D921"/>
      <c r="E921"/>
      <c r="GR921" s="27" t="s">
        <v>7</v>
      </c>
      <c r="GS921" s="27" t="s">
        <v>8</v>
      </c>
    </row>
    <row r="922" spans="1:201" x14ac:dyDescent="0.25">
      <c r="A922" s="7">
        <v>1.3150505878818826E-3</v>
      </c>
      <c r="B922"/>
      <c r="C922"/>
      <c r="D922"/>
      <c r="E922"/>
      <c r="GR922" s="27" t="s">
        <v>7</v>
      </c>
      <c r="GS922" s="27" t="s">
        <v>8</v>
      </c>
    </row>
    <row r="923" spans="1:201" x14ac:dyDescent="0.25">
      <c r="A923" s="7">
        <v>1.2892652822371396E-3</v>
      </c>
      <c r="B923"/>
      <c r="C923"/>
      <c r="D923"/>
      <c r="E923"/>
      <c r="GR923" s="27" t="s">
        <v>7</v>
      </c>
      <c r="GS923" s="27" t="s">
        <v>8</v>
      </c>
    </row>
    <row r="924" spans="1:201" x14ac:dyDescent="0.25">
      <c r="A924" s="7">
        <v>1.2639855708207251E-3</v>
      </c>
      <c r="B924"/>
      <c r="C924"/>
      <c r="D924"/>
      <c r="E924"/>
      <c r="GR924" s="27" t="s">
        <v>7</v>
      </c>
      <c r="GS924" s="27" t="s">
        <v>8</v>
      </c>
    </row>
    <row r="925" spans="1:201" x14ac:dyDescent="0.25">
      <c r="A925" s="7">
        <v>1.2392015400203187E-3</v>
      </c>
      <c r="B925"/>
      <c r="C925"/>
      <c r="D925"/>
      <c r="E925"/>
      <c r="GR925" s="27" t="s">
        <v>7</v>
      </c>
      <c r="GS925" s="27" t="s">
        <v>8</v>
      </c>
    </row>
    <row r="926" spans="1:201" x14ac:dyDescent="0.25">
      <c r="A926" s="7">
        <v>1.2149034706081556E-3</v>
      </c>
      <c r="B926"/>
      <c r="C926"/>
      <c r="D926"/>
      <c r="E926"/>
      <c r="GR926" s="27" t="s">
        <v>7</v>
      </c>
      <c r="GS926" s="27" t="s">
        <v>8</v>
      </c>
    </row>
    <row r="927" spans="1:201" x14ac:dyDescent="0.25">
      <c r="A927" s="7">
        <v>1.1910818339295644E-3</v>
      </c>
      <c r="B927"/>
      <c r="C927"/>
      <c r="D927"/>
      <c r="E927"/>
      <c r="GR927" s="27" t="s">
        <v>7</v>
      </c>
      <c r="GS927" s="27" t="s">
        <v>8</v>
      </c>
    </row>
    <row r="928" spans="1:201" x14ac:dyDescent="0.25">
      <c r="A928" s="7">
        <v>1.1677272881662395E-3</v>
      </c>
      <c r="B928"/>
      <c r="C928"/>
      <c r="D928"/>
      <c r="E928"/>
      <c r="GR928" s="27" t="s">
        <v>7</v>
      </c>
      <c r="GS928" s="27" t="s">
        <v>8</v>
      </c>
    </row>
    <row r="929" spans="1:201" x14ac:dyDescent="0.25">
      <c r="A929" s="7">
        <v>1.1448306746727837E-3</v>
      </c>
      <c r="B929"/>
      <c r="C929"/>
      <c r="D929"/>
      <c r="E929"/>
      <c r="GR929" s="27" t="s">
        <v>7</v>
      </c>
      <c r="GS929" s="27" t="s">
        <v>8</v>
      </c>
    </row>
    <row r="930" spans="1:201" x14ac:dyDescent="0.25">
      <c r="A930" s="7">
        <v>1.1223830143850821E-3</v>
      </c>
      <c r="B930"/>
      <c r="C930"/>
      <c r="D930"/>
      <c r="E930"/>
      <c r="GR930" s="27" t="s">
        <v>7</v>
      </c>
      <c r="GS930" s="27" t="s">
        <v>8</v>
      </c>
    </row>
    <row r="931" spans="1:201" x14ac:dyDescent="0.25">
      <c r="A931" s="7">
        <v>1.1003755042991001E-3</v>
      </c>
      <c r="B931"/>
      <c r="C931"/>
      <c r="D931"/>
      <c r="E931"/>
      <c r="GR931" s="27" t="s">
        <v>7</v>
      </c>
      <c r="GS931" s="27" t="s">
        <v>8</v>
      </c>
    </row>
    <row r="932" spans="1:201" x14ac:dyDescent="0.25">
      <c r="A932" s="7">
        <v>1.0787995140187257E-3</v>
      </c>
      <c r="B932"/>
      <c r="C932"/>
      <c r="D932"/>
      <c r="E932"/>
      <c r="GR932" s="27" t="s">
        <v>7</v>
      </c>
      <c r="GS932" s="27" t="s">
        <v>8</v>
      </c>
    </row>
    <row r="933" spans="1:201" x14ac:dyDescent="0.25">
      <c r="A933" s="7">
        <v>1.0576465823712996E-3</v>
      </c>
      <c r="B933"/>
      <c r="C933"/>
      <c r="D933"/>
      <c r="E933"/>
      <c r="GR933" s="27" t="s">
        <v>7</v>
      </c>
      <c r="GS933" s="27" t="s">
        <v>8</v>
      </c>
    </row>
    <row r="934" spans="1:201" x14ac:dyDescent="0.25">
      <c r="A934" s="7">
        <v>1.0369084140895094E-3</v>
      </c>
      <c r="B934"/>
      <c r="C934"/>
      <c r="D934"/>
      <c r="E934"/>
      <c r="GR934" s="27" t="s">
        <v>7</v>
      </c>
      <c r="GS934" s="27" t="s">
        <v>8</v>
      </c>
    </row>
    <row r="935" spans="1:201" x14ac:dyDescent="0.25">
      <c r="A935" s="7">
        <v>1.0165768765583426E-3</v>
      </c>
      <c r="B935"/>
      <c r="C935"/>
      <c r="D935"/>
      <c r="E935"/>
      <c r="GR935" s="27" t="s">
        <v>7</v>
      </c>
      <c r="GS935" s="27" t="s">
        <v>8</v>
      </c>
    </row>
    <row r="936" spans="1:201" x14ac:dyDescent="0.25">
      <c r="A936" s="7">
        <v>9.966439966258261E-4</v>
      </c>
      <c r="B936"/>
      <c r="C936"/>
      <c r="D936"/>
      <c r="E936"/>
      <c r="GR936" s="27" t="s">
        <v>7</v>
      </c>
      <c r="GS936" s="27" t="s">
        <v>8</v>
      </c>
    </row>
    <row r="937" spans="1:201" x14ac:dyDescent="0.25">
      <c r="GR937" s="27" t="s">
        <v>7</v>
      </c>
    </row>
  </sheetData>
  <conditionalFormatting sqref="C27">
    <cfRule type="cellIs" dxfId="90" priority="1513" operator="equal">
      <formula>$U$1</formula>
    </cfRule>
    <cfRule type="cellIs" dxfId="89" priority="1514" operator="equal">
      <formula>$S$1</formula>
    </cfRule>
  </conditionalFormatting>
  <conditionalFormatting sqref="D27">
    <cfRule type="cellIs" dxfId="88" priority="1511" operator="equal">
      <formula>$S$1</formula>
    </cfRule>
    <cfRule type="cellIs" dxfId="87" priority="1512" operator="equal">
      <formula>$U$1</formula>
    </cfRule>
  </conditionalFormatting>
  <conditionalFormatting sqref="C164">
    <cfRule type="cellIs" dxfId="86" priority="1509" operator="equal">
      <formula>$U$1</formula>
    </cfRule>
    <cfRule type="cellIs" dxfId="85" priority="1510" operator="equal">
      <formula>$S$1</formula>
    </cfRule>
  </conditionalFormatting>
  <conditionalFormatting sqref="D164">
    <cfRule type="cellIs" dxfId="84" priority="1507" operator="equal">
      <formula>$S$1</formula>
    </cfRule>
    <cfRule type="cellIs" dxfId="83" priority="1508" operator="equal">
      <formula>$U$1</formula>
    </cfRule>
  </conditionalFormatting>
  <conditionalFormatting sqref="C55">
    <cfRule type="cellIs" dxfId="82" priority="1505" operator="equal">
      <formula>$U$1</formula>
    </cfRule>
    <cfRule type="cellIs" dxfId="81" priority="1506" operator="equal">
      <formula>$S$1</formula>
    </cfRule>
  </conditionalFormatting>
  <conditionalFormatting sqref="D55">
    <cfRule type="cellIs" dxfId="80" priority="1503" operator="equal">
      <formula>$S$1</formula>
    </cfRule>
    <cfRule type="cellIs" dxfId="79" priority="1504" operator="equal">
      <formula>$U$1</formula>
    </cfRule>
  </conditionalFormatting>
  <conditionalFormatting sqref="C89">
    <cfRule type="cellIs" dxfId="78" priority="1501" operator="equal">
      <formula>$U$1</formula>
    </cfRule>
    <cfRule type="cellIs" dxfId="77" priority="1502" operator="equal">
      <formula>$S$1</formula>
    </cfRule>
  </conditionalFormatting>
  <conditionalFormatting sqref="D89">
    <cfRule type="cellIs" dxfId="76" priority="1499" operator="equal">
      <formula>$S$1</formula>
    </cfRule>
    <cfRule type="cellIs" dxfId="75" priority="1500" operator="equal">
      <formula>$U$1</formula>
    </cfRule>
  </conditionalFormatting>
  <conditionalFormatting sqref="C136">
    <cfRule type="cellIs" dxfId="74" priority="1497" operator="equal">
      <formula>$U$1</formula>
    </cfRule>
    <cfRule type="cellIs" dxfId="73" priority="1498" operator="equal">
      <formula>$S$1</formula>
    </cfRule>
  </conditionalFormatting>
  <conditionalFormatting sqref="D136">
    <cfRule type="cellIs" dxfId="72" priority="1495" operator="equal">
      <formula>$S$1</formula>
    </cfRule>
    <cfRule type="cellIs" dxfId="71" priority="1496" operator="equal">
      <formula>$U$1</formula>
    </cfRule>
  </conditionalFormatting>
  <conditionalFormatting sqref="C1">
    <cfRule type="cellIs" dxfId="70" priority="149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62" zoomScale="90" zoomScaleNormal="90" workbookViewId="0">
      <pane xSplit="4" topLeftCell="EP1" activePane="topRight" state="frozen"/>
      <selection activeCell="A109" sqref="A109"/>
      <selection pane="topRight" activeCell="GK183" sqref="GK18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$A$182</v>
      </c>
      <c r="D111" s="1" t="str">
        <f>ADDRESS(C121-1,D121,1,1)</f>
        <v>$GK$182</v>
      </c>
      <c r="E111"/>
    </row>
    <row r="112" spans="1:5" x14ac:dyDescent="0.25">
      <c r="A112" s="30">
        <v>515.50191262726139</v>
      </c>
      <c r="C112" s="1" t="str">
        <f>ADDRESS(C121,1,1,1)</f>
        <v>$A$183</v>
      </c>
      <c r="D112" s="1" t="str">
        <f>ADDRESS(C121,D121-1,1,1)</f>
        <v>$GJ$183</v>
      </c>
      <c r="E112"/>
    </row>
    <row r="113" spans="1:5" x14ac:dyDescent="0.25">
      <c r="A113" s="30">
        <v>490.95420250215363</v>
      </c>
      <c r="C113" s="1" t="str">
        <f>ADDRESS(C121+1,1,1,1)</f>
        <v>$A$184</v>
      </c>
      <c r="D113" s="1" t="str">
        <f>ADDRESS(C121-1,D121+1,1,1)</f>
        <v>$GL$182</v>
      </c>
    </row>
    <row r="114" spans="1:5" x14ac:dyDescent="0.25">
      <c r="A114" s="30">
        <v>467.57543095443202</v>
      </c>
      <c r="C114" s="1" t="str">
        <f>ADDRESS(C121,D121,1,1)</f>
        <v>$GK$183</v>
      </c>
      <c r="D114" s="1" t="str">
        <f>ADDRESS(C121+1,D121+1,1,1)</f>
        <v>$GL$184</v>
      </c>
    </row>
    <row r="115" spans="1:5" x14ac:dyDescent="0.25">
      <c r="A115" s="30">
        <v>445.30993424231622</v>
      </c>
      <c r="C115" s="1" t="str">
        <f>ADDRESS(C121+1,D121,1,1)</f>
        <v>$GK$184</v>
      </c>
    </row>
    <row r="116" spans="1:5" x14ac:dyDescent="0.25">
      <c r="A116" s="30">
        <v>424.10469927839637</v>
      </c>
      <c r="C116" s="1">
        <f>C117-1</f>
        <v>182</v>
      </c>
    </row>
    <row r="117" spans="1:5" x14ac:dyDescent="0.25">
      <c r="A117" s="30">
        <v>403.9092374079965</v>
      </c>
      <c r="C117" s="1">
        <f>C121</f>
        <v>183</v>
      </c>
      <c r="D117" s="1">
        <f>D121</f>
        <v>193</v>
      </c>
    </row>
    <row r="118" spans="1:5" x14ac:dyDescent="0.25">
      <c r="A118" s="30">
        <v>384.6754641980919</v>
      </c>
      <c r="C118" s="1">
        <f>C117+1</f>
        <v>184</v>
      </c>
      <c r="D118" s="1">
        <f>D117+1</f>
        <v>194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183</v>
      </c>
      <c r="D121" s="19">
        <v>193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R183</v>
      </c>
      <c r="D123" s="1" t="str">
        <f>"C"&amp;D121</f>
        <v>C193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16.135783085302233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145" x14ac:dyDescent="0.25">
      <c r="A145" s="30">
        <v>103.03467644609493</v>
      </c>
      <c r="E145"/>
    </row>
    <row r="146" spans="1:145" x14ac:dyDescent="0.25">
      <c r="A146" s="30">
        <v>98.128263281995174</v>
      </c>
      <c r="E146"/>
    </row>
    <row r="147" spans="1:145" x14ac:dyDescent="0.25">
      <c r="A147" s="30">
        <v>93.455488839995397</v>
      </c>
      <c r="E147"/>
    </row>
    <row r="148" spans="1:145" x14ac:dyDescent="0.25">
      <c r="A148" s="30">
        <v>89.005227466662276</v>
      </c>
      <c r="E148"/>
    </row>
    <row r="149" spans="1:145" x14ac:dyDescent="0.25">
      <c r="A149" s="30">
        <v>84.766883301583121</v>
      </c>
      <c r="E149"/>
    </row>
    <row r="150" spans="1:145" x14ac:dyDescent="0.25">
      <c r="A150" s="30">
        <v>80.730365049126775</v>
      </c>
      <c r="E150"/>
    </row>
    <row r="151" spans="1:145" x14ac:dyDescent="0.25">
      <c r="A151" s="30">
        <v>76.886061951549308</v>
      </c>
      <c r="E151"/>
    </row>
    <row r="152" spans="1:145" x14ac:dyDescent="0.25">
      <c r="A152" s="30">
        <v>73.22482090623744</v>
      </c>
      <c r="E152"/>
    </row>
    <row r="153" spans="1:145" x14ac:dyDescent="0.25">
      <c r="A153" s="30">
        <v>69.737924672607079</v>
      </c>
      <c r="C153" s="7"/>
      <c r="D153"/>
      <c r="E153"/>
    </row>
    <row r="154" spans="1:145" x14ac:dyDescent="0.25">
      <c r="A154" s="30">
        <v>66.417071116768639</v>
      </c>
      <c r="E154"/>
    </row>
    <row r="155" spans="1:145" x14ac:dyDescent="0.25">
      <c r="A155" s="30">
        <v>63.254353444541557</v>
      </c>
      <c r="E155"/>
    </row>
    <row r="156" spans="1:145" x14ac:dyDescent="0.25">
      <c r="A156" s="30">
        <v>60.242241375753864</v>
      </c>
      <c r="C156"/>
      <c r="D156"/>
      <c r="E156"/>
    </row>
    <row r="157" spans="1:145" x14ac:dyDescent="0.25">
      <c r="A157" s="30">
        <v>57.373563215003678</v>
      </c>
      <c r="E157"/>
    </row>
    <row r="158" spans="1:145" x14ac:dyDescent="0.25">
      <c r="A158" s="30">
        <v>54.641488776193974</v>
      </c>
      <c r="E158"/>
    </row>
    <row r="159" spans="1:145" x14ac:dyDescent="0.25">
      <c r="A159" s="30">
        <v>52.039513120184736</v>
      </c>
      <c r="E159"/>
      <c r="EM159" s="27" t="s">
        <v>8</v>
      </c>
    </row>
    <row r="160" spans="1:145" x14ac:dyDescent="0.25">
      <c r="A160" s="30">
        <v>49.561441066842605</v>
      </c>
      <c r="C160"/>
      <c r="E160"/>
      <c r="EM160" s="27" t="s">
        <v>8</v>
      </c>
      <c r="EN160" s="27" t="s">
        <v>7</v>
      </c>
      <c r="EO160" s="27" t="s">
        <v>8</v>
      </c>
    </row>
    <row r="161" spans="1:192" x14ac:dyDescent="0.25">
      <c r="A161" s="30">
        <v>47.201372444612005</v>
      </c>
      <c r="E161"/>
      <c r="EM161" s="27" t="s">
        <v>8</v>
      </c>
      <c r="EN161" s="27" t="s">
        <v>7</v>
      </c>
      <c r="EO161" s="27" t="s">
        <v>8</v>
      </c>
      <c r="EP161" s="27" t="s">
        <v>7</v>
      </c>
      <c r="EQ161" s="31" t="s">
        <v>8</v>
      </c>
    </row>
    <row r="162" spans="1:192" x14ac:dyDescent="0.25">
      <c r="A162" s="30">
        <v>44.95368804248762</v>
      </c>
      <c r="E162"/>
      <c r="EM162" s="27" t="s">
        <v>8</v>
      </c>
      <c r="EN162" s="27" t="s">
        <v>7</v>
      </c>
      <c r="EO162" s="27" t="s">
        <v>8</v>
      </c>
      <c r="EP162" s="27" t="s">
        <v>7</v>
      </c>
      <c r="EQ162" s="27" t="s">
        <v>8</v>
      </c>
      <c r="ER162" s="31" t="s">
        <v>7</v>
      </c>
    </row>
    <row r="163" spans="1:192" x14ac:dyDescent="0.25">
      <c r="A163" s="30">
        <v>42.81303623094059</v>
      </c>
      <c r="E163"/>
      <c r="EE163" s="27" t="s">
        <v>8</v>
      </c>
      <c r="EM163" s="27" t="s">
        <v>8</v>
      </c>
      <c r="EN163" s="27" t="s">
        <v>7</v>
      </c>
      <c r="EO163" s="27" t="s">
        <v>8</v>
      </c>
      <c r="EP163" s="27" t="s">
        <v>7</v>
      </c>
      <c r="EQ163" s="27" t="s">
        <v>8</v>
      </c>
      <c r="ER163" s="27" t="s">
        <v>7</v>
      </c>
      <c r="ES163" s="31" t="s">
        <v>8</v>
      </c>
    </row>
    <row r="164" spans="1:192" x14ac:dyDescent="0.25">
      <c r="A164" s="30">
        <v>40.774320219943419</v>
      </c>
      <c r="E164"/>
      <c r="EE164" s="27" t="s">
        <v>8</v>
      </c>
      <c r="EF164" s="27" t="s">
        <v>7</v>
      </c>
      <c r="EG164" s="32" t="s">
        <v>8</v>
      </c>
      <c r="EI164" s="32" t="s">
        <v>8</v>
      </c>
      <c r="EM164" s="27" t="s">
        <v>8</v>
      </c>
      <c r="EN164" s="32" t="s">
        <v>7</v>
      </c>
      <c r="EP164" s="32" t="s">
        <v>7</v>
      </c>
      <c r="ER164" s="31" t="s">
        <v>7</v>
      </c>
      <c r="ES164" s="27" t="s">
        <v>8</v>
      </c>
      <c r="ET164" s="31" t="s">
        <v>7</v>
      </c>
    </row>
    <row r="165" spans="1:192" x14ac:dyDescent="0.25">
      <c r="A165" s="30">
        <v>38.832685923755633</v>
      </c>
      <c r="E165"/>
      <c r="EE165" s="27" t="s">
        <v>8</v>
      </c>
      <c r="EF165" s="27" t="s">
        <v>7</v>
      </c>
      <c r="EG165" s="27" t="s">
        <v>8</v>
      </c>
      <c r="EH165" s="27" t="s">
        <v>7</v>
      </c>
      <c r="EI165" s="27" t="s">
        <v>8</v>
      </c>
      <c r="EJ165" s="27" t="s">
        <v>7</v>
      </c>
      <c r="EM165" s="27" t="s">
        <v>8</v>
      </c>
      <c r="EQ165" s="31"/>
      <c r="ER165" s="34" t="s">
        <v>7</v>
      </c>
      <c r="ES165" s="27" t="s">
        <v>8</v>
      </c>
      <c r="ET165" s="27" t="s">
        <v>7</v>
      </c>
      <c r="EU165" s="31"/>
    </row>
    <row r="166" spans="1:192" x14ac:dyDescent="0.25">
      <c r="A166" s="30">
        <v>36.983510403576794</v>
      </c>
      <c r="E166"/>
      <c r="EE166" s="27" t="s">
        <v>8</v>
      </c>
      <c r="EF166" s="27" t="s">
        <v>7</v>
      </c>
      <c r="EG166" s="27" t="s">
        <v>8</v>
      </c>
      <c r="EH166" s="27" t="s">
        <v>7</v>
      </c>
      <c r="EI166" s="27" t="s">
        <v>8</v>
      </c>
      <c r="EJ166" s="27" t="s">
        <v>7</v>
      </c>
      <c r="EM166" s="33" t="s">
        <v>8</v>
      </c>
      <c r="EP166" s="31"/>
      <c r="ER166" s="27" t="s">
        <v>7</v>
      </c>
      <c r="ES166" s="27" t="s">
        <v>8</v>
      </c>
      <c r="ET166" s="27" t="s">
        <v>7</v>
      </c>
      <c r="EV166" s="31"/>
      <c r="FW166" s="31" t="s">
        <v>8</v>
      </c>
    </row>
    <row r="167" spans="1:192" x14ac:dyDescent="0.25">
      <c r="A167" s="30">
        <v>35.222390860549325</v>
      </c>
      <c r="E167"/>
      <c r="DU167" s="32" t="s">
        <v>8</v>
      </c>
      <c r="DW167" s="32" t="s">
        <v>8</v>
      </c>
      <c r="EE167" s="27" t="s">
        <v>8</v>
      </c>
      <c r="EF167" s="27" t="s">
        <v>7</v>
      </c>
      <c r="EG167" s="27" t="s">
        <v>8</v>
      </c>
      <c r="EH167" s="27" t="s">
        <v>7</v>
      </c>
      <c r="EI167" s="27" t="s">
        <v>8</v>
      </c>
      <c r="EJ167" s="27" t="s">
        <v>7</v>
      </c>
      <c r="EK167" s="27" t="s">
        <v>8</v>
      </c>
      <c r="EM167" s="27" t="s">
        <v>8</v>
      </c>
      <c r="EO167" s="31"/>
      <c r="ER167" s="27" t="s">
        <v>7</v>
      </c>
      <c r="ET167" s="27" t="s">
        <v>7</v>
      </c>
      <c r="EW167" s="31" t="s">
        <v>8</v>
      </c>
      <c r="FM167" s="27" t="s">
        <v>8</v>
      </c>
      <c r="FW167" s="27" t="s">
        <v>8</v>
      </c>
      <c r="FX167" s="31" t="s">
        <v>7</v>
      </c>
    </row>
    <row r="168" spans="1:192" x14ac:dyDescent="0.25">
      <c r="A168" s="30">
        <v>33.545134152904119</v>
      </c>
      <c r="E168"/>
      <c r="DU168" s="27" t="s">
        <v>8</v>
      </c>
      <c r="DV168" s="27" t="s">
        <v>7</v>
      </c>
      <c r="DW168" s="27" t="s">
        <v>8</v>
      </c>
      <c r="DX168" s="27" t="s">
        <v>7</v>
      </c>
      <c r="EE168" s="33" t="s">
        <v>8</v>
      </c>
      <c r="EF168" s="27" t="s">
        <v>7</v>
      </c>
      <c r="EG168" s="27" t="s">
        <v>8</v>
      </c>
      <c r="EH168" s="27" t="s">
        <v>7</v>
      </c>
      <c r="EJ168" s="27" t="s">
        <v>7</v>
      </c>
      <c r="EK168" s="27" t="s">
        <v>8</v>
      </c>
      <c r="EL168" s="27" t="s">
        <v>7</v>
      </c>
      <c r="EM168" s="27" t="s">
        <v>8</v>
      </c>
      <c r="EN168" s="31"/>
      <c r="ET168" s="27" t="s">
        <v>7</v>
      </c>
      <c r="EW168" s="33" t="s">
        <v>8</v>
      </c>
      <c r="EX168" s="31" t="s">
        <v>7</v>
      </c>
      <c r="FM168" s="27" t="s">
        <v>8</v>
      </c>
      <c r="FN168" s="27" t="s">
        <v>7</v>
      </c>
      <c r="FU168" s="27" t="s">
        <v>8</v>
      </c>
      <c r="FW168" s="27" t="s">
        <v>8</v>
      </c>
      <c r="FX168" s="27" t="s">
        <v>7</v>
      </c>
      <c r="FY168" s="31"/>
    </row>
    <row r="169" spans="1:192" x14ac:dyDescent="0.25">
      <c r="A169" s="30">
        <v>31.947746812289637</v>
      </c>
      <c r="E169"/>
      <c r="DU169" s="27" t="s">
        <v>8</v>
      </c>
      <c r="DV169" s="27" t="s">
        <v>7</v>
      </c>
      <c r="DW169" s="27" t="s">
        <v>8</v>
      </c>
      <c r="DX169" s="27" t="s">
        <v>7</v>
      </c>
      <c r="EC169" s="27" t="s">
        <v>8</v>
      </c>
      <c r="EE169" s="27" t="s">
        <v>8</v>
      </c>
      <c r="EF169" s="27" t="s">
        <v>7</v>
      </c>
      <c r="EG169" s="27" t="s">
        <v>8</v>
      </c>
      <c r="EJ169" s="34" t="s">
        <v>7</v>
      </c>
      <c r="EK169" s="27" t="s">
        <v>8</v>
      </c>
      <c r="EL169" s="27" t="s">
        <v>7</v>
      </c>
      <c r="EM169" s="31" t="s">
        <v>8</v>
      </c>
      <c r="ET169" s="27" t="s">
        <v>7</v>
      </c>
      <c r="EU169" s="27" t="s">
        <v>8</v>
      </c>
      <c r="EW169" s="27" t="s">
        <v>8</v>
      </c>
      <c r="EX169" s="27" t="s">
        <v>7</v>
      </c>
      <c r="EY169" s="31" t="s">
        <v>8</v>
      </c>
      <c r="FM169" s="27" t="s">
        <v>8</v>
      </c>
      <c r="FN169" s="27" t="s">
        <v>7</v>
      </c>
      <c r="FO169" s="27" t="s">
        <v>8</v>
      </c>
      <c r="FU169" s="27" t="s">
        <v>8</v>
      </c>
      <c r="FV169" s="27" t="s">
        <v>7</v>
      </c>
      <c r="FW169" s="27" t="s">
        <v>8</v>
      </c>
      <c r="FX169" s="27" t="s">
        <v>7</v>
      </c>
      <c r="FZ169" s="31"/>
    </row>
    <row r="170" spans="1:192" x14ac:dyDescent="0.25">
      <c r="A170" s="30">
        <v>30.426425535513939</v>
      </c>
      <c r="E170"/>
      <c r="DU170" s="27" t="s">
        <v>8</v>
      </c>
      <c r="DV170" s="27" t="s">
        <v>7</v>
      </c>
      <c r="DW170" s="27" t="s">
        <v>8</v>
      </c>
      <c r="DX170" s="27" t="s">
        <v>7</v>
      </c>
      <c r="EA170" s="33" t="s">
        <v>8</v>
      </c>
      <c r="EC170" s="27" t="s">
        <v>8</v>
      </c>
      <c r="ED170" s="27" t="s">
        <v>7</v>
      </c>
      <c r="EE170" s="27" t="s">
        <v>8</v>
      </c>
      <c r="EF170" s="27" t="s">
        <v>7</v>
      </c>
      <c r="EG170" s="27" t="s">
        <v>8</v>
      </c>
      <c r="EJ170" s="32" t="s">
        <v>7</v>
      </c>
      <c r="EL170" s="32" t="s">
        <v>7</v>
      </c>
      <c r="ET170" s="27" t="s">
        <v>7</v>
      </c>
      <c r="EU170" s="27" t="s">
        <v>8</v>
      </c>
      <c r="EV170" s="27" t="s">
        <v>7</v>
      </c>
      <c r="EW170" s="27" t="s">
        <v>8</v>
      </c>
      <c r="EX170" s="27" t="s">
        <v>7</v>
      </c>
      <c r="EY170" s="27" t="s">
        <v>8</v>
      </c>
      <c r="EZ170" s="31" t="s">
        <v>7</v>
      </c>
      <c r="FI170" s="27" t="s">
        <v>8</v>
      </c>
      <c r="FM170" s="27" t="s">
        <v>8</v>
      </c>
      <c r="FN170" s="27" t="s">
        <v>7</v>
      </c>
      <c r="FO170" s="27" t="s">
        <v>8</v>
      </c>
      <c r="FP170" s="27" t="s">
        <v>7</v>
      </c>
      <c r="FU170" s="27" t="s">
        <v>8</v>
      </c>
      <c r="FV170" s="27" t="s">
        <v>7</v>
      </c>
      <c r="FW170" s="27" t="s">
        <v>8</v>
      </c>
      <c r="FX170" s="27" t="s">
        <v>7</v>
      </c>
      <c r="GA170" s="31"/>
    </row>
    <row r="171" spans="1:192" x14ac:dyDescent="0.25">
      <c r="A171" s="30">
        <v>28.977548129060892</v>
      </c>
      <c r="E171"/>
      <c r="DU171" s="27" t="s">
        <v>8</v>
      </c>
      <c r="DV171" s="27" t="s">
        <v>7</v>
      </c>
      <c r="DW171" s="27" t="s">
        <v>8</v>
      </c>
      <c r="DX171" s="27" t="s">
        <v>7</v>
      </c>
      <c r="DY171" s="27" t="s">
        <v>8</v>
      </c>
      <c r="EA171" s="27" t="s">
        <v>8</v>
      </c>
      <c r="EB171" s="27" t="s">
        <v>7</v>
      </c>
      <c r="EC171" s="27" t="s">
        <v>8</v>
      </c>
      <c r="ED171" s="27" t="s">
        <v>7</v>
      </c>
      <c r="EE171" s="27" t="s">
        <v>8</v>
      </c>
      <c r="EF171" s="27" t="s">
        <v>7</v>
      </c>
      <c r="ET171" s="27" t="s">
        <v>7</v>
      </c>
      <c r="EU171" s="27" t="s">
        <v>8</v>
      </c>
      <c r="EV171" s="27" t="s">
        <v>7</v>
      </c>
      <c r="EW171" s="27" t="s">
        <v>8</v>
      </c>
      <c r="EX171" s="27" t="s">
        <v>7</v>
      </c>
      <c r="EY171" s="27" t="s">
        <v>8</v>
      </c>
      <c r="EZ171" s="27" t="s">
        <v>7</v>
      </c>
      <c r="FA171" s="31"/>
      <c r="FI171" s="27" t="s">
        <v>8</v>
      </c>
      <c r="FJ171" s="27" t="s">
        <v>7</v>
      </c>
      <c r="FK171" s="27" t="s">
        <v>8</v>
      </c>
      <c r="FM171" s="27" t="s">
        <v>8</v>
      </c>
      <c r="FN171" s="27" t="s">
        <v>7</v>
      </c>
      <c r="FO171" s="27" t="s">
        <v>8</v>
      </c>
      <c r="FP171" s="27" t="s">
        <v>7</v>
      </c>
      <c r="FU171" s="27" t="s">
        <v>8</v>
      </c>
      <c r="FV171" s="27" t="s">
        <v>7</v>
      </c>
      <c r="FX171" s="27" t="s">
        <v>7</v>
      </c>
      <c r="GB171" s="31"/>
    </row>
    <row r="172" spans="1:192" x14ac:dyDescent="0.25">
      <c r="A172" s="30">
        <v>27.597664884819896</v>
      </c>
      <c r="E172"/>
      <c r="DU172" s="27" t="s">
        <v>8</v>
      </c>
      <c r="DV172" s="27" t="s">
        <v>7</v>
      </c>
      <c r="DX172" s="27" t="s">
        <v>7</v>
      </c>
      <c r="DY172" s="27" t="s">
        <v>8</v>
      </c>
      <c r="DZ172" s="27" t="s">
        <v>7</v>
      </c>
      <c r="EA172" s="27" t="s">
        <v>8</v>
      </c>
      <c r="EB172" s="27" t="s">
        <v>7</v>
      </c>
      <c r="EC172" s="27" t="s">
        <v>8</v>
      </c>
      <c r="ED172" s="27" t="s">
        <v>7</v>
      </c>
      <c r="EE172" s="27" t="s">
        <v>8</v>
      </c>
      <c r="ET172" s="27" t="s">
        <v>7</v>
      </c>
      <c r="EU172" s="27" t="s">
        <v>8</v>
      </c>
      <c r="EV172" s="27" t="s">
        <v>7</v>
      </c>
      <c r="EW172" s="27" t="s">
        <v>8</v>
      </c>
      <c r="EX172" s="27" t="s">
        <v>7</v>
      </c>
      <c r="EY172" s="27" t="s">
        <v>8</v>
      </c>
      <c r="EZ172" s="27" t="s">
        <v>7</v>
      </c>
      <c r="FB172" s="31"/>
      <c r="FI172" s="27" t="s">
        <v>8</v>
      </c>
      <c r="FJ172" s="27" t="s">
        <v>7</v>
      </c>
      <c r="FK172" s="27" t="s">
        <v>8</v>
      </c>
      <c r="FL172" s="27" t="s">
        <v>7</v>
      </c>
      <c r="FM172" s="27" t="s">
        <v>8</v>
      </c>
      <c r="FN172" s="27" t="s">
        <v>7</v>
      </c>
      <c r="FO172" s="27" t="s">
        <v>8</v>
      </c>
      <c r="FP172" s="27" t="s">
        <v>7</v>
      </c>
      <c r="FS172" s="27" t="s">
        <v>8</v>
      </c>
      <c r="FU172" s="27" t="s">
        <v>8</v>
      </c>
      <c r="FW172" s="31"/>
      <c r="FX172" s="27" t="s">
        <v>7</v>
      </c>
      <c r="GC172" s="31"/>
      <c r="GI172" s="27" t="s">
        <v>8</v>
      </c>
    </row>
    <row r="173" spans="1:192" x14ac:dyDescent="0.25">
      <c r="A173" s="30">
        <v>26.283490366495137</v>
      </c>
      <c r="E173"/>
      <c r="DU173" s="27" t="s">
        <v>8</v>
      </c>
      <c r="DX173" s="34" t="s">
        <v>7</v>
      </c>
      <c r="DY173" s="27" t="s">
        <v>8</v>
      </c>
      <c r="DZ173" s="27" t="s">
        <v>7</v>
      </c>
      <c r="EA173" s="27" t="s">
        <v>8</v>
      </c>
      <c r="EB173" s="27" t="s">
        <v>7</v>
      </c>
      <c r="ED173" s="31" t="s">
        <v>7</v>
      </c>
      <c r="EE173" s="27" t="s">
        <v>8</v>
      </c>
      <c r="ET173" s="27" t="s">
        <v>7</v>
      </c>
      <c r="EU173" s="27" t="s">
        <v>8</v>
      </c>
      <c r="EV173" s="27" t="s">
        <v>7</v>
      </c>
      <c r="EW173" s="27" t="s">
        <v>8</v>
      </c>
      <c r="EX173" s="27" t="s">
        <v>7</v>
      </c>
      <c r="EY173" s="27" t="s">
        <v>8</v>
      </c>
      <c r="EZ173" s="27" t="s">
        <v>7</v>
      </c>
      <c r="FC173" s="33" t="s">
        <v>8</v>
      </c>
      <c r="FI173" s="27" t="s">
        <v>8</v>
      </c>
      <c r="FJ173" s="27" t="s">
        <v>7</v>
      </c>
      <c r="FK173" s="27" t="s">
        <v>8</v>
      </c>
      <c r="FL173" s="27" t="s">
        <v>7</v>
      </c>
      <c r="FM173" s="27" t="s">
        <v>8</v>
      </c>
      <c r="FN173" s="27" t="s">
        <v>7</v>
      </c>
      <c r="FO173" s="27" t="s">
        <v>8</v>
      </c>
      <c r="FP173" s="27" t="s">
        <v>7</v>
      </c>
      <c r="FS173" s="27" t="s">
        <v>8</v>
      </c>
      <c r="FT173" s="27" t="s">
        <v>7</v>
      </c>
      <c r="FU173" s="27" t="s">
        <v>8</v>
      </c>
      <c r="FV173" s="31"/>
      <c r="FX173" s="27" t="s">
        <v>7</v>
      </c>
      <c r="FY173" s="27" t="s">
        <v>8</v>
      </c>
      <c r="GD173" s="31"/>
      <c r="GG173" s="27" t="s">
        <v>8</v>
      </c>
      <c r="GI173" s="27" t="s">
        <v>8</v>
      </c>
      <c r="GJ173" s="27" t="s">
        <v>7</v>
      </c>
    </row>
    <row r="174" spans="1:192" x14ac:dyDescent="0.25">
      <c r="A174" s="30">
        <v>25.031895587138223</v>
      </c>
      <c r="E174"/>
      <c r="DS174" s="27" t="s">
        <v>8</v>
      </c>
      <c r="DU174" s="27" t="s">
        <v>8</v>
      </c>
      <c r="DX174" s="27" t="s">
        <v>7</v>
      </c>
      <c r="DY174" s="27" t="s">
        <v>8</v>
      </c>
      <c r="DZ174" s="27" t="s">
        <v>7</v>
      </c>
      <c r="EA174" s="27" t="s">
        <v>8</v>
      </c>
      <c r="EC174" s="31"/>
      <c r="ED174" s="34" t="s">
        <v>7</v>
      </c>
      <c r="EE174" s="27" t="s">
        <v>8</v>
      </c>
      <c r="ET174" s="27" t="s">
        <v>7</v>
      </c>
      <c r="EU174" s="27" t="s">
        <v>8</v>
      </c>
      <c r="EV174" s="27" t="s">
        <v>7</v>
      </c>
      <c r="EW174" s="27" t="s">
        <v>8</v>
      </c>
      <c r="EX174" s="27" t="s">
        <v>7</v>
      </c>
      <c r="EY174" s="27" t="s">
        <v>8</v>
      </c>
      <c r="EZ174" s="27" t="s">
        <v>7</v>
      </c>
      <c r="FA174" s="27" t="s">
        <v>8</v>
      </c>
      <c r="FC174" s="27" t="s">
        <v>8</v>
      </c>
      <c r="FD174" s="31" t="s">
        <v>7</v>
      </c>
      <c r="FI174" s="27" t="s">
        <v>8</v>
      </c>
      <c r="FJ174" s="27" t="s">
        <v>7</v>
      </c>
      <c r="FL174" s="27" t="s">
        <v>7</v>
      </c>
      <c r="FN174" s="27" t="s">
        <v>7</v>
      </c>
      <c r="FO174" s="27" t="s">
        <v>8</v>
      </c>
      <c r="FP174" s="27" t="s">
        <v>7</v>
      </c>
      <c r="FQ174" s="27" t="s">
        <v>8</v>
      </c>
      <c r="FS174" s="27" t="s">
        <v>8</v>
      </c>
      <c r="FT174" s="27" t="s">
        <v>7</v>
      </c>
      <c r="FU174" s="31" t="s">
        <v>8</v>
      </c>
      <c r="FX174" s="27" t="s">
        <v>7</v>
      </c>
      <c r="FY174" s="27" t="s">
        <v>8</v>
      </c>
      <c r="FZ174" s="27" t="s">
        <v>7</v>
      </c>
      <c r="GE174" s="31"/>
      <c r="GG174" s="27" t="s">
        <v>8</v>
      </c>
      <c r="GH174" s="27" t="s">
        <v>7</v>
      </c>
      <c r="GI174" s="27" t="s">
        <v>8</v>
      </c>
      <c r="GJ174" s="27" t="s">
        <v>7</v>
      </c>
    </row>
    <row r="175" spans="1:192" x14ac:dyDescent="0.25">
      <c r="A175" s="30">
        <v>23.839900559179259</v>
      </c>
      <c r="E175"/>
      <c r="DS175" s="33" t="s">
        <v>8</v>
      </c>
      <c r="DT175" s="27" t="s">
        <v>7</v>
      </c>
      <c r="DU175" s="27" t="s">
        <v>8</v>
      </c>
      <c r="DX175" s="27" t="s">
        <v>7</v>
      </c>
      <c r="DY175" s="27" t="s">
        <v>8</v>
      </c>
      <c r="DZ175" s="27" t="s">
        <v>7</v>
      </c>
      <c r="EB175" s="31"/>
      <c r="ED175" s="27" t="s">
        <v>7</v>
      </c>
      <c r="ET175" s="27" t="s">
        <v>7</v>
      </c>
      <c r="EU175" s="27" t="s">
        <v>8</v>
      </c>
      <c r="EV175" s="27" t="s">
        <v>7</v>
      </c>
      <c r="EW175" s="27" t="s">
        <v>8</v>
      </c>
      <c r="EX175" s="27" t="s">
        <v>7</v>
      </c>
      <c r="EZ175" s="27" t="s">
        <v>7</v>
      </c>
      <c r="FA175" s="27" t="s">
        <v>8</v>
      </c>
      <c r="FB175" s="27" t="s">
        <v>7</v>
      </c>
      <c r="FC175" s="27" t="s">
        <v>8</v>
      </c>
      <c r="FD175" s="27" t="s">
        <v>7</v>
      </c>
      <c r="FE175" s="31"/>
      <c r="FI175" s="27" t="s">
        <v>8</v>
      </c>
      <c r="FN175" s="27" t="s">
        <v>7</v>
      </c>
      <c r="FP175" s="27" t="s">
        <v>7</v>
      </c>
      <c r="FQ175" s="27" t="s">
        <v>8</v>
      </c>
      <c r="FR175" s="27" t="s">
        <v>7</v>
      </c>
      <c r="FS175" s="27" t="s">
        <v>8</v>
      </c>
      <c r="FT175" s="31" t="s">
        <v>7</v>
      </c>
      <c r="FX175" s="27" t="s">
        <v>7</v>
      </c>
      <c r="FY175" s="27" t="s">
        <v>8</v>
      </c>
      <c r="FZ175" s="27" t="s">
        <v>7</v>
      </c>
      <c r="GE175" s="27" t="s">
        <v>8</v>
      </c>
      <c r="GF175" s="31"/>
      <c r="GG175" s="27" t="s">
        <v>8</v>
      </c>
      <c r="GH175" s="27" t="s">
        <v>7</v>
      </c>
      <c r="GI175" s="27" t="s">
        <v>8</v>
      </c>
      <c r="GJ175" s="27" t="s">
        <v>7</v>
      </c>
    </row>
    <row r="176" spans="1:192" x14ac:dyDescent="0.25">
      <c r="A176" s="30">
        <v>22.704667199218342</v>
      </c>
      <c r="E176"/>
      <c r="DO176" s="32" t="s">
        <v>8</v>
      </c>
      <c r="DQ176" s="32" t="s">
        <v>8</v>
      </c>
      <c r="DS176" s="27" t="s">
        <v>8</v>
      </c>
      <c r="DT176" s="27" t="s">
        <v>7</v>
      </c>
      <c r="DU176" s="27" t="s">
        <v>8</v>
      </c>
      <c r="DX176" s="27" t="s">
        <v>7</v>
      </c>
      <c r="DY176" s="27" t="s">
        <v>8</v>
      </c>
      <c r="EA176" s="31"/>
      <c r="ET176" s="27" t="s">
        <v>7</v>
      </c>
      <c r="EU176" s="27" t="s">
        <v>8</v>
      </c>
      <c r="EV176" s="27" t="s">
        <v>7</v>
      </c>
      <c r="EW176" s="27" t="s">
        <v>8</v>
      </c>
      <c r="EZ176" s="34" t="s">
        <v>7</v>
      </c>
      <c r="FA176" s="27" t="s">
        <v>8</v>
      </c>
      <c r="FB176" s="27" t="s">
        <v>7</v>
      </c>
      <c r="FC176" s="27" t="s">
        <v>8</v>
      </c>
      <c r="FD176" s="27" t="s">
        <v>7</v>
      </c>
      <c r="FF176" s="31"/>
      <c r="FI176" s="27" t="s">
        <v>8</v>
      </c>
      <c r="FP176" s="27" t="s">
        <v>7</v>
      </c>
      <c r="FQ176" s="27" t="s">
        <v>8</v>
      </c>
      <c r="FR176" s="27" t="s">
        <v>7</v>
      </c>
      <c r="FS176" s="31" t="s">
        <v>8</v>
      </c>
      <c r="FX176" s="27" t="s">
        <v>7</v>
      </c>
      <c r="FZ176" s="27" t="s">
        <v>7</v>
      </c>
      <c r="GC176" s="27" t="s">
        <v>8</v>
      </c>
      <c r="GE176" s="27" t="s">
        <v>8</v>
      </c>
      <c r="GF176" s="27" t="s">
        <v>7</v>
      </c>
      <c r="GG176" s="31" t="s">
        <v>8</v>
      </c>
      <c r="GH176" s="27" t="s">
        <v>7</v>
      </c>
      <c r="GJ176" s="27" t="s">
        <v>7</v>
      </c>
    </row>
    <row r="177" spans="1:193" x14ac:dyDescent="0.25">
      <c r="A177" s="30">
        <v>21.623492570684135</v>
      </c>
      <c r="E177"/>
      <c r="DO177" s="27" t="s">
        <v>8</v>
      </c>
      <c r="DP177" s="27" t="s">
        <v>7</v>
      </c>
      <c r="DQ177" s="27" t="s">
        <v>8</v>
      </c>
      <c r="DR177" s="27" t="s">
        <v>7</v>
      </c>
      <c r="DS177" s="27" t="s">
        <v>8</v>
      </c>
      <c r="DT177" s="27" t="s">
        <v>7</v>
      </c>
      <c r="DU177" s="27" t="s">
        <v>8</v>
      </c>
      <c r="DX177" s="27" t="s">
        <v>7</v>
      </c>
      <c r="DZ177" s="31"/>
      <c r="ET177" s="27" t="s">
        <v>7</v>
      </c>
      <c r="EV177" s="27" t="s">
        <v>7</v>
      </c>
      <c r="EW177" s="27" t="s">
        <v>8</v>
      </c>
      <c r="EZ177" s="27" t="s">
        <v>7</v>
      </c>
      <c r="FB177" s="27" t="s">
        <v>7</v>
      </c>
      <c r="FC177" s="27" t="s">
        <v>8</v>
      </c>
      <c r="FD177" s="27" t="s">
        <v>7</v>
      </c>
      <c r="FG177" s="31"/>
      <c r="FI177" s="33" t="s">
        <v>8</v>
      </c>
      <c r="FP177" s="27" t="s">
        <v>7</v>
      </c>
      <c r="FQ177" s="31"/>
      <c r="FR177" s="31" t="s">
        <v>7</v>
      </c>
      <c r="FZ177" s="27" t="s">
        <v>7</v>
      </c>
      <c r="GC177" s="27" t="s">
        <v>8</v>
      </c>
      <c r="GD177" s="27" t="s">
        <v>7</v>
      </c>
      <c r="GE177" s="27" t="s">
        <v>8</v>
      </c>
      <c r="GF177" s="27" t="s">
        <v>7</v>
      </c>
      <c r="GG177" s="27" t="s">
        <v>8</v>
      </c>
      <c r="GH177" s="31"/>
      <c r="GJ177" s="27" t="s">
        <v>7</v>
      </c>
    </row>
    <row r="178" spans="1:193" x14ac:dyDescent="0.25">
      <c r="A178" s="30">
        <v>20.593802448270605</v>
      </c>
      <c r="C178" s="7"/>
      <c r="D178"/>
      <c r="E178"/>
      <c r="DO178" s="27" t="s">
        <v>8</v>
      </c>
      <c r="DP178" s="27" t="s">
        <v>7</v>
      </c>
      <c r="DQ178" s="27" t="s">
        <v>8</v>
      </c>
      <c r="DR178" s="27" t="s">
        <v>7</v>
      </c>
      <c r="DS178" s="27" t="s">
        <v>8</v>
      </c>
      <c r="DT178" s="27" t="s">
        <v>7</v>
      </c>
      <c r="DY178" s="31"/>
      <c r="EV178" s="27" t="s">
        <v>7</v>
      </c>
      <c r="EW178" s="27" t="s">
        <v>8</v>
      </c>
      <c r="FB178" s="27" t="s">
        <v>7</v>
      </c>
      <c r="FD178" s="27" t="s">
        <v>7</v>
      </c>
      <c r="FG178" s="27" t="s">
        <v>8</v>
      </c>
      <c r="FH178" s="31"/>
      <c r="FI178" s="27" t="s">
        <v>8</v>
      </c>
      <c r="FP178" s="31"/>
      <c r="FZ178" s="27" t="s">
        <v>7</v>
      </c>
      <c r="GA178" s="27" t="s">
        <v>8</v>
      </c>
      <c r="GC178" s="27" t="s">
        <v>8</v>
      </c>
      <c r="GD178" s="27" t="s">
        <v>7</v>
      </c>
      <c r="GE178" s="27" t="s">
        <v>8</v>
      </c>
      <c r="GF178" s="27" t="s">
        <v>7</v>
      </c>
      <c r="GG178" s="31" t="s">
        <v>8</v>
      </c>
      <c r="GJ178" s="27" t="s">
        <v>7</v>
      </c>
    </row>
    <row r="179" spans="1:193" x14ac:dyDescent="0.25">
      <c r="A179" s="30">
        <v>19.613145188829147</v>
      </c>
      <c r="E179"/>
      <c r="CK179" s="27" t="s">
        <v>8</v>
      </c>
      <c r="DO179" s="27" t="s">
        <v>8</v>
      </c>
      <c r="DP179" s="27" t="s">
        <v>7</v>
      </c>
      <c r="DR179" s="27" t="s">
        <v>7</v>
      </c>
      <c r="DS179" s="27" t="s">
        <v>8</v>
      </c>
      <c r="DX179" s="31"/>
      <c r="EV179" s="27" t="s">
        <v>7</v>
      </c>
      <c r="EW179" s="27" t="s">
        <v>8</v>
      </c>
      <c r="FD179" s="34" t="s">
        <v>7</v>
      </c>
      <c r="FG179" s="33" t="s">
        <v>8</v>
      </c>
      <c r="FH179" s="27" t="s">
        <v>7</v>
      </c>
      <c r="FI179" s="31" t="s">
        <v>8</v>
      </c>
      <c r="FO179" s="31"/>
      <c r="FZ179" s="27" t="s">
        <v>7</v>
      </c>
      <c r="GA179" s="27" t="s">
        <v>8</v>
      </c>
      <c r="GB179" s="27" t="s">
        <v>7</v>
      </c>
      <c r="GC179" s="27" t="s">
        <v>8</v>
      </c>
      <c r="GD179" s="27" t="s">
        <v>7</v>
      </c>
      <c r="GE179" s="27" t="s">
        <v>8</v>
      </c>
      <c r="GF179" s="31" t="s">
        <v>7</v>
      </c>
      <c r="GJ179" s="27" t="s">
        <v>7</v>
      </c>
    </row>
    <row r="180" spans="1:193" x14ac:dyDescent="0.25">
      <c r="A180" s="30">
        <v>18.679185894122998</v>
      </c>
      <c r="E180"/>
      <c r="CK180" s="27" t="s">
        <v>8</v>
      </c>
      <c r="CL180" s="27" t="s">
        <v>7</v>
      </c>
      <c r="DO180" s="33" t="s">
        <v>8</v>
      </c>
      <c r="DR180" s="34" t="s">
        <v>7</v>
      </c>
      <c r="DS180" s="27" t="s">
        <v>8</v>
      </c>
      <c r="DW180" s="31"/>
      <c r="EV180" s="27" t="s">
        <v>7</v>
      </c>
      <c r="EW180" s="27" t="s">
        <v>8</v>
      </c>
      <c r="FD180" s="27" t="s">
        <v>7</v>
      </c>
      <c r="FE180" s="27" t="s">
        <v>8</v>
      </c>
      <c r="FG180" s="27" t="s">
        <v>8</v>
      </c>
      <c r="FH180" s="27" t="s">
        <v>7</v>
      </c>
      <c r="FI180" s="27" t="s">
        <v>8</v>
      </c>
      <c r="FN180" s="31"/>
      <c r="FZ180" s="27" t="s">
        <v>7</v>
      </c>
      <c r="GA180" s="27" t="s">
        <v>8</v>
      </c>
      <c r="GB180" s="27" t="s">
        <v>7</v>
      </c>
      <c r="GC180" s="27" t="s">
        <v>8</v>
      </c>
      <c r="GD180" s="31" t="s">
        <v>7</v>
      </c>
      <c r="GE180" s="31" t="s">
        <v>8</v>
      </c>
      <c r="GJ180" s="27" t="s">
        <v>7</v>
      </c>
    </row>
    <row r="181" spans="1:193" x14ac:dyDescent="0.25">
      <c r="A181" s="30">
        <v>17.78970085154571</v>
      </c>
      <c r="C181"/>
      <c r="D181"/>
      <c r="E181"/>
      <c r="CK181" s="27" t="s">
        <v>8</v>
      </c>
      <c r="CL181" s="27" t="s">
        <v>7</v>
      </c>
      <c r="DM181" s="27" t="s">
        <v>8</v>
      </c>
      <c r="DO181" s="27" t="s">
        <v>8</v>
      </c>
      <c r="DR181" s="27" t="s">
        <v>7</v>
      </c>
      <c r="DV181" s="31"/>
      <c r="EV181" s="27" t="s">
        <v>7</v>
      </c>
      <c r="EW181" s="27" t="s">
        <v>8</v>
      </c>
      <c r="FD181" s="27" t="s">
        <v>7</v>
      </c>
      <c r="FE181" s="27" t="s">
        <v>8</v>
      </c>
      <c r="FF181" s="27" t="s">
        <v>7</v>
      </c>
      <c r="FG181" s="27" t="s">
        <v>8</v>
      </c>
      <c r="FH181" s="27" t="s">
        <v>7</v>
      </c>
      <c r="FI181" s="27" t="s">
        <v>8</v>
      </c>
      <c r="FM181" s="31"/>
      <c r="FZ181" s="27" t="s">
        <v>7</v>
      </c>
      <c r="GA181" s="27" t="s">
        <v>8</v>
      </c>
      <c r="GB181" s="27" t="s">
        <v>7</v>
      </c>
      <c r="GC181" s="31"/>
      <c r="GD181" s="27" t="s">
        <v>7</v>
      </c>
      <c r="GJ181" s="27" t="s">
        <v>7</v>
      </c>
    </row>
    <row r="182" spans="1:193" x14ac:dyDescent="0.25">
      <c r="A182" s="30">
        <v>16.942572239567344</v>
      </c>
      <c r="E182"/>
      <c r="CK182" s="27" t="s">
        <v>8</v>
      </c>
      <c r="CL182" s="27" t="s">
        <v>7</v>
      </c>
      <c r="CO182" s="27" t="s">
        <v>8</v>
      </c>
      <c r="DK182" s="27" t="s">
        <v>8</v>
      </c>
      <c r="DM182" s="27" t="s">
        <v>8</v>
      </c>
      <c r="DN182" s="27" t="s">
        <v>7</v>
      </c>
      <c r="DO182" s="27" t="s">
        <v>8</v>
      </c>
      <c r="DU182" s="31"/>
      <c r="EV182" s="27" t="s">
        <v>7</v>
      </c>
      <c r="EW182" s="27" t="s">
        <v>8</v>
      </c>
      <c r="FD182" s="27" t="s">
        <v>7</v>
      </c>
      <c r="FE182" s="27" t="s">
        <v>8</v>
      </c>
      <c r="FF182" s="27" t="s">
        <v>7</v>
      </c>
      <c r="FG182" s="27" t="s">
        <v>8</v>
      </c>
      <c r="FH182" s="27" t="s">
        <v>7</v>
      </c>
      <c r="FI182" s="27" t="s">
        <v>8</v>
      </c>
      <c r="FL182" s="31"/>
      <c r="FZ182" s="27" t="s">
        <v>7</v>
      </c>
      <c r="GA182" s="27" t="s">
        <v>8</v>
      </c>
      <c r="GB182" s="31"/>
      <c r="GJ182" s="27" t="s">
        <v>7</v>
      </c>
    </row>
    <row r="183" spans="1:193" x14ac:dyDescent="0.25">
      <c r="A183" s="30">
        <v>16.135783085302233</v>
      </c>
      <c r="E183"/>
      <c r="CK183" s="27" t="s">
        <v>8</v>
      </c>
      <c r="CL183" s="27" t="s">
        <v>7</v>
      </c>
      <c r="CM183" s="27" t="s">
        <v>8</v>
      </c>
      <c r="CO183" s="27" t="s">
        <v>8</v>
      </c>
      <c r="CP183" s="27" t="s">
        <v>7</v>
      </c>
      <c r="DA183" s="27" t="s">
        <v>8</v>
      </c>
      <c r="DK183" s="27" t="s">
        <v>8</v>
      </c>
      <c r="DL183" s="27" t="s">
        <v>7</v>
      </c>
      <c r="DM183" s="27" t="s">
        <v>8</v>
      </c>
      <c r="DN183" s="27" t="s">
        <v>7</v>
      </c>
      <c r="DO183" s="27" t="s">
        <v>8</v>
      </c>
      <c r="DT183" s="31"/>
      <c r="EV183" s="27" t="s">
        <v>7</v>
      </c>
      <c r="EW183" s="27" t="s">
        <v>8</v>
      </c>
      <c r="FD183" s="27" t="s">
        <v>7</v>
      </c>
      <c r="FE183" s="27" t="s">
        <v>8</v>
      </c>
      <c r="FF183" s="27" t="s">
        <v>7</v>
      </c>
      <c r="FH183" s="27" t="s">
        <v>7</v>
      </c>
      <c r="FI183" s="27" t="s">
        <v>8</v>
      </c>
      <c r="FK183" s="31"/>
      <c r="FZ183" s="27" t="s">
        <v>7</v>
      </c>
      <c r="GA183" s="31" t="s">
        <v>8</v>
      </c>
      <c r="GJ183" s="27" t="s">
        <v>7</v>
      </c>
      <c r="GK183" s="27" t="s">
        <v>8</v>
      </c>
    </row>
    <row r="184" spans="1:193" x14ac:dyDescent="0.25">
      <c r="A184" s="30">
        <v>15.367412462192602</v>
      </c>
      <c r="E184"/>
      <c r="CK184" s="27" t="s">
        <v>8</v>
      </c>
      <c r="CL184" s="27" t="s">
        <v>7</v>
      </c>
      <c r="CM184" s="27" t="s">
        <v>8</v>
      </c>
      <c r="CN184" s="27" t="s">
        <v>7</v>
      </c>
      <c r="CO184" s="27" t="s">
        <v>8</v>
      </c>
      <c r="CP184" s="27" t="s">
        <v>7</v>
      </c>
      <c r="DA184" s="27" t="s">
        <v>8</v>
      </c>
      <c r="DB184" s="27" t="s">
        <v>7</v>
      </c>
      <c r="DI184" s="27" t="s">
        <v>8</v>
      </c>
      <c r="DK184" s="27" t="s">
        <v>8</v>
      </c>
      <c r="DL184" s="27" t="s">
        <v>7</v>
      </c>
      <c r="DM184" s="27" t="s">
        <v>8</v>
      </c>
      <c r="DN184" s="27" t="s">
        <v>7</v>
      </c>
      <c r="DO184" s="27" t="s">
        <v>8</v>
      </c>
      <c r="DS184" s="31"/>
      <c r="EV184" s="27" t="s">
        <v>7</v>
      </c>
      <c r="FD184" s="27" t="s">
        <v>7</v>
      </c>
      <c r="FH184" s="34" t="s">
        <v>7</v>
      </c>
      <c r="FI184" s="27" t="s">
        <v>8</v>
      </c>
      <c r="FJ184" s="31"/>
      <c r="FZ184" s="31" t="s">
        <v>7</v>
      </c>
      <c r="GJ184" s="27" t="s">
        <v>7</v>
      </c>
      <c r="GK184" s="27" t="s">
        <v>8</v>
      </c>
    </row>
    <row r="185" spans="1:193" x14ac:dyDescent="0.25">
      <c r="A185" s="30">
        <v>14.635630916373906</v>
      </c>
      <c r="C185"/>
      <c r="E185"/>
      <c r="CK185" s="27" t="s">
        <v>8</v>
      </c>
      <c r="CL185" s="27" t="s">
        <v>7</v>
      </c>
      <c r="CM185" s="27" t="s">
        <v>8</v>
      </c>
      <c r="CN185" s="27" t="s">
        <v>7</v>
      </c>
      <c r="CO185" s="27" t="s">
        <v>8</v>
      </c>
      <c r="CP185" s="27" t="s">
        <v>7</v>
      </c>
      <c r="DA185" s="27" t="s">
        <v>8</v>
      </c>
      <c r="DB185" s="27" t="s">
        <v>7</v>
      </c>
      <c r="DC185" s="27" t="s">
        <v>8</v>
      </c>
      <c r="DI185" s="27" t="s">
        <v>8</v>
      </c>
      <c r="DJ185" s="27" t="s">
        <v>7</v>
      </c>
      <c r="DK185" s="27" t="s">
        <v>8</v>
      </c>
      <c r="DL185" s="27" t="s">
        <v>7</v>
      </c>
      <c r="DN185" s="27" t="s">
        <v>7</v>
      </c>
      <c r="DO185" s="27" t="s">
        <v>8</v>
      </c>
      <c r="DR185" s="31"/>
      <c r="FH185" s="18" t="s">
        <v>7</v>
      </c>
      <c r="FI185" s="31" t="s">
        <v>8</v>
      </c>
      <c r="GJ185" s="27" t="s">
        <v>7</v>
      </c>
      <c r="GK185" s="27" t="s">
        <v>8</v>
      </c>
    </row>
    <row r="186" spans="1:193" x14ac:dyDescent="0.25">
      <c r="A186" s="30">
        <v>13.938696110832291</v>
      </c>
      <c r="E186"/>
      <c r="CK186" s="27" t="s">
        <v>8</v>
      </c>
      <c r="CL186" s="27" t="s">
        <v>7</v>
      </c>
      <c r="CM186" s="27" t="s">
        <v>8</v>
      </c>
      <c r="CN186" s="27" t="s">
        <v>7</v>
      </c>
      <c r="CP186" s="27" t="s">
        <v>7</v>
      </c>
      <c r="DA186" s="27" t="s">
        <v>8</v>
      </c>
      <c r="DB186" s="27" t="s">
        <v>7</v>
      </c>
      <c r="DC186" s="27" t="s">
        <v>8</v>
      </c>
      <c r="DD186" s="27" t="s">
        <v>7</v>
      </c>
      <c r="DE186" s="27" t="s">
        <v>8</v>
      </c>
      <c r="DI186" s="27" t="s">
        <v>8</v>
      </c>
      <c r="DJ186" s="27" t="s">
        <v>7</v>
      </c>
      <c r="DK186" s="27" t="s">
        <v>8</v>
      </c>
      <c r="DN186" s="34" t="s">
        <v>7</v>
      </c>
      <c r="DO186" s="27" t="s">
        <v>8</v>
      </c>
      <c r="DQ186" s="31"/>
      <c r="FH186" s="31" t="s">
        <v>7</v>
      </c>
      <c r="GJ186" s="27" t="s">
        <v>7</v>
      </c>
    </row>
    <row r="187" spans="1:193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CK187" s="27" t="s">
        <v>8</v>
      </c>
      <c r="CL187" s="27" t="s">
        <v>7</v>
      </c>
      <c r="CP187" s="27" t="s">
        <v>7</v>
      </c>
      <c r="CS187" s="27" t="s">
        <v>8</v>
      </c>
      <c r="DA187" s="27" t="s">
        <v>8</v>
      </c>
      <c r="DB187" s="27" t="s">
        <v>7</v>
      </c>
      <c r="DC187" s="27" t="s">
        <v>8</v>
      </c>
      <c r="DD187" s="27" t="s">
        <v>7</v>
      </c>
      <c r="DE187" s="27" t="s">
        <v>8</v>
      </c>
      <c r="DF187" s="27" t="s">
        <v>7</v>
      </c>
      <c r="DI187" s="33" t="s">
        <v>8</v>
      </c>
      <c r="DJ187" s="27" t="s">
        <v>7</v>
      </c>
      <c r="DN187" s="27" t="s">
        <v>7</v>
      </c>
      <c r="DO187" s="27" t="s">
        <v>8</v>
      </c>
      <c r="DP187" s="31"/>
    </row>
    <row r="188" spans="1:193" x14ac:dyDescent="0.25">
      <c r="A188" s="30">
        <v>12.64280826379346</v>
      </c>
      <c r="E188"/>
      <c r="CK188" s="27" t="s">
        <v>8</v>
      </c>
      <c r="CP188" s="27" t="s">
        <v>7</v>
      </c>
      <c r="CQ188" s="27" t="s">
        <v>8</v>
      </c>
      <c r="CS188" s="27" t="s">
        <v>8</v>
      </c>
      <c r="CT188" s="27" t="s">
        <v>7</v>
      </c>
      <c r="CY188" s="27" t="s">
        <v>8</v>
      </c>
      <c r="DA188" s="27" t="s">
        <v>8</v>
      </c>
      <c r="DB188" s="27" t="s">
        <v>7</v>
      </c>
      <c r="DC188" s="27" t="s">
        <v>8</v>
      </c>
      <c r="DD188" s="27" t="s">
        <v>7</v>
      </c>
      <c r="DE188" s="27" t="s">
        <v>8</v>
      </c>
      <c r="DF188" s="27" t="s">
        <v>7</v>
      </c>
      <c r="DG188" s="27" t="s">
        <v>8</v>
      </c>
      <c r="DI188" s="27" t="s">
        <v>8</v>
      </c>
      <c r="DN188" s="27" t="s">
        <v>7</v>
      </c>
      <c r="DO188" s="31"/>
    </row>
    <row r="189" spans="1:193" x14ac:dyDescent="0.25">
      <c r="A189" s="30">
        <v>12.04076977504139</v>
      </c>
      <c r="E189"/>
      <c r="CK189" s="27" t="s">
        <v>8</v>
      </c>
      <c r="CP189" s="27" t="s">
        <v>7</v>
      </c>
      <c r="CQ189" s="27" t="s">
        <v>8</v>
      </c>
      <c r="CR189" s="27" t="s">
        <v>7</v>
      </c>
      <c r="CS189" s="27" t="s">
        <v>8</v>
      </c>
      <c r="CT189" s="27" t="s">
        <v>7</v>
      </c>
      <c r="CY189" s="27" t="s">
        <v>8</v>
      </c>
      <c r="CZ189" s="27" t="s">
        <v>7</v>
      </c>
      <c r="DA189" s="27" t="s">
        <v>8</v>
      </c>
      <c r="DB189" s="27" t="s">
        <v>7</v>
      </c>
      <c r="DC189" s="27" t="s">
        <v>8</v>
      </c>
      <c r="DD189" s="27" t="s">
        <v>7</v>
      </c>
      <c r="DE189" s="27" t="s">
        <v>8</v>
      </c>
      <c r="DF189" s="27" t="s">
        <v>7</v>
      </c>
      <c r="DG189" s="27" t="s">
        <v>8</v>
      </c>
      <c r="DH189" s="27" t="s">
        <v>7</v>
      </c>
      <c r="DI189" s="27" t="s">
        <v>8</v>
      </c>
      <c r="DN189" s="31"/>
    </row>
    <row r="190" spans="1:193" x14ac:dyDescent="0.25">
      <c r="A190" s="30">
        <v>11.467399785753704</v>
      </c>
      <c r="E190"/>
      <c r="CK190" s="27" t="s">
        <v>8</v>
      </c>
      <c r="CP190" s="27" t="s">
        <v>7</v>
      </c>
      <c r="CQ190" s="27" t="s">
        <v>8</v>
      </c>
      <c r="CR190" s="27" t="s">
        <v>7</v>
      </c>
      <c r="CS190" s="27" t="s">
        <v>8</v>
      </c>
      <c r="CT190" s="27" t="s">
        <v>7</v>
      </c>
      <c r="CW190" s="27" t="s">
        <v>8</v>
      </c>
      <c r="CY190" s="27" t="s">
        <v>8</v>
      </c>
      <c r="CZ190" s="27" t="s">
        <v>7</v>
      </c>
      <c r="DA190" s="27" t="s">
        <v>8</v>
      </c>
      <c r="DB190" s="27" t="s">
        <v>7</v>
      </c>
      <c r="DD190" s="27" t="s">
        <v>7</v>
      </c>
      <c r="DF190" s="27" t="s">
        <v>7</v>
      </c>
      <c r="DG190" s="27" t="s">
        <v>8</v>
      </c>
      <c r="DH190" s="27" t="s">
        <v>7</v>
      </c>
      <c r="DI190" s="27" t="s">
        <v>8</v>
      </c>
      <c r="DM190" s="31"/>
    </row>
    <row r="191" spans="1:193" x14ac:dyDescent="0.25">
      <c r="A191" s="30">
        <v>10.921333129289241</v>
      </c>
      <c r="E191"/>
      <c r="CK191" s="27" t="s">
        <v>8</v>
      </c>
      <c r="CP191" s="27" t="s">
        <v>7</v>
      </c>
      <c r="CR191" s="27" t="s">
        <v>7</v>
      </c>
      <c r="CS191" s="27" t="s">
        <v>8</v>
      </c>
      <c r="CT191" s="27" t="s">
        <v>7</v>
      </c>
      <c r="CU191" s="27" t="s">
        <v>8</v>
      </c>
      <c r="CW191" s="27" t="s">
        <v>8</v>
      </c>
      <c r="CX191" s="27" t="s">
        <v>7</v>
      </c>
      <c r="CY191" s="27" t="s">
        <v>8</v>
      </c>
      <c r="CZ191" s="27" t="s">
        <v>7</v>
      </c>
      <c r="DA191" s="27" t="s">
        <v>8</v>
      </c>
      <c r="DF191" s="27" t="s">
        <v>7</v>
      </c>
      <c r="DG191" s="27" t="s">
        <v>8</v>
      </c>
      <c r="DH191" s="27" t="s">
        <v>7</v>
      </c>
      <c r="DL191" s="31"/>
    </row>
    <row r="192" spans="1:193" x14ac:dyDescent="0.25">
      <c r="A192" s="30">
        <v>10.401269646942135</v>
      </c>
      <c r="E192"/>
      <c r="CK192" s="27" t="s">
        <v>8</v>
      </c>
      <c r="CR192" s="27" t="s">
        <v>7</v>
      </c>
      <c r="CS192" s="27" t="s">
        <v>8</v>
      </c>
      <c r="CT192" s="27" t="s">
        <v>7</v>
      </c>
      <c r="CU192" s="27" t="s">
        <v>8</v>
      </c>
      <c r="CV192" s="27" t="s">
        <v>7</v>
      </c>
      <c r="CW192" s="27" t="s">
        <v>8</v>
      </c>
      <c r="CX192" s="27" t="s">
        <v>7</v>
      </c>
      <c r="CY192" s="27" t="s">
        <v>8</v>
      </c>
      <c r="CZ192" s="27" t="s">
        <v>7</v>
      </c>
      <c r="DA192" s="27" t="s">
        <v>8</v>
      </c>
      <c r="DF192" s="27" t="s">
        <v>7</v>
      </c>
      <c r="DG192" s="27" t="s">
        <v>8</v>
      </c>
      <c r="DK192" s="31"/>
    </row>
    <row r="193" spans="1:114" x14ac:dyDescent="0.25">
      <c r="A193" s="30">
        <v>9.9059710923258422</v>
      </c>
      <c r="E193"/>
      <c r="CK193" s="27" t="s">
        <v>8</v>
      </c>
      <c r="CR193" s="27" t="s">
        <v>7</v>
      </c>
      <c r="CS193" s="27" t="s">
        <v>8</v>
      </c>
      <c r="CT193" s="27" t="s">
        <v>7</v>
      </c>
      <c r="CU193" s="27" t="s">
        <v>8</v>
      </c>
      <c r="CV193" s="27" t="s">
        <v>7</v>
      </c>
      <c r="CW193" s="27" t="s">
        <v>8</v>
      </c>
      <c r="CX193" s="27" t="s">
        <v>7</v>
      </c>
      <c r="CZ193" s="27" t="s">
        <v>7</v>
      </c>
      <c r="DF193" s="27" t="s">
        <v>7</v>
      </c>
      <c r="DG193" s="27" t="s">
        <v>8</v>
      </c>
      <c r="DJ193" s="31"/>
    </row>
    <row r="194" spans="1:114" x14ac:dyDescent="0.25">
      <c r="A194" s="30">
        <v>9.4342581831674686</v>
      </c>
      <c r="E194"/>
      <c r="CK194" s="27" t="s">
        <v>8</v>
      </c>
      <c r="CR194" s="27" t="s">
        <v>7</v>
      </c>
      <c r="CT194" s="27" t="s">
        <v>7</v>
      </c>
      <c r="CU194" s="27" t="s">
        <v>8</v>
      </c>
      <c r="CV194" s="27" t="s">
        <v>7</v>
      </c>
      <c r="CW194" s="27" t="s">
        <v>8</v>
      </c>
      <c r="DF194" s="27" t="s">
        <v>7</v>
      </c>
      <c r="DG194" s="27" t="s">
        <v>8</v>
      </c>
      <c r="DI194" s="31"/>
    </row>
    <row r="195" spans="1:114" x14ac:dyDescent="0.25">
      <c r="A195" s="30">
        <v>8.9850077934928265</v>
      </c>
      <c r="E195"/>
      <c r="CK195" s="27" t="s">
        <v>8</v>
      </c>
      <c r="CT195" s="27" t="s">
        <v>7</v>
      </c>
      <c r="CU195" s="27" t="s">
        <v>8</v>
      </c>
      <c r="CV195" s="27" t="s">
        <v>7</v>
      </c>
      <c r="CW195" s="27" t="s">
        <v>8</v>
      </c>
      <c r="DF195" s="27" t="s">
        <v>7</v>
      </c>
      <c r="DG195" s="27" t="s">
        <v>8</v>
      </c>
      <c r="DH195" s="31"/>
    </row>
    <row r="196" spans="1:114" x14ac:dyDescent="0.25">
      <c r="A196" s="30">
        <v>8.5571502795169767</v>
      </c>
      <c r="E196"/>
      <c r="CI196" s="27" t="s">
        <v>8</v>
      </c>
      <c r="CK196" s="27" t="s">
        <v>8</v>
      </c>
      <c r="CT196" s="27" t="s">
        <v>7</v>
      </c>
      <c r="CU196" s="27" t="s">
        <v>8</v>
      </c>
      <c r="CV196" s="27" t="s">
        <v>7</v>
      </c>
      <c r="DF196" s="27" t="s">
        <v>7</v>
      </c>
      <c r="DG196" s="31" t="s">
        <v>8</v>
      </c>
    </row>
    <row r="197" spans="1:114" x14ac:dyDescent="0.25">
      <c r="A197" s="30">
        <v>8.1496669328733109</v>
      </c>
      <c r="E197"/>
      <c r="CG197" s="27" t="s">
        <v>8</v>
      </c>
      <c r="CI197" s="27" t="s">
        <v>8</v>
      </c>
      <c r="CJ197" s="27" t="s">
        <v>7</v>
      </c>
      <c r="CK197" s="27" t="s">
        <v>8</v>
      </c>
      <c r="CT197" s="27" t="s">
        <v>7</v>
      </c>
      <c r="CU197" s="27" t="s">
        <v>8</v>
      </c>
      <c r="DF197" s="31" t="s">
        <v>7</v>
      </c>
    </row>
    <row r="198" spans="1:114" x14ac:dyDescent="0.25">
      <c r="A198" s="30">
        <v>7.7615875551174378</v>
      </c>
      <c r="E198"/>
      <c r="CG198" s="27" t="s">
        <v>8</v>
      </c>
      <c r="CH198" s="27" t="s">
        <v>7</v>
      </c>
      <c r="CI198" s="27" t="s">
        <v>8</v>
      </c>
      <c r="CJ198" s="27" t="s">
        <v>7</v>
      </c>
      <c r="CK198" s="27" t="s">
        <v>8</v>
      </c>
      <c r="CT198" s="27" t="s">
        <v>7</v>
      </c>
      <c r="CU198" s="27" t="s">
        <v>8</v>
      </c>
    </row>
    <row r="199" spans="1:114" x14ac:dyDescent="0.25">
      <c r="A199" s="30">
        <v>7.3919881477308929</v>
      </c>
      <c r="E199"/>
      <c r="CG199" s="27" t="s">
        <v>8</v>
      </c>
      <c r="CH199" s="27" t="s">
        <v>7</v>
      </c>
      <c r="CI199" s="27" t="s">
        <v>8</v>
      </c>
      <c r="CJ199" s="27" t="s">
        <v>7</v>
      </c>
      <c r="CK199" s="27" t="s">
        <v>8</v>
      </c>
      <c r="CT199" s="27" t="s">
        <v>7</v>
      </c>
    </row>
    <row r="200" spans="1:114" x14ac:dyDescent="0.25">
      <c r="A200" s="30">
        <v>7.0399887121246598</v>
      </c>
      <c r="E200"/>
      <c r="CG200" s="27" t="s">
        <v>8</v>
      </c>
      <c r="CH200" s="27" t="s">
        <v>7</v>
      </c>
      <c r="CJ200" s="27" t="s">
        <v>7</v>
      </c>
      <c r="CK200" s="27" t="s">
        <v>8</v>
      </c>
    </row>
    <row r="201" spans="1:114" x14ac:dyDescent="0.25">
      <c r="A201" s="30">
        <v>6.7047511544044376</v>
      </c>
      <c r="E201"/>
      <c r="CG201" s="27" t="s">
        <v>8</v>
      </c>
      <c r="CJ201" s="27" t="s">
        <v>7</v>
      </c>
    </row>
    <row r="202" spans="1:114" x14ac:dyDescent="0.25">
      <c r="A202" s="30">
        <v>6.3854772899089882</v>
      </c>
      <c r="E202"/>
      <c r="CG202" s="27" t="s">
        <v>8</v>
      </c>
    </row>
    <row r="203" spans="1:114" x14ac:dyDescent="0.25">
      <c r="A203" s="30">
        <v>6.0814069427704647</v>
      </c>
      <c r="C203" s="7"/>
      <c r="D203"/>
      <c r="E203"/>
      <c r="CG203" s="27" t="s">
        <v>8</v>
      </c>
    </row>
    <row r="204" spans="1:114" x14ac:dyDescent="0.25">
      <c r="A204" s="30">
        <v>5.7918161359718709</v>
      </c>
      <c r="E204"/>
      <c r="CG204" s="27" t="s">
        <v>8</v>
      </c>
    </row>
    <row r="205" spans="1:114" x14ac:dyDescent="0.25">
      <c r="A205" s="30">
        <v>5.5160153675922574</v>
      </c>
      <c r="E205"/>
      <c r="CG205" s="27" t="s">
        <v>8</v>
      </c>
    </row>
    <row r="206" spans="1:114" x14ac:dyDescent="0.25">
      <c r="A206" s="30">
        <v>5.2533479691354827</v>
      </c>
      <c r="C206"/>
      <c r="D206"/>
      <c r="E206"/>
      <c r="CG206" s="27" t="s">
        <v>8</v>
      </c>
    </row>
    <row r="207" spans="1:114" x14ac:dyDescent="0.25">
      <c r="A207" s="30">
        <v>5.0031885420337927</v>
      </c>
      <c r="E207"/>
      <c r="CG207" s="27" t="s">
        <v>8</v>
      </c>
    </row>
    <row r="208" spans="1:114" x14ac:dyDescent="0.25">
      <c r="A208" s="30">
        <v>4.7649414686036122</v>
      </c>
      <c r="E208"/>
      <c r="BQ208" s="27" t="s">
        <v>8</v>
      </c>
      <c r="BS208" s="27" t="s">
        <v>8</v>
      </c>
      <c r="BU208" s="27" t="s">
        <v>8</v>
      </c>
      <c r="CG208" s="27" t="s">
        <v>8</v>
      </c>
    </row>
    <row r="209" spans="1:85" x14ac:dyDescent="0.25">
      <c r="A209" s="30">
        <v>4.5380394939082018</v>
      </c>
      <c r="E209"/>
      <c r="AO209" s="27" t="s">
        <v>8</v>
      </c>
      <c r="BQ209" s="27" t="s">
        <v>8</v>
      </c>
      <c r="BR209" s="27" t="s">
        <v>7</v>
      </c>
      <c r="BS209" s="27" t="s">
        <v>8</v>
      </c>
      <c r="BT209" s="27" t="s">
        <v>7</v>
      </c>
      <c r="BU209" s="27" t="s">
        <v>8</v>
      </c>
      <c r="BV209" s="27" t="s">
        <v>7</v>
      </c>
      <c r="CE209" s="27" t="s">
        <v>8</v>
      </c>
      <c r="CG209" s="27" t="s">
        <v>8</v>
      </c>
    </row>
    <row r="210" spans="1:85" x14ac:dyDescent="0.25">
      <c r="A210" s="30">
        <v>4.3219423751506678</v>
      </c>
      <c r="C210"/>
      <c r="E210"/>
      <c r="AO210" s="27" t="s">
        <v>8</v>
      </c>
      <c r="AP210" s="27" t="s">
        <v>7</v>
      </c>
      <c r="BQ210" s="27" t="s">
        <v>8</v>
      </c>
      <c r="BR210" s="27" t="s">
        <v>7</v>
      </c>
      <c r="BS210" s="27" t="s">
        <v>8</v>
      </c>
      <c r="BT210" s="27" t="s">
        <v>7</v>
      </c>
      <c r="BU210" s="27" t="s">
        <v>8</v>
      </c>
      <c r="BV210" s="27" t="s">
        <v>7</v>
      </c>
      <c r="CE210" s="27" t="s">
        <v>8</v>
      </c>
      <c r="CF210" s="27" t="s">
        <v>7</v>
      </c>
      <c r="CG210" s="27" t="s">
        <v>8</v>
      </c>
    </row>
    <row r="211" spans="1:85" x14ac:dyDescent="0.25">
      <c r="A211" s="30">
        <v>4.1161355953815884</v>
      </c>
      <c r="E211"/>
      <c r="AO211" s="27" t="s">
        <v>8</v>
      </c>
      <c r="AP211" s="27" t="s">
        <v>7</v>
      </c>
      <c r="BQ211" s="27" t="s">
        <v>8</v>
      </c>
      <c r="BR211" s="27" t="s">
        <v>7</v>
      </c>
      <c r="BS211" s="27" t="s">
        <v>8</v>
      </c>
      <c r="BT211" s="27" t="s">
        <v>7</v>
      </c>
      <c r="BU211" s="27" t="s">
        <v>8</v>
      </c>
      <c r="BV211" s="27" t="s">
        <v>7</v>
      </c>
      <c r="CC211" s="27" t="s">
        <v>8</v>
      </c>
      <c r="CE211" s="27" t="s">
        <v>8</v>
      </c>
      <c r="CF211" s="27" t="s">
        <v>7</v>
      </c>
      <c r="CG211" s="27" t="s">
        <v>8</v>
      </c>
    </row>
    <row r="212" spans="1:85" x14ac:dyDescent="0.25">
      <c r="A212" s="30">
        <v>3.9201291384586554</v>
      </c>
      <c r="E212"/>
      <c r="AO212" s="27" t="s">
        <v>8</v>
      </c>
      <c r="AP212" s="27" t="s">
        <v>7</v>
      </c>
      <c r="AQ212" s="27" t="s">
        <v>8</v>
      </c>
      <c r="BQ212" s="27" t="s">
        <v>8</v>
      </c>
      <c r="BR212" s="27" t="s">
        <v>7</v>
      </c>
      <c r="BT212" s="27" t="s">
        <v>7</v>
      </c>
      <c r="BU212" s="27" t="s">
        <v>8</v>
      </c>
      <c r="BV212" s="27" t="s">
        <v>7</v>
      </c>
      <c r="CC212" s="27" t="s">
        <v>8</v>
      </c>
      <c r="CD212" s="27" t="s">
        <v>7</v>
      </c>
      <c r="CE212" s="27" t="s">
        <v>8</v>
      </c>
      <c r="CF212" s="27" t="s">
        <v>7</v>
      </c>
      <c r="CG212" s="27" t="s">
        <v>8</v>
      </c>
    </row>
    <row r="213" spans="1:85" x14ac:dyDescent="0.25">
      <c r="A213" s="30">
        <v>3.7334563223415764</v>
      </c>
      <c r="E213"/>
      <c r="AO213" s="27" t="s">
        <v>8</v>
      </c>
      <c r="AP213" s="27" t="s">
        <v>7</v>
      </c>
      <c r="AQ213" s="27" t="s">
        <v>8</v>
      </c>
      <c r="AR213" s="27" t="s">
        <v>7</v>
      </c>
      <c r="AS213" s="27" t="s">
        <v>8</v>
      </c>
      <c r="BQ213" s="27" t="s">
        <v>8</v>
      </c>
      <c r="BT213" s="27" t="s">
        <v>7</v>
      </c>
      <c r="BU213" s="27" t="s">
        <v>8</v>
      </c>
      <c r="BV213" s="27" t="s">
        <v>7</v>
      </c>
      <c r="CC213" s="27" t="s">
        <v>8</v>
      </c>
      <c r="CD213" s="27" t="s">
        <v>7</v>
      </c>
      <c r="CE213" s="27" t="s">
        <v>8</v>
      </c>
      <c r="CF213" s="27" t="s">
        <v>7</v>
      </c>
    </row>
    <row r="214" spans="1:85" x14ac:dyDescent="0.25">
      <c r="A214" s="30">
        <v>3.5556726879443583</v>
      </c>
      <c r="E214"/>
      <c r="AO214" s="27" t="s">
        <v>8</v>
      </c>
      <c r="AP214" s="27" t="s">
        <v>7</v>
      </c>
      <c r="AQ214" s="27" t="s">
        <v>8</v>
      </c>
      <c r="AR214" s="27" t="s">
        <v>7</v>
      </c>
      <c r="AS214" s="27" t="s">
        <v>8</v>
      </c>
      <c r="AT214" s="27" t="s">
        <v>7</v>
      </c>
      <c r="BQ214" s="27" t="s">
        <v>8</v>
      </c>
      <c r="BT214" s="27" t="s">
        <v>7</v>
      </c>
      <c r="BU214" s="27" t="s">
        <v>8</v>
      </c>
      <c r="BV214" s="27" t="s">
        <v>7</v>
      </c>
      <c r="CA214" s="27" t="s">
        <v>8</v>
      </c>
      <c r="CC214" s="27" t="s">
        <v>8</v>
      </c>
      <c r="CD214" s="27" t="s">
        <v>7</v>
      </c>
      <c r="CE214" s="27" t="s">
        <v>8</v>
      </c>
    </row>
    <row r="215" spans="1:85" x14ac:dyDescent="0.25">
      <c r="A215" s="30">
        <v>3.3863549408993889</v>
      </c>
      <c r="E215"/>
      <c r="AO215" s="27" t="s">
        <v>8</v>
      </c>
      <c r="AP215" s="27" t="s">
        <v>7</v>
      </c>
      <c r="AQ215" s="27" t="s">
        <v>8</v>
      </c>
      <c r="AR215" s="27" t="s">
        <v>7</v>
      </c>
      <c r="AS215" s="27" t="s">
        <v>8</v>
      </c>
      <c r="AT215" s="27" t="s">
        <v>7</v>
      </c>
      <c r="BQ215" s="27" t="s">
        <v>8</v>
      </c>
      <c r="BT215" s="27" t="s">
        <v>7</v>
      </c>
      <c r="BV215" s="27" t="s">
        <v>7</v>
      </c>
      <c r="CA215" s="27" t="s">
        <v>8</v>
      </c>
      <c r="CB215" s="27" t="s">
        <v>7</v>
      </c>
      <c r="CC215" s="27" t="s">
        <v>8</v>
      </c>
      <c r="CD215" s="27" t="s">
        <v>7</v>
      </c>
    </row>
    <row r="216" spans="1:85" x14ac:dyDescent="0.25">
      <c r="A216" s="30">
        <v>3.2250999437137038</v>
      </c>
      <c r="E216"/>
      <c r="AO216" s="27" t="s">
        <v>8</v>
      </c>
      <c r="AP216" s="27" t="s">
        <v>7</v>
      </c>
      <c r="AQ216" s="27" t="s">
        <v>8</v>
      </c>
      <c r="AR216" s="27" t="s">
        <v>7</v>
      </c>
      <c r="AT216" s="27" t="s">
        <v>7</v>
      </c>
      <c r="AU216" s="27" t="s">
        <v>8</v>
      </c>
      <c r="BQ216" s="27" t="s">
        <v>8</v>
      </c>
      <c r="BV216" s="27" t="s">
        <v>7</v>
      </c>
      <c r="CA216" s="27" t="s">
        <v>8</v>
      </c>
      <c r="CB216" s="27" t="s">
        <v>7</v>
      </c>
      <c r="CC216" s="27" t="s">
        <v>8</v>
      </c>
    </row>
    <row r="217" spans="1:85" x14ac:dyDescent="0.25">
      <c r="A217" s="30">
        <v>3.0715237559178128</v>
      </c>
      <c r="E217"/>
      <c r="AO217" s="27" t="s">
        <v>8</v>
      </c>
      <c r="AP217" s="27" t="s">
        <v>7</v>
      </c>
      <c r="AT217" s="27" t="s">
        <v>7</v>
      </c>
      <c r="AU217" s="27" t="s">
        <v>8</v>
      </c>
      <c r="AV217" s="27" t="s">
        <v>7</v>
      </c>
      <c r="BK217" s="27" t="s">
        <v>8</v>
      </c>
      <c r="BQ217" s="27" t="s">
        <v>8</v>
      </c>
      <c r="BV217" s="27" t="s">
        <v>7</v>
      </c>
      <c r="CA217" s="27" t="s">
        <v>8</v>
      </c>
      <c r="CB217" s="27" t="s">
        <v>7</v>
      </c>
    </row>
    <row r="218" spans="1:85" x14ac:dyDescent="0.25">
      <c r="A218" s="30">
        <v>2.9252607199217264</v>
      </c>
      <c r="E218"/>
      <c r="AO218" s="27" t="s">
        <v>8</v>
      </c>
      <c r="AT218" s="27" t="s">
        <v>7</v>
      </c>
      <c r="AU218" s="27" t="s">
        <v>8</v>
      </c>
      <c r="AV218" s="27" t="s">
        <v>7</v>
      </c>
      <c r="BE218" s="27" t="s">
        <v>8</v>
      </c>
      <c r="BI218" s="27" t="s">
        <v>8</v>
      </c>
      <c r="BK218" s="27" t="s">
        <v>8</v>
      </c>
      <c r="BL218" s="27" t="s">
        <v>7</v>
      </c>
      <c r="BQ218" s="27" t="s">
        <v>8</v>
      </c>
      <c r="BV218" s="27" t="s">
        <v>7</v>
      </c>
      <c r="CA218" s="27" t="s">
        <v>8</v>
      </c>
    </row>
    <row r="219" spans="1:85" x14ac:dyDescent="0.25">
      <c r="A219" s="30">
        <v>2.7859625904016441</v>
      </c>
      <c r="E219"/>
      <c r="AO219" s="27" t="s">
        <v>8</v>
      </c>
      <c r="AT219" s="27" t="s">
        <v>7</v>
      </c>
      <c r="AU219" s="27" t="s">
        <v>8</v>
      </c>
      <c r="AV219" s="27" t="s">
        <v>7</v>
      </c>
      <c r="AW219" s="27" t="s">
        <v>8</v>
      </c>
      <c r="BE219" s="27" t="s">
        <v>8</v>
      </c>
      <c r="BF219" s="27" t="s">
        <v>7</v>
      </c>
      <c r="BG219" s="27" t="s">
        <v>8</v>
      </c>
      <c r="BI219" s="27" t="s">
        <v>8</v>
      </c>
      <c r="BJ219" s="27" t="s">
        <v>7</v>
      </c>
      <c r="BK219" s="27" t="s">
        <v>8</v>
      </c>
      <c r="BL219" s="27" t="s">
        <v>7</v>
      </c>
      <c r="BO219" s="27" t="s">
        <v>8</v>
      </c>
      <c r="BQ219" s="27" t="s">
        <v>8</v>
      </c>
      <c r="BV219" s="27" t="s">
        <v>7</v>
      </c>
      <c r="CA219" s="27" t="s">
        <v>8</v>
      </c>
    </row>
    <row r="220" spans="1:85" x14ac:dyDescent="0.25">
      <c r="A220" s="30">
        <v>2.6532977051444226</v>
      </c>
      <c r="E220"/>
      <c r="AO220" s="27" t="s">
        <v>8</v>
      </c>
      <c r="AT220" s="27" t="s">
        <v>7</v>
      </c>
      <c r="AV220" s="27" t="s">
        <v>7</v>
      </c>
      <c r="AW220" s="27" t="s">
        <v>8</v>
      </c>
      <c r="AX220" s="27" t="s">
        <v>7</v>
      </c>
      <c r="AY220" s="27" t="s">
        <v>8</v>
      </c>
      <c r="BE220" s="27" t="s">
        <v>8</v>
      </c>
      <c r="BF220" s="27" t="s">
        <v>7</v>
      </c>
      <c r="BG220" s="27" t="s">
        <v>8</v>
      </c>
      <c r="BH220" s="27" t="s">
        <v>7</v>
      </c>
      <c r="BI220" s="27" t="s">
        <v>8</v>
      </c>
      <c r="BJ220" s="27" t="s">
        <v>7</v>
      </c>
      <c r="BK220" s="27" t="s">
        <v>8</v>
      </c>
      <c r="BL220" s="27" t="s">
        <v>7</v>
      </c>
      <c r="BO220" s="27" t="s">
        <v>8</v>
      </c>
      <c r="BP220" s="27" t="s">
        <v>7</v>
      </c>
      <c r="BQ220" s="27" t="s">
        <v>8</v>
      </c>
      <c r="BV220" s="27" t="s">
        <v>7</v>
      </c>
      <c r="BW220" s="27" t="s">
        <v>8</v>
      </c>
      <c r="CA220" s="27" t="s">
        <v>8</v>
      </c>
    </row>
    <row r="221" spans="1:85" x14ac:dyDescent="0.25">
      <c r="A221" s="30">
        <v>2.5269501953756404</v>
      </c>
      <c r="E221"/>
      <c r="AO221" s="27" t="s">
        <v>8</v>
      </c>
      <c r="AV221" s="27" t="s">
        <v>7</v>
      </c>
      <c r="AW221" s="27" t="s">
        <v>8</v>
      </c>
      <c r="AX221" s="27" t="s">
        <v>7</v>
      </c>
      <c r="AY221" s="27" t="s">
        <v>8</v>
      </c>
      <c r="AZ221" s="27" t="s">
        <v>7</v>
      </c>
      <c r="BA221" s="27" t="s">
        <v>8</v>
      </c>
      <c r="BE221" s="27" t="s">
        <v>8</v>
      </c>
      <c r="BF221" s="27" t="s">
        <v>7</v>
      </c>
      <c r="BG221" s="27" t="s">
        <v>8</v>
      </c>
      <c r="BH221" s="27" t="s">
        <v>7</v>
      </c>
      <c r="BI221" s="27" t="s">
        <v>8</v>
      </c>
      <c r="BJ221" s="27" t="s">
        <v>7</v>
      </c>
      <c r="BL221" s="27" t="s">
        <v>7</v>
      </c>
      <c r="BO221" s="27" t="s">
        <v>8</v>
      </c>
      <c r="BP221" s="27" t="s">
        <v>7</v>
      </c>
      <c r="BQ221" s="27" t="s">
        <v>8</v>
      </c>
      <c r="BV221" s="27" t="s">
        <v>7</v>
      </c>
      <c r="BW221" s="27" t="s">
        <v>8</v>
      </c>
      <c r="BX221" s="27" t="s">
        <v>7</v>
      </c>
      <c r="BY221" s="27" t="s">
        <v>8</v>
      </c>
      <c r="CA221" s="27" t="s">
        <v>8</v>
      </c>
    </row>
    <row r="222" spans="1:85" x14ac:dyDescent="0.25">
      <c r="A222" s="30">
        <v>2.4066192336910861</v>
      </c>
      <c r="E222"/>
      <c r="AM222" s="27" t="s">
        <v>8</v>
      </c>
      <c r="AO222" s="27" t="s">
        <v>8</v>
      </c>
      <c r="AV222" s="27" t="s">
        <v>7</v>
      </c>
      <c r="AW222" s="27" t="s">
        <v>8</v>
      </c>
      <c r="AX222" s="27" t="s">
        <v>7</v>
      </c>
      <c r="AY222" s="27" t="s">
        <v>8</v>
      </c>
      <c r="AZ222" s="27" t="s">
        <v>7</v>
      </c>
      <c r="BA222" s="27" t="s">
        <v>8</v>
      </c>
      <c r="BB222" s="27" t="s">
        <v>7</v>
      </c>
      <c r="BE222" s="27" t="s">
        <v>8</v>
      </c>
      <c r="BF222" s="27" t="s">
        <v>7</v>
      </c>
      <c r="BG222" s="27" t="s">
        <v>8</v>
      </c>
      <c r="BH222" s="27" t="s">
        <v>7</v>
      </c>
      <c r="BL222" s="27" t="s">
        <v>7</v>
      </c>
      <c r="BO222" s="27" t="s">
        <v>8</v>
      </c>
      <c r="BP222" s="27" t="s">
        <v>7</v>
      </c>
      <c r="BV222" s="27" t="s">
        <v>7</v>
      </c>
      <c r="BW222" s="27" t="s">
        <v>8</v>
      </c>
      <c r="BX222" s="27" t="s">
        <v>7</v>
      </c>
      <c r="BY222" s="27" t="s">
        <v>8</v>
      </c>
      <c r="BZ222" s="27" t="s">
        <v>7</v>
      </c>
      <c r="CA222" s="27" t="s">
        <v>8</v>
      </c>
    </row>
    <row r="223" spans="1:85" x14ac:dyDescent="0.25">
      <c r="A223" s="30">
        <v>2.2920183178010345</v>
      </c>
      <c r="E223"/>
      <c r="AM223" s="27" t="s">
        <v>8</v>
      </c>
      <c r="AN223" s="27" t="s">
        <v>7</v>
      </c>
      <c r="AO223" s="27" t="s">
        <v>8</v>
      </c>
      <c r="AV223" s="27" t="s">
        <v>7</v>
      </c>
      <c r="AW223" s="27" t="s">
        <v>8</v>
      </c>
      <c r="AX223" s="27" t="s">
        <v>7</v>
      </c>
      <c r="AY223" s="27" t="s">
        <v>8</v>
      </c>
      <c r="AZ223" s="27" t="s">
        <v>7</v>
      </c>
      <c r="BA223" s="27" t="s">
        <v>8</v>
      </c>
      <c r="BB223" s="27" t="s">
        <v>7</v>
      </c>
      <c r="BE223" s="27" t="s">
        <v>8</v>
      </c>
      <c r="BF223" s="27" t="s">
        <v>7</v>
      </c>
      <c r="BG223" s="27" t="s">
        <v>8</v>
      </c>
      <c r="BL223" s="27" t="s">
        <v>7</v>
      </c>
      <c r="BM223" s="27" t="s">
        <v>8</v>
      </c>
      <c r="BO223" s="27" t="s">
        <v>8</v>
      </c>
      <c r="BV223" s="27" t="s">
        <v>7</v>
      </c>
      <c r="BW223" s="27" t="s">
        <v>8</v>
      </c>
      <c r="BX223" s="27" t="s">
        <v>7</v>
      </c>
      <c r="BY223" s="27" t="s">
        <v>8</v>
      </c>
      <c r="BZ223" s="27" t="s">
        <v>7</v>
      </c>
      <c r="CA223" s="27" t="s">
        <v>8</v>
      </c>
    </row>
    <row r="224" spans="1:85" x14ac:dyDescent="0.25">
      <c r="A224" s="30">
        <v>2.1828745883819374</v>
      </c>
      <c r="E224"/>
      <c r="AM224" s="27" t="s">
        <v>8</v>
      </c>
      <c r="AN224" s="27" t="s">
        <v>7</v>
      </c>
      <c r="AO224" s="27" t="s">
        <v>8</v>
      </c>
      <c r="AV224" s="27" t="s">
        <v>7</v>
      </c>
      <c r="AW224" s="27" t="s">
        <v>8</v>
      </c>
      <c r="AX224" s="27" t="s">
        <v>7</v>
      </c>
      <c r="AY224" s="27" t="s">
        <v>8</v>
      </c>
      <c r="AZ224" s="27" t="s">
        <v>7</v>
      </c>
      <c r="BB224" s="27" t="s">
        <v>7</v>
      </c>
      <c r="BE224" s="27" t="s">
        <v>8</v>
      </c>
      <c r="BF224" s="27" t="s">
        <v>7</v>
      </c>
      <c r="BL224" s="27" t="s">
        <v>7</v>
      </c>
      <c r="BM224" s="27" t="s">
        <v>8</v>
      </c>
      <c r="BN224" s="27" t="s">
        <v>7</v>
      </c>
      <c r="BO224" s="27" t="s">
        <v>8</v>
      </c>
      <c r="BV224" s="27" t="s">
        <v>7</v>
      </c>
      <c r="BW224" s="27" t="s">
        <v>8</v>
      </c>
      <c r="BX224" s="27" t="s">
        <v>7</v>
      </c>
      <c r="BY224" s="27" t="s">
        <v>8</v>
      </c>
      <c r="BZ224" s="27" t="s">
        <v>7</v>
      </c>
      <c r="CA224" s="27" t="s">
        <v>8</v>
      </c>
    </row>
    <row r="225" spans="1:79" x14ac:dyDescent="0.25">
      <c r="A225" s="30">
        <v>2.0789281794113688</v>
      </c>
      <c r="E225"/>
      <c r="AM225" s="27" t="s">
        <v>8</v>
      </c>
      <c r="AN225" s="27" t="s">
        <v>7</v>
      </c>
      <c r="AV225" s="27" t="s">
        <v>7</v>
      </c>
      <c r="AX225" s="27" t="s">
        <v>7</v>
      </c>
      <c r="AY225" s="27" t="s">
        <v>8</v>
      </c>
      <c r="BB225" s="27" t="s">
        <v>7</v>
      </c>
      <c r="BE225" s="27" t="s">
        <v>8</v>
      </c>
      <c r="BL225" s="27" t="s">
        <v>7</v>
      </c>
      <c r="BM225" s="27" t="s">
        <v>8</v>
      </c>
      <c r="BN225" s="27" t="s">
        <v>7</v>
      </c>
      <c r="BO225" s="27" t="s">
        <v>8</v>
      </c>
      <c r="BV225" s="27" t="s">
        <v>7</v>
      </c>
      <c r="BW225" s="27" t="s">
        <v>8</v>
      </c>
      <c r="BX225" s="27" t="s">
        <v>7</v>
      </c>
      <c r="BY225" s="27" t="s">
        <v>8</v>
      </c>
      <c r="BZ225" s="27" t="s">
        <v>7</v>
      </c>
      <c r="CA225" s="27" t="s">
        <v>8</v>
      </c>
    </row>
    <row r="226" spans="1:79" x14ac:dyDescent="0.25">
      <c r="A226" s="30">
        <v>1.9799315994393987</v>
      </c>
      <c r="E226"/>
      <c r="AK226" s="27" t="s">
        <v>8</v>
      </c>
      <c r="AM226" s="27" t="s">
        <v>8</v>
      </c>
      <c r="AX226" s="27" t="s">
        <v>7</v>
      </c>
      <c r="BB226" s="27" t="s">
        <v>7</v>
      </c>
      <c r="BC226" s="27" t="s">
        <v>8</v>
      </c>
      <c r="BE226" s="27" t="s">
        <v>8</v>
      </c>
      <c r="BL226" s="27" t="s">
        <v>7</v>
      </c>
      <c r="BN226" s="27" t="s">
        <v>7</v>
      </c>
      <c r="BO226" s="27" t="s">
        <v>8</v>
      </c>
      <c r="BV226" s="27" t="s">
        <v>7</v>
      </c>
      <c r="BW226" s="27" t="s">
        <v>8</v>
      </c>
      <c r="BX226" s="27" t="s">
        <v>7</v>
      </c>
      <c r="BY226" s="27" t="s">
        <v>8</v>
      </c>
      <c r="BZ226" s="27" t="s">
        <v>7</v>
      </c>
    </row>
    <row r="227" spans="1:79" x14ac:dyDescent="0.25">
      <c r="A227" s="30">
        <v>1.8856491423232367</v>
      </c>
      <c r="E227"/>
      <c r="AI227" s="27" t="s">
        <v>8</v>
      </c>
      <c r="AK227" s="27" t="s">
        <v>8</v>
      </c>
      <c r="AL227" s="27" t="s">
        <v>7</v>
      </c>
      <c r="AM227" s="27" t="s">
        <v>8</v>
      </c>
      <c r="BB227" s="27" t="s">
        <v>7</v>
      </c>
      <c r="BC227" s="27" t="s">
        <v>8</v>
      </c>
      <c r="BD227" s="27" t="s">
        <v>7</v>
      </c>
      <c r="BE227" s="27" t="s">
        <v>8</v>
      </c>
      <c r="BN227" s="27" t="s">
        <v>7</v>
      </c>
      <c r="BO227" s="27" t="s">
        <v>8</v>
      </c>
      <c r="BV227" s="27" t="s">
        <v>7</v>
      </c>
      <c r="BW227" s="27" t="s">
        <v>8</v>
      </c>
      <c r="BX227" s="27" t="s">
        <v>7</v>
      </c>
      <c r="BY227" s="27" t="s">
        <v>8</v>
      </c>
    </row>
    <row r="228" spans="1:79" x14ac:dyDescent="0.25">
      <c r="A228" s="30">
        <v>1.7958563260221301</v>
      </c>
      <c r="C228" s="7"/>
      <c r="D228"/>
      <c r="E228"/>
      <c r="AI228" s="27" t="s">
        <v>8</v>
      </c>
      <c r="AJ228" s="27" t="s">
        <v>7</v>
      </c>
      <c r="AK228" s="27" t="s">
        <v>8</v>
      </c>
      <c r="AL228" s="27" t="s">
        <v>7</v>
      </c>
      <c r="AM228" s="27" t="s">
        <v>8</v>
      </c>
      <c r="BB228" s="27" t="s">
        <v>7</v>
      </c>
      <c r="BC228" s="27" t="s">
        <v>8</v>
      </c>
      <c r="BD228" s="27" t="s">
        <v>7</v>
      </c>
      <c r="BE228" s="27" t="s">
        <v>8</v>
      </c>
      <c r="BN228" s="27" t="s">
        <v>7</v>
      </c>
      <c r="BO228" s="27" t="s">
        <v>8</v>
      </c>
      <c r="BV228" s="27" t="s">
        <v>7</v>
      </c>
      <c r="BW228" s="27" t="s">
        <v>8</v>
      </c>
      <c r="BX228" s="27" t="s">
        <v>7</v>
      </c>
      <c r="BY228" s="27" t="s">
        <v>8</v>
      </c>
    </row>
    <row r="229" spans="1:79" x14ac:dyDescent="0.25">
      <c r="A229" s="30">
        <v>1.7103393581163142</v>
      </c>
      <c r="E229"/>
      <c r="AI229" s="27" t="s">
        <v>8</v>
      </c>
      <c r="AJ229" s="27" t="s">
        <v>7</v>
      </c>
      <c r="AK229" s="27" t="s">
        <v>8</v>
      </c>
      <c r="AL229" s="27" t="s">
        <v>7</v>
      </c>
      <c r="AM229" s="27" t="s">
        <v>8</v>
      </c>
      <c r="BB229" s="27" t="s">
        <v>7</v>
      </c>
      <c r="BC229" s="27" t="s">
        <v>8</v>
      </c>
      <c r="BD229" s="27" t="s">
        <v>7</v>
      </c>
      <c r="BE229" s="27" t="s">
        <v>8</v>
      </c>
      <c r="BN229" s="27" t="s">
        <v>7</v>
      </c>
      <c r="BO229" s="27" t="s">
        <v>8</v>
      </c>
      <c r="BV229" s="27" t="s">
        <v>7</v>
      </c>
      <c r="BW229" s="27" t="s">
        <v>8</v>
      </c>
      <c r="BX229" s="27" t="s">
        <v>7</v>
      </c>
      <c r="BY229" s="27" t="s">
        <v>8</v>
      </c>
    </row>
    <row r="230" spans="1:79" x14ac:dyDescent="0.25">
      <c r="A230" s="30">
        <v>1.628894626777442</v>
      </c>
      <c r="E230"/>
      <c r="AI230" s="27" t="s">
        <v>8</v>
      </c>
      <c r="AJ230" s="27" t="s">
        <v>7</v>
      </c>
      <c r="AK230" s="27" t="s">
        <v>8</v>
      </c>
      <c r="AL230" s="27" t="s">
        <v>7</v>
      </c>
      <c r="BB230" s="27" t="s">
        <v>7</v>
      </c>
      <c r="BC230" s="27" t="s">
        <v>8</v>
      </c>
      <c r="BD230" s="27" t="s">
        <v>7</v>
      </c>
      <c r="BE230" s="27" t="s">
        <v>8</v>
      </c>
      <c r="BN230" s="27" t="s">
        <v>7</v>
      </c>
      <c r="BV230" s="27" t="s">
        <v>7</v>
      </c>
      <c r="BW230" s="27" t="s">
        <v>8</v>
      </c>
      <c r="BX230" s="27" t="s">
        <v>7</v>
      </c>
    </row>
    <row r="231" spans="1:79" x14ac:dyDescent="0.25">
      <c r="A231" s="30">
        <v>1.5513282159785162</v>
      </c>
      <c r="C231"/>
      <c r="D231"/>
      <c r="E231"/>
      <c r="AI231" s="27" t="s">
        <v>8</v>
      </c>
      <c r="AJ231" s="27" t="s">
        <v>7</v>
      </c>
      <c r="BB231" s="27" t="s">
        <v>7</v>
      </c>
      <c r="BD231" s="27" t="s">
        <v>7</v>
      </c>
      <c r="BV231" s="27" t="s">
        <v>7</v>
      </c>
      <c r="BW231" s="27" t="s">
        <v>8</v>
      </c>
    </row>
    <row r="232" spans="1:79" x14ac:dyDescent="0.25">
      <c r="A232" s="30">
        <v>1.477455443789063</v>
      </c>
      <c r="E232"/>
      <c r="AI232" s="27" t="s">
        <v>8</v>
      </c>
      <c r="BV232" s="27" t="s">
        <v>7</v>
      </c>
      <c r="BW232" s="27" t="s">
        <v>8</v>
      </c>
    </row>
    <row r="233" spans="1:79" x14ac:dyDescent="0.25">
      <c r="A233" s="30">
        <v>1.4071004226562505</v>
      </c>
      <c r="E233"/>
      <c r="Y233" s="27" t="s">
        <v>8</v>
      </c>
      <c r="AA233" s="27" t="s">
        <v>8</v>
      </c>
      <c r="AI233" s="27" t="s">
        <v>8</v>
      </c>
      <c r="BV233" s="27" t="s">
        <v>7</v>
      </c>
      <c r="BW233" s="27" t="s">
        <v>8</v>
      </c>
    </row>
    <row r="234" spans="1:79" x14ac:dyDescent="0.25">
      <c r="A234" s="30">
        <v>1.3400956406250004</v>
      </c>
      <c r="E234"/>
      <c r="Y234" s="27" t="s">
        <v>8</v>
      </c>
      <c r="Z234" s="27" t="s">
        <v>7</v>
      </c>
      <c r="AA234" s="27" t="s">
        <v>8</v>
      </c>
      <c r="AB234" s="27" t="s">
        <v>7</v>
      </c>
      <c r="AC234" s="27" t="s">
        <v>8</v>
      </c>
      <c r="AI234" s="27" t="s">
        <v>8</v>
      </c>
      <c r="BV234" s="27" t="s">
        <v>7</v>
      </c>
      <c r="BW234" s="27" t="s">
        <v>8</v>
      </c>
    </row>
    <row r="235" spans="1:79" x14ac:dyDescent="0.25">
      <c r="A235" s="30">
        <v>1.2762815625000004</v>
      </c>
      <c r="C235"/>
      <c r="E235"/>
      <c r="Y235" s="27" t="s">
        <v>8</v>
      </c>
      <c r="Z235" s="27" t="s">
        <v>7</v>
      </c>
      <c r="AA235" s="27" t="s">
        <v>8</v>
      </c>
      <c r="AB235" s="27" t="s">
        <v>7</v>
      </c>
      <c r="AC235" s="27" t="s">
        <v>8</v>
      </c>
      <c r="AD235" s="27" t="s">
        <v>7</v>
      </c>
      <c r="AI235" s="27" t="s">
        <v>8</v>
      </c>
      <c r="BV235" s="27" t="s">
        <v>7</v>
      </c>
      <c r="BW235" s="27" t="s">
        <v>8</v>
      </c>
    </row>
    <row r="236" spans="1:79" x14ac:dyDescent="0.25">
      <c r="A236" s="30">
        <v>1.2155062500000002</v>
      </c>
      <c r="E236"/>
      <c r="Y236" s="27" t="s">
        <v>8</v>
      </c>
      <c r="Z236" s="27" t="s">
        <v>7</v>
      </c>
      <c r="AA236" s="27" t="s">
        <v>8</v>
      </c>
      <c r="AB236" s="27" t="s">
        <v>7</v>
      </c>
      <c r="AC236" s="27" t="s">
        <v>8</v>
      </c>
      <c r="AD236" s="27" t="s">
        <v>7</v>
      </c>
      <c r="AG236" s="27" t="s">
        <v>8</v>
      </c>
      <c r="AI236" s="27" t="s">
        <v>8</v>
      </c>
      <c r="BV236" s="27" t="s">
        <v>7</v>
      </c>
      <c r="BW236" s="27" t="s">
        <v>8</v>
      </c>
    </row>
    <row r="237" spans="1:7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Y237" s="27" t="s">
        <v>8</v>
      </c>
      <c r="Z237" s="27" t="s">
        <v>7</v>
      </c>
      <c r="AB237" s="27" t="s">
        <v>7</v>
      </c>
      <c r="AC237" s="27" t="s">
        <v>8</v>
      </c>
      <c r="AD237" s="27" t="s">
        <v>7</v>
      </c>
      <c r="AG237" s="27" t="s">
        <v>8</v>
      </c>
      <c r="AH237" s="27" t="s">
        <v>7</v>
      </c>
      <c r="AI237" s="27" t="s">
        <v>8</v>
      </c>
      <c r="BV237" s="27" t="s">
        <v>7</v>
      </c>
      <c r="BW237" s="27" t="s">
        <v>8</v>
      </c>
    </row>
    <row r="238" spans="1:79" x14ac:dyDescent="0.25">
      <c r="A238" s="30">
        <v>1.1025</v>
      </c>
      <c r="E238"/>
      <c r="Y238" s="27" t="s">
        <v>8</v>
      </c>
      <c r="AB238" s="27" t="s">
        <v>7</v>
      </c>
      <c r="AC238" s="27" t="s">
        <v>8</v>
      </c>
      <c r="AD238" s="27" t="s">
        <v>7</v>
      </c>
      <c r="AG238" s="27" t="s">
        <v>8</v>
      </c>
      <c r="AH238" s="27" t="s">
        <v>7</v>
      </c>
      <c r="AI238" s="27" t="s">
        <v>8</v>
      </c>
      <c r="BV238" s="27" t="s">
        <v>7</v>
      </c>
      <c r="BW238" s="27" t="s">
        <v>8</v>
      </c>
    </row>
    <row r="239" spans="1:79" x14ac:dyDescent="0.25">
      <c r="A239" s="30">
        <v>1.05</v>
      </c>
      <c r="E239"/>
      <c r="Y239" s="27" t="s">
        <v>8</v>
      </c>
      <c r="AB239" s="27" t="s">
        <v>7</v>
      </c>
      <c r="AD239" s="27" t="s">
        <v>7</v>
      </c>
      <c r="AE239" s="27" t="s">
        <v>8</v>
      </c>
      <c r="AG239" s="27" t="s">
        <v>8</v>
      </c>
      <c r="AH239" s="27" t="s">
        <v>7</v>
      </c>
      <c r="BV239" s="27" t="s">
        <v>7</v>
      </c>
      <c r="BW239" s="27" t="s">
        <v>8</v>
      </c>
    </row>
    <row r="240" spans="1:79" x14ac:dyDescent="0.25">
      <c r="A240" s="30">
        <v>1</v>
      </c>
      <c r="E240" s="29" t="s">
        <v>8</v>
      </c>
      <c r="Y240" s="27" t="s">
        <v>8</v>
      </c>
      <c r="AD240" s="27" t="s">
        <v>7</v>
      </c>
      <c r="AE240" s="27" t="s">
        <v>8</v>
      </c>
      <c r="AF240" s="27" t="s">
        <v>7</v>
      </c>
      <c r="AG240" s="27" t="s">
        <v>8</v>
      </c>
      <c r="BV240" s="27" t="s">
        <v>7</v>
      </c>
      <c r="BW240" s="27" t="s">
        <v>8</v>
      </c>
    </row>
    <row r="241" spans="1:75" x14ac:dyDescent="0.25">
      <c r="A241" s="30">
        <v>0.952380952380952</v>
      </c>
      <c r="B241"/>
      <c r="C241"/>
      <c r="D241"/>
      <c r="E241"/>
      <c r="F241" s="27" t="s">
        <v>7</v>
      </c>
      <c r="W241" s="27" t="s">
        <v>8</v>
      </c>
      <c r="Y241" s="27" t="s">
        <v>8</v>
      </c>
      <c r="AD241" s="27" t="s">
        <v>7</v>
      </c>
      <c r="AE241" s="27" t="s">
        <v>8</v>
      </c>
      <c r="AF241" s="27" t="s">
        <v>7</v>
      </c>
      <c r="AG241" s="27" t="s">
        <v>8</v>
      </c>
      <c r="BV241" s="27" t="s">
        <v>7</v>
      </c>
      <c r="BW241" s="27" t="s">
        <v>8</v>
      </c>
    </row>
    <row r="242" spans="1:75" x14ac:dyDescent="0.25">
      <c r="A242" s="30">
        <v>0.90702947845804915</v>
      </c>
      <c r="B242"/>
      <c r="C242"/>
      <c r="D242"/>
      <c r="E242"/>
      <c r="F242" s="27" t="s">
        <v>7</v>
      </c>
      <c r="W242" s="27" t="s">
        <v>8</v>
      </c>
      <c r="X242" s="27" t="s">
        <v>7</v>
      </c>
      <c r="Y242" s="27" t="s">
        <v>8</v>
      </c>
      <c r="AD242" s="27" t="s">
        <v>7</v>
      </c>
      <c r="AF242" s="27" t="s">
        <v>7</v>
      </c>
      <c r="AG242" s="27" t="s">
        <v>8</v>
      </c>
      <c r="BV242" s="27" t="s">
        <v>7</v>
      </c>
      <c r="BW242" s="27" t="s">
        <v>8</v>
      </c>
    </row>
    <row r="243" spans="1:75" x14ac:dyDescent="0.25">
      <c r="A243" s="30">
        <v>0.86383759853147501</v>
      </c>
      <c r="B243"/>
      <c r="C243"/>
      <c r="D243"/>
      <c r="E243"/>
      <c r="F243" s="27" t="s">
        <v>7</v>
      </c>
      <c r="W243" s="27" t="s">
        <v>8</v>
      </c>
      <c r="X243" s="27" t="s">
        <v>7</v>
      </c>
      <c r="Y243" s="27" t="s">
        <v>8</v>
      </c>
      <c r="AF243" s="27" t="s">
        <v>7</v>
      </c>
      <c r="BV243" s="27" t="s">
        <v>7</v>
      </c>
      <c r="BW243" s="27" t="s">
        <v>8</v>
      </c>
    </row>
    <row r="244" spans="1:75" x14ac:dyDescent="0.25">
      <c r="A244" s="30">
        <v>0.82270247479188063</v>
      </c>
      <c r="B244"/>
      <c r="C244"/>
      <c r="D244"/>
      <c r="E244"/>
      <c r="F244" s="27" t="s">
        <v>7</v>
      </c>
      <c r="W244" s="27" t="s">
        <v>8</v>
      </c>
      <c r="X244" s="27" t="s">
        <v>7</v>
      </c>
      <c r="Y244" s="27" t="s">
        <v>8</v>
      </c>
      <c r="BV244" s="27" t="s">
        <v>7</v>
      </c>
      <c r="BW244" s="27" t="s">
        <v>8</v>
      </c>
    </row>
    <row r="245" spans="1:75" x14ac:dyDescent="0.25">
      <c r="A245" s="30">
        <v>0.78352616646845741</v>
      </c>
      <c r="B245"/>
      <c r="C245"/>
      <c r="D245"/>
      <c r="E245"/>
      <c r="F245" s="27" t="s">
        <v>7</v>
      </c>
      <c r="W245" s="27" t="s">
        <v>8</v>
      </c>
      <c r="X245" s="27" t="s">
        <v>7</v>
      </c>
      <c r="BV245" s="27" t="s">
        <v>7</v>
      </c>
      <c r="BW245" s="27" t="s">
        <v>8</v>
      </c>
    </row>
    <row r="246" spans="1:75" x14ac:dyDescent="0.25">
      <c r="A246" s="30">
        <v>0.74621539663662584</v>
      </c>
      <c r="B246"/>
      <c r="C246"/>
      <c r="D246"/>
      <c r="E246"/>
      <c r="F246" s="27" t="s">
        <v>7</v>
      </c>
      <c r="U246" s="27" t="s">
        <v>8</v>
      </c>
      <c r="W246" s="27" t="s">
        <v>8</v>
      </c>
      <c r="BV246" s="27" t="s">
        <v>7</v>
      </c>
      <c r="BW246" s="27" t="s">
        <v>8</v>
      </c>
    </row>
    <row r="247" spans="1:75" x14ac:dyDescent="0.25">
      <c r="A247" s="30">
        <v>0.71068133013011958</v>
      </c>
      <c r="B247"/>
      <c r="C247"/>
      <c r="D247"/>
      <c r="E247"/>
      <c r="F247" s="27" t="s">
        <v>7</v>
      </c>
      <c r="U247" s="27" t="s">
        <v>8</v>
      </c>
      <c r="V247" s="27" t="s">
        <v>7</v>
      </c>
      <c r="W247" s="27" t="s">
        <v>8</v>
      </c>
      <c r="BV247" s="27" t="s">
        <v>7</v>
      </c>
      <c r="BW247" s="27" t="s">
        <v>8</v>
      </c>
    </row>
    <row r="248" spans="1:75" x14ac:dyDescent="0.25">
      <c r="A248" s="30">
        <v>0.676839362028685</v>
      </c>
      <c r="B248"/>
      <c r="C248"/>
      <c r="D248"/>
      <c r="E248"/>
      <c r="F248" s="27" t="s">
        <v>7</v>
      </c>
      <c r="U248" s="27" t="s">
        <v>8</v>
      </c>
      <c r="V248" s="27" t="s">
        <v>7</v>
      </c>
      <c r="W248" s="27" t="s">
        <v>8</v>
      </c>
      <c r="BV248" s="27" t="s">
        <v>7</v>
      </c>
      <c r="BW248" s="27" t="s">
        <v>8</v>
      </c>
    </row>
    <row r="249" spans="1:75" x14ac:dyDescent="0.25">
      <c r="A249" s="30">
        <v>0.64460891621779492</v>
      </c>
      <c r="B249"/>
      <c r="C249"/>
      <c r="D249"/>
      <c r="E249"/>
      <c r="F249" s="27" t="s">
        <v>7</v>
      </c>
      <c r="U249" s="27" t="s">
        <v>8</v>
      </c>
      <c r="V249" s="27" t="s">
        <v>7</v>
      </c>
      <c r="BV249" s="27" t="s">
        <v>7</v>
      </c>
      <c r="BW249" s="27" t="s">
        <v>8</v>
      </c>
    </row>
    <row r="250" spans="1:75" x14ac:dyDescent="0.25">
      <c r="A250" s="30">
        <v>0.61391325354075688</v>
      </c>
      <c r="B250"/>
      <c r="C250"/>
      <c r="D250"/>
      <c r="E250"/>
      <c r="F250" s="27" t="s">
        <v>7</v>
      </c>
      <c r="S250" s="27" t="s">
        <v>8</v>
      </c>
      <c r="U250" s="27" t="s">
        <v>8</v>
      </c>
      <c r="BV250" s="27" t="s">
        <v>7</v>
      </c>
      <c r="BW250" s="27" t="s">
        <v>8</v>
      </c>
    </row>
    <row r="251" spans="1:75" x14ac:dyDescent="0.25">
      <c r="A251" s="30">
        <v>0.58467928908643485</v>
      </c>
      <c r="B251"/>
      <c r="C251"/>
      <c r="D251"/>
      <c r="E251"/>
      <c r="F251" s="27" t="s">
        <v>7</v>
      </c>
      <c r="O251" s="27" t="s">
        <v>8</v>
      </c>
      <c r="S251" s="27" t="s">
        <v>8</v>
      </c>
      <c r="T251" s="27" t="s">
        <v>7</v>
      </c>
      <c r="U251" s="27" t="s">
        <v>8</v>
      </c>
      <c r="BV251" s="27" t="s">
        <v>7</v>
      </c>
      <c r="BW251" s="27" t="s">
        <v>8</v>
      </c>
    </row>
    <row r="252" spans="1:75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O252" s="27" t="s">
        <v>8</v>
      </c>
      <c r="P252" s="27" t="s">
        <v>7</v>
      </c>
      <c r="S252" s="27" t="s">
        <v>8</v>
      </c>
      <c r="T252" s="27" t="s">
        <v>7</v>
      </c>
      <c r="U252" s="27" t="s">
        <v>8</v>
      </c>
      <c r="BV252" s="27" t="s">
        <v>7</v>
      </c>
      <c r="BW252" s="27" t="s">
        <v>8</v>
      </c>
    </row>
    <row r="253" spans="1:75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M253" s="27" t="s">
        <v>8</v>
      </c>
      <c r="O253" s="27" t="s">
        <v>8</v>
      </c>
      <c r="P253" s="27" t="s">
        <v>7</v>
      </c>
      <c r="Q253" s="27" t="s">
        <v>8</v>
      </c>
      <c r="S253" s="27" t="s">
        <v>8</v>
      </c>
      <c r="T253" s="27" t="s">
        <v>7</v>
      </c>
      <c r="BV253" s="27" t="s">
        <v>7</v>
      </c>
      <c r="BW253" s="27" t="s">
        <v>8</v>
      </c>
    </row>
    <row r="254" spans="1:75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H254" s="27" t="s">
        <v>7</v>
      </c>
      <c r="M254" s="27" t="s">
        <v>8</v>
      </c>
      <c r="N254" s="27" t="s">
        <v>7</v>
      </c>
      <c r="O254" s="27" t="s">
        <v>8</v>
      </c>
      <c r="P254" s="27" t="s">
        <v>7</v>
      </c>
      <c r="Q254" s="27" t="s">
        <v>8</v>
      </c>
      <c r="R254" s="27" t="s">
        <v>7</v>
      </c>
      <c r="S254" s="27" t="s">
        <v>8</v>
      </c>
      <c r="BV254" s="27" t="s">
        <v>7</v>
      </c>
      <c r="BW254" s="27" t="s">
        <v>8</v>
      </c>
    </row>
    <row r="255" spans="1:75" x14ac:dyDescent="0.25">
      <c r="A255" s="30">
        <v>0.48101709809096732</v>
      </c>
      <c r="E255"/>
      <c r="F255" s="27" t="s">
        <v>7</v>
      </c>
      <c r="H255" s="27" t="s">
        <v>7</v>
      </c>
      <c r="K255" s="27" t="s">
        <v>8</v>
      </c>
      <c r="M255" s="27" t="s">
        <v>8</v>
      </c>
      <c r="N255" s="27" t="s">
        <v>7</v>
      </c>
      <c r="O255" s="27" t="s">
        <v>8</v>
      </c>
      <c r="P255" s="27" t="s">
        <v>7</v>
      </c>
      <c r="Q255" s="27" t="s">
        <v>8</v>
      </c>
      <c r="R255" s="27" t="s">
        <v>7</v>
      </c>
      <c r="S255" s="27" t="s">
        <v>8</v>
      </c>
      <c r="BV255" s="27" t="s">
        <v>7</v>
      </c>
      <c r="BW255" s="27" t="s">
        <v>8</v>
      </c>
    </row>
    <row r="256" spans="1:75" x14ac:dyDescent="0.25">
      <c r="A256" s="30">
        <v>0.45811152199139726</v>
      </c>
      <c r="E256"/>
      <c r="H256" s="27" t="s">
        <v>7</v>
      </c>
      <c r="I256" s="27" t="s">
        <v>8</v>
      </c>
      <c r="K256" s="27" t="s">
        <v>8</v>
      </c>
      <c r="L256" s="27" t="s">
        <v>7</v>
      </c>
      <c r="M256" s="27" t="s">
        <v>8</v>
      </c>
      <c r="N256" s="27" t="s">
        <v>7</v>
      </c>
      <c r="O256" s="27" t="s">
        <v>8</v>
      </c>
      <c r="P256" s="27" t="s">
        <v>7</v>
      </c>
      <c r="R256" s="27" t="s">
        <v>7</v>
      </c>
      <c r="S256" s="27" t="s">
        <v>8</v>
      </c>
      <c r="BV256" s="27" t="s">
        <v>7</v>
      </c>
      <c r="BW256" s="27" t="s">
        <v>8</v>
      </c>
    </row>
    <row r="257" spans="1:75" x14ac:dyDescent="0.25">
      <c r="A257" s="30">
        <v>0.43629668761085438</v>
      </c>
      <c r="B257"/>
      <c r="C257"/>
      <c r="D257"/>
      <c r="E257"/>
      <c r="H257" s="27" t="s">
        <v>7</v>
      </c>
      <c r="I257" s="27" t="s">
        <v>8</v>
      </c>
      <c r="J257" s="27" t="s">
        <v>7</v>
      </c>
      <c r="K257" s="27" t="s">
        <v>8</v>
      </c>
      <c r="L257" s="27" t="s">
        <v>7</v>
      </c>
      <c r="M257" s="27" t="s">
        <v>8</v>
      </c>
      <c r="N257" s="27" t="s">
        <v>7</v>
      </c>
      <c r="R257" s="27" t="s">
        <v>7</v>
      </c>
      <c r="BV257" s="27" t="s">
        <v>7</v>
      </c>
      <c r="BW257" s="27" t="s">
        <v>8</v>
      </c>
    </row>
    <row r="258" spans="1:75" x14ac:dyDescent="0.25">
      <c r="A258" s="30">
        <v>0.41552065486748019</v>
      </c>
      <c r="B258"/>
      <c r="C258"/>
      <c r="D258"/>
      <c r="E258"/>
      <c r="H258" s="27" t="s">
        <v>7</v>
      </c>
      <c r="I258" s="27" t="s">
        <v>8</v>
      </c>
      <c r="J258" s="27" t="s">
        <v>7</v>
      </c>
      <c r="K258" s="27" t="s">
        <v>8</v>
      </c>
      <c r="L258" s="27" t="s">
        <v>7</v>
      </c>
      <c r="M258" s="27" t="s">
        <v>8</v>
      </c>
      <c r="BV258" s="27" t="s">
        <v>7</v>
      </c>
      <c r="BW258" s="27" t="s">
        <v>8</v>
      </c>
    </row>
    <row r="259" spans="1:75" x14ac:dyDescent="0.25">
      <c r="A259" s="30">
        <v>0.39573395701664765</v>
      </c>
      <c r="B259"/>
      <c r="C259"/>
      <c r="D259"/>
      <c r="E259"/>
      <c r="H259" s="27" t="s">
        <v>7</v>
      </c>
      <c r="I259" s="27" t="s">
        <v>8</v>
      </c>
      <c r="J259" s="27" t="s">
        <v>7</v>
      </c>
      <c r="L259" s="27" t="s">
        <v>7</v>
      </c>
      <c r="BV259" s="27" t="s">
        <v>7</v>
      </c>
      <c r="BW259" s="27" t="s">
        <v>8</v>
      </c>
    </row>
    <row r="260" spans="1:75" x14ac:dyDescent="0.25">
      <c r="A260" s="30">
        <v>0.37688948287299762</v>
      </c>
      <c r="B260"/>
      <c r="C260"/>
      <c r="D260"/>
      <c r="E260"/>
      <c r="H260" s="27" t="s">
        <v>7</v>
      </c>
      <c r="I260" s="27" t="s">
        <v>8</v>
      </c>
      <c r="BV260" s="27" t="s">
        <v>7</v>
      </c>
      <c r="BW260" s="27" t="s">
        <v>8</v>
      </c>
    </row>
    <row r="261" spans="1:75" x14ac:dyDescent="0.25">
      <c r="A261" s="30">
        <v>0.35894236464094997</v>
      </c>
      <c r="B261"/>
      <c r="C261"/>
      <c r="D261"/>
      <c r="E261"/>
      <c r="H261" s="27" t="s">
        <v>7</v>
      </c>
      <c r="BV261" s="27" t="s">
        <v>7</v>
      </c>
      <c r="BW261" s="27" t="s">
        <v>8</v>
      </c>
    </row>
    <row r="262" spans="1:75" x14ac:dyDescent="0.25">
      <c r="A262" s="30">
        <v>0.34184987108661891</v>
      </c>
      <c r="B262"/>
      <c r="C262"/>
      <c r="D262"/>
      <c r="E262"/>
      <c r="BV262" s="27" t="s">
        <v>7</v>
      </c>
      <c r="BW262" s="27" t="s">
        <v>8</v>
      </c>
    </row>
    <row r="263" spans="1:75" x14ac:dyDescent="0.25">
      <c r="A263" s="30">
        <v>0.32557130579677979</v>
      </c>
      <c r="B263"/>
      <c r="C263"/>
      <c r="D263"/>
      <c r="E263"/>
      <c r="BV263" s="27" t="s">
        <v>7</v>
      </c>
      <c r="BW263" s="27" t="s">
        <v>8</v>
      </c>
    </row>
    <row r="264" spans="1:75" x14ac:dyDescent="0.25">
      <c r="A264" s="30">
        <v>0.3100679102826473</v>
      </c>
      <c r="B264"/>
      <c r="C264"/>
      <c r="D264"/>
      <c r="E264"/>
      <c r="BV264" s="27" t="s">
        <v>7</v>
      </c>
      <c r="BW264" s="27" t="s">
        <v>8</v>
      </c>
    </row>
    <row r="265" spans="1:75" x14ac:dyDescent="0.25">
      <c r="A265" s="30">
        <v>0.2953027716977592</v>
      </c>
      <c r="B265"/>
      <c r="C265"/>
      <c r="D265"/>
      <c r="E265"/>
      <c r="BV265" s="27" t="s">
        <v>7</v>
      </c>
      <c r="BW265" s="27" t="s">
        <v>8</v>
      </c>
    </row>
    <row r="266" spans="1:75" x14ac:dyDescent="0.25">
      <c r="A266" s="30">
        <v>0.28124073495024676</v>
      </c>
      <c r="B266"/>
      <c r="C266"/>
      <c r="D266"/>
      <c r="E266"/>
      <c r="BV266" s="27" t="s">
        <v>7</v>
      </c>
      <c r="BW266" s="27" t="s">
        <v>8</v>
      </c>
    </row>
    <row r="267" spans="1:75" x14ac:dyDescent="0.25">
      <c r="A267" s="30">
        <v>0.26784831900023492</v>
      </c>
      <c r="B267"/>
      <c r="C267"/>
      <c r="D267"/>
      <c r="E267"/>
      <c r="BV267" s="27" t="s">
        <v>7</v>
      </c>
      <c r="BW267" s="27" t="s">
        <v>8</v>
      </c>
    </row>
    <row r="268" spans="1:75" x14ac:dyDescent="0.25">
      <c r="A268" s="30">
        <v>0.25509363714308075</v>
      </c>
      <c r="B268"/>
      <c r="C268"/>
      <c r="D268"/>
      <c r="E268"/>
      <c r="BV268" s="27" t="s">
        <v>7</v>
      </c>
      <c r="BW268" s="27" t="s">
        <v>8</v>
      </c>
    </row>
    <row r="269" spans="1:75" x14ac:dyDescent="0.25">
      <c r="A269" s="30">
        <v>0.24294632108864825</v>
      </c>
      <c r="B269"/>
      <c r="C269"/>
      <c r="D269"/>
      <c r="E269"/>
      <c r="BV269" s="27" t="s">
        <v>7</v>
      </c>
      <c r="BW269" s="27" t="s">
        <v>8</v>
      </c>
    </row>
    <row r="270" spans="1:75" x14ac:dyDescent="0.25">
      <c r="A270" s="30">
        <v>0.23137744865585538</v>
      </c>
      <c r="B270"/>
      <c r="C270"/>
      <c r="D270"/>
      <c r="E270"/>
      <c r="BV270" s="27" t="s">
        <v>7</v>
      </c>
      <c r="BW270" s="27" t="s">
        <v>8</v>
      </c>
    </row>
    <row r="271" spans="1:75" x14ac:dyDescent="0.25">
      <c r="A271" s="30">
        <v>0.22035947491033836</v>
      </c>
      <c r="B271"/>
      <c r="C271"/>
      <c r="D271"/>
      <c r="E271"/>
      <c r="BV271" s="27" t="s">
        <v>7</v>
      </c>
      <c r="BW271" s="27" t="s">
        <v>8</v>
      </c>
    </row>
    <row r="272" spans="1:75" x14ac:dyDescent="0.25">
      <c r="A272" s="30">
        <v>0.20986616658127455</v>
      </c>
      <c r="B272"/>
      <c r="C272"/>
      <c r="D272"/>
      <c r="E272"/>
      <c r="BV272" s="27" t="s">
        <v>7</v>
      </c>
      <c r="BW272" s="27" t="s">
        <v>8</v>
      </c>
    </row>
    <row r="273" spans="1:75" x14ac:dyDescent="0.25">
      <c r="A273" s="30">
        <v>0.19987253960121379</v>
      </c>
      <c r="B273"/>
      <c r="C273"/>
      <c r="D273"/>
      <c r="E273"/>
      <c r="BV273" s="27" t="s">
        <v>7</v>
      </c>
      <c r="BW273" s="27" t="s">
        <v>8</v>
      </c>
    </row>
    <row r="274" spans="1:75" x14ac:dyDescent="0.25">
      <c r="A274" s="30">
        <v>0.19035479962020352</v>
      </c>
      <c r="B274"/>
      <c r="C274"/>
      <c r="D274"/>
      <c r="E274"/>
      <c r="BV274" s="27" t="s">
        <v>7</v>
      </c>
      <c r="BW274" s="27" t="s">
        <v>8</v>
      </c>
    </row>
    <row r="275" spans="1:75" x14ac:dyDescent="0.25">
      <c r="A275" s="30">
        <v>0.18129028535257471</v>
      </c>
      <c r="B275"/>
      <c r="C275"/>
      <c r="D275"/>
      <c r="E275"/>
      <c r="BV275" s="27" t="s">
        <v>7</v>
      </c>
      <c r="BW275" s="27" t="s">
        <v>8</v>
      </c>
    </row>
    <row r="276" spans="1:75" x14ac:dyDescent="0.25">
      <c r="A276" s="30">
        <v>0.17265741462149967</v>
      </c>
      <c r="B276"/>
      <c r="C276"/>
      <c r="D276"/>
      <c r="E276"/>
      <c r="BV276" s="27" t="s">
        <v>7</v>
      </c>
      <c r="BW276" s="27" t="s">
        <v>8</v>
      </c>
    </row>
    <row r="277" spans="1:75" x14ac:dyDescent="0.25">
      <c r="A277" s="30">
        <v>0.16443563297285677</v>
      </c>
      <c r="B277"/>
      <c r="C277"/>
      <c r="D277"/>
      <c r="E277"/>
      <c r="BV277" s="27" t="s">
        <v>7</v>
      </c>
      <c r="BW277" s="27" t="s">
        <v>8</v>
      </c>
    </row>
    <row r="278" spans="1:75" x14ac:dyDescent="0.25">
      <c r="A278" s="30">
        <v>0.15660536473605399</v>
      </c>
      <c r="B278"/>
      <c r="C278"/>
      <c r="D278"/>
      <c r="E278"/>
      <c r="BV278" s="27" t="s">
        <v>7</v>
      </c>
      <c r="BW278" s="27" t="s">
        <v>8</v>
      </c>
    </row>
    <row r="279" spans="1:75" x14ac:dyDescent="0.25">
      <c r="A279" s="30">
        <v>0.14914796641528946</v>
      </c>
      <c r="B279"/>
      <c r="C279"/>
      <c r="D279"/>
      <c r="E279"/>
      <c r="BV279" s="27" t="s">
        <v>7</v>
      </c>
      <c r="BW279" s="27" t="s">
        <v>8</v>
      </c>
    </row>
    <row r="280" spans="1:75" x14ac:dyDescent="0.25">
      <c r="A280" s="30">
        <v>0.14204568230027562</v>
      </c>
      <c r="B280"/>
      <c r="C280"/>
      <c r="D280"/>
      <c r="E280"/>
      <c r="BV280" s="27" t="s">
        <v>7</v>
      </c>
      <c r="BW280" s="27" t="s">
        <v>8</v>
      </c>
    </row>
    <row r="281" spans="1:75" x14ac:dyDescent="0.25">
      <c r="A281" s="30">
        <v>0.13528160219073862</v>
      </c>
      <c r="B281"/>
      <c r="C281"/>
      <c r="D281"/>
      <c r="E281"/>
      <c r="BV281" s="27" t="s">
        <v>7</v>
      </c>
      <c r="BW281" s="27" t="s">
        <v>8</v>
      </c>
    </row>
    <row r="282" spans="1:75" x14ac:dyDescent="0.25">
      <c r="A282" s="30">
        <v>0.12883962113403674</v>
      </c>
      <c r="B282"/>
      <c r="C282"/>
      <c r="D282"/>
      <c r="E282"/>
      <c r="BV282" s="27" t="s">
        <v>7</v>
      </c>
      <c r="BW282" s="27" t="s">
        <v>8</v>
      </c>
    </row>
    <row r="283" spans="1:75" x14ac:dyDescent="0.25">
      <c r="A283" s="30">
        <v>0.12270440108003494</v>
      </c>
      <c r="B283"/>
      <c r="C283"/>
      <c r="D283"/>
      <c r="E283"/>
      <c r="BV283" s="27" t="s">
        <v>7</v>
      </c>
      <c r="BW283" s="27" t="s">
        <v>8</v>
      </c>
    </row>
    <row r="284" spans="1:75" x14ac:dyDescent="0.25">
      <c r="A284" s="30">
        <v>0.11686133436193799</v>
      </c>
      <c r="B284"/>
      <c r="C284"/>
      <c r="D284"/>
      <c r="E284"/>
      <c r="BV284" s="27" t="s">
        <v>7</v>
      </c>
      <c r="BW284" s="27" t="s">
        <v>8</v>
      </c>
    </row>
    <row r="285" spans="1:75" x14ac:dyDescent="0.25">
      <c r="A285" s="30">
        <v>0.11129650891613138</v>
      </c>
      <c r="B285"/>
      <c r="C285"/>
      <c r="D285"/>
      <c r="E285"/>
      <c r="BV285" s="27" t="s">
        <v>7</v>
      </c>
      <c r="BW285" s="27" t="s">
        <v>8</v>
      </c>
    </row>
    <row r="286" spans="1:75" x14ac:dyDescent="0.25">
      <c r="A286" s="30">
        <v>0.10599667515822032</v>
      </c>
      <c r="B286"/>
      <c r="C286"/>
      <c r="D286"/>
      <c r="E286"/>
      <c r="BV286" s="27" t="s">
        <v>7</v>
      </c>
      <c r="BW286" s="27" t="s">
        <v>8</v>
      </c>
    </row>
    <row r="287" spans="1:75" x14ac:dyDescent="0.25">
      <c r="A287" s="30">
        <v>0.10094921443640027</v>
      </c>
      <c r="B287"/>
      <c r="C287"/>
      <c r="D287"/>
      <c r="E287"/>
      <c r="BV287" s="27" t="s">
        <v>7</v>
      </c>
      <c r="BW287" s="27" t="s">
        <v>8</v>
      </c>
    </row>
    <row r="288" spans="1:75" x14ac:dyDescent="0.25">
      <c r="A288" s="30">
        <v>9.6142108987047836E-2</v>
      </c>
      <c r="B288"/>
      <c r="C288"/>
      <c r="D288"/>
      <c r="E288"/>
      <c r="BV288" s="27" t="s">
        <v>7</v>
      </c>
      <c r="BW288" s="27" t="s">
        <v>8</v>
      </c>
    </row>
    <row r="289" spans="1:75" x14ac:dyDescent="0.25">
      <c r="A289" s="30">
        <v>9.1563913320997906E-2</v>
      </c>
      <c r="B289"/>
      <c r="C289"/>
      <c r="D289"/>
      <c r="E289"/>
      <c r="BV289" s="27" t="s">
        <v>7</v>
      </c>
      <c r="BW289" s="27" t="s">
        <v>8</v>
      </c>
    </row>
    <row r="290" spans="1:75" x14ac:dyDescent="0.25">
      <c r="A290" s="30">
        <v>8.7203726972378923E-2</v>
      </c>
      <c r="B290"/>
      <c r="C290"/>
      <c r="D290"/>
      <c r="E290"/>
      <c r="BV290" s="27" t="s">
        <v>7</v>
      </c>
      <c r="BW290" s="27" t="s">
        <v>8</v>
      </c>
    </row>
    <row r="291" spans="1:75" x14ac:dyDescent="0.25">
      <c r="A291" s="30">
        <v>8.3051168545122747E-2</v>
      </c>
      <c r="B291"/>
      <c r="C291"/>
      <c r="D291"/>
      <c r="E291"/>
      <c r="BV291" s="27" t="s">
        <v>7</v>
      </c>
      <c r="BW291" s="27" t="s">
        <v>8</v>
      </c>
    </row>
    <row r="292" spans="1:75" x14ac:dyDescent="0.25">
      <c r="A292" s="30">
        <v>7.9096350995354961E-2</v>
      </c>
      <c r="B292"/>
      <c r="C292"/>
      <c r="D292"/>
      <c r="E292"/>
      <c r="BV292" s="27" t="s">
        <v>7</v>
      </c>
      <c r="BW292" s="27" t="s">
        <v>8</v>
      </c>
    </row>
    <row r="293" spans="1:75" x14ac:dyDescent="0.25">
      <c r="A293" s="30">
        <v>7.5329858090814217E-2</v>
      </c>
      <c r="B293"/>
      <c r="C293"/>
      <c r="D293"/>
      <c r="E293"/>
      <c r="BV293" s="27" t="s">
        <v>7</v>
      </c>
      <c r="BW293" s="27" t="s">
        <v>8</v>
      </c>
    </row>
    <row r="294" spans="1:75" x14ac:dyDescent="0.25">
      <c r="A294" s="30">
        <v>7.1742721991251604E-2</v>
      </c>
      <c r="B294"/>
      <c r="C294"/>
      <c r="D294"/>
      <c r="E294"/>
      <c r="BV294" s="27" t="s">
        <v>7</v>
      </c>
      <c r="BW294" s="27" t="s">
        <v>8</v>
      </c>
    </row>
    <row r="295" spans="1:75" x14ac:dyDescent="0.25">
      <c r="A295" s="30">
        <v>6.8326401896430078E-2</v>
      </c>
      <c r="B295"/>
      <c r="C295"/>
      <c r="D295"/>
      <c r="E295"/>
      <c r="BV295" s="27" t="s">
        <v>7</v>
      </c>
      <c r="BW295" s="27" t="s">
        <v>8</v>
      </c>
    </row>
    <row r="296" spans="1:75" x14ac:dyDescent="0.25">
      <c r="A296" s="30">
        <v>6.5072763710885759E-2</v>
      </c>
      <c r="B296"/>
      <c r="C296"/>
      <c r="D296"/>
      <c r="E296"/>
      <c r="BV296" s="27" t="s">
        <v>7</v>
      </c>
      <c r="BW296" s="27" t="s">
        <v>8</v>
      </c>
    </row>
    <row r="297" spans="1:75" x14ac:dyDescent="0.25">
      <c r="A297" s="30">
        <v>6.197406067703403E-2</v>
      </c>
      <c r="B297"/>
      <c r="C297"/>
      <c r="D297"/>
      <c r="E297"/>
      <c r="BV297" s="27" t="s">
        <v>7</v>
      </c>
      <c r="BW297" s="27" t="s">
        <v>8</v>
      </c>
    </row>
    <row r="298" spans="1:75" x14ac:dyDescent="0.25">
      <c r="A298" s="30">
        <v>5.9022914930508576E-2</v>
      </c>
      <c r="B298"/>
      <c r="C298"/>
      <c r="D298"/>
      <c r="E298"/>
      <c r="BV298" s="27" t="s">
        <v>7</v>
      </c>
      <c r="BW298" s="27" t="s">
        <v>8</v>
      </c>
    </row>
    <row r="299" spans="1:75" x14ac:dyDescent="0.25">
      <c r="A299" s="30">
        <v>5.6212299933817669E-2</v>
      </c>
      <c r="B299"/>
      <c r="C299"/>
      <c r="D299"/>
      <c r="E299"/>
      <c r="BV299" s="27" t="s">
        <v>7</v>
      </c>
      <c r="BW299" s="27" t="s">
        <v>8</v>
      </c>
    </row>
    <row r="300" spans="1:75" x14ac:dyDescent="0.25">
      <c r="A300" s="30">
        <v>5.3535523746492994E-2</v>
      </c>
      <c r="B300"/>
      <c r="C300"/>
      <c r="D300"/>
      <c r="E300"/>
      <c r="BV300" s="27" t="s">
        <v>7</v>
      </c>
      <c r="BW300" s="27" t="s">
        <v>8</v>
      </c>
    </row>
    <row r="301" spans="1:75" x14ac:dyDescent="0.25">
      <c r="A301" s="30">
        <v>5.0986213091898068E-2</v>
      </c>
      <c r="B301"/>
      <c r="C301"/>
      <c r="D301"/>
      <c r="E301"/>
      <c r="BV301" s="27" t="s">
        <v>7</v>
      </c>
      <c r="BW301" s="27" t="s">
        <v>8</v>
      </c>
    </row>
    <row r="302" spans="1:75" x14ac:dyDescent="0.25">
      <c r="A302" s="30">
        <v>4.8558298182760043E-2</v>
      </c>
      <c r="B302"/>
      <c r="C302"/>
      <c r="D302"/>
      <c r="E302"/>
      <c r="BV302" s="27" t="s">
        <v>7</v>
      </c>
      <c r="BW302" s="27" t="s">
        <v>8</v>
      </c>
    </row>
    <row r="303" spans="1:75" x14ac:dyDescent="0.25">
      <c r="A303" s="30">
        <v>4.6245998269295263E-2</v>
      </c>
      <c r="B303"/>
      <c r="C303"/>
      <c r="D303"/>
      <c r="E303"/>
      <c r="BV303" s="27" t="s">
        <v>7</v>
      </c>
      <c r="BW303" s="27" t="s">
        <v>8</v>
      </c>
    </row>
    <row r="304" spans="1:75" x14ac:dyDescent="0.25">
      <c r="A304" s="30">
        <v>4.4043807875519279E-2</v>
      </c>
      <c r="B304"/>
      <c r="C304"/>
      <c r="D304"/>
      <c r="E304"/>
      <c r="BV304" s="27" t="s">
        <v>7</v>
      </c>
      <c r="BW304" s="27" t="s">
        <v>8</v>
      </c>
    </row>
    <row r="305" spans="1:75" x14ac:dyDescent="0.25">
      <c r="A305" s="30">
        <v>4.1946483690970725E-2</v>
      </c>
      <c r="B305"/>
      <c r="C305"/>
      <c r="D305"/>
      <c r="E305"/>
      <c r="BV305" s="27" t="s">
        <v>7</v>
      </c>
      <c r="BW305" s="27" t="s">
        <v>8</v>
      </c>
    </row>
    <row r="306" spans="1:75" x14ac:dyDescent="0.25">
      <c r="A306" s="30">
        <v>3.9949032086638768E-2</v>
      </c>
      <c r="B306"/>
      <c r="C306"/>
      <c r="D306"/>
      <c r="E306"/>
      <c r="BV306" s="27" t="s">
        <v>7</v>
      </c>
      <c r="BW306" s="27" t="s">
        <v>8</v>
      </c>
    </row>
    <row r="307" spans="1:75" x14ac:dyDescent="0.25">
      <c r="A307" s="30">
        <v>3.8046697225370241E-2</v>
      </c>
      <c r="B307"/>
      <c r="C307"/>
      <c r="D307"/>
      <c r="E307"/>
      <c r="BV307" s="27" t="s">
        <v>7</v>
      </c>
      <c r="BW307" s="27" t="s">
        <v>8</v>
      </c>
    </row>
    <row r="308" spans="1:75" x14ac:dyDescent="0.25">
      <c r="A308" s="30">
        <v>3.6234949738447833E-2</v>
      </c>
      <c r="B308"/>
      <c r="C308"/>
      <c r="D308"/>
      <c r="E308"/>
      <c r="BV308" s="27" t="s">
        <v>7</v>
      </c>
      <c r="BW308" s="27" t="s">
        <v>8</v>
      </c>
    </row>
    <row r="309" spans="1:75" x14ac:dyDescent="0.25">
      <c r="A309" s="30">
        <v>3.4509475941378875E-2</v>
      </c>
      <c r="B309"/>
      <c r="C309"/>
      <c r="D309"/>
      <c r="E309"/>
      <c r="BV309" s="27" t="s">
        <v>7</v>
      </c>
      <c r="BW309" s="27" t="s">
        <v>8</v>
      </c>
    </row>
    <row r="310" spans="1:75" x14ac:dyDescent="0.25">
      <c r="A310" s="30">
        <v>3.286616756321796E-2</v>
      </c>
      <c r="B310"/>
      <c r="C310"/>
      <c r="D310"/>
      <c r="E310"/>
      <c r="BV310" s="27" t="s">
        <v>7</v>
      </c>
      <c r="BW310" s="27" t="s">
        <v>8</v>
      </c>
    </row>
    <row r="311" spans="1:75" x14ac:dyDescent="0.25">
      <c r="A311" s="30">
        <v>3.1301111964969472E-2</v>
      </c>
      <c r="B311"/>
      <c r="C311"/>
      <c r="D311"/>
      <c r="E311"/>
      <c r="BV311" s="27" t="s">
        <v>7</v>
      </c>
      <c r="BW311" s="27" t="s">
        <v>8</v>
      </c>
    </row>
    <row r="312" spans="1:75" x14ac:dyDescent="0.25">
      <c r="A312" s="30">
        <v>2.9810582823780438E-2</v>
      </c>
      <c r="B312"/>
      <c r="C312"/>
      <c r="D312"/>
      <c r="E312"/>
      <c r="BV312" s="27" t="s">
        <v>7</v>
      </c>
      <c r="BW312" s="27" t="s">
        <v>8</v>
      </c>
    </row>
    <row r="313" spans="1:75" x14ac:dyDescent="0.25">
      <c r="A313" s="30">
        <v>2.8391031260743264E-2</v>
      </c>
      <c r="B313"/>
      <c r="C313"/>
      <c r="D313"/>
      <c r="E313"/>
      <c r="BV313" s="27" t="s">
        <v>7</v>
      </c>
      <c r="BW313" s="27" t="s">
        <v>8</v>
      </c>
    </row>
    <row r="314" spans="1:75" x14ac:dyDescent="0.25">
      <c r="A314" s="30">
        <v>2.7039077391184052E-2</v>
      </c>
      <c r="B314"/>
      <c r="C314"/>
      <c r="D314"/>
      <c r="E314"/>
      <c r="BV314" s="27" t="s">
        <v>7</v>
      </c>
      <c r="BW314" s="27" t="s">
        <v>8</v>
      </c>
    </row>
    <row r="315" spans="1:75" x14ac:dyDescent="0.25">
      <c r="A315" s="30">
        <v>2.5751502277318133E-2</v>
      </c>
      <c r="B315"/>
      <c r="C315"/>
      <c r="D315"/>
      <c r="E315"/>
      <c r="BV315" s="27" t="s">
        <v>7</v>
      </c>
      <c r="BW315" s="27" t="s">
        <v>8</v>
      </c>
    </row>
    <row r="316" spans="1:75" x14ac:dyDescent="0.25">
      <c r="A316" s="30">
        <v>2.4525240264112496E-2</v>
      </c>
      <c r="B316"/>
      <c r="C316"/>
      <c r="D316"/>
      <c r="E316"/>
      <c r="BV316" s="27" t="s">
        <v>7</v>
      </c>
      <c r="BW316" s="27" t="s">
        <v>8</v>
      </c>
    </row>
    <row r="317" spans="1:75" x14ac:dyDescent="0.25">
      <c r="A317" s="30">
        <v>2.3357371680107129E-2</v>
      </c>
      <c r="B317"/>
      <c r="C317"/>
      <c r="D317"/>
      <c r="E317"/>
      <c r="BV317" s="27" t="s">
        <v>7</v>
      </c>
      <c r="BW317" s="27" t="s">
        <v>8</v>
      </c>
    </row>
    <row r="318" spans="1:75" x14ac:dyDescent="0.25">
      <c r="A318" s="30">
        <v>2.2245115885816305E-2</v>
      </c>
      <c r="B318"/>
      <c r="C318"/>
      <c r="D318"/>
      <c r="E318"/>
      <c r="BV318" s="27" t="s">
        <v>7</v>
      </c>
      <c r="BW318" s="27" t="s">
        <v>8</v>
      </c>
    </row>
    <row r="319" spans="1:75" x14ac:dyDescent="0.25">
      <c r="A319" s="30">
        <v>2.1185824653158377E-2</v>
      </c>
      <c r="B319"/>
      <c r="C319"/>
      <c r="D319"/>
      <c r="E319"/>
      <c r="BV319" s="27" t="s">
        <v>7</v>
      </c>
      <c r="BW319" s="27" t="s">
        <v>8</v>
      </c>
    </row>
    <row r="320" spans="1:75" x14ac:dyDescent="0.25">
      <c r="A320" s="30">
        <v>2.0176975860150829E-2</v>
      </c>
      <c r="B320"/>
      <c r="C320"/>
      <c r="D320"/>
      <c r="E320"/>
      <c r="BV320" s="27" t="s">
        <v>7</v>
      </c>
      <c r="BW320" s="27" t="s">
        <v>8</v>
      </c>
    </row>
    <row r="321" spans="1:75" x14ac:dyDescent="0.25">
      <c r="A321" s="30">
        <v>1.9216167485857926E-2</v>
      </c>
      <c r="B321"/>
      <c r="C321"/>
      <c r="D321"/>
      <c r="E321"/>
      <c r="BV321" s="27" t="s">
        <v>7</v>
      </c>
      <c r="BW321" s="27" t="s">
        <v>8</v>
      </c>
    </row>
    <row r="322" spans="1:75" x14ac:dyDescent="0.25">
      <c r="A322" s="30">
        <v>1.8301111891293256E-2</v>
      </c>
      <c r="B322"/>
      <c r="C322"/>
      <c r="D322"/>
      <c r="E322"/>
      <c r="BV322" s="27" t="s">
        <v>7</v>
      </c>
      <c r="BW322" s="27" t="s">
        <v>8</v>
      </c>
    </row>
    <row r="323" spans="1:75" x14ac:dyDescent="0.25">
      <c r="A323" s="30">
        <v>1.7429630372660238E-2</v>
      </c>
      <c r="B323"/>
      <c r="C323"/>
      <c r="D323"/>
      <c r="E323"/>
      <c r="BV323" s="27" t="s">
        <v>7</v>
      </c>
      <c r="BW323" s="27" t="s">
        <v>8</v>
      </c>
    </row>
    <row r="324" spans="1:75" x14ac:dyDescent="0.25">
      <c r="A324" s="30">
        <v>1.6599647973962125E-2</v>
      </c>
      <c r="B324"/>
      <c r="C324"/>
      <c r="D324"/>
      <c r="E324"/>
      <c r="BV324" s="27" t="s">
        <v>7</v>
      </c>
      <c r="BW324" s="27" t="s">
        <v>8</v>
      </c>
    </row>
    <row r="325" spans="1:75" x14ac:dyDescent="0.25">
      <c r="A325" s="30">
        <v>1.580918854663059E-2</v>
      </c>
      <c r="B325"/>
      <c r="C325"/>
      <c r="D325"/>
      <c r="E325"/>
      <c r="BV325" s="27" t="s">
        <v>7</v>
      </c>
      <c r="BW325" s="27" t="s">
        <v>8</v>
      </c>
    </row>
    <row r="326" spans="1:75" x14ac:dyDescent="0.25">
      <c r="A326" s="30">
        <v>1.5056370044410079E-2</v>
      </c>
      <c r="B326"/>
      <c r="C326"/>
      <c r="D326"/>
      <c r="E326"/>
      <c r="BV326" s="27" t="s">
        <v>7</v>
      </c>
      <c r="BW326" s="27" t="s">
        <v>8</v>
      </c>
    </row>
    <row r="327" spans="1:75" x14ac:dyDescent="0.25">
      <c r="A327" s="30">
        <v>1.4339400042295308E-2</v>
      </c>
      <c r="B327"/>
      <c r="C327"/>
      <c r="D327"/>
      <c r="E327"/>
      <c r="BV327" s="27" t="s">
        <v>7</v>
      </c>
      <c r="BW327" s="27" t="s">
        <v>8</v>
      </c>
    </row>
    <row r="328" spans="1:75" x14ac:dyDescent="0.25">
      <c r="A328" s="30">
        <v>1.365657146885267E-2</v>
      </c>
      <c r="B328"/>
      <c r="C328"/>
      <c r="D328"/>
      <c r="E328"/>
      <c r="BV328" s="27" t="s">
        <v>7</v>
      </c>
      <c r="BW328" s="27" t="s">
        <v>8</v>
      </c>
    </row>
    <row r="329" spans="1:75" x14ac:dyDescent="0.25">
      <c r="A329" s="30">
        <v>1.3006258541764442E-2</v>
      </c>
      <c r="B329"/>
      <c r="C329"/>
      <c r="D329"/>
      <c r="E329"/>
      <c r="BV329" s="27" t="s">
        <v>7</v>
      </c>
      <c r="BW329" s="27" t="s">
        <v>8</v>
      </c>
    </row>
    <row r="330" spans="1:75" x14ac:dyDescent="0.25">
      <c r="A330" s="30">
        <v>1.2386912896918512E-2</v>
      </c>
      <c r="B330"/>
      <c r="C330"/>
      <c r="D330"/>
      <c r="E330"/>
      <c r="BV330" s="27" t="s">
        <v>7</v>
      </c>
      <c r="BW330" s="27" t="s">
        <v>8</v>
      </c>
    </row>
    <row r="331" spans="1:75" x14ac:dyDescent="0.25">
      <c r="A331" s="30">
        <v>1.179705990182715E-2</v>
      </c>
      <c r="B331"/>
      <c r="C331"/>
      <c r="D331"/>
      <c r="E331"/>
      <c r="BV331" s="27" t="s">
        <v>7</v>
      </c>
      <c r="BW331" s="27" t="s">
        <v>8</v>
      </c>
    </row>
    <row r="332" spans="1:75" x14ac:dyDescent="0.25">
      <c r="A332" s="30">
        <v>1.1235295144597281E-2</v>
      </c>
      <c r="B332"/>
      <c r="C332"/>
      <c r="D332"/>
      <c r="E332"/>
      <c r="BV332" s="27" t="s">
        <v>7</v>
      </c>
      <c r="BW332" s="27" t="s">
        <v>8</v>
      </c>
    </row>
    <row r="333" spans="1:75" x14ac:dyDescent="0.25">
      <c r="A333" s="30">
        <v>1.0700281090092644E-2</v>
      </c>
      <c r="B333"/>
      <c r="C333"/>
      <c r="D333"/>
      <c r="E333"/>
      <c r="BV333" s="27" t="s">
        <v>7</v>
      </c>
      <c r="BW333" s="27" t="s">
        <v>8</v>
      </c>
    </row>
    <row r="334" spans="1:75" x14ac:dyDescent="0.25">
      <c r="A334" s="30">
        <v>1.0190743895326324E-2</v>
      </c>
      <c r="B334"/>
      <c r="C334"/>
      <c r="D334"/>
      <c r="E334"/>
      <c r="BV334" s="27" t="s">
        <v>7</v>
      </c>
      <c r="BW334" s="27" t="s">
        <v>8</v>
      </c>
    </row>
    <row r="335" spans="1:75" x14ac:dyDescent="0.25">
      <c r="A335" s="30">
        <v>9.7054703765012563E-3</v>
      </c>
      <c r="B335"/>
      <c r="C335"/>
      <c r="D335"/>
      <c r="E335"/>
      <c r="BV335" s="27" t="s">
        <v>7</v>
      </c>
      <c r="BW335" s="27" t="s">
        <v>8</v>
      </c>
    </row>
    <row r="336" spans="1:75" x14ac:dyDescent="0.25">
      <c r="A336" s="30">
        <v>9.2433051204773835E-3</v>
      </c>
      <c r="B336"/>
      <c r="C336"/>
      <c r="D336"/>
      <c r="E336"/>
      <c r="BV336" s="27" t="s">
        <v>7</v>
      </c>
      <c r="BW336" s="27" t="s">
        <v>8</v>
      </c>
    </row>
    <row r="337" spans="1:75" x14ac:dyDescent="0.25">
      <c r="A337" s="30">
        <v>8.8031477337879808E-3</v>
      </c>
      <c r="B337"/>
      <c r="C337"/>
      <c r="D337"/>
      <c r="E337"/>
      <c r="BV337" s="27" t="s">
        <v>7</v>
      </c>
      <c r="BW337" s="27" t="s">
        <v>8</v>
      </c>
    </row>
    <row r="338" spans="1:75" x14ac:dyDescent="0.25">
      <c r="A338" s="30">
        <v>8.3839502226552166E-3</v>
      </c>
      <c r="B338"/>
      <c r="C338"/>
      <c r="D338"/>
      <c r="E338"/>
      <c r="BV338" s="27" t="s">
        <v>7</v>
      </c>
      <c r="BW338" s="27" t="s">
        <v>8</v>
      </c>
    </row>
    <row r="339" spans="1:75" x14ac:dyDescent="0.25">
      <c r="A339" s="30">
        <v>7.9847144977668698E-3</v>
      </c>
      <c r="B339"/>
      <c r="C339"/>
      <c r="D339"/>
      <c r="E339"/>
      <c r="BV339" s="27" t="s">
        <v>7</v>
      </c>
      <c r="BW339" s="27" t="s">
        <v>8</v>
      </c>
    </row>
    <row r="340" spans="1:75" x14ac:dyDescent="0.25">
      <c r="A340" s="30">
        <v>7.6044899978732058E-3</v>
      </c>
      <c r="B340"/>
      <c r="C340"/>
      <c r="D340"/>
      <c r="E340"/>
      <c r="BV340" s="27" t="s">
        <v>7</v>
      </c>
      <c r="BW340" s="27" t="s">
        <v>8</v>
      </c>
    </row>
    <row r="341" spans="1:75" x14ac:dyDescent="0.25">
      <c r="A341" s="30">
        <v>7.2423714265459072E-3</v>
      </c>
      <c r="B341"/>
      <c r="C341"/>
      <c r="D341"/>
      <c r="E341"/>
      <c r="BV341" s="27" t="s">
        <v>7</v>
      </c>
      <c r="BW341" s="27" t="s">
        <v>8</v>
      </c>
    </row>
    <row r="342" spans="1:75" x14ac:dyDescent="0.25">
      <c r="A342" s="30">
        <v>6.8974965967103846E-3</v>
      </c>
      <c r="B342"/>
      <c r="C342"/>
      <c r="D342"/>
      <c r="E342"/>
      <c r="BV342" s="27" t="s">
        <v>7</v>
      </c>
      <c r="BW342" s="27" t="s">
        <v>8</v>
      </c>
    </row>
    <row r="343" spans="1:75" x14ac:dyDescent="0.25">
      <c r="A343" s="30">
        <v>6.5690443778194116E-3</v>
      </c>
      <c r="B343"/>
      <c r="C343"/>
      <c r="D343"/>
      <c r="E343"/>
      <c r="BV343" s="27" t="s">
        <v>7</v>
      </c>
      <c r="BW343" s="27" t="s">
        <v>8</v>
      </c>
    </row>
    <row r="344" spans="1:75" x14ac:dyDescent="0.25">
      <c r="A344" s="30">
        <v>6.2562327407803897E-3</v>
      </c>
      <c r="B344"/>
      <c r="C344"/>
      <c r="D344"/>
      <c r="E344"/>
      <c r="BV344" s="27" t="s">
        <v>7</v>
      </c>
      <c r="BW344" s="27" t="s">
        <v>8</v>
      </c>
    </row>
    <row r="345" spans="1:75" x14ac:dyDescent="0.25">
      <c r="A345" s="30">
        <v>5.9583168959813212E-3</v>
      </c>
      <c r="B345"/>
      <c r="C345"/>
      <c r="D345"/>
      <c r="E345"/>
      <c r="BV345" s="27" t="s">
        <v>7</v>
      </c>
      <c r="BW345" s="27" t="s">
        <v>8</v>
      </c>
    </row>
    <row r="346" spans="1:75" x14ac:dyDescent="0.25">
      <c r="A346" s="30">
        <v>5.6745875199822084E-3</v>
      </c>
      <c r="B346"/>
      <c r="C346"/>
      <c r="D346"/>
      <c r="E346"/>
      <c r="BV346" s="27" t="s">
        <v>7</v>
      </c>
      <c r="BW346" s="27" t="s">
        <v>8</v>
      </c>
    </row>
    <row r="347" spans="1:75" x14ac:dyDescent="0.25">
      <c r="A347" s="30">
        <v>5.4043690666497205E-3</v>
      </c>
      <c r="B347"/>
      <c r="C347"/>
      <c r="D347"/>
      <c r="E347"/>
      <c r="BV347" s="27" t="s">
        <v>7</v>
      </c>
      <c r="BW347" s="27" t="s">
        <v>8</v>
      </c>
    </row>
    <row r="348" spans="1:75" x14ac:dyDescent="0.25">
      <c r="A348" s="30">
        <v>5.1470181587140174E-3</v>
      </c>
      <c r="B348"/>
      <c r="C348"/>
      <c r="D348"/>
      <c r="E348"/>
      <c r="BV348" s="27" t="s">
        <v>7</v>
      </c>
      <c r="BW348" s="27" t="s">
        <v>8</v>
      </c>
    </row>
    <row r="349" spans="1:75" x14ac:dyDescent="0.25">
      <c r="A349" s="30">
        <v>4.9019220559181099E-3</v>
      </c>
      <c r="B349"/>
      <c r="C349"/>
      <c r="D349"/>
      <c r="E349"/>
      <c r="BV349" s="27" t="s">
        <v>7</v>
      </c>
      <c r="BW349" s="27" t="s">
        <v>8</v>
      </c>
    </row>
    <row r="350" spans="1:75" x14ac:dyDescent="0.25">
      <c r="A350" s="30">
        <v>4.6684971961124836E-3</v>
      </c>
      <c r="B350"/>
      <c r="C350"/>
      <c r="D350"/>
      <c r="E350"/>
      <c r="BV350" s="27" t="s">
        <v>7</v>
      </c>
      <c r="BW350" s="27" t="s">
        <v>8</v>
      </c>
    </row>
    <row r="351" spans="1:75" x14ac:dyDescent="0.25">
      <c r="A351" s="30">
        <v>4.4461878058214112E-3</v>
      </c>
      <c r="B351"/>
      <c r="C351"/>
      <c r="D351"/>
      <c r="E351"/>
      <c r="BV351" s="27" t="s">
        <v>7</v>
      </c>
      <c r="BW351" s="27" t="s">
        <v>8</v>
      </c>
    </row>
    <row r="352" spans="1:75" x14ac:dyDescent="0.25">
      <c r="A352" s="30">
        <v>4.2344645769727711E-3</v>
      </c>
      <c r="B352"/>
      <c r="C352"/>
      <c r="D352"/>
      <c r="E352"/>
      <c r="BV352" s="27" t="s">
        <v>7</v>
      </c>
      <c r="BW352" s="27" t="s">
        <v>8</v>
      </c>
    </row>
    <row r="353" spans="1:75" x14ac:dyDescent="0.25">
      <c r="A353" s="30">
        <v>4.0328234066407329E-3</v>
      </c>
      <c r="B353"/>
      <c r="C353"/>
      <c r="D353"/>
      <c r="E353"/>
      <c r="BV353" s="27" t="s">
        <v>7</v>
      </c>
      <c r="BW353" s="27" t="s">
        <v>8</v>
      </c>
    </row>
    <row r="354" spans="1:75" x14ac:dyDescent="0.25">
      <c r="A354" s="30">
        <v>3.8407841968006963E-3</v>
      </c>
      <c r="B354"/>
      <c r="C354"/>
      <c r="D354"/>
      <c r="E354"/>
      <c r="BV354" s="27" t="s">
        <v>7</v>
      </c>
      <c r="BW354" s="27" t="s">
        <v>8</v>
      </c>
    </row>
    <row r="355" spans="1:75" x14ac:dyDescent="0.25">
      <c r="A355" s="30">
        <v>3.6578897112387568E-3</v>
      </c>
      <c r="B355"/>
      <c r="C355"/>
      <c r="D355"/>
      <c r="E355"/>
      <c r="BV355" s="27" t="s">
        <v>7</v>
      </c>
      <c r="BW355" s="27" t="s">
        <v>8</v>
      </c>
    </row>
    <row r="356" spans="1:75" x14ac:dyDescent="0.25">
      <c r="A356" s="30">
        <v>3.4837044868940526E-3</v>
      </c>
      <c r="B356"/>
      <c r="C356"/>
      <c r="D356"/>
      <c r="E356"/>
      <c r="BV356" s="27" t="s">
        <v>7</v>
      </c>
      <c r="BW356" s="27" t="s">
        <v>8</v>
      </c>
    </row>
    <row r="357" spans="1:75" x14ac:dyDescent="0.25">
      <c r="A357" s="30">
        <v>3.3178137970419535E-3</v>
      </c>
      <c r="B357"/>
      <c r="C357"/>
      <c r="D357"/>
      <c r="E357"/>
      <c r="BV357" s="27" t="s">
        <v>7</v>
      </c>
      <c r="BW357" s="27" t="s">
        <v>8</v>
      </c>
    </row>
    <row r="358" spans="1:75" x14ac:dyDescent="0.25">
      <c r="A358" s="30">
        <v>3.1598226638494781E-3</v>
      </c>
      <c r="B358"/>
      <c r="C358"/>
      <c r="D358"/>
      <c r="E358"/>
      <c r="BV358" s="27" t="s">
        <v>7</v>
      </c>
      <c r="BW358" s="27" t="s">
        <v>8</v>
      </c>
    </row>
    <row r="359" spans="1:75" x14ac:dyDescent="0.25">
      <c r="A359" s="30">
        <v>3.0093549179518826E-3</v>
      </c>
      <c r="B359"/>
      <c r="C359"/>
      <c r="D359"/>
      <c r="E359"/>
      <c r="BV359" s="27" t="s">
        <v>7</v>
      </c>
      <c r="BW359" s="27" t="s">
        <v>8</v>
      </c>
    </row>
    <row r="360" spans="1:75" x14ac:dyDescent="0.25">
      <c r="A360" s="30">
        <v>2.8660523028113155E-3</v>
      </c>
      <c r="B360"/>
      <c r="C360"/>
      <c r="D360"/>
      <c r="E360"/>
      <c r="BV360" s="27" t="s">
        <v>7</v>
      </c>
      <c r="BW360" s="27" t="s">
        <v>8</v>
      </c>
    </row>
    <row r="361" spans="1:75" x14ac:dyDescent="0.25">
      <c r="A361" s="30">
        <v>2.7295736217250611E-3</v>
      </c>
      <c r="B361"/>
      <c r="C361"/>
      <c r="D361"/>
      <c r="E361"/>
      <c r="BV361" s="27" t="s">
        <v>7</v>
      </c>
      <c r="BW361" s="27" t="s">
        <v>8</v>
      </c>
    </row>
    <row r="362" spans="1:75" x14ac:dyDescent="0.25">
      <c r="A362" s="30">
        <v>2.5995939254524381E-3</v>
      </c>
      <c r="B362"/>
      <c r="C362"/>
      <c r="D362"/>
      <c r="E362"/>
      <c r="BV362" s="27" t="s">
        <v>7</v>
      </c>
      <c r="BW362" s="27" t="s">
        <v>8</v>
      </c>
    </row>
    <row r="363" spans="1:75" x14ac:dyDescent="0.25">
      <c r="A363" s="30">
        <v>2.4758037385261304E-3</v>
      </c>
      <c r="B363"/>
      <c r="C363"/>
      <c r="D363"/>
      <c r="E363"/>
      <c r="BV363" s="27" t="s">
        <v>7</v>
      </c>
      <c r="BW363" s="27" t="s">
        <v>8</v>
      </c>
    </row>
    <row r="364" spans="1:75" x14ac:dyDescent="0.25">
      <c r="A364" s="30">
        <v>2.3579083224058374E-3</v>
      </c>
      <c r="B364"/>
      <c r="C364"/>
      <c r="D364"/>
      <c r="E364"/>
      <c r="BV364" s="27" t="s">
        <v>7</v>
      </c>
      <c r="BW364" s="27" t="s">
        <v>8</v>
      </c>
    </row>
    <row r="365" spans="1:75" x14ac:dyDescent="0.25">
      <c r="A365" s="30">
        <v>2.245626973719844E-3</v>
      </c>
      <c r="B365"/>
      <c r="C365"/>
      <c r="D365"/>
      <c r="E365"/>
      <c r="BV365" s="27" t="s">
        <v>7</v>
      </c>
      <c r="BW365" s="27" t="s">
        <v>8</v>
      </c>
    </row>
    <row r="366" spans="1:75" x14ac:dyDescent="0.25">
      <c r="A366" s="30">
        <v>2.1386923559236601E-3</v>
      </c>
      <c r="B366"/>
      <c r="C366"/>
      <c r="D366"/>
      <c r="E366"/>
      <c r="BV366" s="27" t="s">
        <v>7</v>
      </c>
      <c r="BW366" s="27" t="s">
        <v>8</v>
      </c>
    </row>
    <row r="367" spans="1:75" x14ac:dyDescent="0.25">
      <c r="A367" s="30">
        <v>2.0368498627844375E-3</v>
      </c>
      <c r="B367"/>
      <c r="C367"/>
      <c r="D367"/>
      <c r="E367"/>
      <c r="BV367" s="27" t="s">
        <v>7</v>
      </c>
      <c r="BW367" s="27" t="s">
        <v>8</v>
      </c>
    </row>
    <row r="368" spans="1:75" x14ac:dyDescent="0.25">
      <c r="A368" s="30">
        <v>1.9398570121756541E-3</v>
      </c>
      <c r="B368"/>
      <c r="C368"/>
      <c r="D368"/>
      <c r="E368"/>
      <c r="BV368" s="27" t="s">
        <v>7</v>
      </c>
      <c r="BW368" s="27" t="s">
        <v>8</v>
      </c>
    </row>
    <row r="369" spans="1:75" x14ac:dyDescent="0.25">
      <c r="A369" s="30">
        <v>1.8474828687387174E-3</v>
      </c>
      <c r="B369"/>
      <c r="C369"/>
      <c r="D369"/>
      <c r="E369"/>
      <c r="BV369" s="27" t="s">
        <v>7</v>
      </c>
      <c r="BW369" s="27" t="s">
        <v>8</v>
      </c>
    </row>
    <row r="370" spans="1:75" x14ac:dyDescent="0.25">
      <c r="A370" s="30">
        <v>1.759507494036873E-3</v>
      </c>
      <c r="B370"/>
      <c r="C370"/>
      <c r="D370"/>
      <c r="E370"/>
      <c r="BV370" s="27" t="s">
        <v>7</v>
      </c>
      <c r="BW370" s="27" t="s">
        <v>8</v>
      </c>
    </row>
    <row r="371" spans="1:75" x14ac:dyDescent="0.25">
      <c r="A371" s="30">
        <v>1.6757214228922594E-3</v>
      </c>
      <c r="B371"/>
      <c r="C371"/>
      <c r="D371"/>
      <c r="E371"/>
      <c r="BV371" s="27" t="s">
        <v>7</v>
      </c>
      <c r="BW371" s="27" t="s">
        <v>8</v>
      </c>
    </row>
    <row r="372" spans="1:75" x14ac:dyDescent="0.25">
      <c r="A372" s="30">
        <v>1.595925164659294E-3</v>
      </c>
      <c r="B372"/>
      <c r="C372"/>
      <c r="D372"/>
      <c r="E372"/>
      <c r="BV372" s="27" t="s">
        <v>7</v>
      </c>
      <c r="BW372" s="27" t="s">
        <v>8</v>
      </c>
    </row>
    <row r="373" spans="1:75" x14ac:dyDescent="0.25">
      <c r="A373" s="30">
        <v>1.5199287282469461E-3</v>
      </c>
      <c r="B373"/>
      <c r="C373"/>
      <c r="D373"/>
      <c r="E373"/>
      <c r="BV373" s="27" t="s">
        <v>7</v>
      </c>
      <c r="BW373" s="27" t="s">
        <v>8</v>
      </c>
    </row>
    <row r="374" spans="1:75" x14ac:dyDescent="0.25">
      <c r="A374" s="30">
        <v>1.4475511697589958E-3</v>
      </c>
      <c r="B374"/>
      <c r="C374"/>
      <c r="D374"/>
      <c r="E374"/>
      <c r="BV374" s="27" t="s">
        <v>7</v>
      </c>
      <c r="BW374" s="27" t="s">
        <v>8</v>
      </c>
    </row>
    <row r="375" spans="1:75" x14ac:dyDescent="0.25">
      <c r="A375" s="30">
        <v>1.3786201616752334E-3</v>
      </c>
      <c r="B375"/>
      <c r="C375"/>
      <c r="D375"/>
      <c r="E375"/>
      <c r="BV375" s="27" t="s">
        <v>7</v>
      </c>
      <c r="BW375" s="27" t="s">
        <v>8</v>
      </c>
    </row>
    <row r="376" spans="1:75" x14ac:dyDescent="0.25">
      <c r="A376" s="30">
        <v>1.3129715825478407E-3</v>
      </c>
      <c r="B376"/>
      <c r="C376"/>
      <c r="D376"/>
      <c r="E376"/>
      <c r="BV376" s="27" t="s">
        <v>7</v>
      </c>
      <c r="BW376" s="27" t="s">
        <v>8</v>
      </c>
    </row>
    <row r="377" spans="1:75" x14ac:dyDescent="0.25">
      <c r="A377" s="30">
        <v>1.2504491262360382E-3</v>
      </c>
      <c r="B377"/>
      <c r="C377"/>
      <c r="D377"/>
      <c r="E377"/>
      <c r="BV377" s="27" t="s">
        <v>7</v>
      </c>
      <c r="BW377" s="27" t="s">
        <v>8</v>
      </c>
    </row>
    <row r="378" spans="1:75" x14ac:dyDescent="0.25">
      <c r="A378" s="30">
        <v>1.1909039297486072E-3</v>
      </c>
      <c r="B378"/>
      <c r="C378"/>
      <c r="D378"/>
      <c r="E378"/>
      <c r="BV378" s="27" t="s">
        <v>7</v>
      </c>
      <c r="BW378" s="27" t="s">
        <v>8</v>
      </c>
    </row>
    <row r="379" spans="1:75" x14ac:dyDescent="0.25">
      <c r="A379" s="30">
        <v>1.1341942188081969E-3</v>
      </c>
      <c r="B379"/>
      <c r="C379"/>
      <c r="D379"/>
      <c r="E379"/>
      <c r="BV379" s="27" t="s">
        <v>7</v>
      </c>
      <c r="BW379" s="27" t="s">
        <v>8</v>
      </c>
    </row>
    <row r="380" spans="1:75" x14ac:dyDescent="0.25">
      <c r="A380" s="30">
        <v>1.0801849702935203E-3</v>
      </c>
      <c r="B380"/>
      <c r="C380"/>
      <c r="D380"/>
      <c r="E380"/>
      <c r="BV380" s="27" t="s">
        <v>7</v>
      </c>
      <c r="BW380" s="27" t="s">
        <v>8</v>
      </c>
    </row>
    <row r="381" spans="1:75" x14ac:dyDescent="0.25">
      <c r="A381" s="30">
        <v>1.0287475907557332E-3</v>
      </c>
      <c r="B381"/>
      <c r="C381"/>
      <c r="D381"/>
      <c r="E381"/>
      <c r="BV381" s="27" t="s">
        <v>7</v>
      </c>
      <c r="BW381" s="27" t="s">
        <v>8</v>
      </c>
    </row>
    <row r="382" spans="1:75" x14ac:dyDescent="0.25">
      <c r="A382" s="30">
        <v>9.7731021121794646E-4</v>
      </c>
      <c r="BV382" s="27" t="s">
        <v>7</v>
      </c>
      <c r="BW382" s="27" t="s">
        <v>8</v>
      </c>
    </row>
    <row r="383" spans="1:75" x14ac:dyDescent="0.25">
      <c r="A383" s="30">
        <v>9.2844470065704904E-4</v>
      </c>
      <c r="BV383" s="27" t="s">
        <v>7</v>
      </c>
      <c r="BW383" s="27" t="s">
        <v>8</v>
      </c>
    </row>
    <row r="384" spans="1:75" x14ac:dyDescent="0.25">
      <c r="A384" s="30">
        <v>8.8202246562419653E-4</v>
      </c>
      <c r="BV384" s="27" t="s">
        <v>7</v>
      </c>
      <c r="BW384" s="27" t="s">
        <v>8</v>
      </c>
    </row>
    <row r="385" spans="1:75" x14ac:dyDescent="0.25">
      <c r="A385" s="30">
        <v>8.3792134234298668E-4</v>
      </c>
      <c r="BV385" s="27" t="s">
        <v>7</v>
      </c>
      <c r="BW385" s="27" t="s">
        <v>8</v>
      </c>
    </row>
    <row r="386" spans="1:75" x14ac:dyDescent="0.25">
      <c r="A386" s="30">
        <v>7.9602527522583736E-4</v>
      </c>
      <c r="BV386" s="27" t="s">
        <v>7</v>
      </c>
      <c r="BW386" s="27" t="s">
        <v>8</v>
      </c>
    </row>
    <row r="387" spans="1:75" x14ac:dyDescent="0.25">
      <c r="A387" s="30">
        <v>7.5622401146454546E-4</v>
      </c>
      <c r="BV387" s="27" t="s">
        <v>7</v>
      </c>
      <c r="BW387" s="27" t="s">
        <v>8</v>
      </c>
    </row>
    <row r="388" spans="1:75" x14ac:dyDescent="0.25">
      <c r="A388" s="30">
        <v>7.1841281089131816E-4</v>
      </c>
      <c r="BV388" s="27" t="s">
        <v>7</v>
      </c>
      <c r="BW388" s="27" t="s">
        <v>8</v>
      </c>
    </row>
    <row r="389" spans="1:75" x14ac:dyDescent="0.25">
      <c r="A389" s="30">
        <v>6.8249217034675226E-4</v>
      </c>
      <c r="BV389" s="27" t="s">
        <v>7</v>
      </c>
      <c r="BW389" s="27" t="s">
        <v>8</v>
      </c>
    </row>
    <row r="390" spans="1:75" x14ac:dyDescent="0.25">
      <c r="A390" s="30">
        <v>6.4836756182941465E-4</v>
      </c>
      <c r="BV390" s="27" t="s">
        <v>7</v>
      </c>
      <c r="BW390" s="27" t="s">
        <v>8</v>
      </c>
    </row>
    <row r="391" spans="1:75" x14ac:dyDescent="0.25">
      <c r="A391" s="30">
        <v>6.1594918373794388E-4</v>
      </c>
      <c r="BV391" s="27" t="s">
        <v>7</v>
      </c>
      <c r="BW391" s="27" t="s">
        <v>8</v>
      </c>
    </row>
    <row r="392" spans="1:75" x14ac:dyDescent="0.25">
      <c r="A392" s="30">
        <v>5.8515172455104666E-4</v>
      </c>
      <c r="BV392" s="27" t="s">
        <v>7</v>
      </c>
      <c r="BW392" s="27" t="s">
        <v>8</v>
      </c>
    </row>
    <row r="393" spans="1:75" x14ac:dyDescent="0.25">
      <c r="A393" s="30">
        <v>5.5589413832349429E-4</v>
      </c>
      <c r="BV393" s="27" t="s">
        <v>7</v>
      </c>
      <c r="BW393" s="27" t="s">
        <v>8</v>
      </c>
    </row>
    <row r="394" spans="1:75" x14ac:dyDescent="0.25">
      <c r="A394" s="30">
        <v>5.2809943140731956E-4</v>
      </c>
      <c r="BV394" s="27" t="s">
        <v>7</v>
      </c>
      <c r="BW394" s="27" t="s">
        <v>8</v>
      </c>
    </row>
    <row r="395" spans="1:75" x14ac:dyDescent="0.25">
      <c r="A395" s="30">
        <v>5.0169445983695357E-4</v>
      </c>
      <c r="BV395" s="27" t="s">
        <v>7</v>
      </c>
      <c r="BW395" s="27" t="s">
        <v>8</v>
      </c>
    </row>
    <row r="396" spans="1:75" x14ac:dyDescent="0.25">
      <c r="A396" s="30">
        <v>4.7660973684510589E-4</v>
      </c>
      <c r="BV396" s="27" t="s">
        <v>7</v>
      </c>
      <c r="BW396" s="27" t="s">
        <v>8</v>
      </c>
    </row>
    <row r="397" spans="1:75" x14ac:dyDescent="0.25">
      <c r="A397" s="30">
        <v>4.5277925000285056E-4</v>
      </c>
      <c r="BV397" s="27" t="s">
        <v>7</v>
      </c>
      <c r="BW397" s="27" t="s">
        <v>8</v>
      </c>
    </row>
    <row r="398" spans="1:75" x14ac:dyDescent="0.25">
      <c r="A398" s="30">
        <v>4.3014028750270803E-4</v>
      </c>
      <c r="BV398" s="27" t="s">
        <v>7</v>
      </c>
      <c r="BW398" s="27" t="s">
        <v>8</v>
      </c>
    </row>
    <row r="399" spans="1:75" x14ac:dyDescent="0.25">
      <c r="A399" s="30">
        <v>4.0863327312757263E-4</v>
      </c>
      <c r="BV399" s="27" t="s">
        <v>7</v>
      </c>
      <c r="BW399" s="27" t="s">
        <v>8</v>
      </c>
    </row>
    <row r="400" spans="1:75" x14ac:dyDescent="0.25">
      <c r="A400" s="30">
        <v>3.8820160947119396E-4</v>
      </c>
      <c r="BV400" s="27" t="s">
        <v>7</v>
      </c>
      <c r="BW400" s="27" t="s">
        <v>8</v>
      </c>
    </row>
    <row r="401" spans="1:75" x14ac:dyDescent="0.25">
      <c r="A401" s="30">
        <v>3.6879152899763426E-4</v>
      </c>
      <c r="BV401" s="27" t="s">
        <v>7</v>
      </c>
      <c r="BW401" s="27" t="s">
        <v>8</v>
      </c>
    </row>
    <row r="402" spans="1:75" x14ac:dyDescent="0.25">
      <c r="A402" s="30">
        <v>3.5035195254775253E-4</v>
      </c>
      <c r="BV402" s="27" t="s">
        <v>7</v>
      </c>
      <c r="BW402" s="27" t="s">
        <v>8</v>
      </c>
    </row>
    <row r="403" spans="1:75" x14ac:dyDescent="0.25">
      <c r="A403" s="30">
        <v>3.3283435492036491E-4</v>
      </c>
      <c r="BV403" s="27" t="s">
        <v>7</v>
      </c>
      <c r="BW403" s="27" t="s">
        <v>8</v>
      </c>
    </row>
    <row r="404" spans="1:75" x14ac:dyDescent="0.25">
      <c r="A404" s="30">
        <v>3.1619263717434668E-4</v>
      </c>
      <c r="BV404" s="27" t="s">
        <v>7</v>
      </c>
      <c r="BW404" s="27" t="s">
        <v>8</v>
      </c>
    </row>
    <row r="405" spans="1:75" x14ac:dyDescent="0.25">
      <c r="A405" s="30">
        <v>3.0038300531562933E-4</v>
      </c>
      <c r="BV405" s="27" t="s">
        <v>7</v>
      </c>
      <c r="BW405" s="27" t="s">
        <v>8</v>
      </c>
    </row>
    <row r="406" spans="1:75" x14ac:dyDescent="0.25">
      <c r="A406" s="30">
        <v>2.8536385504984783E-4</v>
      </c>
      <c r="BV406" s="27" t="s">
        <v>7</v>
      </c>
      <c r="BW406" s="27" t="s">
        <v>8</v>
      </c>
    </row>
    <row r="407" spans="1:75" x14ac:dyDescent="0.25">
      <c r="A407" s="30">
        <v>2.7109566229735542E-4</v>
      </c>
      <c r="BV407" s="27" t="s">
        <v>7</v>
      </c>
      <c r="BW407" s="27" t="s">
        <v>8</v>
      </c>
    </row>
    <row r="408" spans="1:75" x14ac:dyDescent="0.25">
      <c r="A408" s="30">
        <v>2.5754087918248761E-4</v>
      </c>
      <c r="BV408" s="27" t="s">
        <v>7</v>
      </c>
      <c r="BW408" s="27" t="s">
        <v>8</v>
      </c>
    </row>
    <row r="409" spans="1:75" x14ac:dyDescent="0.25">
      <c r="A409" s="30">
        <v>2.4466383522336323E-4</v>
      </c>
      <c r="BV409" s="27" t="s">
        <v>7</v>
      </c>
      <c r="BW409" s="27" t="s">
        <v>8</v>
      </c>
    </row>
    <row r="410" spans="1:75" x14ac:dyDescent="0.25">
      <c r="A410" s="30">
        <v>2.3243064346219506E-4</v>
      </c>
      <c r="BV410" s="27" t="s">
        <v>7</v>
      </c>
      <c r="BW410" s="27" t="s">
        <v>8</v>
      </c>
    </row>
    <row r="411" spans="1:75" x14ac:dyDescent="0.25">
      <c r="A411" s="30">
        <v>2.2080911128908529E-4</v>
      </c>
      <c r="BV411" s="27" t="s">
        <v>7</v>
      </c>
      <c r="BW411" s="27" t="s">
        <v>8</v>
      </c>
    </row>
    <row r="412" spans="1:75" x14ac:dyDescent="0.25">
      <c r="A412" s="30">
        <v>2.0976865572463102E-4</v>
      </c>
      <c r="BV412" s="27" t="s">
        <v>7</v>
      </c>
      <c r="BW412" s="27" t="s">
        <v>8</v>
      </c>
    </row>
    <row r="413" spans="1:75" x14ac:dyDescent="0.25">
      <c r="A413" s="30">
        <v>1.9928022293839946E-4</v>
      </c>
      <c r="BV413" s="27" t="s">
        <v>7</v>
      </c>
      <c r="BW413" s="27" t="s">
        <v>8</v>
      </c>
    </row>
    <row r="414" spans="1:75" x14ac:dyDescent="0.25">
      <c r="A414" s="30">
        <v>1.8931621179147948E-4</v>
      </c>
      <c r="BV414" s="27" t="s">
        <v>7</v>
      </c>
      <c r="BW414" s="27" t="s">
        <v>8</v>
      </c>
    </row>
    <row r="415" spans="1:75" x14ac:dyDescent="0.25">
      <c r="A415" s="30">
        <v>1.798504012019055E-4</v>
      </c>
      <c r="BV415" s="27" t="s">
        <v>7</v>
      </c>
      <c r="BW415" s="27" t="s">
        <v>8</v>
      </c>
    </row>
    <row r="416" spans="1:75" x14ac:dyDescent="0.25">
      <c r="A416" s="30">
        <v>1.7085788114181021E-4</v>
      </c>
      <c r="BV416" s="27" t="s">
        <v>7</v>
      </c>
      <c r="BW416" s="27" t="s">
        <v>8</v>
      </c>
    </row>
    <row r="417" spans="1:75" x14ac:dyDescent="0.25">
      <c r="A417" s="30">
        <v>1.623149870847197E-4</v>
      </c>
      <c r="BV417" s="27" t="s">
        <v>7</v>
      </c>
      <c r="BW417" s="27" t="s">
        <v>8</v>
      </c>
    </row>
    <row r="418" spans="1:75" x14ac:dyDescent="0.25">
      <c r="A418" s="30">
        <v>1.541992377304837E-4</v>
      </c>
      <c r="BV418" s="27" t="s">
        <v>7</v>
      </c>
      <c r="BW418" s="27" t="s">
        <v>8</v>
      </c>
    </row>
    <row r="419" spans="1:75" x14ac:dyDescent="0.25">
      <c r="A419" s="30">
        <v>1.4648927584395952E-4</v>
      </c>
      <c r="BV419" s="27" t="s">
        <v>7</v>
      </c>
      <c r="BW419" s="27" t="s">
        <v>8</v>
      </c>
    </row>
    <row r="420" spans="1:75" x14ac:dyDescent="0.25">
      <c r="A420" s="30">
        <v>1.3916481205176153E-4</v>
      </c>
      <c r="BV420" s="27" t="s">
        <v>7</v>
      </c>
      <c r="BW420" s="27" t="s">
        <v>8</v>
      </c>
    </row>
    <row r="421" spans="1:75" x14ac:dyDescent="0.25">
      <c r="A421" s="30">
        <v>1.3220657144917344E-4</v>
      </c>
      <c r="BV421" s="27" t="s">
        <v>7</v>
      </c>
      <c r="BW421" s="27" t="s">
        <v>8</v>
      </c>
    </row>
    <row r="422" spans="1:75" x14ac:dyDescent="0.25">
      <c r="A422" s="30">
        <v>1.2559624287671476E-4</v>
      </c>
      <c r="BV422" s="27" t="s">
        <v>7</v>
      </c>
      <c r="BW422" s="27" t="s">
        <v>8</v>
      </c>
    </row>
    <row r="423" spans="1:75" x14ac:dyDescent="0.25">
      <c r="A423" s="30">
        <v>1.1931643073287902E-4</v>
      </c>
      <c r="BV423" s="27" t="s">
        <v>7</v>
      </c>
      <c r="BW423" s="27" t="s">
        <v>8</v>
      </c>
    </row>
    <row r="424" spans="1:75" x14ac:dyDescent="0.25">
      <c r="A424" s="30">
        <v>1.1335060919623506E-4</v>
      </c>
      <c r="BV424" s="27" t="s">
        <v>7</v>
      </c>
      <c r="BW424" s="27" t="s">
        <v>8</v>
      </c>
    </row>
    <row r="425" spans="1:75" x14ac:dyDescent="0.25">
      <c r="A425" s="30">
        <v>1.076830787364233E-4</v>
      </c>
      <c r="BV425" s="27" t="s">
        <v>7</v>
      </c>
      <c r="BW425" s="27" t="s">
        <v>8</v>
      </c>
    </row>
    <row r="426" spans="1:75" x14ac:dyDescent="0.25">
      <c r="A426" s="30">
        <v>1.0229892479960213E-4</v>
      </c>
      <c r="BV426" s="27" t="s">
        <v>7</v>
      </c>
    </row>
    <row r="427" spans="1:75" x14ac:dyDescent="0.25">
      <c r="A427" s="30">
        <v>9.7183978559622027E-5</v>
      </c>
    </row>
    <row r="428" spans="1:75" x14ac:dyDescent="0.25">
      <c r="A428" s="30">
        <v>9.2324779631640922E-5</v>
      </c>
    </row>
    <row r="429" spans="1:75" x14ac:dyDescent="0.25">
      <c r="A429" s="30">
        <v>8.7708540650058869E-5</v>
      </c>
    </row>
    <row r="430" spans="1:75" x14ac:dyDescent="0.25">
      <c r="A430" s="30">
        <v>8.3323113617555917E-5</v>
      </c>
    </row>
    <row r="431" spans="1:75" x14ac:dyDescent="0.25">
      <c r="A431" s="30">
        <v>7.9156957936678114E-5</v>
      </c>
    </row>
    <row r="432" spans="1:75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528" operator="equal">
      <formula>$U$1</formula>
    </cfRule>
    <cfRule type="cellIs" dxfId="67" priority="1529" operator="equal">
      <formula>$S$1</formula>
    </cfRule>
  </conditionalFormatting>
  <conditionalFormatting sqref="D136">
    <cfRule type="cellIs" dxfId="66" priority="1526" operator="equal">
      <formula>$S$1</formula>
    </cfRule>
    <cfRule type="cellIs" dxfId="65" priority="1527" operator="equal">
      <formula>$U$1</formula>
    </cfRule>
  </conditionalFormatting>
  <conditionalFormatting sqref="C162">
    <cfRule type="cellIs" dxfId="64" priority="1524" operator="equal">
      <formula>$U$1</formula>
    </cfRule>
    <cfRule type="cellIs" dxfId="63" priority="1525" operator="equal">
      <formula>$S$1</formula>
    </cfRule>
  </conditionalFormatting>
  <conditionalFormatting sqref="D162">
    <cfRule type="cellIs" dxfId="62" priority="1522" operator="equal">
      <formula>$S$1</formula>
    </cfRule>
    <cfRule type="cellIs" dxfId="61" priority="1523" operator="equal">
      <formula>$U$1</formula>
    </cfRule>
  </conditionalFormatting>
  <conditionalFormatting sqref="C187">
    <cfRule type="cellIs" dxfId="60" priority="1520" operator="equal">
      <formula>$U$1</formula>
    </cfRule>
    <cfRule type="cellIs" dxfId="59" priority="1521" operator="equal">
      <formula>$S$1</formula>
    </cfRule>
  </conditionalFormatting>
  <conditionalFormatting sqref="D187">
    <cfRule type="cellIs" dxfId="58" priority="1518" operator="equal">
      <formula>$S$1</formula>
    </cfRule>
    <cfRule type="cellIs" dxfId="57" priority="1519" operator="equal">
      <formula>$U$1</formula>
    </cfRule>
  </conditionalFormatting>
  <conditionalFormatting sqref="C212">
    <cfRule type="cellIs" dxfId="56" priority="1516" operator="equal">
      <formula>$U$1</formula>
    </cfRule>
    <cfRule type="cellIs" dxfId="55" priority="1517" operator="equal">
      <formula>$S$1</formula>
    </cfRule>
  </conditionalFormatting>
  <conditionalFormatting sqref="D212">
    <cfRule type="cellIs" dxfId="54" priority="1514" operator="equal">
      <formula>$S$1</formula>
    </cfRule>
    <cfRule type="cellIs" dxfId="53" priority="1515" operator="equal">
      <formula>$U$1</formula>
    </cfRule>
  </conditionalFormatting>
  <conditionalFormatting sqref="C237">
    <cfRule type="cellIs" dxfId="52" priority="1512" operator="equal">
      <formula>$U$1</formula>
    </cfRule>
    <cfRule type="cellIs" dxfId="51" priority="1513" operator="equal">
      <formula>$S$1</formula>
    </cfRule>
  </conditionalFormatting>
  <conditionalFormatting sqref="D237">
    <cfRule type="cellIs" dxfId="50" priority="1510" operator="equal">
      <formula>$S$1</formula>
    </cfRule>
    <cfRule type="cellIs" dxfId="49" priority="1511" operator="equal">
      <formula>$U$1</formula>
    </cfRule>
  </conditionalFormatting>
  <conditionalFormatting sqref="C106">
    <cfRule type="cellIs" dxfId="48" priority="1508" operator="equal">
      <formula>$U$1</formula>
    </cfRule>
    <cfRule type="cellIs" dxfId="47" priority="1509" operator="equal">
      <formula>$S$1</formula>
    </cfRule>
  </conditionalFormatting>
  <conditionalFormatting sqref="D106">
    <cfRule type="cellIs" dxfId="46" priority="1506" operator="equal">
      <formula>$S$1</formula>
    </cfRule>
    <cfRule type="cellIs" dxfId="45" priority="1507" operator="equal">
      <formula>$U$1</formula>
    </cfRule>
  </conditionalFormatting>
  <conditionalFormatting sqref="C81">
    <cfRule type="cellIs" dxfId="44" priority="1504" operator="equal">
      <formula>$U$1</formula>
    </cfRule>
    <cfRule type="cellIs" dxfId="43" priority="1505" operator="equal">
      <formula>$S$1</formula>
    </cfRule>
  </conditionalFormatting>
  <conditionalFormatting sqref="D81">
    <cfRule type="cellIs" dxfId="42" priority="1502" operator="equal">
      <formula>$S$1</formula>
    </cfRule>
    <cfRule type="cellIs" dxfId="41" priority="1503" operator="equal">
      <formula>$U$1</formula>
    </cfRule>
  </conditionalFormatting>
  <conditionalFormatting sqref="C56">
    <cfRule type="cellIs" dxfId="40" priority="1500" operator="equal">
      <formula>$U$1</formula>
    </cfRule>
    <cfRule type="cellIs" dxfId="39" priority="1501" operator="equal">
      <formula>$S$1</formula>
    </cfRule>
  </conditionalFormatting>
  <conditionalFormatting sqref="D56">
    <cfRule type="cellIs" dxfId="38" priority="1498" operator="equal">
      <formula>$S$1</formula>
    </cfRule>
    <cfRule type="cellIs" dxfId="37" priority="1499" operator="equal">
      <formula>$U$1</formula>
    </cfRule>
  </conditionalFormatting>
  <conditionalFormatting sqref="C31">
    <cfRule type="cellIs" dxfId="36" priority="1496" operator="equal">
      <formula>$U$1</formula>
    </cfRule>
    <cfRule type="cellIs" dxfId="35" priority="1497" operator="equal">
      <formula>$S$1</formula>
    </cfRule>
  </conditionalFormatting>
  <conditionalFormatting sqref="D31">
    <cfRule type="cellIs" dxfId="34" priority="1494" operator="equal">
      <formula>$S$1</formula>
    </cfRule>
    <cfRule type="cellIs" dxfId="33" priority="149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76" zoomScale="90" zoomScaleNormal="90" workbookViewId="0">
      <pane xSplit="4" topLeftCell="O1" activePane="topRight" state="frozen"/>
      <selection activeCell="A109" sqref="A109"/>
      <selection pane="topRight" activeCell="BB93" sqref="BB9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41" x14ac:dyDescent="0.25">
      <c r="A65" s="30">
        <v>207.96505671840671</v>
      </c>
      <c r="E65"/>
    </row>
    <row r="66" spans="1:41" x14ac:dyDescent="0.25">
      <c r="A66" s="30">
        <v>189.05914247127882</v>
      </c>
      <c r="E66"/>
    </row>
    <row r="67" spans="1:41" x14ac:dyDescent="0.25">
      <c r="A67" s="30">
        <v>171.87194770116255</v>
      </c>
      <c r="C67" s="1" t="s">
        <v>15</v>
      </c>
      <c r="E67"/>
    </row>
    <row r="68" spans="1:41" x14ac:dyDescent="0.25">
      <c r="A68" s="30">
        <v>156.24722518287504</v>
      </c>
      <c r="C68" s="7">
        <v>0.11167815779424731</v>
      </c>
      <c r="D68"/>
      <c r="E68"/>
    </row>
    <row r="69" spans="1:41" x14ac:dyDescent="0.25">
      <c r="A69" s="30">
        <v>142.04293198443185</v>
      </c>
      <c r="E69"/>
    </row>
    <row r="70" spans="1:41" x14ac:dyDescent="0.25">
      <c r="A70" s="30">
        <v>129.1299381676653</v>
      </c>
      <c r="C70" s="1" t="s">
        <v>11</v>
      </c>
      <c r="D70" s="1" t="s">
        <v>12</v>
      </c>
      <c r="E70"/>
    </row>
    <row r="71" spans="1:41" x14ac:dyDescent="0.25">
      <c r="A71" s="30">
        <v>117.39085287969573</v>
      </c>
      <c r="C71"/>
      <c r="D71"/>
      <c r="E71"/>
    </row>
    <row r="72" spans="1:41" x14ac:dyDescent="0.25">
      <c r="A72" s="30">
        <v>106.71895716335975</v>
      </c>
      <c r="E72"/>
    </row>
    <row r="73" spans="1:41" x14ac:dyDescent="0.25">
      <c r="A73" s="30">
        <v>97.017233784872488</v>
      </c>
      <c r="C73" s="1" t="s">
        <v>13</v>
      </c>
      <c r="E73"/>
    </row>
    <row r="74" spans="1:41" x14ac:dyDescent="0.25">
      <c r="A74" s="30">
        <v>88.197485258974979</v>
      </c>
      <c r="C74" s="1">
        <f>C63</f>
        <v>0</v>
      </c>
      <c r="E74"/>
    </row>
    <row r="75" spans="1:41" x14ac:dyDescent="0.25">
      <c r="A75" s="30">
        <v>80.179532053613613</v>
      </c>
      <c r="C75"/>
      <c r="D75"/>
      <c r="E75"/>
    </row>
    <row r="76" spans="1:41" x14ac:dyDescent="0.25">
      <c r="A76" s="30">
        <v>72.890483685103277</v>
      </c>
      <c r="C76" s="1" t="s">
        <v>14</v>
      </c>
      <c r="E76"/>
    </row>
    <row r="77" spans="1:41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41" x14ac:dyDescent="0.25">
      <c r="A78" s="30">
        <v>60.240069161242367</v>
      </c>
      <c r="E78"/>
    </row>
    <row r="79" spans="1:41" x14ac:dyDescent="0.25">
      <c r="A79" s="30">
        <v>54.763699237493057</v>
      </c>
      <c r="E79"/>
    </row>
    <row r="80" spans="1:41" x14ac:dyDescent="0.25">
      <c r="A80" s="30">
        <v>49.785181124993684</v>
      </c>
      <c r="E80"/>
      <c r="AO80" s="31" t="s">
        <v>8</v>
      </c>
    </row>
    <row r="81" spans="1:54" x14ac:dyDescent="0.25">
      <c r="A81" s="30">
        <v>45.259255568176073</v>
      </c>
      <c r="E81"/>
      <c r="AO81" s="27" t="s">
        <v>8</v>
      </c>
      <c r="AP81" s="31" t="s">
        <v>7</v>
      </c>
    </row>
    <row r="82" spans="1:54" x14ac:dyDescent="0.25">
      <c r="A82" s="30">
        <v>41.144777789250973</v>
      </c>
      <c r="E82"/>
      <c r="AK82" s="32" t="s">
        <v>8</v>
      </c>
      <c r="AM82" s="32" t="s">
        <v>8</v>
      </c>
      <c r="AO82" s="27" t="s">
        <v>8</v>
      </c>
      <c r="AP82" s="27" t="s">
        <v>7</v>
      </c>
      <c r="AQ82" s="31"/>
    </row>
    <row r="83" spans="1:54" x14ac:dyDescent="0.25">
      <c r="A83" s="30">
        <v>37.404343444773609</v>
      </c>
      <c r="E83"/>
      <c r="AK83" s="27" t="s">
        <v>8</v>
      </c>
      <c r="AL83" s="27" t="s">
        <v>7</v>
      </c>
      <c r="AM83" s="27" t="s">
        <v>8</v>
      </c>
      <c r="AN83" s="27" t="s">
        <v>7</v>
      </c>
      <c r="AO83" s="27" t="s">
        <v>8</v>
      </c>
      <c r="AP83" s="27" t="s">
        <v>7</v>
      </c>
      <c r="AR83" s="31"/>
      <c r="AY83" s="27" t="s">
        <v>8</v>
      </c>
    </row>
    <row r="84" spans="1:54" x14ac:dyDescent="0.25">
      <c r="A84" s="30">
        <v>34.003948586157826</v>
      </c>
      <c r="E84"/>
      <c r="AI84" s="27" t="s">
        <v>8</v>
      </c>
      <c r="AK84" s="27" t="s">
        <v>8</v>
      </c>
      <c r="AL84" s="27" t="s">
        <v>7</v>
      </c>
      <c r="AM84" s="27" t="s">
        <v>8</v>
      </c>
      <c r="AN84" s="27" t="s">
        <v>7</v>
      </c>
      <c r="AO84" s="27" t="s">
        <v>8</v>
      </c>
      <c r="AP84" s="27" t="s">
        <v>7</v>
      </c>
      <c r="AS84" s="33" t="s">
        <v>8</v>
      </c>
      <c r="AW84" s="27" t="s">
        <v>8</v>
      </c>
      <c r="AY84" s="27" t="s">
        <v>8</v>
      </c>
      <c r="AZ84" s="27" t="s">
        <v>7</v>
      </c>
    </row>
    <row r="85" spans="1:54" x14ac:dyDescent="0.25">
      <c r="A85" s="30">
        <v>30.912680532870748</v>
      </c>
      <c r="E85"/>
      <c r="AI85" s="27" t="s">
        <v>8</v>
      </c>
      <c r="AJ85" s="27" t="s">
        <v>7</v>
      </c>
      <c r="AK85" s="27" t="s">
        <v>8</v>
      </c>
      <c r="AL85" s="32" t="s">
        <v>7</v>
      </c>
      <c r="AN85" s="32" t="s">
        <v>7</v>
      </c>
      <c r="AP85" s="27" t="s">
        <v>7</v>
      </c>
      <c r="AQ85" s="27" t="s">
        <v>8</v>
      </c>
      <c r="AS85" s="27" t="s">
        <v>8</v>
      </c>
      <c r="AT85" s="31" t="s">
        <v>7</v>
      </c>
      <c r="AW85" s="27" t="s">
        <v>8</v>
      </c>
      <c r="AX85" s="27" t="s">
        <v>7</v>
      </c>
      <c r="AY85" s="27" t="s">
        <v>8</v>
      </c>
      <c r="AZ85" s="27" t="s">
        <v>7</v>
      </c>
    </row>
    <row r="86" spans="1:54" x14ac:dyDescent="0.25">
      <c r="A86" s="30">
        <v>28.102436848064315</v>
      </c>
      <c r="E86"/>
      <c r="AI86" s="27" t="s">
        <v>8</v>
      </c>
      <c r="AJ86" s="27" t="s">
        <v>7</v>
      </c>
      <c r="AK86" s="27" t="s">
        <v>8</v>
      </c>
      <c r="AP86" s="34" t="s">
        <v>7</v>
      </c>
      <c r="AQ86" s="27" t="s">
        <v>8</v>
      </c>
      <c r="AR86" s="27" t="s">
        <v>7</v>
      </c>
      <c r="AS86" s="27" t="s">
        <v>8</v>
      </c>
      <c r="AT86" s="27" t="s">
        <v>7</v>
      </c>
      <c r="AU86" s="31"/>
      <c r="AW86" s="27" t="s">
        <v>8</v>
      </c>
      <c r="AX86" s="27" t="s">
        <v>7</v>
      </c>
      <c r="AY86" s="27" t="s">
        <v>8</v>
      </c>
      <c r="AZ86" s="27" t="s">
        <v>7</v>
      </c>
      <c r="BA86" s="27" t="s">
        <v>8</v>
      </c>
    </row>
    <row r="87" spans="1:54" x14ac:dyDescent="0.25">
      <c r="A87" s="30">
        <v>25.547669861876649</v>
      </c>
      <c r="E87"/>
      <c r="AI87" s="27" t="s">
        <v>8</v>
      </c>
      <c r="AJ87" s="27" t="s">
        <v>7</v>
      </c>
      <c r="AK87" s="27" t="s">
        <v>8</v>
      </c>
      <c r="AP87" s="27" t="s">
        <v>7</v>
      </c>
      <c r="AQ87" s="27" t="s">
        <v>8</v>
      </c>
      <c r="AR87" s="27" t="s">
        <v>7</v>
      </c>
      <c r="AS87" s="27" t="s">
        <v>8</v>
      </c>
      <c r="AT87" s="27" t="s">
        <v>7</v>
      </c>
      <c r="AV87" s="31"/>
      <c r="AW87" s="27" t="s">
        <v>8</v>
      </c>
      <c r="AX87" s="27" t="s">
        <v>7</v>
      </c>
      <c r="AY87" s="27" t="s">
        <v>8</v>
      </c>
      <c r="AZ87" s="27" t="s">
        <v>7</v>
      </c>
      <c r="BA87" s="27" t="s">
        <v>8</v>
      </c>
      <c r="BB87" s="27" t="s">
        <v>7</v>
      </c>
    </row>
    <row r="88" spans="1:54" x14ac:dyDescent="0.25">
      <c r="A88" s="30">
        <v>23.225154419887861</v>
      </c>
      <c r="E88"/>
      <c r="AG88" s="27" t="s">
        <v>8</v>
      </c>
      <c r="AI88" s="27" t="s">
        <v>8</v>
      </c>
      <c r="AJ88" s="27" t="s">
        <v>7</v>
      </c>
      <c r="AK88" s="27" t="s">
        <v>8</v>
      </c>
      <c r="AP88" s="27" t="s">
        <v>7</v>
      </c>
      <c r="AQ88" s="27" t="s">
        <v>8</v>
      </c>
      <c r="AR88" s="27" t="s">
        <v>7</v>
      </c>
      <c r="AS88" s="27" t="s">
        <v>8</v>
      </c>
      <c r="AT88" s="27" t="s">
        <v>7</v>
      </c>
      <c r="AW88" s="33" t="s">
        <v>8</v>
      </c>
      <c r="AX88" s="27" t="s">
        <v>7</v>
      </c>
      <c r="AY88" s="27" t="s">
        <v>8</v>
      </c>
      <c r="AZ88" s="27" t="s">
        <v>7</v>
      </c>
      <c r="BA88" s="19" t="s">
        <v>8</v>
      </c>
      <c r="BB88" s="27" t="s">
        <v>7</v>
      </c>
    </row>
    <row r="89" spans="1:54" x14ac:dyDescent="0.25">
      <c r="A89" s="30">
        <v>21.113776745352599</v>
      </c>
      <c r="E89"/>
      <c r="AG89" s="27" t="s">
        <v>8</v>
      </c>
      <c r="AH89" s="27" t="s">
        <v>7</v>
      </c>
      <c r="AI89" s="27" t="s">
        <v>8</v>
      </c>
      <c r="AJ89" s="27" t="s">
        <v>7</v>
      </c>
      <c r="AP89" s="27" t="s">
        <v>7</v>
      </c>
      <c r="AR89" s="27" t="s">
        <v>7</v>
      </c>
      <c r="AS89" s="27" t="s">
        <v>8</v>
      </c>
      <c r="AT89" s="27" t="s">
        <v>7</v>
      </c>
      <c r="AU89" s="27" t="s">
        <v>8</v>
      </c>
      <c r="AW89" s="27" t="s">
        <v>8</v>
      </c>
      <c r="AX89" s="19" t="s">
        <v>7</v>
      </c>
      <c r="AZ89" s="31" t="s">
        <v>7</v>
      </c>
      <c r="BA89" s="27" t="s">
        <v>8</v>
      </c>
      <c r="BB89" s="27" t="s">
        <v>7</v>
      </c>
    </row>
    <row r="90" spans="1:54" x14ac:dyDescent="0.25">
      <c r="A90" s="30">
        <v>19.194342495775089</v>
      </c>
      <c r="E90"/>
      <c r="W90" s="27" t="s">
        <v>8</v>
      </c>
      <c r="AG90" s="27" t="s">
        <v>8</v>
      </c>
      <c r="AH90" s="27" t="s">
        <v>7</v>
      </c>
      <c r="AI90" s="27" t="s">
        <v>8</v>
      </c>
      <c r="AR90" s="27" t="s">
        <v>7</v>
      </c>
      <c r="AS90" s="27" t="s">
        <v>8</v>
      </c>
      <c r="AT90" s="27" t="s">
        <v>7</v>
      </c>
      <c r="AU90" s="27" t="s">
        <v>8</v>
      </c>
      <c r="AV90" s="27" t="s">
        <v>7</v>
      </c>
      <c r="AW90" s="27" t="s">
        <v>8</v>
      </c>
      <c r="AY90" s="31"/>
      <c r="AZ90" s="34" t="s">
        <v>7</v>
      </c>
      <c r="BA90" s="27" t="s">
        <v>8</v>
      </c>
      <c r="BB90" s="27" t="s">
        <v>7</v>
      </c>
    </row>
    <row r="91" spans="1:54" x14ac:dyDescent="0.25">
      <c r="A91" s="30">
        <v>17.449402268886445</v>
      </c>
      <c r="E91"/>
      <c r="W91" s="27" t="s">
        <v>8</v>
      </c>
      <c r="X91" s="27" t="s">
        <v>7</v>
      </c>
      <c r="Y91" s="27" t="s">
        <v>8</v>
      </c>
      <c r="AE91" s="27" t="s">
        <v>8</v>
      </c>
      <c r="AG91" s="27" t="s">
        <v>8</v>
      </c>
      <c r="AH91" s="27" t="s">
        <v>7</v>
      </c>
      <c r="AR91" s="27" t="s">
        <v>7</v>
      </c>
      <c r="AS91" s="27" t="s">
        <v>8</v>
      </c>
      <c r="AT91" s="27" t="s">
        <v>7</v>
      </c>
      <c r="AU91" s="27" t="s">
        <v>8</v>
      </c>
      <c r="AV91" s="27" t="s">
        <v>7</v>
      </c>
      <c r="AW91" s="27" t="s">
        <v>8</v>
      </c>
      <c r="AX91" s="31"/>
      <c r="AZ91" s="27" t="s">
        <v>7</v>
      </c>
      <c r="BA91" s="27" t="s">
        <v>8</v>
      </c>
      <c r="BB91" s="27" t="s">
        <v>7</v>
      </c>
    </row>
    <row r="92" spans="1:54" x14ac:dyDescent="0.25">
      <c r="A92" s="30">
        <v>15.863092971714948</v>
      </c>
      <c r="C92" s="1" t="s">
        <v>15</v>
      </c>
      <c r="E92"/>
      <c r="W92" s="27" t="s">
        <v>8</v>
      </c>
      <c r="X92" s="27" t="s">
        <v>7</v>
      </c>
      <c r="Y92" s="27" t="s">
        <v>8</v>
      </c>
      <c r="Z92" s="27" t="s">
        <v>7</v>
      </c>
      <c r="AC92" s="27" t="s">
        <v>8</v>
      </c>
      <c r="AE92" s="27" t="s">
        <v>8</v>
      </c>
      <c r="AF92" s="27" t="s">
        <v>7</v>
      </c>
      <c r="AG92" s="27" t="s">
        <v>8</v>
      </c>
      <c r="AR92" s="32" t="s">
        <v>7</v>
      </c>
      <c r="AT92" s="32" t="s">
        <v>7</v>
      </c>
      <c r="AV92" s="27" t="s">
        <v>7</v>
      </c>
      <c r="AW92" s="31" t="s">
        <v>8</v>
      </c>
      <c r="AZ92" s="27" t="s">
        <v>7</v>
      </c>
      <c r="BB92" s="27" t="s">
        <v>7</v>
      </c>
    </row>
    <row r="93" spans="1:54" x14ac:dyDescent="0.25">
      <c r="A93" s="30">
        <v>14.420993610649951</v>
      </c>
      <c r="C93" s="7">
        <v>0.11167815779424731</v>
      </c>
      <c r="D93"/>
      <c r="E93"/>
      <c r="W93" s="27" t="s">
        <v>8</v>
      </c>
      <c r="X93" s="27" t="s">
        <v>7</v>
      </c>
      <c r="Y93" s="27" t="s">
        <v>8</v>
      </c>
      <c r="Z93" s="27" t="s">
        <v>7</v>
      </c>
      <c r="AC93" s="33" t="s">
        <v>8</v>
      </c>
      <c r="AD93" s="27" t="s">
        <v>7</v>
      </c>
      <c r="AE93" s="27" t="s">
        <v>8</v>
      </c>
      <c r="AF93" s="27" t="s">
        <v>7</v>
      </c>
      <c r="AG93" s="27" t="s">
        <v>8</v>
      </c>
      <c r="AV93" s="34" t="s">
        <v>7</v>
      </c>
      <c r="BB93" s="27" t="s">
        <v>7</v>
      </c>
    </row>
    <row r="94" spans="1:54" x14ac:dyDescent="0.25">
      <c r="A94" s="30">
        <v>13.109994191499954</v>
      </c>
      <c r="E94"/>
      <c r="W94" s="27" t="s">
        <v>8</v>
      </c>
      <c r="X94" s="27" t="s">
        <v>7</v>
      </c>
      <c r="Z94" s="27" t="s">
        <v>7</v>
      </c>
      <c r="AA94" s="27" t="s">
        <v>8</v>
      </c>
      <c r="AC94" s="27" t="s">
        <v>8</v>
      </c>
      <c r="AD94" s="27" t="s">
        <v>7</v>
      </c>
      <c r="AE94" s="27" t="s">
        <v>8</v>
      </c>
      <c r="AF94" s="27" t="s">
        <v>7</v>
      </c>
    </row>
    <row r="95" spans="1:54" x14ac:dyDescent="0.25">
      <c r="A95" s="30">
        <v>11.918176537727231</v>
      </c>
      <c r="C95" s="1" t="s">
        <v>11</v>
      </c>
      <c r="D95" s="1" t="s">
        <v>12</v>
      </c>
      <c r="E95"/>
      <c r="W95" s="27" t="s">
        <v>8</v>
      </c>
      <c r="Z95" s="34" t="s">
        <v>7</v>
      </c>
      <c r="AA95" s="27" t="s">
        <v>8</v>
      </c>
      <c r="AB95" s="27" t="s">
        <v>7</v>
      </c>
      <c r="AC95" s="27" t="s">
        <v>8</v>
      </c>
      <c r="AD95" s="27" t="s">
        <v>7</v>
      </c>
      <c r="AE95" s="27" t="s">
        <v>8</v>
      </c>
    </row>
    <row r="96" spans="1:54" x14ac:dyDescent="0.25">
      <c r="A96" s="30">
        <v>10.834705943388391</v>
      </c>
      <c r="C96"/>
      <c r="D96"/>
      <c r="E96"/>
      <c r="W96" s="27" t="s">
        <v>8</v>
      </c>
      <c r="Z96" s="27" t="s">
        <v>7</v>
      </c>
      <c r="AA96" s="27" t="s">
        <v>8</v>
      </c>
      <c r="AB96" s="27" t="s">
        <v>7</v>
      </c>
      <c r="AC96" s="27" t="s">
        <v>8</v>
      </c>
      <c r="AD96" s="27" t="s">
        <v>7</v>
      </c>
      <c r="AE96" s="27" t="s">
        <v>8</v>
      </c>
    </row>
    <row r="97" spans="1:31" x14ac:dyDescent="0.25">
      <c r="A97" s="30">
        <v>9.849732675807628</v>
      </c>
      <c r="E97"/>
      <c r="W97" s="27" t="s">
        <v>8</v>
      </c>
      <c r="Z97" s="27" t="s">
        <v>7</v>
      </c>
      <c r="AB97" s="27" t="s">
        <v>7</v>
      </c>
      <c r="AC97" s="27" t="s">
        <v>8</v>
      </c>
      <c r="AD97" s="27" t="s">
        <v>7</v>
      </c>
      <c r="AE97" s="27" t="s">
        <v>8</v>
      </c>
    </row>
    <row r="98" spans="1:31" x14ac:dyDescent="0.25">
      <c r="A98" s="30">
        <v>8.9543024325523888</v>
      </c>
      <c r="C98" s="1" t="s">
        <v>13</v>
      </c>
      <c r="E98"/>
      <c r="W98" s="27" t="s">
        <v>8</v>
      </c>
      <c r="AB98" s="27" t="s">
        <v>7</v>
      </c>
      <c r="AC98" s="27" t="s">
        <v>8</v>
      </c>
      <c r="AD98" s="27" t="s">
        <v>7</v>
      </c>
      <c r="AE98" s="27" t="s">
        <v>8</v>
      </c>
    </row>
    <row r="99" spans="1:31" x14ac:dyDescent="0.25">
      <c r="A99" s="30">
        <v>8.140274938683989</v>
      </c>
      <c r="C99" s="1">
        <f>C88</f>
        <v>0</v>
      </c>
      <c r="E99"/>
      <c r="W99" s="27" t="s">
        <v>8</v>
      </c>
      <c r="AB99" s="27" t="s">
        <v>7</v>
      </c>
      <c r="AC99" s="27" t="s">
        <v>8</v>
      </c>
      <c r="AD99" s="27" t="s">
        <v>7</v>
      </c>
    </row>
    <row r="100" spans="1:31" x14ac:dyDescent="0.25">
      <c r="A100" s="30">
        <v>7.4002499442581717</v>
      </c>
      <c r="C100"/>
      <c r="D100"/>
      <c r="E100"/>
      <c r="W100" s="27" t="s">
        <v>8</v>
      </c>
      <c r="AB100" s="27" t="s">
        <v>7</v>
      </c>
    </row>
    <row r="101" spans="1:31" x14ac:dyDescent="0.25">
      <c r="A101" s="30">
        <v>6.72749994932561</v>
      </c>
      <c r="C101" s="1" t="s">
        <v>14</v>
      </c>
      <c r="E101"/>
      <c r="W101" s="27" t="s">
        <v>8</v>
      </c>
    </row>
    <row r="102" spans="1:31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W102" s="27" t="s">
        <v>8</v>
      </c>
    </row>
    <row r="103" spans="1:31" x14ac:dyDescent="0.25">
      <c r="A103" s="30">
        <v>5.5599173134922388</v>
      </c>
      <c r="E103"/>
      <c r="W103" s="27" t="s">
        <v>8</v>
      </c>
    </row>
    <row r="104" spans="1:31" x14ac:dyDescent="0.25">
      <c r="A104" s="30">
        <v>5.0544702849929442</v>
      </c>
      <c r="E104"/>
      <c r="W104" s="27" t="s">
        <v>8</v>
      </c>
    </row>
    <row r="105" spans="1:31" x14ac:dyDescent="0.25">
      <c r="A105" s="30">
        <v>4.594972986357222</v>
      </c>
      <c r="E105"/>
      <c r="O105" s="32" t="s">
        <v>8</v>
      </c>
      <c r="Q105" s="32" t="s">
        <v>8</v>
      </c>
      <c r="W105" s="27" t="s">
        <v>8</v>
      </c>
    </row>
    <row r="106" spans="1:31" x14ac:dyDescent="0.25">
      <c r="A106" s="30">
        <v>4.1772481694156562</v>
      </c>
      <c r="E106"/>
      <c r="K106" s="27" t="s">
        <v>8</v>
      </c>
      <c r="O106" s="27" t="s">
        <v>8</v>
      </c>
      <c r="P106" s="27" t="s">
        <v>7</v>
      </c>
      <c r="Q106" s="27" t="s">
        <v>8</v>
      </c>
      <c r="R106" s="27" t="s">
        <v>7</v>
      </c>
      <c r="W106" s="27" t="s">
        <v>8</v>
      </c>
    </row>
    <row r="107" spans="1:31" x14ac:dyDescent="0.25">
      <c r="A107" s="30">
        <v>3.7974983358324148</v>
      </c>
      <c r="E107"/>
      <c r="K107" s="27" t="s">
        <v>8</v>
      </c>
      <c r="L107" s="27" t="s">
        <v>7</v>
      </c>
      <c r="O107" s="27" t="s">
        <v>8</v>
      </c>
      <c r="P107" s="27" t="s">
        <v>7</v>
      </c>
      <c r="Q107" s="27" t="s">
        <v>8</v>
      </c>
      <c r="R107" s="27" t="s">
        <v>7</v>
      </c>
      <c r="W107" s="27" t="s">
        <v>8</v>
      </c>
    </row>
    <row r="108" spans="1:31" x14ac:dyDescent="0.25">
      <c r="A108" s="30">
        <v>3.4522712143931042</v>
      </c>
      <c r="E108"/>
      <c r="K108" s="27" t="s">
        <v>8</v>
      </c>
      <c r="L108" s="27" t="s">
        <v>7</v>
      </c>
      <c r="O108" s="27" t="s">
        <v>8</v>
      </c>
      <c r="P108" s="27" t="s">
        <v>7</v>
      </c>
      <c r="R108" s="27" t="s">
        <v>7</v>
      </c>
      <c r="W108" s="27" t="s">
        <v>8</v>
      </c>
    </row>
    <row r="109" spans="1:31" x14ac:dyDescent="0.25">
      <c r="A109" s="30">
        <v>3.1384283767210035</v>
      </c>
      <c r="E109"/>
      <c r="K109" s="27" t="s">
        <v>8</v>
      </c>
      <c r="L109" s="27" t="s">
        <v>7</v>
      </c>
      <c r="M109" s="27" t="s">
        <v>8</v>
      </c>
      <c r="O109" s="27" t="s">
        <v>8</v>
      </c>
      <c r="R109" s="27" t="s">
        <v>7</v>
      </c>
      <c r="W109" s="27" t="s">
        <v>8</v>
      </c>
    </row>
    <row r="110" spans="1:31" x14ac:dyDescent="0.25">
      <c r="A110" s="30">
        <v>2.8531167061100029</v>
      </c>
      <c r="E110"/>
      <c r="K110" s="27" t="s">
        <v>8</v>
      </c>
      <c r="L110" s="27" t="s">
        <v>7</v>
      </c>
      <c r="M110" s="27" t="s">
        <v>8</v>
      </c>
      <c r="N110" s="27" t="s">
        <v>7</v>
      </c>
      <c r="O110" s="27" t="s">
        <v>8</v>
      </c>
      <c r="R110" s="27" t="s">
        <v>7</v>
      </c>
      <c r="W110" s="33" t="s">
        <v>8</v>
      </c>
    </row>
    <row r="111" spans="1:31" x14ac:dyDescent="0.25">
      <c r="A111" s="30">
        <v>2.5937424601000023</v>
      </c>
      <c r="C111" s="1" t="str">
        <f>ADDRESS(C121-1,1,1,1)</f>
        <v>$A$92</v>
      </c>
      <c r="D111" s="1" t="str">
        <f>ADDRESS(C121-1,D121,1,1)</f>
        <v>$BB$92</v>
      </c>
      <c r="E111"/>
      <c r="K111" s="27" t="s">
        <v>8</v>
      </c>
      <c r="L111" s="27" t="s">
        <v>7</v>
      </c>
      <c r="M111" s="27" t="s">
        <v>8</v>
      </c>
      <c r="N111" s="27" t="s">
        <v>7</v>
      </c>
      <c r="O111" s="27" t="s">
        <v>8</v>
      </c>
      <c r="R111" s="27" t="s">
        <v>7</v>
      </c>
      <c r="S111" s="32" t="s">
        <v>8</v>
      </c>
      <c r="U111" s="32" t="s">
        <v>8</v>
      </c>
      <c r="W111" s="27" t="s">
        <v>8</v>
      </c>
    </row>
    <row r="112" spans="1:31" x14ac:dyDescent="0.25">
      <c r="A112" s="30">
        <v>2.3579476910000019</v>
      </c>
      <c r="C112" s="1" t="str">
        <f>ADDRESS(C121,1,1,1)</f>
        <v>$A$93</v>
      </c>
      <c r="D112" s="1" t="str">
        <f>ADDRESS(C121,D121-1,1,1)</f>
        <v>$BA$93</v>
      </c>
      <c r="E112"/>
      <c r="K112" s="27" t="s">
        <v>8</v>
      </c>
      <c r="L112" s="27" t="s">
        <v>7</v>
      </c>
      <c r="M112" s="27" t="s">
        <v>8</v>
      </c>
      <c r="N112" s="27" t="s">
        <v>7</v>
      </c>
      <c r="O112" s="27" t="s">
        <v>8</v>
      </c>
      <c r="R112" s="27" t="s">
        <v>7</v>
      </c>
      <c r="S112" s="27" t="s">
        <v>8</v>
      </c>
      <c r="T112" s="27" t="s">
        <v>7</v>
      </c>
      <c r="U112" s="27" t="s">
        <v>8</v>
      </c>
      <c r="V112" s="27" t="s">
        <v>7</v>
      </c>
      <c r="W112" s="27" t="s">
        <v>8</v>
      </c>
    </row>
    <row r="113" spans="1:23" x14ac:dyDescent="0.25">
      <c r="A113" s="30">
        <v>2.1435888100000016</v>
      </c>
      <c r="C113" s="1" t="str">
        <f>ADDRESS(C121+1,1,1,1)</f>
        <v>$A$94</v>
      </c>
      <c r="D113" s="1" t="str">
        <f>ADDRESS(C121-1,D121+1,1,1)</f>
        <v>$BC$92</v>
      </c>
      <c r="K113" s="27" t="s">
        <v>8</v>
      </c>
      <c r="L113" s="27" t="s">
        <v>7</v>
      </c>
      <c r="M113" s="27" t="s">
        <v>8</v>
      </c>
      <c r="N113" s="27" t="s">
        <v>7</v>
      </c>
      <c r="O113" s="27" t="s">
        <v>8</v>
      </c>
      <c r="R113" s="27" t="s">
        <v>7</v>
      </c>
      <c r="S113" s="27" t="s">
        <v>8</v>
      </c>
      <c r="T113" s="27" t="s">
        <v>7</v>
      </c>
      <c r="U113" s="27" t="s">
        <v>8</v>
      </c>
      <c r="V113" s="27" t="s">
        <v>7</v>
      </c>
      <c r="W113" s="27" t="s">
        <v>8</v>
      </c>
    </row>
    <row r="114" spans="1:23" x14ac:dyDescent="0.25">
      <c r="A114" s="30">
        <v>1.9487171000000014</v>
      </c>
      <c r="C114" s="1" t="str">
        <f>ADDRESS(C121,D121,1,1)</f>
        <v>$BB$93</v>
      </c>
      <c r="D114" s="1" t="str">
        <f>ADDRESS(C121+1,D121+1,1,1)</f>
        <v>$BC$94</v>
      </c>
      <c r="K114" s="27" t="s">
        <v>8</v>
      </c>
      <c r="L114" s="27" t="s">
        <v>7</v>
      </c>
      <c r="M114" s="27" t="s">
        <v>8</v>
      </c>
      <c r="N114" s="27" t="s">
        <v>7</v>
      </c>
      <c r="O114" s="27" t="s">
        <v>8</v>
      </c>
      <c r="R114" s="27" t="s">
        <v>7</v>
      </c>
      <c r="S114" s="27" t="s">
        <v>8</v>
      </c>
      <c r="T114" s="27" t="s">
        <v>7</v>
      </c>
      <c r="U114" s="27" t="s">
        <v>8</v>
      </c>
      <c r="V114" s="27" t="s">
        <v>7</v>
      </c>
    </row>
    <row r="115" spans="1:23" x14ac:dyDescent="0.25">
      <c r="A115" s="30">
        <v>1.7715610000000011</v>
      </c>
      <c r="C115" s="1" t="str">
        <f>ADDRESS(C121+1,D121,1,1)</f>
        <v>$BB$94</v>
      </c>
      <c r="K115" s="27" t="s">
        <v>8</v>
      </c>
      <c r="L115" s="27" t="s">
        <v>7</v>
      </c>
      <c r="M115" s="27" t="s">
        <v>8</v>
      </c>
      <c r="N115" s="27" t="s">
        <v>7</v>
      </c>
      <c r="O115" s="27" t="s">
        <v>8</v>
      </c>
      <c r="R115" s="27" t="s">
        <v>7</v>
      </c>
      <c r="S115" s="27" t="s">
        <v>8</v>
      </c>
      <c r="T115" s="27" t="s">
        <v>7</v>
      </c>
      <c r="U115" s="27" t="s">
        <v>8</v>
      </c>
    </row>
    <row r="116" spans="1:23" x14ac:dyDescent="0.25">
      <c r="A116" s="30">
        <v>1.6105100000000008</v>
      </c>
      <c r="C116" s="1">
        <f>C117-1</f>
        <v>92</v>
      </c>
      <c r="K116" s="27" t="s">
        <v>8</v>
      </c>
      <c r="L116" s="27" t="s">
        <v>7</v>
      </c>
      <c r="M116" s="27" t="s">
        <v>8</v>
      </c>
      <c r="N116" s="27" t="s">
        <v>7</v>
      </c>
      <c r="R116" s="27" t="s">
        <v>7</v>
      </c>
      <c r="S116" s="27" t="s">
        <v>8</v>
      </c>
      <c r="T116" s="27" t="s">
        <v>7</v>
      </c>
    </row>
    <row r="117" spans="1:23" x14ac:dyDescent="0.25">
      <c r="A117" s="30">
        <v>1.4641000000000006</v>
      </c>
      <c r="C117" s="1">
        <f>C121</f>
        <v>93</v>
      </c>
      <c r="D117" s="1">
        <f>D121</f>
        <v>54</v>
      </c>
      <c r="I117" s="27" t="s">
        <v>8</v>
      </c>
      <c r="K117" s="27" t="s">
        <v>8</v>
      </c>
      <c r="L117" s="27" t="s">
        <v>7</v>
      </c>
      <c r="R117" s="27" t="s">
        <v>7</v>
      </c>
      <c r="S117" s="27" t="s">
        <v>8</v>
      </c>
    </row>
    <row r="118" spans="1:23" x14ac:dyDescent="0.25">
      <c r="A118" s="30">
        <v>1.3310000000000004</v>
      </c>
      <c r="C118" s="1">
        <f>C117+1</f>
        <v>94</v>
      </c>
      <c r="D118" s="1">
        <f>D117+1</f>
        <v>55</v>
      </c>
      <c r="I118" s="27" t="s">
        <v>8</v>
      </c>
      <c r="J118" s="27" t="s">
        <v>7</v>
      </c>
      <c r="K118" s="27" t="s">
        <v>8</v>
      </c>
      <c r="R118" s="27" t="s">
        <v>7</v>
      </c>
      <c r="S118" s="27" t="s">
        <v>8</v>
      </c>
    </row>
    <row r="119" spans="1:23" x14ac:dyDescent="0.25">
      <c r="A119" s="30">
        <v>1.2100000000000002</v>
      </c>
      <c r="I119" s="27" t="s">
        <v>8</v>
      </c>
      <c r="J119" s="27" t="s">
        <v>7</v>
      </c>
      <c r="K119" s="27" t="s">
        <v>8</v>
      </c>
      <c r="R119" s="27" t="s">
        <v>7</v>
      </c>
      <c r="S119" s="27" t="s">
        <v>8</v>
      </c>
    </row>
    <row r="120" spans="1:23" x14ac:dyDescent="0.25">
      <c r="A120" s="30">
        <v>1.1000000000000001</v>
      </c>
      <c r="C120" s="1" t="s">
        <v>9</v>
      </c>
      <c r="I120" s="27" t="s">
        <v>8</v>
      </c>
      <c r="J120" s="27" t="s">
        <v>7</v>
      </c>
      <c r="K120" s="27" t="s">
        <v>8</v>
      </c>
      <c r="R120" s="27" t="s">
        <v>7</v>
      </c>
      <c r="S120" s="27" t="s">
        <v>8</v>
      </c>
    </row>
    <row r="121" spans="1:23" x14ac:dyDescent="0.25">
      <c r="A121" s="30">
        <v>1</v>
      </c>
      <c r="C121" s="18">
        <v>93</v>
      </c>
      <c r="D121" s="19">
        <v>54</v>
      </c>
      <c r="E121" s="18" t="s">
        <v>8</v>
      </c>
      <c r="I121" s="27" t="s">
        <v>8</v>
      </c>
      <c r="J121" s="27" t="s">
        <v>7</v>
      </c>
      <c r="K121" s="27" t="s">
        <v>8</v>
      </c>
      <c r="R121" s="27" t="s">
        <v>7</v>
      </c>
      <c r="S121" s="27" t="s">
        <v>8</v>
      </c>
    </row>
    <row r="122" spans="1:23" x14ac:dyDescent="0.25">
      <c r="A122" s="30">
        <v>0.90909090909090895</v>
      </c>
      <c r="C122" s="1" t="str">
        <f>INDEX(1:1048576,C117,D117)</f>
        <v>O</v>
      </c>
      <c r="F122" s="27" t="s">
        <v>7</v>
      </c>
      <c r="I122" s="27" t="s">
        <v>8</v>
      </c>
      <c r="J122" s="27" t="s">
        <v>7</v>
      </c>
      <c r="R122" s="27" t="s">
        <v>7</v>
      </c>
      <c r="S122" s="27" t="s">
        <v>8</v>
      </c>
    </row>
    <row r="123" spans="1:23" x14ac:dyDescent="0.25">
      <c r="A123" s="30">
        <v>0.82644628099173523</v>
      </c>
      <c r="C123" s="1" t="str">
        <f>"R"&amp;C121</f>
        <v>R93</v>
      </c>
      <c r="D123" s="1" t="str">
        <f>"C"&amp;D121</f>
        <v>C54</v>
      </c>
      <c r="F123" s="27" t="s">
        <v>7</v>
      </c>
      <c r="I123" s="27" t="s">
        <v>8</v>
      </c>
      <c r="R123" s="27" t="s">
        <v>7</v>
      </c>
      <c r="S123" s="27" t="s">
        <v>8</v>
      </c>
    </row>
    <row r="124" spans="1:23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I124" s="27" t="s">
        <v>8</v>
      </c>
      <c r="R124" s="27" t="s">
        <v>7</v>
      </c>
      <c r="S124" s="27" t="s">
        <v>8</v>
      </c>
    </row>
    <row r="125" spans="1:23" x14ac:dyDescent="0.25">
      <c r="A125" s="30">
        <v>0.68301345536507019</v>
      </c>
      <c r="F125" s="27" t="s">
        <v>7</v>
      </c>
      <c r="I125" s="27" t="s">
        <v>8</v>
      </c>
      <c r="R125" s="27" t="s">
        <v>7</v>
      </c>
      <c r="S125" s="27" t="s">
        <v>8</v>
      </c>
    </row>
    <row r="126" spans="1:23" x14ac:dyDescent="0.25">
      <c r="A126" s="30">
        <v>0.6209213230591546</v>
      </c>
      <c r="C126" s="1" t="s">
        <v>10</v>
      </c>
      <c r="F126" s="27" t="s">
        <v>7</v>
      </c>
      <c r="I126" s="27" t="s">
        <v>8</v>
      </c>
      <c r="R126" s="27" t="s">
        <v>7</v>
      </c>
      <c r="S126" s="27" t="s">
        <v>8</v>
      </c>
    </row>
    <row r="127" spans="1:23" x14ac:dyDescent="0.25">
      <c r="A127" s="30">
        <v>0.56447393005377677</v>
      </c>
      <c r="C127" s="30">
        <v>14.420993610649951</v>
      </c>
      <c r="D127"/>
      <c r="F127" s="27" t="s">
        <v>7</v>
      </c>
      <c r="G127" s="27" t="s">
        <v>8</v>
      </c>
      <c r="I127" s="27" t="s">
        <v>8</v>
      </c>
      <c r="R127" s="27" t="s">
        <v>7</v>
      </c>
      <c r="S127" s="27" t="s">
        <v>8</v>
      </c>
    </row>
    <row r="128" spans="1:23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I128" s="27" t="s">
        <v>8</v>
      </c>
      <c r="R128" s="27" t="s">
        <v>7</v>
      </c>
      <c r="S128" s="27" t="s">
        <v>8</v>
      </c>
    </row>
    <row r="129" spans="1:19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I129" s="27" t="s">
        <v>8</v>
      </c>
      <c r="R129" s="27" t="s">
        <v>7</v>
      </c>
      <c r="S129" s="27" t="s">
        <v>8</v>
      </c>
    </row>
    <row r="130" spans="1:19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H130" s="27" t="s">
        <v>7</v>
      </c>
      <c r="R130" s="27" t="s">
        <v>7</v>
      </c>
      <c r="S130" s="27" t="s">
        <v>8</v>
      </c>
    </row>
    <row r="131" spans="1:19" x14ac:dyDescent="0.25">
      <c r="A131" s="30">
        <v>0.38554328942953109</v>
      </c>
      <c r="E131"/>
      <c r="F131" s="27" t="s">
        <v>7</v>
      </c>
      <c r="G131" s="27" t="s">
        <v>8</v>
      </c>
      <c r="R131" s="27" t="s">
        <v>7</v>
      </c>
      <c r="S131" s="27" t="s">
        <v>8</v>
      </c>
    </row>
    <row r="132" spans="1:19" x14ac:dyDescent="0.25">
      <c r="A132" s="30">
        <v>0.35049389948139187</v>
      </c>
      <c r="C132" s="1" t="s">
        <v>13</v>
      </c>
      <c r="E132"/>
      <c r="F132" s="27" t="s">
        <v>7</v>
      </c>
      <c r="R132" s="27" t="s">
        <v>7</v>
      </c>
      <c r="S132" s="27" t="s">
        <v>8</v>
      </c>
    </row>
    <row r="133" spans="1:19" x14ac:dyDescent="0.25">
      <c r="A133" s="30">
        <v>0.31863081771035617</v>
      </c>
      <c r="C133" s="1" t="str">
        <f>C122</f>
        <v>O</v>
      </c>
      <c r="E133"/>
      <c r="R133" s="27" t="s">
        <v>7</v>
      </c>
      <c r="S133" s="27" t="s">
        <v>8</v>
      </c>
    </row>
    <row r="134" spans="1:19" x14ac:dyDescent="0.25">
      <c r="A134" s="30">
        <v>0.28966437973668741</v>
      </c>
      <c r="C134"/>
      <c r="D134"/>
      <c r="E134"/>
      <c r="R134" s="27" t="s">
        <v>7</v>
      </c>
      <c r="S134" s="27" t="s">
        <v>8</v>
      </c>
    </row>
    <row r="135" spans="1:19" x14ac:dyDescent="0.25">
      <c r="A135" s="30">
        <v>0.2633312543060794</v>
      </c>
      <c r="C135" s="1" t="s">
        <v>14</v>
      </c>
      <c r="E135"/>
      <c r="R135" s="27" t="s">
        <v>7</v>
      </c>
      <c r="S135" s="27" t="s">
        <v>8</v>
      </c>
    </row>
    <row r="136" spans="1:19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R136" s="27" t="s">
        <v>7</v>
      </c>
      <c r="S136" s="27" t="s">
        <v>8</v>
      </c>
    </row>
    <row r="137" spans="1:19" x14ac:dyDescent="0.25">
      <c r="A137" s="30">
        <v>0.2176291357901482</v>
      </c>
      <c r="E137"/>
      <c r="R137" s="27" t="s">
        <v>7</v>
      </c>
      <c r="S137" s="27" t="s">
        <v>8</v>
      </c>
    </row>
    <row r="138" spans="1:19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R138" s="27" t="s">
        <v>7</v>
      </c>
      <c r="S138" s="27" t="s">
        <v>8</v>
      </c>
    </row>
    <row r="139" spans="1:19" x14ac:dyDescent="0.25">
      <c r="A139" s="30">
        <v>0.17985878990921333</v>
      </c>
      <c r="E139"/>
      <c r="R139" s="27" t="s">
        <v>7</v>
      </c>
      <c r="S139" s="27" t="s">
        <v>8</v>
      </c>
    </row>
    <row r="140" spans="1:19" x14ac:dyDescent="0.25">
      <c r="A140" s="30">
        <v>0.16350799082655756</v>
      </c>
      <c r="C140" s="1">
        <v>0</v>
      </c>
      <c r="E140"/>
      <c r="R140" s="27" t="s">
        <v>7</v>
      </c>
      <c r="S140" s="27" t="s">
        <v>8</v>
      </c>
    </row>
    <row r="141" spans="1:19" x14ac:dyDescent="0.25">
      <c r="A141" s="30">
        <v>0.14864362802414322</v>
      </c>
      <c r="C141" s="1">
        <v>1</v>
      </c>
      <c r="E141"/>
      <c r="R141" s="27" t="s">
        <v>7</v>
      </c>
      <c r="S141" s="27" t="s">
        <v>8</v>
      </c>
    </row>
    <row r="142" spans="1:19" x14ac:dyDescent="0.25">
      <c r="A142" s="30">
        <v>0.13513057093103928</v>
      </c>
      <c r="C142" s="1">
        <v>2</v>
      </c>
      <c r="E142"/>
      <c r="R142" s="27" t="s">
        <v>7</v>
      </c>
      <c r="S142" s="27" t="s">
        <v>8</v>
      </c>
    </row>
    <row r="143" spans="1:19" x14ac:dyDescent="0.25">
      <c r="A143" s="30">
        <v>0.12284597357367205</v>
      </c>
      <c r="C143" s="1">
        <v>3</v>
      </c>
      <c r="E143"/>
      <c r="R143" s="27" t="s">
        <v>7</v>
      </c>
      <c r="S143" s="27" t="s">
        <v>8</v>
      </c>
    </row>
    <row r="144" spans="1:19" x14ac:dyDescent="0.25">
      <c r="A144" s="30">
        <v>0.11167815779424731</v>
      </c>
      <c r="C144" s="1">
        <v>4</v>
      </c>
      <c r="E144"/>
      <c r="R144" s="27" t="s">
        <v>7</v>
      </c>
      <c r="S144" s="27" t="s">
        <v>8</v>
      </c>
    </row>
    <row r="145" spans="1:19" x14ac:dyDescent="0.25">
      <c r="A145" s="30">
        <v>0.10152559799477026</v>
      </c>
      <c r="B145"/>
      <c r="C145"/>
      <c r="D145"/>
      <c r="E145"/>
      <c r="R145" s="27" t="s">
        <v>7</v>
      </c>
      <c r="S145" s="27" t="s">
        <v>8</v>
      </c>
    </row>
    <row r="146" spans="1:19" x14ac:dyDescent="0.25">
      <c r="A146" s="30">
        <v>9.2295998177063854E-2</v>
      </c>
      <c r="B146"/>
      <c r="C146"/>
      <c r="D146"/>
      <c r="E146"/>
      <c r="R146" s="27" t="s">
        <v>7</v>
      </c>
      <c r="S146" s="27" t="s">
        <v>8</v>
      </c>
    </row>
    <row r="147" spans="1:19" x14ac:dyDescent="0.25">
      <c r="A147" s="30">
        <v>8.3905452888239848E-2</v>
      </c>
      <c r="B147"/>
      <c r="C147"/>
      <c r="D147"/>
      <c r="E147"/>
      <c r="R147" s="27" t="s">
        <v>7</v>
      </c>
      <c r="S147" s="27" t="s">
        <v>8</v>
      </c>
    </row>
    <row r="148" spans="1:19" x14ac:dyDescent="0.25">
      <c r="A148" s="30">
        <v>7.6277684443854396E-2</v>
      </c>
      <c r="B148"/>
      <c r="C148"/>
      <c r="D148"/>
      <c r="E148"/>
      <c r="R148" s="27" t="s">
        <v>7</v>
      </c>
      <c r="S148" s="27" t="s">
        <v>8</v>
      </c>
    </row>
    <row r="149" spans="1:19" x14ac:dyDescent="0.25">
      <c r="A149" s="30">
        <v>6.9343349494413078E-2</v>
      </c>
      <c r="B149"/>
      <c r="C149"/>
      <c r="D149"/>
      <c r="E149"/>
      <c r="R149" s="27" t="s">
        <v>7</v>
      </c>
      <c r="S149" s="27" t="s">
        <v>8</v>
      </c>
    </row>
    <row r="150" spans="1:19" x14ac:dyDescent="0.25">
      <c r="A150" s="30">
        <v>6.3039408631284613E-2</v>
      </c>
      <c r="B150"/>
      <c r="C150"/>
      <c r="D150"/>
      <c r="E150"/>
      <c r="R150" s="27" t="s">
        <v>7</v>
      </c>
      <c r="S150" s="27" t="s">
        <v>8</v>
      </c>
    </row>
    <row r="151" spans="1:19" x14ac:dyDescent="0.25">
      <c r="A151" s="30">
        <v>5.7308553301167818E-2</v>
      </c>
      <c r="B151"/>
      <c r="C151"/>
      <c r="D151"/>
      <c r="E151"/>
      <c r="R151" s="27" t="s">
        <v>7</v>
      </c>
      <c r="S151" s="27" t="s">
        <v>8</v>
      </c>
    </row>
    <row r="152" spans="1:19" x14ac:dyDescent="0.25">
      <c r="A152" s="30">
        <v>5.2098684819243464E-2</v>
      </c>
      <c r="B152"/>
      <c r="C152"/>
      <c r="D152"/>
      <c r="E152"/>
      <c r="R152" s="27" t="s">
        <v>7</v>
      </c>
      <c r="S152" s="27" t="s">
        <v>8</v>
      </c>
    </row>
    <row r="153" spans="1:19" x14ac:dyDescent="0.25">
      <c r="A153" s="30">
        <v>4.7362440744766775E-2</v>
      </c>
      <c r="B153"/>
      <c r="C153"/>
      <c r="D153"/>
      <c r="E153"/>
      <c r="R153" s="27" t="s">
        <v>7</v>
      </c>
      <c r="S153" s="27" t="s">
        <v>8</v>
      </c>
    </row>
    <row r="154" spans="1:19" x14ac:dyDescent="0.25">
      <c r="A154" s="30">
        <v>4.3056764313424332E-2</v>
      </c>
      <c r="B154"/>
      <c r="C154"/>
      <c r="D154"/>
      <c r="E154"/>
      <c r="R154" s="27" t="s">
        <v>7</v>
      </c>
      <c r="S154" s="27" t="s">
        <v>8</v>
      </c>
    </row>
    <row r="155" spans="1:19" x14ac:dyDescent="0.25">
      <c r="A155" s="30">
        <v>3.9142513012203929E-2</v>
      </c>
      <c r="B155"/>
      <c r="C155"/>
      <c r="D155"/>
      <c r="E155"/>
      <c r="R155" s="27" t="s">
        <v>7</v>
      </c>
      <c r="S155" s="27" t="s">
        <v>8</v>
      </c>
    </row>
    <row r="156" spans="1:19" x14ac:dyDescent="0.25">
      <c r="A156" s="30">
        <v>3.55841027383672E-2</v>
      </c>
      <c r="B156"/>
      <c r="C156"/>
      <c r="D156"/>
      <c r="E156"/>
      <c r="R156" s="27" t="s">
        <v>7</v>
      </c>
      <c r="S156" s="27" t="s">
        <v>8</v>
      </c>
    </row>
    <row r="157" spans="1:19" x14ac:dyDescent="0.25">
      <c r="A157" s="30">
        <v>3.2349184307606541E-2</v>
      </c>
      <c r="B157"/>
      <c r="C157"/>
      <c r="D157"/>
      <c r="E157"/>
      <c r="R157" s="27" t="s">
        <v>7</v>
      </c>
      <c r="S157" s="27" t="s">
        <v>8</v>
      </c>
    </row>
    <row r="158" spans="1:19" x14ac:dyDescent="0.25">
      <c r="A158" s="30">
        <v>2.9408349370551395E-2</v>
      </c>
      <c r="B158"/>
      <c r="C158"/>
      <c r="D158"/>
      <c r="E158"/>
      <c r="R158" s="27" t="s">
        <v>7</v>
      </c>
      <c r="S158" s="27" t="s">
        <v>8</v>
      </c>
    </row>
    <row r="159" spans="1:19" x14ac:dyDescent="0.25">
      <c r="A159" s="30">
        <v>2.6734863064137627E-2</v>
      </c>
      <c r="B159"/>
      <c r="C159"/>
      <c r="D159"/>
      <c r="E159"/>
      <c r="R159" s="27" t="s">
        <v>7</v>
      </c>
      <c r="S159" s="27" t="s">
        <v>8</v>
      </c>
    </row>
    <row r="160" spans="1:19" x14ac:dyDescent="0.25">
      <c r="A160" s="30">
        <v>2.4304420967397839E-2</v>
      </c>
      <c r="B160"/>
      <c r="C160"/>
      <c r="D160"/>
      <c r="E160"/>
      <c r="R160" s="27" t="s">
        <v>7</v>
      </c>
      <c r="S160" s="27" t="s">
        <v>8</v>
      </c>
    </row>
    <row r="161" spans="1:19" x14ac:dyDescent="0.25">
      <c r="A161" s="30">
        <v>2.2094928152179852E-2</v>
      </c>
      <c r="B161"/>
      <c r="C161"/>
      <c r="D161"/>
      <c r="E161"/>
      <c r="R161" s="27" t="s">
        <v>7</v>
      </c>
      <c r="S161" s="27" t="s">
        <v>8</v>
      </c>
    </row>
    <row r="162" spans="1:19" x14ac:dyDescent="0.25">
      <c r="A162" s="30">
        <v>2.0086298320163499E-2</v>
      </c>
      <c r="B162"/>
      <c r="C162"/>
      <c r="D162"/>
      <c r="E162"/>
      <c r="R162" s="27" t="s">
        <v>7</v>
      </c>
      <c r="S162" s="27" t="s">
        <v>8</v>
      </c>
    </row>
    <row r="163" spans="1:19" x14ac:dyDescent="0.25">
      <c r="A163" s="30">
        <v>1.8260271200148632E-2</v>
      </c>
      <c r="B163"/>
      <c r="C163"/>
      <c r="D163"/>
      <c r="E163"/>
      <c r="R163" s="27" t="s">
        <v>7</v>
      </c>
      <c r="S163" s="27" t="s">
        <v>8</v>
      </c>
    </row>
    <row r="164" spans="1:19" x14ac:dyDescent="0.25">
      <c r="A164" s="30">
        <v>1.6600246545589663E-2</v>
      </c>
      <c r="B164"/>
      <c r="C164"/>
      <c r="D164"/>
      <c r="E164"/>
      <c r="R164" s="27" t="s">
        <v>7</v>
      </c>
      <c r="S164" s="27" t="s">
        <v>8</v>
      </c>
    </row>
    <row r="165" spans="1:19" x14ac:dyDescent="0.25">
      <c r="A165" s="30">
        <v>1.5091133223263328E-2</v>
      </c>
      <c r="B165"/>
      <c r="C165"/>
      <c r="D165"/>
      <c r="E165"/>
      <c r="R165" s="27" t="s">
        <v>7</v>
      </c>
      <c r="S165" s="27" t="s">
        <v>8</v>
      </c>
    </row>
    <row r="166" spans="1:19" x14ac:dyDescent="0.25">
      <c r="A166" s="30">
        <v>1.3719212021148477E-2</v>
      </c>
      <c r="B166"/>
      <c r="C166"/>
      <c r="D166"/>
      <c r="E166"/>
      <c r="R166" s="27" t="s">
        <v>7</v>
      </c>
      <c r="S166" s="27" t="s">
        <v>8</v>
      </c>
    </row>
    <row r="167" spans="1:19" x14ac:dyDescent="0.25">
      <c r="A167" s="30">
        <v>1.2472010928316795E-2</v>
      </c>
      <c r="B167"/>
      <c r="C167"/>
      <c r="D167"/>
      <c r="E167"/>
      <c r="R167" s="27" t="s">
        <v>7</v>
      </c>
      <c r="S167" s="27" t="s">
        <v>8</v>
      </c>
    </row>
    <row r="168" spans="1:19" x14ac:dyDescent="0.25">
      <c r="A168" s="30">
        <v>1.1338191753015267E-2</v>
      </c>
      <c r="B168"/>
      <c r="C168"/>
      <c r="D168"/>
      <c r="E168"/>
      <c r="R168" s="27" t="s">
        <v>7</v>
      </c>
      <c r="S168" s="27" t="s">
        <v>8</v>
      </c>
    </row>
    <row r="169" spans="1:19" x14ac:dyDescent="0.25">
      <c r="A169" s="30">
        <v>1.0307447048195697E-2</v>
      </c>
      <c r="B169"/>
      <c r="C169"/>
      <c r="D169"/>
      <c r="E169"/>
      <c r="R169" s="27" t="s">
        <v>7</v>
      </c>
      <c r="S169" s="27" t="s">
        <v>8</v>
      </c>
    </row>
    <row r="170" spans="1:19" x14ac:dyDescent="0.25">
      <c r="A170" s="30">
        <v>9.3704064074506318E-3</v>
      </c>
      <c r="B170"/>
      <c r="C170"/>
      <c r="D170"/>
      <c r="E170"/>
      <c r="R170" s="27" t="s">
        <v>7</v>
      </c>
      <c r="S170" s="27" t="s">
        <v>8</v>
      </c>
    </row>
    <row r="171" spans="1:19" x14ac:dyDescent="0.25">
      <c r="A171" s="30">
        <v>8.5185512795005747E-3</v>
      </c>
      <c r="R171" s="27" t="s">
        <v>7</v>
      </c>
      <c r="S171" s="27" t="s">
        <v>8</v>
      </c>
    </row>
    <row r="172" spans="1:19" x14ac:dyDescent="0.25">
      <c r="A172" s="30">
        <v>7.744137526818704E-3</v>
      </c>
      <c r="R172" s="27" t="s">
        <v>7</v>
      </c>
      <c r="S172" s="27" t="s">
        <v>8</v>
      </c>
    </row>
    <row r="173" spans="1:19" x14ac:dyDescent="0.25">
      <c r="A173" s="30">
        <v>7.0401250243806394E-3</v>
      </c>
      <c r="R173" s="27" t="s">
        <v>7</v>
      </c>
      <c r="S173" s="27" t="s">
        <v>8</v>
      </c>
    </row>
    <row r="174" spans="1:19" x14ac:dyDescent="0.25">
      <c r="A174" s="30">
        <v>6.4001136585278536E-3</v>
      </c>
      <c r="R174" s="27" t="s">
        <v>7</v>
      </c>
      <c r="S174" s="27" t="s">
        <v>8</v>
      </c>
    </row>
    <row r="175" spans="1:19" x14ac:dyDescent="0.25">
      <c r="A175" s="30">
        <v>5.8182851441162305E-3</v>
      </c>
      <c r="R175" s="27" t="s">
        <v>7</v>
      </c>
      <c r="S175" s="27" t="s">
        <v>8</v>
      </c>
    </row>
    <row r="176" spans="1:19" x14ac:dyDescent="0.25">
      <c r="A176" s="30">
        <v>5.2893501310147546E-3</v>
      </c>
      <c r="R176" s="27" t="s">
        <v>7</v>
      </c>
      <c r="S176" s="27" t="s">
        <v>8</v>
      </c>
    </row>
    <row r="177" spans="1:19" x14ac:dyDescent="0.25">
      <c r="A177" s="30">
        <v>4.8085001191043222E-3</v>
      </c>
      <c r="R177" s="27" t="s">
        <v>7</v>
      </c>
      <c r="S177" s="27" t="s">
        <v>8</v>
      </c>
    </row>
    <row r="178" spans="1:19" x14ac:dyDescent="0.25">
      <c r="A178" s="30">
        <v>4.3713637446402926E-3</v>
      </c>
      <c r="R178" s="27" t="s">
        <v>7</v>
      </c>
      <c r="S178" s="27" t="s">
        <v>8</v>
      </c>
    </row>
    <row r="179" spans="1:19" x14ac:dyDescent="0.25">
      <c r="A179" s="30">
        <v>3.9739670405820838E-3</v>
      </c>
      <c r="R179" s="27" t="s">
        <v>7</v>
      </c>
      <c r="S179" s="27" t="s">
        <v>8</v>
      </c>
    </row>
    <row r="180" spans="1:19" x14ac:dyDescent="0.25">
      <c r="A180" s="30">
        <v>3.6126973096200759E-3</v>
      </c>
      <c r="R180" s="27" t="s">
        <v>7</v>
      </c>
      <c r="S180" s="27" t="s">
        <v>8</v>
      </c>
    </row>
    <row r="181" spans="1:19" x14ac:dyDescent="0.25">
      <c r="A181" s="30">
        <v>3.2842702814727962E-3</v>
      </c>
      <c r="R181" s="27" t="s">
        <v>7</v>
      </c>
      <c r="S181" s="27" t="s">
        <v>8</v>
      </c>
    </row>
    <row r="182" spans="1:19" x14ac:dyDescent="0.25">
      <c r="A182" s="30">
        <v>2.9857002558843601E-3</v>
      </c>
      <c r="R182" s="27" t="s">
        <v>7</v>
      </c>
      <c r="S182" s="27" t="s">
        <v>8</v>
      </c>
    </row>
    <row r="183" spans="1:19" x14ac:dyDescent="0.25">
      <c r="A183" s="30">
        <v>2.7142729598948726E-3</v>
      </c>
      <c r="R183" s="27" t="s">
        <v>7</v>
      </c>
      <c r="S183" s="27" t="s">
        <v>8</v>
      </c>
    </row>
    <row r="184" spans="1:19" x14ac:dyDescent="0.25">
      <c r="A184" s="30">
        <v>2.4675208726317021E-3</v>
      </c>
      <c r="R184" s="27" t="s">
        <v>7</v>
      </c>
      <c r="S184" s="27" t="s">
        <v>8</v>
      </c>
    </row>
    <row r="185" spans="1:19" x14ac:dyDescent="0.25">
      <c r="A185" s="30">
        <v>2.2432007933015472E-3</v>
      </c>
      <c r="R185" s="27" t="s">
        <v>7</v>
      </c>
      <c r="S185" s="27" t="s">
        <v>8</v>
      </c>
    </row>
    <row r="186" spans="1:19" x14ac:dyDescent="0.25">
      <c r="A186" s="30">
        <v>2.0392734484559519E-3</v>
      </c>
      <c r="R186" s="27" t="s">
        <v>7</v>
      </c>
      <c r="S186" s="27" t="s">
        <v>8</v>
      </c>
    </row>
    <row r="187" spans="1:19" x14ac:dyDescent="0.25">
      <c r="A187" s="30">
        <v>1.8538849531417744E-3</v>
      </c>
      <c r="R187" s="27" t="s">
        <v>7</v>
      </c>
      <c r="S187" s="27" t="s">
        <v>8</v>
      </c>
    </row>
    <row r="188" spans="1:19" x14ac:dyDescent="0.25">
      <c r="A188" s="30">
        <v>1.6853499574016129E-3</v>
      </c>
      <c r="R188" s="27" t="s">
        <v>7</v>
      </c>
      <c r="S188" s="27" t="s">
        <v>8</v>
      </c>
    </row>
    <row r="189" spans="1:19" x14ac:dyDescent="0.25">
      <c r="A189" s="30">
        <v>1.5321363249105571E-3</v>
      </c>
      <c r="R189" s="27" t="s">
        <v>7</v>
      </c>
      <c r="S189" s="27" t="s">
        <v>8</v>
      </c>
    </row>
    <row r="190" spans="1:19" x14ac:dyDescent="0.25">
      <c r="A190" s="30">
        <v>1.3928512044641427E-3</v>
      </c>
      <c r="R190" s="27" t="s">
        <v>7</v>
      </c>
      <c r="S190" s="27" t="s">
        <v>8</v>
      </c>
    </row>
    <row r="191" spans="1:19" x14ac:dyDescent="0.25">
      <c r="A191" s="30">
        <v>1.2662283676946752E-3</v>
      </c>
      <c r="R191" s="27" t="s">
        <v>7</v>
      </c>
      <c r="S191" s="27" t="s">
        <v>8</v>
      </c>
    </row>
    <row r="192" spans="1:19" x14ac:dyDescent="0.25">
      <c r="A192" s="30">
        <v>1.15111669790425E-3</v>
      </c>
      <c r="R192" s="27" t="s">
        <v>7</v>
      </c>
      <c r="S192" s="27" t="s">
        <v>8</v>
      </c>
    </row>
    <row r="193" spans="1:19" x14ac:dyDescent="0.25">
      <c r="A193" s="30">
        <v>1.0464697253675E-3</v>
      </c>
      <c r="R193" s="27" t="s">
        <v>7</v>
      </c>
      <c r="S193" s="27" t="s">
        <v>8</v>
      </c>
    </row>
    <row r="194" spans="1:19" x14ac:dyDescent="0.25">
      <c r="A194" s="30">
        <v>9.5133611397045449E-4</v>
      </c>
      <c r="R194" s="27" t="s">
        <v>7</v>
      </c>
      <c r="S194" s="27" t="s">
        <v>8</v>
      </c>
    </row>
    <row r="195" spans="1:19" x14ac:dyDescent="0.25">
      <c r="A195" s="30">
        <v>8.6485101270041313E-4</v>
      </c>
      <c r="R195" s="27" t="s">
        <v>7</v>
      </c>
      <c r="S195" s="27" t="s">
        <v>8</v>
      </c>
    </row>
    <row r="196" spans="1:19" x14ac:dyDescent="0.25">
      <c r="A196" s="30">
        <v>7.862281933640119E-4</v>
      </c>
      <c r="R196" s="27" t="s">
        <v>7</v>
      </c>
      <c r="S196" s="27" t="s">
        <v>8</v>
      </c>
    </row>
    <row r="197" spans="1:19" x14ac:dyDescent="0.25">
      <c r="A197" s="30">
        <v>7.0760537402761068E-4</v>
      </c>
      <c r="R197" s="27" t="s">
        <v>7</v>
      </c>
      <c r="S197" s="27" t="s">
        <v>8</v>
      </c>
    </row>
    <row r="198" spans="1:19" x14ac:dyDescent="0.25">
      <c r="A198" s="30">
        <v>6.368448366248496E-4</v>
      </c>
      <c r="R198" s="27" t="s">
        <v>7</v>
      </c>
      <c r="S198" s="27" t="s">
        <v>8</v>
      </c>
    </row>
    <row r="199" spans="1:19" x14ac:dyDescent="0.25">
      <c r="A199" s="30">
        <v>5.7316035296236471E-4</v>
      </c>
      <c r="R199" s="27" t="s">
        <v>7</v>
      </c>
      <c r="S199" s="27" t="s">
        <v>8</v>
      </c>
    </row>
    <row r="200" spans="1:19" x14ac:dyDescent="0.25">
      <c r="A200" s="30">
        <v>5.1584431766612821E-4</v>
      </c>
      <c r="R200" s="27" t="s">
        <v>7</v>
      </c>
      <c r="S200" s="27" t="s">
        <v>8</v>
      </c>
    </row>
    <row r="201" spans="1:19" x14ac:dyDescent="0.25">
      <c r="A201" s="30">
        <v>4.6425988589951538E-4</v>
      </c>
      <c r="R201" s="27" t="s">
        <v>7</v>
      </c>
      <c r="S201" s="27" t="s">
        <v>8</v>
      </c>
    </row>
    <row r="202" spans="1:19" x14ac:dyDescent="0.25">
      <c r="A202" s="30">
        <v>4.1783389730956383E-4</v>
      </c>
      <c r="R202" s="27" t="s">
        <v>7</v>
      </c>
      <c r="S202" s="27" t="s">
        <v>8</v>
      </c>
    </row>
    <row r="203" spans="1:19" x14ac:dyDescent="0.25">
      <c r="A203" s="30">
        <v>3.7605050757860746E-4</v>
      </c>
      <c r="R203" s="27" t="s">
        <v>7</v>
      </c>
      <c r="S203" s="27" t="s">
        <v>8</v>
      </c>
    </row>
    <row r="204" spans="1:19" x14ac:dyDescent="0.25">
      <c r="A204" s="30">
        <v>3.3844545682074675E-4</v>
      </c>
      <c r="R204" s="27" t="s">
        <v>7</v>
      </c>
      <c r="S204" s="27" t="s">
        <v>8</v>
      </c>
    </row>
    <row r="205" spans="1:19" x14ac:dyDescent="0.25">
      <c r="A205" s="30">
        <v>3.0460091113867208E-4</v>
      </c>
      <c r="R205" s="27" t="s">
        <v>7</v>
      </c>
      <c r="S205" s="27" t="s">
        <v>8</v>
      </c>
    </row>
    <row r="206" spans="1:19" x14ac:dyDescent="0.25">
      <c r="A206" s="30">
        <v>2.7414082002480487E-4</v>
      </c>
      <c r="R206" s="27" t="s">
        <v>7</v>
      </c>
      <c r="S206" s="27" t="s">
        <v>8</v>
      </c>
    </row>
    <row r="207" spans="1:19" x14ac:dyDescent="0.25">
      <c r="A207" s="30">
        <v>2.4672673802232442E-4</v>
      </c>
      <c r="R207" s="27" t="s">
        <v>7</v>
      </c>
      <c r="S207" s="27" t="s">
        <v>8</v>
      </c>
    </row>
    <row r="208" spans="1:19" x14ac:dyDescent="0.25">
      <c r="A208" s="30">
        <v>2.2205406422009198E-4</v>
      </c>
      <c r="R208" s="27" t="s">
        <v>7</v>
      </c>
      <c r="S208" s="27" t="s">
        <v>8</v>
      </c>
    </row>
    <row r="209" spans="1:19" x14ac:dyDescent="0.25">
      <c r="A209" s="30">
        <v>1.998486577980828E-4</v>
      </c>
      <c r="R209" s="27" t="s">
        <v>7</v>
      </c>
      <c r="S209" s="27" t="s">
        <v>8</v>
      </c>
    </row>
    <row r="210" spans="1:19" x14ac:dyDescent="0.25">
      <c r="A210" s="30">
        <v>1.7986379201827453E-4</v>
      </c>
      <c r="R210" s="27" t="s">
        <v>7</v>
      </c>
      <c r="S210" s="27" t="s">
        <v>8</v>
      </c>
    </row>
    <row r="211" spans="1:19" x14ac:dyDescent="0.25">
      <c r="A211" s="30">
        <v>1.6187741281644709E-4</v>
      </c>
      <c r="R211" s="27" t="s">
        <v>7</v>
      </c>
      <c r="S211" s="27" t="s">
        <v>8</v>
      </c>
    </row>
    <row r="212" spans="1:19" x14ac:dyDescent="0.25">
      <c r="A212" s="30">
        <v>1.4568967153480238E-4</v>
      </c>
      <c r="R212" s="27" t="s">
        <v>7</v>
      </c>
      <c r="S212" s="27" t="s">
        <v>8</v>
      </c>
    </row>
    <row r="213" spans="1:19" x14ac:dyDescent="0.25">
      <c r="A213" s="30">
        <v>1.3112070438132215E-4</v>
      </c>
      <c r="R213" s="27" t="s">
        <v>7</v>
      </c>
      <c r="S213" s="27" t="s">
        <v>8</v>
      </c>
    </row>
    <row r="214" spans="1:19" x14ac:dyDescent="0.25">
      <c r="A214" s="30">
        <v>1.1800863394318995E-4</v>
      </c>
      <c r="R214" s="27" t="s">
        <v>7</v>
      </c>
      <c r="S214" s="27" t="s">
        <v>8</v>
      </c>
    </row>
    <row r="215" spans="1:19" x14ac:dyDescent="0.25">
      <c r="A215" s="30">
        <v>1.0620777054887096E-4</v>
      </c>
      <c r="R215" s="27" t="s">
        <v>7</v>
      </c>
    </row>
    <row r="216" spans="1:19" x14ac:dyDescent="0.25">
      <c r="A216" s="30">
        <v>9.5586993493983861E-5</v>
      </c>
    </row>
    <row r="217" spans="1:19" x14ac:dyDescent="0.25">
      <c r="A217" s="30">
        <v>8.6028294144585476E-5</v>
      </c>
    </row>
    <row r="218" spans="1:19" x14ac:dyDescent="0.25">
      <c r="A218" s="30">
        <v>7.7425464730126924E-5</v>
      </c>
    </row>
    <row r="219" spans="1:19" x14ac:dyDescent="0.25">
      <c r="A219" s="30">
        <v>6.9682918257114228E-5</v>
      </c>
    </row>
    <row r="220" spans="1:19" x14ac:dyDescent="0.25">
      <c r="A220" s="30">
        <v>6.2714626431402813E-5</v>
      </c>
    </row>
    <row r="221" spans="1:19" x14ac:dyDescent="0.25">
      <c r="A221" s="30">
        <v>5.6443163788262536E-5</v>
      </c>
    </row>
    <row r="222" spans="1:19" x14ac:dyDescent="0.25">
      <c r="A222" s="30">
        <v>5.0798847409436286E-5</v>
      </c>
    </row>
    <row r="223" spans="1:19" x14ac:dyDescent="0.25">
      <c r="A223" s="30">
        <v>4.5718962668492656E-5</v>
      </c>
    </row>
    <row r="224" spans="1:19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12" operator="equal">
      <formula>$U$1</formula>
    </cfRule>
    <cfRule type="cellIs" dxfId="30" priority="1513" operator="equal">
      <formula>$S$1</formula>
    </cfRule>
  </conditionalFormatting>
  <conditionalFormatting sqref="D136">
    <cfRule type="cellIs" dxfId="29" priority="1510" operator="equal">
      <formula>$S$1</formula>
    </cfRule>
    <cfRule type="cellIs" dxfId="28" priority="1511" operator="equal">
      <formula>$U$1</formula>
    </cfRule>
  </conditionalFormatting>
  <conditionalFormatting sqref="C102">
    <cfRule type="cellIs" dxfId="27" priority="1508" operator="equal">
      <formula>$U$1</formula>
    </cfRule>
    <cfRule type="cellIs" dxfId="26" priority="1509" operator="equal">
      <formula>$S$1</formula>
    </cfRule>
  </conditionalFormatting>
  <conditionalFormatting sqref="D102">
    <cfRule type="cellIs" dxfId="25" priority="1506" operator="equal">
      <formula>$S$1</formula>
    </cfRule>
    <cfRule type="cellIs" dxfId="24" priority="1507" operator="equal">
      <formula>$U$1</formula>
    </cfRule>
  </conditionalFormatting>
  <conditionalFormatting sqref="C77">
    <cfRule type="cellIs" dxfId="23" priority="1504" operator="equal">
      <formula>$U$1</formula>
    </cfRule>
    <cfRule type="cellIs" dxfId="22" priority="1505" operator="equal">
      <formula>$S$1</formula>
    </cfRule>
  </conditionalFormatting>
  <conditionalFormatting sqref="D77">
    <cfRule type="cellIs" dxfId="21" priority="1502" operator="equal">
      <formula>$S$1</formula>
    </cfRule>
    <cfRule type="cellIs" dxfId="20" priority="1503" operator="equal">
      <formula>$U$1</formula>
    </cfRule>
  </conditionalFormatting>
  <conditionalFormatting sqref="C52">
    <cfRule type="cellIs" dxfId="19" priority="1500" operator="equal">
      <formula>$U$1</formula>
    </cfRule>
    <cfRule type="cellIs" dxfId="18" priority="1501" operator="equal">
      <formula>$S$1</formula>
    </cfRule>
  </conditionalFormatting>
  <conditionalFormatting sqref="D52">
    <cfRule type="cellIs" dxfId="17" priority="1498" operator="equal">
      <formula>$S$1</formula>
    </cfRule>
    <cfRule type="cellIs" dxfId="16" priority="1499" operator="equal">
      <formula>$U$1</formula>
    </cfRule>
  </conditionalFormatting>
  <conditionalFormatting sqref="C26">
    <cfRule type="cellIs" dxfId="15" priority="1496" operator="equal">
      <formula>$U$1</formula>
    </cfRule>
    <cfRule type="cellIs" dxfId="14" priority="1497" operator="equal">
      <formula>$S$1</formula>
    </cfRule>
  </conditionalFormatting>
  <conditionalFormatting sqref="D26">
    <cfRule type="cellIs" dxfId="13" priority="1494" operator="equal">
      <formula>$S$1</formula>
    </cfRule>
    <cfRule type="cellIs" dxfId="12" priority="149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13.938696110832291</v>
      </c>
      <c r="F3" s="30">
        <v>14.635630916373906</v>
      </c>
      <c r="G3" s="30">
        <v>30.426425535513939</v>
      </c>
      <c r="H3" s="25">
        <f>IF(G3="","",(3*(G3-F3))+E3)</f>
        <v>61.311079968252393</v>
      </c>
      <c r="I3" s="7"/>
      <c r="J3" s="7">
        <f>(E3+G3)/2</f>
        <v>22.182560823173116</v>
      </c>
      <c r="K3" s="7">
        <f>H3/2</f>
        <v>30.655539984126197</v>
      </c>
      <c r="M3" s="26">
        <f>IF(OR(J3="",H3=""),"",H3/J3)</f>
        <v>2.7639315612381186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2022-01-28T01:18:22Z</dcterms:modified>
</cp:coreProperties>
</file>