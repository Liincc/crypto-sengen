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15A11EF-1FD6-4AF2-A1F0-ED3090164DD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22" i="4"/>
  <c r="C133" i="4" s="1"/>
  <c r="D136" i="4" s="1"/>
  <c r="C118" i="4"/>
  <c r="D118" i="4"/>
  <c r="C118" i="3"/>
  <c r="R765" i="1"/>
  <c r="S765" i="1" s="1"/>
  <c r="T765" i="1" s="1"/>
  <c r="S766" i="1"/>
  <c r="T766" i="1" s="1"/>
  <c r="R764" i="1"/>
  <c r="C122" i="3"/>
  <c r="C133" i="3" s="1"/>
  <c r="D136" i="3" s="1"/>
  <c r="C136" i="5" l="1"/>
  <c r="C138" i="5" s="1"/>
  <c r="C136" i="4"/>
  <c r="C138" i="4" s="1"/>
  <c r="R763" i="1"/>
  <c r="S764" i="1"/>
  <c r="T764" i="1" s="1"/>
  <c r="C136" i="3"/>
  <c r="C138" i="3" s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S753" i="1" l="1"/>
  <c r="T753" i="1" s="1"/>
  <c r="R752" i="1"/>
  <c r="S752" i="1" l="1"/>
  <c r="T752" i="1" s="1"/>
  <c r="R751" i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R746" i="1" l="1"/>
  <c r="S747" i="1"/>
  <c r="T747" i="1" s="1"/>
  <c r="R745" i="1" l="1"/>
  <c r="S746" i="1"/>
  <c r="T746" i="1" s="1"/>
  <c r="S745" i="1" l="1"/>
  <c r="T745" i="1" s="1"/>
  <c r="R744" i="1"/>
  <c r="S744" i="1" l="1"/>
  <c r="T744" i="1" s="1"/>
  <c r="R743" i="1"/>
  <c r="R742" i="1" l="1"/>
  <c r="S743" i="1"/>
  <c r="T743" i="1" s="1"/>
  <c r="R741" i="1" l="1"/>
  <c r="S742" i="1"/>
  <c r="T742" i="1" s="1"/>
  <c r="S741" i="1" l="1"/>
  <c r="T741" i="1" s="1"/>
  <c r="R740" i="1"/>
  <c r="S740" i="1" l="1"/>
  <c r="T740" i="1" s="1"/>
  <c r="R739" i="1"/>
  <c r="R738" i="1" l="1"/>
  <c r="S739" i="1"/>
  <c r="T739" i="1" s="1"/>
  <c r="R737" i="1" l="1"/>
  <c r="S738" i="1"/>
  <c r="T738" i="1" s="1"/>
  <c r="R736" i="1" l="1"/>
  <c r="S737" i="1"/>
  <c r="T737" i="1" s="1"/>
  <c r="S736" i="1" l="1"/>
  <c r="T736" i="1" s="1"/>
  <c r="R735" i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R730" i="1" l="1"/>
  <c r="S731" i="1"/>
  <c r="T731" i="1" s="1"/>
  <c r="R729" i="1" l="1"/>
  <c r="S730" i="1"/>
  <c r="T730" i="1" s="1"/>
  <c r="S729" i="1" l="1"/>
  <c r="T729" i="1" s="1"/>
  <c r="R728" i="1"/>
  <c r="S728" i="1" l="1"/>
  <c r="T728" i="1" s="1"/>
  <c r="R727" i="1"/>
  <c r="S727" i="1" l="1"/>
  <c r="T727" i="1" s="1"/>
  <c r="R726" i="1"/>
  <c r="R725" i="1" l="1"/>
  <c r="S726" i="1"/>
  <c r="T726" i="1" s="1"/>
  <c r="R724" i="1" l="1"/>
  <c r="S725" i="1"/>
  <c r="T725" i="1" s="1"/>
  <c r="S724" i="1" l="1"/>
  <c r="T724" i="1" s="1"/>
  <c r="R723" i="1"/>
  <c r="S723" i="1" l="1"/>
  <c r="T723" i="1" s="1"/>
  <c r="R722" i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S716" i="1" l="1"/>
  <c r="T716" i="1" s="1"/>
  <c r="R715" i="1"/>
  <c r="S715" i="1" l="1"/>
  <c r="T715" i="1" s="1"/>
  <c r="R714" i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R709" i="1" l="1"/>
  <c r="S710" i="1"/>
  <c r="T710" i="1" s="1"/>
  <c r="R708" i="1" l="1"/>
  <c r="S709" i="1"/>
  <c r="T709" i="1" s="1"/>
  <c r="S708" i="1" l="1"/>
  <c r="T708" i="1" s="1"/>
  <c r="R707" i="1"/>
  <c r="S707" i="1" l="1"/>
  <c r="T707" i="1" s="1"/>
  <c r="R706" i="1"/>
  <c r="R705" i="1" l="1"/>
  <c r="S706" i="1"/>
  <c r="T706" i="1" s="1"/>
  <c r="R704" i="1" l="1"/>
  <c r="S705" i="1"/>
  <c r="T705" i="1" s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R693" i="1" l="1"/>
  <c r="S694" i="1"/>
  <c r="T694" i="1" s="1"/>
  <c r="R692" i="1" l="1"/>
  <c r="S693" i="1"/>
  <c r="T693" i="1" s="1"/>
  <c r="S692" i="1" l="1"/>
  <c r="T692" i="1" s="1"/>
  <c r="R691" i="1"/>
  <c r="S691" i="1" l="1"/>
  <c r="T691" i="1" s="1"/>
  <c r="R690" i="1"/>
  <c r="S690" i="1" l="1"/>
  <c r="T690" i="1" s="1"/>
  <c r="R689" i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R682" i="1" l="1"/>
  <c r="S683" i="1"/>
  <c r="T683" i="1" s="1"/>
  <c r="S682" i="1" l="1"/>
  <c r="T682" i="1" s="1"/>
  <c r="R681" i="1"/>
  <c r="S681" i="1" l="1"/>
  <c r="T681" i="1" s="1"/>
  <c r="R680" i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R672" i="1" l="1"/>
  <c r="S673" i="1"/>
  <c r="T673" i="1" s="1"/>
  <c r="S672" i="1" l="1"/>
  <c r="T672" i="1" s="1"/>
  <c r="R671" i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S665" i="1" l="1"/>
  <c r="T665" i="1" s="1"/>
  <c r="R664" i="1"/>
  <c r="R663" i="1" l="1"/>
  <c r="S664" i="1"/>
  <c r="T664" i="1" s="1"/>
  <c r="R662" i="1" l="1"/>
  <c r="S663" i="1"/>
  <c r="T663" i="1" s="1"/>
  <c r="S662" i="1" l="1"/>
  <c r="T662" i="1" s="1"/>
  <c r="R661" i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R654" i="1" l="1"/>
  <c r="S655" i="1"/>
  <c r="T655" i="1" s="1"/>
  <c r="R653" i="1" l="1"/>
  <c r="S654" i="1"/>
  <c r="T654" i="1" s="1"/>
  <c r="S653" i="1" l="1"/>
  <c r="T653" i="1" s="1"/>
  <c r="R652" i="1"/>
  <c r="R651" i="1" l="1"/>
  <c r="S652" i="1"/>
  <c r="T652" i="1" s="1"/>
  <c r="S651" i="1" l="1"/>
  <c r="T651" i="1" s="1"/>
  <c r="R650" i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S639" i="1" l="1"/>
  <c r="T639" i="1" s="1"/>
  <c r="R638" i="1"/>
  <c r="S638" i="1" l="1"/>
  <c r="T638" i="1" s="1"/>
  <c r="R637" i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R631" i="1" l="1"/>
  <c r="S632" i="1"/>
  <c r="T632" i="1" s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S627" i="1" l="1"/>
  <c r="T627" i="1" s="1"/>
  <c r="R626" i="1"/>
  <c r="S626" i="1" l="1"/>
  <c r="T626" i="1" s="1"/>
  <c r="R625" i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R609" i="1" l="1"/>
  <c r="S610" i="1"/>
  <c r="T610" i="1" s="1"/>
  <c r="R608" i="1" l="1"/>
  <c r="S609" i="1"/>
  <c r="T609" i="1" s="1"/>
  <c r="S608" i="1" l="1"/>
  <c r="T608" i="1" s="1"/>
  <c r="R607" i="1"/>
  <c r="S607" i="1" l="1"/>
  <c r="T607" i="1" s="1"/>
  <c r="R606" i="1"/>
  <c r="R605" i="1" l="1"/>
  <c r="S606" i="1"/>
  <c r="T606" i="1" s="1"/>
  <c r="R604" i="1" l="1"/>
  <c r="S605" i="1"/>
  <c r="T605" i="1" s="1"/>
  <c r="R603" i="1" l="1"/>
  <c r="S604" i="1"/>
  <c r="T604" i="1" s="1"/>
  <c r="S603" i="1" l="1"/>
  <c r="T603" i="1" s="1"/>
  <c r="R602" i="1"/>
  <c r="S602" i="1" l="1"/>
  <c r="T602" i="1" s="1"/>
  <c r="R601" i="1"/>
  <c r="R600" i="1" l="1"/>
  <c r="S601" i="1"/>
  <c r="T601" i="1" s="1"/>
  <c r="S600" i="1" l="1"/>
  <c r="T600" i="1" s="1"/>
  <c r="R599" i="1"/>
  <c r="S599" i="1" l="1"/>
  <c r="T599" i="1" s="1"/>
  <c r="R598" i="1"/>
  <c r="R597" i="1" l="1"/>
  <c r="S598" i="1"/>
  <c r="T598" i="1" s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S587" i="1" l="1"/>
  <c r="T587" i="1" s="1"/>
  <c r="R586" i="1"/>
  <c r="S586" i="1" l="1"/>
  <c r="T586" i="1" s="1"/>
  <c r="R585" i="1"/>
  <c r="R584" i="1" l="1"/>
  <c r="S585" i="1"/>
  <c r="T585" i="1" s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S575" i="1" l="1"/>
  <c r="T575" i="1" s="1"/>
  <c r="R574" i="1"/>
  <c r="S574" i="1" l="1"/>
  <c r="T574" i="1" s="1"/>
  <c r="R573" i="1"/>
  <c r="S573" i="1" l="1"/>
  <c r="T573" i="1" s="1"/>
  <c r="R572" i="1"/>
  <c r="R571" i="1" l="1"/>
  <c r="S572" i="1"/>
  <c r="T572" i="1" s="1"/>
  <c r="R570" i="1" l="1"/>
  <c r="S571" i="1"/>
  <c r="T571" i="1" s="1"/>
  <c r="S570" i="1" l="1"/>
  <c r="T570" i="1" s="1"/>
  <c r="R569" i="1"/>
  <c r="S569" i="1" l="1"/>
  <c r="T569" i="1" s="1"/>
  <c r="R568" i="1"/>
  <c r="S568" i="1" l="1"/>
  <c r="T568" i="1" s="1"/>
  <c r="R567" i="1"/>
  <c r="R566" i="1" l="1"/>
  <c r="S567" i="1"/>
  <c r="T567" i="1" s="1"/>
  <c r="R565" i="1" l="1"/>
  <c r="S566" i="1"/>
  <c r="T566" i="1" s="1"/>
  <c r="S565" i="1" l="1"/>
  <c r="T565" i="1" s="1"/>
  <c r="R564" i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S558" i="1" l="1"/>
  <c r="T558" i="1" s="1"/>
  <c r="R557" i="1"/>
  <c r="R556" i="1" l="1"/>
  <c r="S557" i="1"/>
  <c r="T557" i="1" s="1"/>
  <c r="R555" i="1" l="1"/>
  <c r="S556" i="1"/>
  <c r="T556" i="1" s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R548" i="1" l="1"/>
  <c r="S549" i="1"/>
  <c r="T549" i="1" s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R543" i="1" l="1"/>
  <c r="S544" i="1"/>
  <c r="T544" i="1" s="1"/>
  <c r="S543" i="1" l="1"/>
  <c r="T543" i="1" s="1"/>
  <c r="R542" i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S533" i="1" l="1"/>
  <c r="T533" i="1" s="1"/>
  <c r="R532" i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S525" i="1" l="1"/>
  <c r="T525" i="1" s="1"/>
  <c r="R524" i="1"/>
  <c r="R523" i="1" l="1"/>
  <c r="S524" i="1"/>
  <c r="T524" i="1" s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S519" i="1" l="1"/>
  <c r="T519" i="1" s="1"/>
  <c r="R518" i="1"/>
  <c r="S518" i="1" l="1"/>
  <c r="T518" i="1" s="1"/>
  <c r="R517" i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R489" i="1" l="1"/>
  <c r="S490" i="1"/>
  <c r="T490" i="1" s="1"/>
  <c r="S489" i="1" l="1"/>
  <c r="T489" i="1" s="1"/>
  <c r="R488" i="1"/>
  <c r="S488" i="1" l="1"/>
  <c r="T488" i="1" s="1"/>
  <c r="R487" i="1"/>
  <c r="S487" i="1" l="1"/>
  <c r="T487" i="1" s="1"/>
  <c r="R486" i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S469" i="1" l="1"/>
  <c r="T469" i="1" s="1"/>
  <c r="R468" i="1"/>
  <c r="S468" i="1" l="1"/>
  <c r="T468" i="1" s="1"/>
  <c r="R467" i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S463" i="1" l="1"/>
  <c r="T463" i="1" s="1"/>
  <c r="R462" i="1"/>
  <c r="S462" i="1" l="1"/>
  <c r="T462" i="1" s="1"/>
  <c r="R461" i="1"/>
  <c r="R460" i="1" l="1"/>
  <c r="S461" i="1"/>
  <c r="T461" i="1" s="1"/>
  <c r="S460" i="1" l="1"/>
  <c r="T460" i="1" s="1"/>
  <c r="R459" i="1"/>
  <c r="R458" i="1" l="1"/>
  <c r="S459" i="1"/>
  <c r="T459" i="1" s="1"/>
  <c r="R457" i="1" l="1"/>
  <c r="S458" i="1"/>
  <c r="T458" i="1" s="1"/>
  <c r="R456" i="1" l="1"/>
  <c r="S457" i="1"/>
  <c r="T457" i="1" s="1"/>
  <c r="S456" i="1" l="1"/>
  <c r="T456" i="1" s="1"/>
  <c r="R455" i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R448" i="1" l="1"/>
  <c r="S449" i="1"/>
  <c r="T449" i="1" s="1"/>
  <c r="S448" i="1" l="1"/>
  <c r="T448" i="1" s="1"/>
  <c r="R447" i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S440" i="1" l="1"/>
  <c r="T440" i="1" s="1"/>
  <c r="R439" i="1"/>
  <c r="R438" i="1" l="1"/>
  <c r="S439" i="1"/>
  <c r="T439" i="1" s="1"/>
  <c r="S438" i="1" l="1"/>
  <c r="T438" i="1" s="1"/>
  <c r="R437" i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R427" i="1" l="1"/>
  <c r="S428" i="1"/>
  <c r="T428" i="1" s="1"/>
  <c r="R426" i="1" l="1"/>
  <c r="S427" i="1"/>
  <c r="T427" i="1" s="1"/>
  <c r="S426" i="1" l="1"/>
  <c r="T426" i="1" s="1"/>
  <c r="R425" i="1"/>
  <c r="S425" i="1" l="1"/>
  <c r="T425" i="1" s="1"/>
  <c r="R424" i="1"/>
  <c r="R423" i="1" l="1"/>
  <c r="S424" i="1"/>
  <c r="T424" i="1" s="1"/>
  <c r="R422" i="1" l="1"/>
  <c r="S423" i="1"/>
  <c r="T423" i="1" s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S411" i="1" l="1"/>
  <c r="T411" i="1" s="1"/>
  <c r="R410" i="1"/>
  <c r="R409" i="1" l="1"/>
  <c r="S410" i="1"/>
  <c r="T410" i="1" s="1"/>
  <c r="S409" i="1" l="1"/>
  <c r="T409" i="1" s="1"/>
  <c r="R408" i="1"/>
  <c r="S408" i="1" l="1"/>
  <c r="T408" i="1" s="1"/>
  <c r="R407" i="1"/>
  <c r="S407" i="1" l="1"/>
  <c r="T407" i="1" s="1"/>
  <c r="R406" i="1"/>
  <c r="R405" i="1" l="1"/>
  <c r="S406" i="1"/>
  <c r="T406" i="1" s="1"/>
  <c r="S405" i="1" l="1"/>
  <c r="T405" i="1" s="1"/>
  <c r="R404" i="1"/>
  <c r="S404" i="1" l="1"/>
  <c r="T404" i="1" s="1"/>
  <c r="R403" i="1"/>
  <c r="S403" i="1" l="1"/>
  <c r="T403" i="1" s="1"/>
  <c r="R402" i="1"/>
  <c r="R401" i="1" l="1"/>
  <c r="S402" i="1"/>
  <c r="T402" i="1" s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S391" i="1" l="1"/>
  <c r="T391" i="1" s="1"/>
  <c r="R390" i="1"/>
  <c r="S390" i="1" l="1"/>
  <c r="T390" i="1" s="1"/>
  <c r="R389" i="1"/>
  <c r="S389" i="1" l="1"/>
  <c r="T389" i="1" s="1"/>
  <c r="R388" i="1"/>
  <c r="R387" i="1" l="1"/>
  <c r="S388" i="1"/>
  <c r="T388" i="1" s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S381" i="1" l="1"/>
  <c r="T381" i="1" s="1"/>
  <c r="R380" i="1"/>
  <c r="R379" i="1" l="1"/>
  <c r="S380" i="1"/>
  <c r="T380" i="1" s="1"/>
  <c r="R378" i="1" l="1"/>
  <c r="S379" i="1"/>
  <c r="T379" i="1" s="1"/>
  <c r="S378" i="1" l="1"/>
  <c r="T378" i="1" s="1"/>
  <c r="R377" i="1"/>
  <c r="S377" i="1" l="1"/>
  <c r="T377" i="1" s="1"/>
  <c r="R376" i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R371" i="1" l="1"/>
  <c r="S372" i="1"/>
  <c r="T372" i="1" s="1"/>
  <c r="R370" i="1" l="1"/>
  <c r="S371" i="1"/>
  <c r="T371" i="1" s="1"/>
  <c r="S370" i="1" l="1"/>
  <c r="T370" i="1" s="1"/>
  <c r="R369" i="1"/>
  <c r="S369" i="1" l="1"/>
  <c r="T369" i="1" s="1"/>
  <c r="R368" i="1"/>
  <c r="S368" i="1" l="1"/>
  <c r="T368" i="1" s="1"/>
  <c r="R367" i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R362" i="1" l="1"/>
  <c r="S363" i="1"/>
  <c r="T363" i="1" s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S357" i="1" l="1"/>
  <c r="T357" i="1" s="1"/>
  <c r="R356" i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S345" i="1" l="1"/>
  <c r="T345" i="1" s="1"/>
  <c r="R344" i="1"/>
  <c r="R343" i="1" l="1"/>
  <c r="S344" i="1"/>
  <c r="T344" i="1" s="1"/>
  <c r="S343" i="1" l="1"/>
  <c r="T343" i="1" s="1"/>
  <c r="R342" i="1"/>
  <c r="S342" i="1" l="1"/>
  <c r="T342" i="1" s="1"/>
  <c r="R341" i="1"/>
  <c r="S341" i="1" l="1"/>
  <c r="T341" i="1" s="1"/>
  <c r="R340" i="1"/>
  <c r="S340" i="1" l="1"/>
  <c r="T340" i="1" s="1"/>
  <c r="R339" i="1"/>
  <c r="R338" i="1" l="1"/>
  <c r="S339" i="1"/>
  <c r="T339" i="1" s="1"/>
  <c r="S338" i="1" l="1"/>
  <c r="T338" i="1" s="1"/>
  <c r="R337" i="1"/>
  <c r="S337" i="1" l="1"/>
  <c r="T337" i="1" s="1"/>
  <c r="R336" i="1"/>
  <c r="R335" i="1" l="1"/>
  <c r="S336" i="1"/>
  <c r="T336" i="1" s="1"/>
  <c r="R334" i="1" l="1"/>
  <c r="S335" i="1"/>
  <c r="T335" i="1" s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S327" i="1" l="1"/>
  <c r="T327" i="1" s="1"/>
  <c r="R326" i="1"/>
  <c r="S326" i="1" l="1"/>
  <c r="T326" i="1" s="1"/>
  <c r="R325" i="1"/>
  <c r="R324" i="1" l="1"/>
  <c r="S325" i="1"/>
  <c r="T325" i="1" s="1"/>
  <c r="R323" i="1" l="1"/>
  <c r="S324" i="1"/>
  <c r="T324" i="1" s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R311" i="1" l="1"/>
  <c r="S312" i="1"/>
  <c r="T312" i="1" s="1"/>
  <c r="R310" i="1" l="1"/>
  <c r="S311" i="1"/>
  <c r="T311" i="1" s="1"/>
  <c r="S310" i="1" l="1"/>
  <c r="T310" i="1" s="1"/>
  <c r="R309" i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S297" i="1" l="1"/>
  <c r="T297" i="1" s="1"/>
  <c r="R296" i="1"/>
  <c r="S296" i="1" l="1"/>
  <c r="T296" i="1" s="1"/>
  <c r="R295" i="1"/>
  <c r="R294" i="1" l="1"/>
  <c r="S295" i="1"/>
  <c r="T295" i="1" s="1"/>
  <c r="R293" i="1" l="1"/>
  <c r="S294" i="1"/>
  <c r="T294" i="1" s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R288" i="1" l="1"/>
  <c r="S289" i="1"/>
  <c r="T289" i="1" s="1"/>
  <c r="S288" i="1" l="1"/>
  <c r="T288" i="1" s="1"/>
  <c r="R287" i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S270" i="1" l="1"/>
  <c r="T270" i="1" s="1"/>
  <c r="R269" i="1"/>
  <c r="R268" i="1" l="1"/>
  <c r="S269" i="1"/>
  <c r="T269" i="1" s="1"/>
  <c r="R267" i="1" l="1"/>
  <c r="S268" i="1"/>
  <c r="T268" i="1" s="1"/>
  <c r="S267" i="1" l="1"/>
  <c r="T267" i="1" s="1"/>
  <c r="R266" i="1"/>
  <c r="S266" i="1" l="1"/>
  <c r="T266" i="1" s="1"/>
  <c r="R265" i="1"/>
  <c r="R264" i="1" l="1"/>
  <c r="S265" i="1"/>
  <c r="T265" i="1" s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R251" i="1" l="1"/>
  <c r="S252" i="1"/>
  <c r="T252" i="1" s="1"/>
  <c r="S251" i="1" l="1"/>
  <c r="T251" i="1" s="1"/>
  <c r="R250" i="1"/>
  <c r="S250" i="1" l="1"/>
  <c r="T250" i="1" s="1"/>
  <c r="R249" i="1"/>
  <c r="R248" i="1" l="1"/>
  <c r="S249" i="1"/>
  <c r="T249" i="1" s="1"/>
  <c r="S248" i="1" l="1"/>
  <c r="T248" i="1" s="1"/>
  <c r="R247" i="1"/>
  <c r="S247" i="1" l="1"/>
  <c r="T247" i="1" s="1"/>
  <c r="R246" i="1"/>
  <c r="S246" i="1" l="1"/>
  <c r="T246" i="1" s="1"/>
  <c r="R245" i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R232" i="1" l="1"/>
  <c r="S233" i="1"/>
  <c r="T233" i="1" s="1"/>
  <c r="S232" i="1" l="1"/>
  <c r="T232" i="1" s="1"/>
  <c r="R231" i="1"/>
  <c r="S231" i="1" l="1"/>
  <c r="T231" i="1" s="1"/>
  <c r="R230" i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S219" i="1" l="1"/>
  <c r="T219" i="1" s="1"/>
  <c r="R218" i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S207" i="1" l="1"/>
  <c r="T207" i="1" s="1"/>
  <c r="R206" i="1"/>
  <c r="S206" i="1" l="1"/>
  <c r="T206" i="1" s="1"/>
  <c r="R205" i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S185" i="1" l="1"/>
  <c r="T185" i="1" s="1"/>
  <c r="R184" i="1"/>
  <c r="R183" i="1" l="1"/>
  <c r="S184" i="1"/>
  <c r="T184" i="1" s="1"/>
  <c r="R182" i="1" l="1"/>
  <c r="S183" i="1"/>
  <c r="T183" i="1" s="1"/>
  <c r="S182" i="1" l="1"/>
  <c r="T182" i="1" s="1"/>
  <c r="R181" i="1"/>
  <c r="S181" i="1" l="1"/>
  <c r="T181" i="1" s="1"/>
  <c r="R180" i="1"/>
  <c r="S180" i="1" l="1"/>
  <c r="T180" i="1" s="1"/>
  <c r="R179" i="1"/>
  <c r="R178" i="1" l="1"/>
  <c r="S179" i="1"/>
  <c r="T179" i="1" s="1"/>
  <c r="R177" i="1" l="1"/>
  <c r="S178" i="1"/>
  <c r="T178" i="1" s="1"/>
  <c r="S177" i="1" l="1"/>
  <c r="T177" i="1" s="1"/>
  <c r="R176" i="1"/>
  <c r="S176" i="1" l="1"/>
  <c r="T176" i="1" s="1"/>
  <c r="R175" i="1"/>
  <c r="R174" i="1" l="1"/>
  <c r="S175" i="1"/>
  <c r="T175" i="1" s="1"/>
  <c r="S174" i="1" l="1"/>
  <c r="T174" i="1" s="1"/>
  <c r="R173" i="1"/>
  <c r="S173" i="1" l="1"/>
  <c r="T173" i="1" s="1"/>
  <c r="R172" i="1"/>
  <c r="R171" i="1" l="1"/>
  <c r="S172" i="1"/>
  <c r="T172" i="1" s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S162" i="1" l="1"/>
  <c r="T162" i="1" s="1"/>
  <c r="R161" i="1"/>
  <c r="S161" i="1" l="1"/>
  <c r="T161" i="1" s="1"/>
  <c r="R160" i="1"/>
  <c r="R159" i="1" l="1"/>
  <c r="S160" i="1"/>
  <c r="T160" i="1" s="1"/>
  <c r="R158" i="1" l="1"/>
  <c r="S159" i="1"/>
  <c r="T159" i="1" s="1"/>
  <c r="S158" i="1" l="1"/>
  <c r="T158" i="1" s="1"/>
  <c r="R157" i="1"/>
  <c r="S157" i="1" l="1"/>
  <c r="T157" i="1" s="1"/>
  <c r="R156" i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S152" i="1" l="1"/>
  <c r="T152" i="1" s="1"/>
  <c r="R151" i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R146" i="1" l="1"/>
  <c r="S147" i="1"/>
  <c r="T147" i="1" s="1"/>
  <c r="R145" i="1" l="1"/>
  <c r="S146" i="1"/>
  <c r="T146" i="1" s="1"/>
  <c r="S145" i="1" l="1"/>
  <c r="T145" i="1" s="1"/>
  <c r="R144" i="1"/>
  <c r="R143" i="1" l="1"/>
  <c r="S144" i="1"/>
  <c r="T144" i="1" s="1"/>
  <c r="R142" i="1" l="1"/>
  <c r="S143" i="1"/>
  <c r="T143" i="1" s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S130" i="1" l="1"/>
  <c r="T130" i="1" s="1"/>
  <c r="R129" i="1"/>
  <c r="S129" i="1" l="1"/>
  <c r="T129" i="1" s="1"/>
  <c r="R128" i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S121" i="1" l="1"/>
  <c r="T121" i="1" s="1"/>
  <c r="R120" i="1"/>
  <c r="S120" i="1" l="1"/>
  <c r="T120" i="1" s="1"/>
  <c r="R119" i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S105" i="1" l="1"/>
  <c r="T105" i="1" s="1"/>
  <c r="R104" i="1"/>
  <c r="R103" i="1" l="1"/>
  <c r="S104" i="1"/>
  <c r="T104" i="1" s="1"/>
  <c r="R102" i="1" l="1"/>
  <c r="S103" i="1"/>
  <c r="T103" i="1" s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S98" i="1" l="1"/>
  <c r="T98" i="1" s="1"/>
  <c r="R97" i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S91" i="1" l="1"/>
  <c r="T91" i="1" s="1"/>
  <c r="R90" i="1"/>
  <c r="S90" i="1" l="1"/>
  <c r="T90" i="1" s="1"/>
  <c r="R89" i="1"/>
  <c r="R88" i="1" l="1"/>
  <c r="S89" i="1"/>
  <c r="T89" i="1" s="1"/>
  <c r="S88" i="1" l="1"/>
  <c r="T88" i="1" s="1"/>
  <c r="R87" i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S83" i="1" l="1"/>
  <c r="T83" i="1" s="1"/>
  <c r="R82" i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S73" i="1" l="1"/>
  <c r="T73" i="1" s="1"/>
  <c r="R72" i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R62" i="1" l="1"/>
  <c r="S63" i="1"/>
  <c r="T63" i="1" s="1"/>
  <c r="S62" i="1" l="1"/>
  <c r="T62" i="1" s="1"/>
  <c r="R61" i="1"/>
  <c r="S61" i="1" l="1"/>
  <c r="T61" i="1" s="1"/>
  <c r="R60" i="1"/>
  <c r="R59" i="1" l="1"/>
  <c r="S60" i="1"/>
  <c r="T60" i="1" s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R54" i="1" l="1"/>
  <c r="S55" i="1"/>
  <c r="T55" i="1" s="1"/>
  <c r="R53" i="1" l="1"/>
  <c r="S54" i="1"/>
  <c r="T54" i="1" s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R36" i="1" l="1"/>
  <c r="S37" i="1"/>
  <c r="T37" i="1" s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<sst xmlns="http://schemas.openxmlformats.org/spreadsheetml/2006/main" count="5883" uniqueCount="34">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</sst>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44361</c:v>
                </c:pt>
                <c:pt idx="225">
                  <c:v>44360</c:v>
                </c:pt>
                <c:pt idx="226">
                  <c:v>44359</c:v>
                </c:pt>
                <c:pt idx="227">
                  <c:v>44358</c:v>
                </c:pt>
                <c:pt idx="228">
                  <c:v>44357</c:v>
                </c:pt>
                <c:pt idx="229">
                  <c:v>44356</c:v>
                </c:pt>
                <c:pt idx="230">
                  <c:v>44355</c:v>
                </c:pt>
                <c:pt idx="231">
                  <c:v>44354</c:v>
                </c:pt>
                <c:pt idx="232">
                  <c:v>44353</c:v>
                </c:pt>
                <c:pt idx="233">
                  <c:v>44352</c:v>
                </c:pt>
                <c:pt idx="234">
                  <c:v>44351</c:v>
                </c:pt>
                <c:pt idx="235">
                  <c:v>44350</c:v>
                </c:pt>
                <c:pt idx="236">
                  <c:v>44349</c:v>
                </c:pt>
                <c:pt idx="237">
                  <c:v>44348</c:v>
                </c:pt>
                <c:pt idx="238">
                  <c:v>44347</c:v>
                </c:pt>
                <c:pt idx="239">
                  <c:v>44346</c:v>
                </c:pt>
                <c:pt idx="240">
                  <c:v>44345</c:v>
                </c:pt>
                <c:pt idx="241">
                  <c:v>44344</c:v>
                </c:pt>
                <c:pt idx="242">
                  <c:v>44343</c:v>
                </c:pt>
                <c:pt idx="243">
                  <c:v>44342</c:v>
                </c:pt>
                <c:pt idx="244">
                  <c:v>44341</c:v>
                </c:pt>
                <c:pt idx="245">
                  <c:v>44340</c:v>
                </c:pt>
                <c:pt idx="246">
                  <c:v>44339</c:v>
                </c:pt>
                <c:pt idx="247">
                  <c:v>44338</c:v>
                </c:pt>
                <c:pt idx="248">
                  <c:v>44337</c:v>
                </c:pt>
                <c:pt idx="249">
                  <c:v>44336</c:v>
                </c:pt>
                <c:pt idx="250">
                  <c:v>44335</c:v>
                </c:pt>
                <c:pt idx="251">
                  <c:v>44334</c:v>
                </c:pt>
                <c:pt idx="252">
                  <c:v>44333</c:v>
                </c:pt>
                <c:pt idx="253">
                  <c:v>44332</c:v>
                </c:pt>
                <c:pt idx="254">
                  <c:v>44331</c:v>
                </c:pt>
                <c:pt idx="255">
                  <c:v>44330</c:v>
                </c:pt>
                <c:pt idx="256">
                  <c:v>44329</c:v>
                </c:pt>
                <c:pt idx="257">
                  <c:v>44328</c:v>
                </c:pt>
                <c:pt idx="258">
                  <c:v>44327</c:v>
                </c:pt>
                <c:pt idx="259">
                  <c:v>44326</c:v>
                </c:pt>
                <c:pt idx="260">
                  <c:v>44325</c:v>
                </c:pt>
                <c:pt idx="261">
                  <c:v>44324</c:v>
                </c:pt>
                <c:pt idx="262">
                  <c:v>44323</c:v>
                </c:pt>
                <c:pt idx="263">
                  <c:v>44322</c:v>
                </c:pt>
                <c:pt idx="264">
                  <c:v>44321</c:v>
                </c:pt>
                <c:pt idx="265">
                  <c:v>44320</c:v>
                </c:pt>
                <c:pt idx="266">
                  <c:v>44319</c:v>
                </c:pt>
                <c:pt idx="267">
                  <c:v>44318</c:v>
                </c:pt>
                <c:pt idx="268">
                  <c:v>44317</c:v>
                </c:pt>
                <c:pt idx="269">
                  <c:v>44316</c:v>
                </c:pt>
                <c:pt idx="270">
                  <c:v>44315</c:v>
                </c:pt>
                <c:pt idx="271">
                  <c:v>44314</c:v>
                </c:pt>
                <c:pt idx="272">
                  <c:v>44313</c:v>
                </c:pt>
                <c:pt idx="273">
                  <c:v>44312</c:v>
                </c:pt>
                <c:pt idx="274">
                  <c:v>44311</c:v>
                </c:pt>
                <c:pt idx="275">
                  <c:v>44310</c:v>
                </c:pt>
                <c:pt idx="276">
                  <c:v>44309</c:v>
                </c:pt>
                <c:pt idx="277">
                  <c:v>44308</c:v>
                </c:pt>
                <c:pt idx="278">
                  <c:v>44307</c:v>
                </c:pt>
                <c:pt idx="279">
                  <c:v>44306</c:v>
                </c:pt>
                <c:pt idx="280">
                  <c:v>44305</c:v>
                </c:pt>
                <c:pt idx="281">
                  <c:v>44304</c:v>
                </c:pt>
                <c:pt idx="282">
                  <c:v>44303</c:v>
                </c:pt>
                <c:pt idx="283">
                  <c:v>44302</c:v>
                </c:pt>
                <c:pt idx="284">
                  <c:v>44301</c:v>
                </c:pt>
                <c:pt idx="285">
                  <c:v>44300</c:v>
                </c:pt>
                <c:pt idx="286">
                  <c:v>44299</c:v>
                </c:pt>
                <c:pt idx="287">
                  <c:v>44298</c:v>
                </c:pt>
                <c:pt idx="288">
                  <c:v>44297</c:v>
                </c:pt>
                <c:pt idx="289">
                  <c:v>44296</c:v>
                </c:pt>
                <c:pt idx="290">
                  <c:v>44295</c:v>
                </c:pt>
                <c:pt idx="291">
                  <c:v>44294</c:v>
                </c:pt>
                <c:pt idx="292">
                  <c:v>44293</c:v>
                </c:pt>
                <c:pt idx="293">
                  <c:v>44292</c:v>
                </c:pt>
                <c:pt idx="294">
                  <c:v>44291</c:v>
                </c:pt>
                <c:pt idx="295">
                  <c:v>44290</c:v>
                </c:pt>
                <c:pt idx="296">
                  <c:v>44289</c:v>
                </c:pt>
                <c:pt idx="297">
                  <c:v>44288</c:v>
                </c:pt>
                <c:pt idx="298">
                  <c:v>44287</c:v>
                </c:pt>
                <c:pt idx="299">
                  <c:v>44286</c:v>
                </c:pt>
                <c:pt idx="300">
                  <c:v>44285</c:v>
                </c:pt>
                <c:pt idx="301">
                  <c:v>44284</c:v>
                </c:pt>
                <c:pt idx="302">
                  <c:v>44283</c:v>
                </c:pt>
                <c:pt idx="303">
                  <c:v>44282</c:v>
                </c:pt>
                <c:pt idx="304">
                  <c:v>44281</c:v>
                </c:pt>
                <c:pt idx="305">
                  <c:v>44280</c:v>
                </c:pt>
                <c:pt idx="306">
                  <c:v>44279</c:v>
                </c:pt>
                <c:pt idx="307">
                  <c:v>44278</c:v>
                </c:pt>
                <c:pt idx="308">
                  <c:v>44277</c:v>
                </c:pt>
                <c:pt idx="309">
                  <c:v>44276</c:v>
                </c:pt>
                <c:pt idx="310">
                  <c:v>44275</c:v>
                </c:pt>
                <c:pt idx="311">
                  <c:v>44274</c:v>
                </c:pt>
                <c:pt idx="312">
                  <c:v>44273</c:v>
                </c:pt>
                <c:pt idx="313">
                  <c:v>44272</c:v>
                </c:pt>
                <c:pt idx="314">
                  <c:v>44271</c:v>
                </c:pt>
                <c:pt idx="315">
                  <c:v>44270</c:v>
                </c:pt>
                <c:pt idx="316">
                  <c:v>44269</c:v>
                </c:pt>
                <c:pt idx="317">
                  <c:v>44268</c:v>
                </c:pt>
                <c:pt idx="318">
                  <c:v>44267</c:v>
                </c:pt>
                <c:pt idx="319">
                  <c:v>44266</c:v>
                </c:pt>
                <c:pt idx="320">
                  <c:v>44265</c:v>
                </c:pt>
                <c:pt idx="321">
                  <c:v>44264</c:v>
                </c:pt>
                <c:pt idx="322">
                  <c:v>44263</c:v>
                </c:pt>
                <c:pt idx="323">
                  <c:v>44262</c:v>
                </c:pt>
                <c:pt idx="324">
                  <c:v>44261</c:v>
                </c:pt>
                <c:pt idx="325">
                  <c:v>44260</c:v>
                </c:pt>
                <c:pt idx="326">
                  <c:v>44259</c:v>
                </c:pt>
                <c:pt idx="327">
                  <c:v>44258</c:v>
                </c:pt>
                <c:pt idx="328">
                  <c:v>44257</c:v>
                </c:pt>
                <c:pt idx="329">
                  <c:v>44256</c:v>
                </c:pt>
                <c:pt idx="330">
                  <c:v>44255</c:v>
                </c:pt>
                <c:pt idx="331">
                  <c:v>44254</c:v>
                </c:pt>
                <c:pt idx="332">
                  <c:v>44253</c:v>
                </c:pt>
                <c:pt idx="333">
                  <c:v>44252</c:v>
                </c:pt>
                <c:pt idx="334">
                  <c:v>44251</c:v>
                </c:pt>
                <c:pt idx="335">
                  <c:v>44250</c:v>
                </c:pt>
                <c:pt idx="336">
                  <c:v>44249</c:v>
                </c:pt>
                <c:pt idx="337">
                  <c:v>44248</c:v>
                </c:pt>
                <c:pt idx="338">
                  <c:v>44247</c:v>
                </c:pt>
                <c:pt idx="339">
                  <c:v>44246</c:v>
                </c:pt>
                <c:pt idx="340">
                  <c:v>44245</c:v>
                </c:pt>
                <c:pt idx="341">
                  <c:v>44244</c:v>
                </c:pt>
                <c:pt idx="342">
                  <c:v>44243</c:v>
                </c:pt>
                <c:pt idx="343">
                  <c:v>44242</c:v>
                </c:pt>
                <c:pt idx="344">
                  <c:v>44241</c:v>
                </c:pt>
                <c:pt idx="345">
                  <c:v>44240</c:v>
                </c:pt>
                <c:pt idx="346">
                  <c:v>44239</c:v>
                </c:pt>
                <c:pt idx="347">
                  <c:v>44238</c:v>
                </c:pt>
                <c:pt idx="348">
                  <c:v>44237</c:v>
                </c:pt>
                <c:pt idx="349">
                  <c:v>44236</c:v>
                </c:pt>
                <c:pt idx="350">
                  <c:v>44235</c:v>
                </c:pt>
                <c:pt idx="351">
                  <c:v>44234</c:v>
                </c:pt>
                <c:pt idx="352">
                  <c:v>44233</c:v>
                </c:pt>
                <c:pt idx="353">
                  <c:v>44232</c:v>
                </c:pt>
                <c:pt idx="354">
                  <c:v>44231</c:v>
                </c:pt>
                <c:pt idx="355">
                  <c:v>44230</c:v>
                </c:pt>
                <c:pt idx="356">
                  <c:v>44229</c:v>
                </c:pt>
                <c:pt idx="357">
                  <c:v>44228</c:v>
                </c:pt>
                <c:pt idx="358">
                  <c:v>44227</c:v>
                </c:pt>
                <c:pt idx="359">
                  <c:v>44226</c:v>
                </c:pt>
                <c:pt idx="360">
                  <c:v>44225</c:v>
                </c:pt>
                <c:pt idx="361">
                  <c:v>44224</c:v>
                </c:pt>
                <c:pt idx="362">
                  <c:v>44223</c:v>
                </c:pt>
                <c:pt idx="363">
                  <c:v>44222</c:v>
                </c:pt>
                <c:pt idx="364">
                  <c:v>44221</c:v>
                </c:pt>
                <c:pt idx="365">
                  <c:v>44220</c:v>
                </c:pt>
                <c:pt idx="366">
                  <c:v>44219</c:v>
                </c:pt>
                <c:pt idx="367">
                  <c:v>44218</c:v>
                </c:pt>
                <c:pt idx="368">
                  <c:v>44217</c:v>
                </c:pt>
                <c:pt idx="369">
                  <c:v>44216</c:v>
                </c:pt>
                <c:pt idx="370">
                  <c:v>44215</c:v>
                </c:pt>
                <c:pt idx="371">
                  <c:v>44214</c:v>
                </c:pt>
                <c:pt idx="372">
                  <c:v>44213</c:v>
                </c:pt>
                <c:pt idx="373">
                  <c:v>44212</c:v>
                </c:pt>
                <c:pt idx="374">
                  <c:v>44211</c:v>
                </c:pt>
                <c:pt idx="375">
                  <c:v>44210</c:v>
                </c:pt>
                <c:pt idx="376">
                  <c:v>44209</c:v>
                </c:pt>
                <c:pt idx="377">
                  <c:v>44208</c:v>
                </c:pt>
                <c:pt idx="378">
                  <c:v>44207</c:v>
                </c:pt>
                <c:pt idx="379">
                  <c:v>44206</c:v>
                </c:pt>
                <c:pt idx="380">
                  <c:v>44205</c:v>
                </c:pt>
                <c:pt idx="381">
                  <c:v>44204</c:v>
                </c:pt>
                <c:pt idx="382">
                  <c:v>44203</c:v>
                </c:pt>
                <c:pt idx="383">
                  <c:v>44202</c:v>
                </c:pt>
                <c:pt idx="384">
                  <c:v>44201</c:v>
                </c:pt>
                <c:pt idx="385">
                  <c:v>44200</c:v>
                </c:pt>
                <c:pt idx="386">
                  <c:v>44199</c:v>
                </c:pt>
                <c:pt idx="387">
                  <c:v>44198</c:v>
                </c:pt>
                <c:pt idx="388">
                  <c:v>44197</c:v>
                </c:pt>
                <c:pt idx="389">
                  <c:v>44196</c:v>
                </c:pt>
                <c:pt idx="390">
                  <c:v>44195</c:v>
                </c:pt>
                <c:pt idx="391">
                  <c:v>44194</c:v>
                </c:pt>
                <c:pt idx="392">
                  <c:v>44193</c:v>
                </c:pt>
                <c:pt idx="393">
                  <c:v>44192</c:v>
                </c:pt>
                <c:pt idx="394">
                  <c:v>44191</c:v>
                </c:pt>
                <c:pt idx="395">
                  <c:v>44190</c:v>
                </c:pt>
                <c:pt idx="396">
                  <c:v>44189</c:v>
                </c:pt>
                <c:pt idx="397">
                  <c:v>44188</c:v>
                </c:pt>
                <c:pt idx="398">
                  <c:v>44187</c:v>
                </c:pt>
                <c:pt idx="399">
                  <c:v>44186</c:v>
                </c:pt>
                <c:pt idx="400">
                  <c:v>44185</c:v>
                </c:pt>
                <c:pt idx="401">
                  <c:v>44184</c:v>
                </c:pt>
                <c:pt idx="402">
                  <c:v>44183</c:v>
                </c:pt>
                <c:pt idx="403">
                  <c:v>44182</c:v>
                </c:pt>
                <c:pt idx="404">
                  <c:v>44181</c:v>
                </c:pt>
                <c:pt idx="405">
                  <c:v>44180</c:v>
                </c:pt>
                <c:pt idx="406">
                  <c:v>44179</c:v>
                </c:pt>
                <c:pt idx="407">
                  <c:v>44178</c:v>
                </c:pt>
                <c:pt idx="408">
                  <c:v>44177</c:v>
                </c:pt>
                <c:pt idx="409">
                  <c:v>44176</c:v>
                </c:pt>
                <c:pt idx="410">
                  <c:v>44175</c:v>
                </c:pt>
                <c:pt idx="411">
                  <c:v>44174</c:v>
                </c:pt>
                <c:pt idx="412">
                  <c:v>44173</c:v>
                </c:pt>
                <c:pt idx="413">
                  <c:v>44172</c:v>
                </c:pt>
                <c:pt idx="414">
                  <c:v>44171</c:v>
                </c:pt>
                <c:pt idx="415">
                  <c:v>44170</c:v>
                </c:pt>
                <c:pt idx="416">
                  <c:v>44169</c:v>
                </c:pt>
                <c:pt idx="417">
                  <c:v>44168</c:v>
                </c:pt>
                <c:pt idx="418">
                  <c:v>44167</c:v>
                </c:pt>
                <c:pt idx="419">
                  <c:v>44166</c:v>
                </c:pt>
                <c:pt idx="420">
                  <c:v>44165</c:v>
                </c:pt>
                <c:pt idx="421">
                  <c:v>44164</c:v>
                </c:pt>
                <c:pt idx="422">
                  <c:v>44163</c:v>
                </c:pt>
                <c:pt idx="423">
                  <c:v>44162</c:v>
                </c:pt>
                <c:pt idx="424">
                  <c:v>44161</c:v>
                </c:pt>
                <c:pt idx="425">
                  <c:v>44160</c:v>
                </c:pt>
                <c:pt idx="426">
                  <c:v>44159</c:v>
                </c:pt>
                <c:pt idx="427">
                  <c:v>44158</c:v>
                </c:pt>
                <c:pt idx="428">
                  <c:v>44157</c:v>
                </c:pt>
                <c:pt idx="429">
                  <c:v>44156</c:v>
                </c:pt>
                <c:pt idx="430">
                  <c:v>44155</c:v>
                </c:pt>
                <c:pt idx="431">
                  <c:v>44154</c:v>
                </c:pt>
                <c:pt idx="432">
                  <c:v>44153</c:v>
                </c:pt>
                <c:pt idx="433">
                  <c:v>44152</c:v>
                </c:pt>
                <c:pt idx="434">
                  <c:v>44151</c:v>
                </c:pt>
                <c:pt idx="435">
                  <c:v>44150</c:v>
                </c:pt>
                <c:pt idx="436">
                  <c:v>44149</c:v>
                </c:pt>
                <c:pt idx="437">
                  <c:v>44148</c:v>
                </c:pt>
                <c:pt idx="438">
                  <c:v>44147</c:v>
                </c:pt>
                <c:pt idx="439">
                  <c:v>44146</c:v>
                </c:pt>
                <c:pt idx="440">
                  <c:v>44145</c:v>
                </c:pt>
                <c:pt idx="441">
                  <c:v>44144</c:v>
                </c:pt>
                <c:pt idx="442">
                  <c:v>44143</c:v>
                </c:pt>
                <c:pt idx="443">
                  <c:v>44142</c:v>
                </c:pt>
                <c:pt idx="444">
                  <c:v>44141</c:v>
                </c:pt>
                <c:pt idx="445">
                  <c:v>44140</c:v>
                </c:pt>
                <c:pt idx="446">
                  <c:v>44139</c:v>
                </c:pt>
                <c:pt idx="447">
                  <c:v>44138</c:v>
                </c:pt>
                <c:pt idx="448">
                  <c:v>44137</c:v>
                </c:pt>
                <c:pt idx="449">
                  <c:v>44136</c:v>
                </c:pt>
                <c:pt idx="450">
                  <c:v>44135</c:v>
                </c:pt>
                <c:pt idx="451">
                  <c:v>44134</c:v>
                </c:pt>
                <c:pt idx="452">
                  <c:v>44133</c:v>
                </c:pt>
                <c:pt idx="453">
                  <c:v>44132</c:v>
                </c:pt>
                <c:pt idx="454">
                  <c:v>44131</c:v>
                </c:pt>
                <c:pt idx="455">
                  <c:v>44130</c:v>
                </c:pt>
                <c:pt idx="456">
                  <c:v>44129</c:v>
                </c:pt>
                <c:pt idx="457">
                  <c:v>44128</c:v>
                </c:pt>
                <c:pt idx="458">
                  <c:v>44127</c:v>
                </c:pt>
                <c:pt idx="459">
                  <c:v>44126</c:v>
                </c:pt>
                <c:pt idx="460">
                  <c:v>44125</c:v>
                </c:pt>
                <c:pt idx="461">
                  <c:v>44124</c:v>
                </c:pt>
                <c:pt idx="462">
                  <c:v>44123</c:v>
                </c:pt>
                <c:pt idx="463">
                  <c:v>44122</c:v>
                </c:pt>
                <c:pt idx="464">
                  <c:v>44121</c:v>
                </c:pt>
                <c:pt idx="465">
                  <c:v>44120</c:v>
                </c:pt>
                <c:pt idx="466">
                  <c:v>44119</c:v>
                </c:pt>
                <c:pt idx="467">
                  <c:v>44118</c:v>
                </c:pt>
                <c:pt idx="468">
                  <c:v>44117</c:v>
                </c:pt>
                <c:pt idx="469">
                  <c:v>44116</c:v>
                </c:pt>
                <c:pt idx="470">
                  <c:v>44115</c:v>
                </c:pt>
                <c:pt idx="471">
                  <c:v>44114</c:v>
                </c:pt>
                <c:pt idx="472">
                  <c:v>44113</c:v>
                </c:pt>
                <c:pt idx="473">
                  <c:v>44112</c:v>
                </c:pt>
                <c:pt idx="474">
                  <c:v>44111</c:v>
                </c:pt>
                <c:pt idx="475">
                  <c:v>44110</c:v>
                </c:pt>
                <c:pt idx="476">
                  <c:v>44109</c:v>
                </c:pt>
                <c:pt idx="477">
                  <c:v>44108</c:v>
                </c:pt>
                <c:pt idx="478">
                  <c:v>44107</c:v>
                </c:pt>
                <c:pt idx="479">
                  <c:v>44106</c:v>
                </c:pt>
                <c:pt idx="480">
                  <c:v>44105</c:v>
                </c:pt>
                <c:pt idx="481">
                  <c:v>44104</c:v>
                </c:pt>
                <c:pt idx="482">
                  <c:v>44103</c:v>
                </c:pt>
                <c:pt idx="483">
                  <c:v>44102</c:v>
                </c:pt>
                <c:pt idx="484">
                  <c:v>44101</c:v>
                </c:pt>
                <c:pt idx="485">
                  <c:v>44100</c:v>
                </c:pt>
                <c:pt idx="486">
                  <c:v>44099</c:v>
                </c:pt>
                <c:pt idx="487">
                  <c:v>44098</c:v>
                </c:pt>
                <c:pt idx="488">
                  <c:v>44097</c:v>
                </c:pt>
                <c:pt idx="489">
                  <c:v>44096</c:v>
                </c:pt>
                <c:pt idx="490">
                  <c:v>44095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1.4279999999999999E-2</c:v>
                </c:pt>
                <c:pt idx="1">
                  <c:v>1.4579999999999999E-2</c:v>
                </c:pt>
                <c:pt idx="2">
                  <c:v>1.443E-2</c:v>
                </c:pt>
                <c:pt idx="3">
                  <c:v>1.4319999999999999E-2</c:v>
                </c:pt>
                <c:pt idx="4">
                  <c:v>1.5010000000000001E-2</c:v>
                </c:pt>
                <c:pt idx="5">
                  <c:v>1.494E-2</c:v>
                </c:pt>
                <c:pt idx="6">
                  <c:v>1.6140000000000002E-2</c:v>
                </c:pt>
                <c:pt idx="7">
                  <c:v>1.8380000000000001E-2</c:v>
                </c:pt>
                <c:pt idx="8">
                  <c:v>1.8960000000000001E-2</c:v>
                </c:pt>
                <c:pt idx="9">
                  <c:v>1.9460000000000002E-2</c:v>
                </c:pt>
                <c:pt idx="10">
                  <c:v>2.0709999999999999E-2</c:v>
                </c:pt>
                <c:pt idx="11">
                  <c:v>2.1059999999999999E-2</c:v>
                </c:pt>
                <c:pt idx="12">
                  <c:v>2.0830000000000001E-2</c:v>
                </c:pt>
                <c:pt idx="13">
                  <c:v>2.0480000000000002E-2</c:v>
                </c:pt>
                <c:pt idx="14">
                  <c:v>1.9300000000000001E-2</c:v>
                </c:pt>
                <c:pt idx="15">
                  <c:v>1.9779999999999999E-2</c:v>
                </c:pt>
                <c:pt idx="16">
                  <c:v>1.8689999999999998E-2</c:v>
                </c:pt>
                <c:pt idx="17">
                  <c:v>1.8149999999999999E-2</c:v>
                </c:pt>
                <c:pt idx="18">
                  <c:v>1.8960000000000001E-2</c:v>
                </c:pt>
                <c:pt idx="19">
                  <c:v>1.8689999999999998E-2</c:v>
                </c:pt>
                <c:pt idx="20">
                  <c:v>1.968E-2</c:v>
                </c:pt>
                <c:pt idx="21">
                  <c:v>2.095E-2</c:v>
                </c:pt>
                <c:pt idx="22">
                  <c:v>2.043E-2</c:v>
                </c:pt>
                <c:pt idx="23">
                  <c:v>2.2339999999999999E-2</c:v>
                </c:pt>
                <c:pt idx="24">
                  <c:v>2.206E-2</c:v>
                </c:pt>
                <c:pt idx="25">
                  <c:v>2.23E-2</c:v>
                </c:pt>
                <c:pt idx="26">
                  <c:v>2.2460000000000001E-2</c:v>
                </c:pt>
                <c:pt idx="27">
                  <c:v>2.179E-2</c:v>
                </c:pt>
                <c:pt idx="28">
                  <c:v>2.2110000000000001E-2</c:v>
                </c:pt>
                <c:pt idx="29">
                  <c:v>2.1690000000000001E-2</c:v>
                </c:pt>
                <c:pt idx="30">
                  <c:v>2.1999999999999999E-2</c:v>
                </c:pt>
                <c:pt idx="31">
                  <c:v>2.4150000000000001E-2</c:v>
                </c:pt>
                <c:pt idx="32">
                  <c:v>2.445E-2</c:v>
                </c:pt>
                <c:pt idx="33">
                  <c:v>2.383E-2</c:v>
                </c:pt>
                <c:pt idx="34">
                  <c:v>2.3269999999999999E-2</c:v>
                </c:pt>
                <c:pt idx="35">
                  <c:v>2.4080000000000001E-2</c:v>
                </c:pt>
                <c:pt idx="36">
                  <c:v>2.2950000000000002E-2</c:v>
                </c:pt>
                <c:pt idx="37">
                  <c:v>2.273E-2</c:v>
                </c:pt>
                <c:pt idx="38">
                  <c:v>2.2270000000000002E-2</c:v>
                </c:pt>
                <c:pt idx="39">
                  <c:v>2.316E-2</c:v>
                </c:pt>
                <c:pt idx="40">
                  <c:v>2.2530000000000001E-2</c:v>
                </c:pt>
                <c:pt idx="41">
                  <c:v>2.171E-2</c:v>
                </c:pt>
                <c:pt idx="42">
                  <c:v>2.3109999999999999E-2</c:v>
                </c:pt>
                <c:pt idx="43">
                  <c:v>2.4209999999999999E-2</c:v>
                </c:pt>
                <c:pt idx="44">
                  <c:v>2.4060000000000002E-2</c:v>
                </c:pt>
                <c:pt idx="45">
                  <c:v>2.3529999999999999E-2</c:v>
                </c:pt>
                <c:pt idx="46">
                  <c:v>2.7279999999999999E-2</c:v>
                </c:pt>
                <c:pt idx="47">
                  <c:v>2.445E-2</c:v>
                </c:pt>
                <c:pt idx="48">
                  <c:v>2.435E-2</c:v>
                </c:pt>
                <c:pt idx="49">
                  <c:v>2.4459999999999999E-2</c:v>
                </c:pt>
                <c:pt idx="50">
                  <c:v>2.5610000000000001E-2</c:v>
                </c:pt>
                <c:pt idx="51">
                  <c:v>2.4510000000000001E-2</c:v>
                </c:pt>
                <c:pt idx="52">
                  <c:v>2.427E-2</c:v>
                </c:pt>
                <c:pt idx="53">
                  <c:v>2.4879999999999999E-2</c:v>
                </c:pt>
                <c:pt idx="54">
                  <c:v>2.5909999999999999E-2</c:v>
                </c:pt>
                <c:pt idx="55">
                  <c:v>2.8930000000000001E-2</c:v>
                </c:pt>
                <c:pt idx="56">
                  <c:v>3.0349999999999999E-2</c:v>
                </c:pt>
                <c:pt idx="57">
                  <c:v>3.006E-2</c:v>
                </c:pt>
                <c:pt idx="58">
                  <c:v>3.005E-2</c:v>
                </c:pt>
                <c:pt idx="59">
                  <c:v>3.0509999999999999E-2</c:v>
                </c:pt>
                <c:pt idx="60">
                  <c:v>3.0130000000000001E-2</c:v>
                </c:pt>
                <c:pt idx="61">
                  <c:v>2.937E-2</c:v>
                </c:pt>
                <c:pt idx="62">
                  <c:v>2.8760000000000001E-2</c:v>
                </c:pt>
                <c:pt idx="63">
                  <c:v>3.2309999999999998E-2</c:v>
                </c:pt>
                <c:pt idx="64">
                  <c:v>3.184E-2</c:v>
                </c:pt>
                <c:pt idx="65">
                  <c:v>3.3410000000000002E-2</c:v>
                </c:pt>
                <c:pt idx="66">
                  <c:v>3.3210000000000003E-2</c:v>
                </c:pt>
                <c:pt idx="67">
                  <c:v>3.4070000000000003E-2</c:v>
                </c:pt>
                <c:pt idx="68">
                  <c:v>3.4709999999999998E-2</c:v>
                </c:pt>
                <c:pt idx="69">
                  <c:v>3.3419999999999998E-2</c:v>
                </c:pt>
                <c:pt idx="70">
                  <c:v>3.1419999999999997E-2</c:v>
                </c:pt>
                <c:pt idx="71">
                  <c:v>3.5270000000000003E-2</c:v>
                </c:pt>
                <c:pt idx="72">
                  <c:v>3.5819999999999998E-2</c:v>
                </c:pt>
                <c:pt idx="73">
                  <c:v>4.0590000000000001E-2</c:v>
                </c:pt>
                <c:pt idx="74">
                  <c:v>3.9289999999999999E-2</c:v>
                </c:pt>
                <c:pt idx="75">
                  <c:v>3.8600000000000002E-2</c:v>
                </c:pt>
                <c:pt idx="76">
                  <c:v>3.5619999999999999E-2</c:v>
                </c:pt>
                <c:pt idx="77">
                  <c:v>3.6330000000000001E-2</c:v>
                </c:pt>
                <c:pt idx="78">
                  <c:v>3.5830000000000001E-2</c:v>
                </c:pt>
                <c:pt idx="79">
                  <c:v>3.8469999999999997E-2</c:v>
                </c:pt>
                <c:pt idx="80">
                  <c:v>3.8240000000000003E-2</c:v>
                </c:pt>
                <c:pt idx="81">
                  <c:v>3.7830000000000003E-2</c:v>
                </c:pt>
                <c:pt idx="82">
                  <c:v>3.6130000000000002E-2</c:v>
                </c:pt>
                <c:pt idx="83">
                  <c:v>3.5470000000000002E-2</c:v>
                </c:pt>
                <c:pt idx="84">
                  <c:v>3.4779999999999998E-2</c:v>
                </c:pt>
                <c:pt idx="85">
                  <c:v>3.6139999999999999E-2</c:v>
                </c:pt>
                <c:pt idx="86">
                  <c:v>3.7249999999999998E-2</c:v>
                </c:pt>
                <c:pt idx="87">
                  <c:v>3.4209999999999997E-2</c:v>
                </c:pt>
                <c:pt idx="88">
                  <c:v>3.5319999999999997E-2</c:v>
                </c:pt>
                <c:pt idx="89">
                  <c:v>3.4660000000000003E-2</c:v>
                </c:pt>
                <c:pt idx="90">
                  <c:v>3.347E-2</c:v>
                </c:pt>
                <c:pt idx="91">
                  <c:v>3.2390000000000002E-2</c:v>
                </c:pt>
                <c:pt idx="92">
                  <c:v>3.09E-2</c:v>
                </c:pt>
                <c:pt idx="93">
                  <c:v>3.4329999999999999E-2</c:v>
                </c:pt>
                <c:pt idx="94">
                  <c:v>3.4369999999999998E-2</c:v>
                </c:pt>
                <c:pt idx="95">
                  <c:v>3.3189999999999997E-2</c:v>
                </c:pt>
                <c:pt idx="96">
                  <c:v>3.4049999999999997E-2</c:v>
                </c:pt>
                <c:pt idx="97">
                  <c:v>3.1579999999999997E-2</c:v>
                </c:pt>
                <c:pt idx="98">
                  <c:v>3.2930000000000001E-2</c:v>
                </c:pt>
                <c:pt idx="99">
                  <c:v>3.6179999999999997E-2</c:v>
                </c:pt>
                <c:pt idx="100">
                  <c:v>2.913E-2</c:v>
                </c:pt>
                <c:pt idx="101">
                  <c:v>2.8240000000000001E-2</c:v>
                </c:pt>
                <c:pt idx="102">
                  <c:v>2.8629999999999999E-2</c:v>
                </c:pt>
                <c:pt idx="103">
                  <c:v>2.9219999999999999E-2</c:v>
                </c:pt>
                <c:pt idx="104">
                  <c:v>2.9180000000000001E-2</c:v>
                </c:pt>
                <c:pt idx="105">
                  <c:v>2.8330000000000001E-2</c:v>
                </c:pt>
                <c:pt idx="106">
                  <c:v>2.8379999999999999E-2</c:v>
                </c:pt>
                <c:pt idx="107">
                  <c:v>2.7609999999999999E-2</c:v>
                </c:pt>
                <c:pt idx="108">
                  <c:v>2.8250000000000001E-2</c:v>
                </c:pt>
                <c:pt idx="109">
                  <c:v>2.8500000000000001E-2</c:v>
                </c:pt>
                <c:pt idx="110">
                  <c:v>3.1260000000000003E-2</c:v>
                </c:pt>
                <c:pt idx="111">
                  <c:v>2.9409999999999999E-2</c:v>
                </c:pt>
                <c:pt idx="112">
                  <c:v>2.8729999999999999E-2</c:v>
                </c:pt>
                <c:pt idx="113">
                  <c:v>2.8139999999999998E-2</c:v>
                </c:pt>
                <c:pt idx="114">
                  <c:v>2.9080000000000002E-2</c:v>
                </c:pt>
                <c:pt idx="115">
                  <c:v>2.7189999999999999E-2</c:v>
                </c:pt>
                <c:pt idx="116">
                  <c:v>2.7820000000000001E-2</c:v>
                </c:pt>
                <c:pt idx="117">
                  <c:v>2.7140000000000001E-2</c:v>
                </c:pt>
                <c:pt idx="118">
                  <c:v>2.7210000000000002E-2</c:v>
                </c:pt>
                <c:pt idx="119">
                  <c:v>2.5510000000000001E-2</c:v>
                </c:pt>
                <c:pt idx="120">
                  <c:v>2.495E-2</c:v>
                </c:pt>
                <c:pt idx="121">
                  <c:v>2.41E-2</c:v>
                </c:pt>
                <c:pt idx="122">
                  <c:v>2.537E-2</c:v>
                </c:pt>
                <c:pt idx="123">
                  <c:v>2.5389999999999999E-2</c:v>
                </c:pt>
                <c:pt idx="124">
                  <c:v>2.7369999999999998E-2</c:v>
                </c:pt>
                <c:pt idx="125">
                  <c:v>2.8490000000000001E-2</c:v>
                </c:pt>
                <c:pt idx="126">
                  <c:v>3.1460000000000002E-2</c:v>
                </c:pt>
                <c:pt idx="127">
                  <c:v>3.184E-2</c:v>
                </c:pt>
                <c:pt idx="128">
                  <c:v>2.8459999999999999E-2</c:v>
                </c:pt>
                <c:pt idx="129">
                  <c:v>3.2500000000000001E-2</c:v>
                </c:pt>
                <c:pt idx="130">
                  <c:v>3.5319999999999997E-2</c:v>
                </c:pt>
                <c:pt idx="131">
                  <c:v>3.7429999999999998E-2</c:v>
                </c:pt>
                <c:pt idx="132">
                  <c:v>3.8629999999999998E-2</c:v>
                </c:pt>
                <c:pt idx="133">
                  <c:v>3.5229999999999997E-2</c:v>
                </c:pt>
                <c:pt idx="134">
                  <c:v>3.7310000000000003E-2</c:v>
                </c:pt>
                <c:pt idx="135">
                  <c:v>3.6659999999999998E-2</c:v>
                </c:pt>
                <c:pt idx="136">
                  <c:v>3.313E-2</c:v>
                </c:pt>
                <c:pt idx="137">
                  <c:v>3.576E-2</c:v>
                </c:pt>
                <c:pt idx="138">
                  <c:v>3.2190000000000003E-2</c:v>
                </c:pt>
                <c:pt idx="139">
                  <c:v>3.2120000000000003E-2</c:v>
                </c:pt>
                <c:pt idx="140">
                  <c:v>3.5650000000000001E-2</c:v>
                </c:pt>
                <c:pt idx="141">
                  <c:v>3.2030000000000003E-2</c:v>
                </c:pt>
                <c:pt idx="142">
                  <c:v>3.1399999999999997E-2</c:v>
                </c:pt>
                <c:pt idx="143">
                  <c:v>3.8929999999999999E-2</c:v>
                </c:pt>
                <c:pt idx="144">
                  <c:v>4.0309999999999999E-2</c:v>
                </c:pt>
                <c:pt idx="145">
                  <c:v>3.4669999999999999E-2</c:v>
                </c:pt>
                <c:pt idx="146">
                  <c:v>3.4000000000000002E-2</c:v>
                </c:pt>
                <c:pt idx="147">
                  <c:v>3.3529999999999997E-2</c:v>
                </c:pt>
                <c:pt idx="148">
                  <c:v>3.2489999999999998E-2</c:v>
                </c:pt>
                <c:pt idx="149">
                  <c:v>3.124E-2</c:v>
                </c:pt>
                <c:pt idx="150">
                  <c:v>3.1649999999999998E-2</c:v>
                </c:pt>
                <c:pt idx="151">
                  <c:v>3.1640000000000001E-2</c:v>
                </c:pt>
                <c:pt idx="152">
                  <c:v>3.202E-2</c:v>
                </c:pt>
                <c:pt idx="153">
                  <c:v>3.2660000000000002E-2</c:v>
                </c:pt>
                <c:pt idx="154">
                  <c:v>3.0040000000000001E-2</c:v>
                </c:pt>
                <c:pt idx="155">
                  <c:v>3.1820000000000001E-2</c:v>
                </c:pt>
                <c:pt idx="156">
                  <c:v>3.0669999999999999E-2</c:v>
                </c:pt>
                <c:pt idx="157">
                  <c:v>3.372E-2</c:v>
                </c:pt>
                <c:pt idx="158">
                  <c:v>3.5139999999999998E-2</c:v>
                </c:pt>
                <c:pt idx="159">
                  <c:v>3.415E-2</c:v>
                </c:pt>
                <c:pt idx="160">
                  <c:v>3.5479999999999998E-2</c:v>
                </c:pt>
                <c:pt idx="161">
                  <c:v>3.56E-2</c:v>
                </c:pt>
                <c:pt idx="162">
                  <c:v>3.492E-2</c:v>
                </c:pt>
                <c:pt idx="163">
                  <c:v>3.6650000000000002E-2</c:v>
                </c:pt>
                <c:pt idx="164">
                  <c:v>3.5200000000000002E-2</c:v>
                </c:pt>
                <c:pt idx="165">
                  <c:v>3.8390000000000001E-2</c:v>
                </c:pt>
                <c:pt idx="166">
                  <c:v>2.9569999999999999E-2</c:v>
                </c:pt>
                <c:pt idx="167">
                  <c:v>2.741E-2</c:v>
                </c:pt>
                <c:pt idx="168">
                  <c:v>2.5409999999999999E-2</c:v>
                </c:pt>
                <c:pt idx="169">
                  <c:v>2.6100000000000002E-2</c:v>
                </c:pt>
                <c:pt idx="170">
                  <c:v>2.4420000000000001E-2</c:v>
                </c:pt>
                <c:pt idx="171">
                  <c:v>2.435E-2</c:v>
                </c:pt>
                <c:pt idx="172">
                  <c:v>2.4029999999999999E-2</c:v>
                </c:pt>
                <c:pt idx="173">
                  <c:v>2.4920000000000001E-2</c:v>
                </c:pt>
                <c:pt idx="174">
                  <c:v>2.453E-2</c:v>
                </c:pt>
                <c:pt idx="175">
                  <c:v>2.5069999999999999E-2</c:v>
                </c:pt>
                <c:pt idx="176">
                  <c:v>2.5700000000000001E-2</c:v>
                </c:pt>
                <c:pt idx="177">
                  <c:v>2.564E-2</c:v>
                </c:pt>
                <c:pt idx="178">
                  <c:v>2.5190000000000001E-2</c:v>
                </c:pt>
                <c:pt idx="179">
                  <c:v>2.52E-2</c:v>
                </c:pt>
                <c:pt idx="180">
                  <c:v>2.5190000000000001E-2</c:v>
                </c:pt>
                <c:pt idx="181">
                  <c:v>2.5739999999999999E-2</c:v>
                </c:pt>
                <c:pt idx="182">
                  <c:v>2.512E-2</c:v>
                </c:pt>
                <c:pt idx="183">
                  <c:v>2.4819999999999998E-2</c:v>
                </c:pt>
                <c:pt idx="184">
                  <c:v>2.3630000000000002E-2</c:v>
                </c:pt>
                <c:pt idx="185">
                  <c:v>2.3949999999999999E-2</c:v>
                </c:pt>
                <c:pt idx="186">
                  <c:v>2.376E-2</c:v>
                </c:pt>
                <c:pt idx="187">
                  <c:v>2.0930000000000001E-2</c:v>
                </c:pt>
                <c:pt idx="188">
                  <c:v>1.8700000000000001E-2</c:v>
                </c:pt>
                <c:pt idx="189">
                  <c:v>1.8519999999999998E-2</c:v>
                </c:pt>
                <c:pt idx="190">
                  <c:v>1.8290000000000001E-2</c:v>
                </c:pt>
                <c:pt idx="191">
                  <c:v>1.7260000000000001E-2</c:v>
                </c:pt>
                <c:pt idx="192">
                  <c:v>1.9879999999999998E-2</c:v>
                </c:pt>
                <c:pt idx="193">
                  <c:v>2.0459999999999999E-2</c:v>
                </c:pt>
                <c:pt idx="194">
                  <c:v>2.069E-2</c:v>
                </c:pt>
                <c:pt idx="195">
                  <c:v>2.043E-2</c:v>
                </c:pt>
                <c:pt idx="196">
                  <c:v>2.1010000000000001E-2</c:v>
                </c:pt>
                <c:pt idx="197">
                  <c:v>2.0660000000000001E-2</c:v>
                </c:pt>
                <c:pt idx="198">
                  <c:v>2.0570000000000001E-2</c:v>
                </c:pt>
                <c:pt idx="199">
                  <c:v>1.95E-2</c:v>
                </c:pt>
                <c:pt idx="200">
                  <c:v>1.984E-2</c:v>
                </c:pt>
                <c:pt idx="201">
                  <c:v>1.9359999999999999E-2</c:v>
                </c:pt>
                <c:pt idx="202">
                  <c:v>2.044E-2</c:v>
                </c:pt>
                <c:pt idx="203">
                  <c:v>2.0289999999999999E-2</c:v>
                </c:pt>
                <c:pt idx="204">
                  <c:v>2.129E-2</c:v>
                </c:pt>
                <c:pt idx="205">
                  <c:v>2.1149999999999999E-2</c:v>
                </c:pt>
                <c:pt idx="206">
                  <c:v>2.1010000000000001E-2</c:v>
                </c:pt>
                <c:pt idx="207">
                  <c:v>2.1579999999999998E-2</c:v>
                </c:pt>
                <c:pt idx="208">
                  <c:v>2.052E-2</c:v>
                </c:pt>
                <c:pt idx="209">
                  <c:v>2.094E-2</c:v>
                </c:pt>
                <c:pt idx="210">
                  <c:v>2.0580000000000001E-2</c:v>
                </c:pt>
                <c:pt idx="211">
                  <c:v>2.1999999999999999E-2</c:v>
                </c:pt>
                <c:pt idx="212">
                  <c:v>2.2800000000000001E-2</c:v>
                </c:pt>
                <c:pt idx="213">
                  <c:v>2.2519999999999998E-2</c:v>
                </c:pt>
                <c:pt idx="214">
                  <c:v>2.264E-2</c:v>
                </c:pt>
                <c:pt idx="215">
                  <c:v>2.2620000000000001E-2</c:v>
                </c:pt>
                <c:pt idx="216">
                  <c:v>2.223E-2</c:v>
                </c:pt>
                <c:pt idx="217">
                  <c:v>2.5270000000000001E-2</c:v>
                </c:pt>
                <c:pt idx="218">
                  <c:v>2.249E-2</c:v>
                </c:pt>
                <c:pt idx="219">
                  <c:v>1.908E-2</c:v>
                </c:pt>
                <c:pt idx="220">
                  <c:v>2.036E-2</c:v>
                </c:pt>
                <c:pt idx="221">
                  <c:v>2.792E-2</c:v>
                </c:pt>
                <c:pt idx="222">
                  <c:v>2.9000000000000001E-2</c:v>
                </c:pt>
                <c:pt idx="223">
                  <c:v>3.3050000000000003E-2</c:v>
                </c:pt>
                <c:pt idx="224">
                  <c:v>27.571999999999999</c:v>
                </c:pt>
                <c:pt idx="225">
                  <c:v>26.585999999999999</c:v>
                </c:pt>
                <c:pt idx="226">
                  <c:v>23.774000000000001</c:v>
                </c:pt>
                <c:pt idx="227">
                  <c:v>24.308</c:v>
                </c:pt>
                <c:pt idx="228">
                  <c:v>26.318000000000001</c:v>
                </c:pt>
                <c:pt idx="229">
                  <c:v>28.344999999999999</c:v>
                </c:pt>
                <c:pt idx="230">
                  <c:v>26.661000000000001</c:v>
                </c:pt>
                <c:pt idx="231">
                  <c:v>25.303000000000001</c:v>
                </c:pt>
                <c:pt idx="232">
                  <c:v>30.581</c:v>
                </c:pt>
                <c:pt idx="233">
                  <c:v>34.28</c:v>
                </c:pt>
                <c:pt idx="234">
                  <c:v>36.901000000000003</c:v>
                </c:pt>
                <c:pt idx="235">
                  <c:v>40.999000000000002</c:v>
                </c:pt>
                <c:pt idx="236">
                  <c:v>28.782</c:v>
                </c:pt>
                <c:pt idx="237">
                  <c:v>27.54</c:v>
                </c:pt>
                <c:pt idx="238">
                  <c:v>27.893999999999998</c:v>
                </c:pt>
                <c:pt idx="239">
                  <c:v>24.678000000000001</c:v>
                </c:pt>
                <c:pt idx="240">
                  <c:v>24.53</c:v>
                </c:pt>
                <c:pt idx="241">
                  <c:v>26.721</c:v>
                </c:pt>
                <c:pt idx="242">
                  <c:v>28.481999999999999</c:v>
                </c:pt>
                <c:pt idx="243">
                  <c:v>28.111999999999998</c:v>
                </c:pt>
                <c:pt idx="244">
                  <c:v>26.402000000000001</c:v>
                </c:pt>
                <c:pt idx="245">
                  <c:v>20.366</c:v>
                </c:pt>
                <c:pt idx="246">
                  <c:v>16.745999999999999</c:v>
                </c:pt>
                <c:pt idx="247">
                  <c:v>16.981000000000002</c:v>
                </c:pt>
                <c:pt idx="248">
                  <c:v>17.106000000000002</c:v>
                </c:pt>
                <c:pt idx="249">
                  <c:v>20.422999999999998</c:v>
                </c:pt>
                <c:pt idx="250">
                  <c:v>17.562999999999999</c:v>
                </c:pt>
                <c:pt idx="251">
                  <c:v>27.835999999999999</c:v>
                </c:pt>
                <c:pt idx="252">
                  <c:v>25.794</c:v>
                </c:pt>
                <c:pt idx="253">
                  <c:v>28.806999999999999</c:v>
                </c:pt>
                <c:pt idx="254">
                  <c:v>29.706</c:v>
                </c:pt>
                <c:pt idx="255">
                  <c:v>31.277999999999999</c:v>
                </c:pt>
                <c:pt idx="256">
                  <c:v>29.535</c:v>
                </c:pt>
                <c:pt idx="257">
                  <c:v>29.672999999999998</c:v>
                </c:pt>
                <c:pt idx="258">
                  <c:v>32.890999999999998</c:v>
                </c:pt>
                <c:pt idx="259">
                  <c:v>31.266999999999999</c:v>
                </c:pt>
                <c:pt idx="260">
                  <c:v>34.241</c:v>
                </c:pt>
                <c:pt idx="261">
                  <c:v>35.070999999999998</c:v>
                </c:pt>
                <c:pt idx="262">
                  <c:v>36.055</c:v>
                </c:pt>
                <c:pt idx="263">
                  <c:v>37.179000000000002</c:v>
                </c:pt>
                <c:pt idx="264">
                  <c:v>35.353000000000002</c:v>
                </c:pt>
                <c:pt idx="265">
                  <c:v>30.838000000000001</c:v>
                </c:pt>
                <c:pt idx="266">
                  <c:v>34.604999999999997</c:v>
                </c:pt>
                <c:pt idx="267">
                  <c:v>33.581000000000003</c:v>
                </c:pt>
                <c:pt idx="268">
                  <c:v>34.75</c:v>
                </c:pt>
                <c:pt idx="269">
                  <c:v>35.109000000000002</c:v>
                </c:pt>
                <c:pt idx="270">
                  <c:v>32.99</c:v>
                </c:pt>
                <c:pt idx="271">
                  <c:v>33.908999999999999</c:v>
                </c:pt>
                <c:pt idx="272">
                  <c:v>33.292999999999999</c:v>
                </c:pt>
                <c:pt idx="273">
                  <c:v>31.89</c:v>
                </c:pt>
                <c:pt idx="274">
                  <c:v>27.027999999999999</c:v>
                </c:pt>
                <c:pt idx="275">
                  <c:v>29.093</c:v>
                </c:pt>
                <c:pt idx="276">
                  <c:v>31.242000000000001</c:v>
                </c:pt>
                <c:pt idx="277">
                  <c:v>33.33</c:v>
                </c:pt>
                <c:pt idx="278">
                  <c:v>38.234999999999999</c:v>
                </c:pt>
                <c:pt idx="279">
                  <c:v>40.878999999999998</c:v>
                </c:pt>
                <c:pt idx="280">
                  <c:v>38.86</c:v>
                </c:pt>
                <c:pt idx="281">
                  <c:v>43.49</c:v>
                </c:pt>
                <c:pt idx="282">
                  <c:v>47.668999999999997</c:v>
                </c:pt>
                <c:pt idx="283">
                  <c:v>43.46</c:v>
                </c:pt>
                <c:pt idx="284">
                  <c:v>40.741</c:v>
                </c:pt>
                <c:pt idx="285">
                  <c:v>40.969000000000001</c:v>
                </c:pt>
                <c:pt idx="286">
                  <c:v>40.905999999999999</c:v>
                </c:pt>
                <c:pt idx="287">
                  <c:v>40.487000000000002</c:v>
                </c:pt>
                <c:pt idx="288">
                  <c:v>40.539000000000001</c:v>
                </c:pt>
                <c:pt idx="289">
                  <c:v>42.747999999999998</c:v>
                </c:pt>
                <c:pt idx="290">
                  <c:v>39.848999999999997</c:v>
                </c:pt>
                <c:pt idx="291">
                  <c:v>38.378999999999998</c:v>
                </c:pt>
                <c:pt idx="292">
                  <c:v>40.590000000000003</c:v>
                </c:pt>
                <c:pt idx="293">
                  <c:v>42.857999999999997</c:v>
                </c:pt>
                <c:pt idx="294">
                  <c:v>46.48</c:v>
                </c:pt>
                <c:pt idx="295">
                  <c:v>50.191000000000003</c:v>
                </c:pt>
                <c:pt idx="296">
                  <c:v>39.198</c:v>
                </c:pt>
                <c:pt idx="297">
                  <c:v>39.183999999999997</c:v>
                </c:pt>
                <c:pt idx="298">
                  <c:v>37.9</c:v>
                </c:pt>
                <c:pt idx="299">
                  <c:v>36.78</c:v>
                </c:pt>
                <c:pt idx="300">
                  <c:v>29.869</c:v>
                </c:pt>
                <c:pt idx="301">
                  <c:v>29.175999999999998</c:v>
                </c:pt>
                <c:pt idx="302">
                  <c:v>26.702999999999999</c:v>
                </c:pt>
                <c:pt idx="303">
                  <c:v>27.588000000000001</c:v>
                </c:pt>
                <c:pt idx="304">
                  <c:v>28.177</c:v>
                </c:pt>
                <c:pt idx="305">
                  <c:v>23.587</c:v>
                </c:pt>
                <c:pt idx="306">
                  <c:v>24.356000000000002</c:v>
                </c:pt>
                <c:pt idx="307">
                  <c:v>28.408999999999999</c:v>
                </c:pt>
                <c:pt idx="308">
                  <c:v>30.004999999999999</c:v>
                </c:pt>
                <c:pt idx="309">
                  <c:v>30.266999999999999</c:v>
                </c:pt>
                <c:pt idx="310">
                  <c:v>25.198</c:v>
                </c:pt>
                <c:pt idx="311">
                  <c:v>23.181999999999999</c:v>
                </c:pt>
                <c:pt idx="312">
                  <c:v>22.616</c:v>
                </c:pt>
                <c:pt idx="313">
                  <c:v>22.253</c:v>
                </c:pt>
                <c:pt idx="314">
                  <c:v>19.065000000000001</c:v>
                </c:pt>
                <c:pt idx="315">
                  <c:v>18.475999999999999</c:v>
                </c:pt>
                <c:pt idx="316">
                  <c:v>18.091000000000001</c:v>
                </c:pt>
                <c:pt idx="317">
                  <c:v>17.949000000000002</c:v>
                </c:pt>
                <c:pt idx="318">
                  <c:v>16.891999999999999</c:v>
                </c:pt>
                <c:pt idx="319">
                  <c:v>17.001000000000001</c:v>
                </c:pt>
                <c:pt idx="320">
                  <c:v>16.97</c:v>
                </c:pt>
                <c:pt idx="321">
                  <c:v>17.489999999999998</c:v>
                </c:pt>
                <c:pt idx="322">
                  <c:v>16.353000000000002</c:v>
                </c:pt>
                <c:pt idx="323">
                  <c:v>16.238</c:v>
                </c:pt>
                <c:pt idx="324">
                  <c:v>15.757999999999999</c:v>
                </c:pt>
                <c:pt idx="325">
                  <c:v>15.428000000000001</c:v>
                </c:pt>
                <c:pt idx="326">
                  <c:v>13.491</c:v>
                </c:pt>
                <c:pt idx="327">
                  <c:v>14.102</c:v>
                </c:pt>
                <c:pt idx="328">
                  <c:v>13.632</c:v>
                </c:pt>
                <c:pt idx="329">
                  <c:v>13.914999999999999</c:v>
                </c:pt>
                <c:pt idx="330">
                  <c:v>12.734</c:v>
                </c:pt>
                <c:pt idx="331">
                  <c:v>13.666</c:v>
                </c:pt>
                <c:pt idx="332">
                  <c:v>13.464</c:v>
                </c:pt>
                <c:pt idx="333">
                  <c:v>13.250999999999999</c:v>
                </c:pt>
                <c:pt idx="334">
                  <c:v>13.617000000000001</c:v>
                </c:pt>
                <c:pt idx="335">
                  <c:v>13.461</c:v>
                </c:pt>
                <c:pt idx="336">
                  <c:v>17.295999999999999</c:v>
                </c:pt>
                <c:pt idx="337">
                  <c:v>18.178999999999998</c:v>
                </c:pt>
                <c:pt idx="338">
                  <c:v>16.138999999999999</c:v>
                </c:pt>
                <c:pt idx="339">
                  <c:v>17.225000000000001</c:v>
                </c:pt>
                <c:pt idx="340">
                  <c:v>16.343</c:v>
                </c:pt>
                <c:pt idx="341">
                  <c:v>15.73</c:v>
                </c:pt>
                <c:pt idx="342">
                  <c:v>15.835000000000001</c:v>
                </c:pt>
                <c:pt idx="343">
                  <c:v>15.617000000000001</c:v>
                </c:pt>
                <c:pt idx="344">
                  <c:v>17.12</c:v>
                </c:pt>
                <c:pt idx="345">
                  <c:v>17.236999999999998</c:v>
                </c:pt>
                <c:pt idx="346">
                  <c:v>16.87</c:v>
                </c:pt>
                <c:pt idx="347">
                  <c:v>16.736999999999998</c:v>
                </c:pt>
                <c:pt idx="348">
                  <c:v>16.280999999999999</c:v>
                </c:pt>
                <c:pt idx="349">
                  <c:v>16.449000000000002</c:v>
                </c:pt>
                <c:pt idx="350">
                  <c:v>15.018000000000001</c:v>
                </c:pt>
                <c:pt idx="351">
                  <c:v>12.081</c:v>
                </c:pt>
                <c:pt idx="352">
                  <c:v>12.813000000000001</c:v>
                </c:pt>
                <c:pt idx="353">
                  <c:v>12.051</c:v>
                </c:pt>
                <c:pt idx="354">
                  <c:v>11.215</c:v>
                </c:pt>
                <c:pt idx="355">
                  <c:v>10.295</c:v>
                </c:pt>
                <c:pt idx="356">
                  <c:v>9.8539999999999992</c:v>
                </c:pt>
                <c:pt idx="357">
                  <c:v>9.8800000000000008</c:v>
                </c:pt>
                <c:pt idx="358">
                  <c:v>9.8450000000000006</c:v>
                </c:pt>
                <c:pt idx="359">
                  <c:v>9.8490000000000002</c:v>
                </c:pt>
                <c:pt idx="360">
                  <c:v>9.7789999999999999</c:v>
                </c:pt>
                <c:pt idx="361">
                  <c:v>9.6240000000000006</c:v>
                </c:pt>
                <c:pt idx="362">
                  <c:v>8.6419999999999995</c:v>
                </c:pt>
                <c:pt idx="363">
                  <c:v>9.6859999999999999</c:v>
                </c:pt>
                <c:pt idx="364">
                  <c:v>9.4749999999999996</c:v>
                </c:pt>
                <c:pt idx="365">
                  <c:v>8.6120000000000001</c:v>
                </c:pt>
                <c:pt idx="366">
                  <c:v>7.8470000000000004</c:v>
                </c:pt>
                <c:pt idx="367">
                  <c:v>7.7030000000000003</c:v>
                </c:pt>
                <c:pt idx="368">
                  <c:v>7.6230000000000002</c:v>
                </c:pt>
                <c:pt idx="369">
                  <c:v>8.1170000000000009</c:v>
                </c:pt>
                <c:pt idx="370">
                  <c:v>8.141</c:v>
                </c:pt>
                <c:pt idx="371">
                  <c:v>8.8580000000000005</c:v>
                </c:pt>
                <c:pt idx="372">
                  <c:v>8.2119999999999997</c:v>
                </c:pt>
                <c:pt idx="373">
                  <c:v>7.8789999999999996</c:v>
                </c:pt>
                <c:pt idx="374">
                  <c:v>7.13</c:v>
                </c:pt>
                <c:pt idx="375">
                  <c:v>6.673</c:v>
                </c:pt>
                <c:pt idx="376">
                  <c:v>6.8570000000000002</c:v>
                </c:pt>
                <c:pt idx="377">
                  <c:v>6.42</c:v>
                </c:pt>
                <c:pt idx="378">
                  <c:v>6.4349999999999996</c:v>
                </c:pt>
                <c:pt idx="379">
                  <c:v>7.7249999999999996</c:v>
                </c:pt>
                <c:pt idx="380">
                  <c:v>7.5759999999999996</c:v>
                </c:pt>
                <c:pt idx="381">
                  <c:v>7.13</c:v>
                </c:pt>
                <c:pt idx="382">
                  <c:v>6.8760000000000003</c:v>
                </c:pt>
                <c:pt idx="383">
                  <c:v>6.5460000000000003</c:v>
                </c:pt>
                <c:pt idx="384">
                  <c:v>6.234</c:v>
                </c:pt>
                <c:pt idx="385">
                  <c:v>6.6660000000000004</c:v>
                </c:pt>
                <c:pt idx="386">
                  <c:v>6.7629999999999999</c:v>
                </c:pt>
                <c:pt idx="387">
                  <c:v>6.2679999999999998</c:v>
                </c:pt>
                <c:pt idx="388">
                  <c:v>6.1280000000000001</c:v>
                </c:pt>
                <c:pt idx="389">
                  <c:v>6.5049999999999999</c:v>
                </c:pt>
                <c:pt idx="390">
                  <c:v>6.0579999999999998</c:v>
                </c:pt>
                <c:pt idx="391">
                  <c:v>6.1920000000000002</c:v>
                </c:pt>
                <c:pt idx="392">
                  <c:v>6.4489999999999998</c:v>
                </c:pt>
                <c:pt idx="393">
                  <c:v>6.4290000000000003</c:v>
                </c:pt>
                <c:pt idx="394">
                  <c:v>6.67</c:v>
                </c:pt>
                <c:pt idx="395">
                  <c:v>7.0960000000000001</c:v>
                </c:pt>
                <c:pt idx="396">
                  <c:v>7.1680000000000001</c:v>
                </c:pt>
                <c:pt idx="397">
                  <c:v>6.29</c:v>
                </c:pt>
                <c:pt idx="398">
                  <c:v>8.391</c:v>
                </c:pt>
                <c:pt idx="399">
                  <c:v>8.8480000000000008</c:v>
                </c:pt>
                <c:pt idx="400">
                  <c:v>9.1479999999999997</c:v>
                </c:pt>
                <c:pt idx="401">
                  <c:v>9.1430000000000007</c:v>
                </c:pt>
                <c:pt idx="402">
                  <c:v>9.0760000000000005</c:v>
                </c:pt>
                <c:pt idx="403">
                  <c:v>9.1189999999999998</c:v>
                </c:pt>
                <c:pt idx="404">
                  <c:v>9.4420000000000002</c:v>
                </c:pt>
                <c:pt idx="405">
                  <c:v>9.0869999999999997</c:v>
                </c:pt>
                <c:pt idx="406">
                  <c:v>9.3179999999999996</c:v>
                </c:pt>
                <c:pt idx="407">
                  <c:v>9.4879999999999995</c:v>
                </c:pt>
                <c:pt idx="408">
                  <c:v>9.2279999999999998</c:v>
                </c:pt>
                <c:pt idx="409">
                  <c:v>9.0459999999999994</c:v>
                </c:pt>
                <c:pt idx="410">
                  <c:v>9.1549999999999994</c:v>
                </c:pt>
                <c:pt idx="411">
                  <c:v>9.7029999999999994</c:v>
                </c:pt>
                <c:pt idx="412">
                  <c:v>9.2560000000000002</c:v>
                </c:pt>
                <c:pt idx="413">
                  <c:v>10.176</c:v>
                </c:pt>
                <c:pt idx="414">
                  <c:v>10.946</c:v>
                </c:pt>
                <c:pt idx="415">
                  <c:v>10.33</c:v>
                </c:pt>
                <c:pt idx="416">
                  <c:v>9.5850000000000009</c:v>
                </c:pt>
                <c:pt idx="417">
                  <c:v>11.144</c:v>
                </c:pt>
                <c:pt idx="418">
                  <c:v>11.582000000000001</c:v>
                </c:pt>
                <c:pt idx="419">
                  <c:v>10.948</c:v>
                </c:pt>
                <c:pt idx="420">
                  <c:v>10.257999999999999</c:v>
                </c:pt>
                <c:pt idx="421">
                  <c:v>9.782</c:v>
                </c:pt>
                <c:pt idx="422">
                  <c:v>9.9339999999999993</c:v>
                </c:pt>
                <c:pt idx="423">
                  <c:v>9.5640000000000001</c:v>
                </c:pt>
                <c:pt idx="424">
                  <c:v>9.42</c:v>
                </c:pt>
                <c:pt idx="425">
                  <c:v>10.8</c:v>
                </c:pt>
                <c:pt idx="426">
                  <c:v>11.9</c:v>
                </c:pt>
                <c:pt idx="427">
                  <c:v>11.276</c:v>
                </c:pt>
                <c:pt idx="428">
                  <c:v>10.307</c:v>
                </c:pt>
                <c:pt idx="429">
                  <c:v>11.186</c:v>
                </c:pt>
                <c:pt idx="430">
                  <c:v>10.542999999999999</c:v>
                </c:pt>
                <c:pt idx="431">
                  <c:v>10.228</c:v>
                </c:pt>
                <c:pt idx="432">
                  <c:v>9.7349999999999994</c:v>
                </c:pt>
                <c:pt idx="433">
                  <c:v>9.8469999999999995</c:v>
                </c:pt>
                <c:pt idx="434">
                  <c:v>9.16</c:v>
                </c:pt>
                <c:pt idx="435">
                  <c:v>10.202</c:v>
                </c:pt>
                <c:pt idx="436">
                  <c:v>7.8769999999999998</c:v>
                </c:pt>
                <c:pt idx="437">
                  <c:v>7.6790000000000003</c:v>
                </c:pt>
                <c:pt idx="438">
                  <c:v>7.7160000000000002</c:v>
                </c:pt>
                <c:pt idx="439">
                  <c:v>8.0120000000000005</c:v>
                </c:pt>
                <c:pt idx="440">
                  <c:v>7.8170000000000002</c:v>
                </c:pt>
                <c:pt idx="441">
                  <c:v>7.8460000000000001</c:v>
                </c:pt>
                <c:pt idx="442">
                  <c:v>8.0779999999999994</c:v>
                </c:pt>
                <c:pt idx="443">
                  <c:v>7.9809999999999999</c:v>
                </c:pt>
                <c:pt idx="444">
                  <c:v>8.3000000000000007</c:v>
                </c:pt>
                <c:pt idx="445">
                  <c:v>7.5890000000000004</c:v>
                </c:pt>
                <c:pt idx="446">
                  <c:v>7.593</c:v>
                </c:pt>
                <c:pt idx="447">
                  <c:v>7.694</c:v>
                </c:pt>
                <c:pt idx="448">
                  <c:v>7.758</c:v>
                </c:pt>
                <c:pt idx="449">
                  <c:v>9.2010000000000005</c:v>
                </c:pt>
                <c:pt idx="450">
                  <c:v>8.9250000000000007</c:v>
                </c:pt>
                <c:pt idx="451">
                  <c:v>9.3149999999999995</c:v>
                </c:pt>
                <c:pt idx="452">
                  <c:v>10.138</c:v>
                </c:pt>
                <c:pt idx="453">
                  <c:v>10.544</c:v>
                </c:pt>
                <c:pt idx="454">
                  <c:v>10.95</c:v>
                </c:pt>
                <c:pt idx="455">
                  <c:v>11.118</c:v>
                </c:pt>
                <c:pt idx="456">
                  <c:v>10.817</c:v>
                </c:pt>
                <c:pt idx="457">
                  <c:v>10.753</c:v>
                </c:pt>
                <c:pt idx="458">
                  <c:v>10.211</c:v>
                </c:pt>
                <c:pt idx="459">
                  <c:v>10.862</c:v>
                </c:pt>
                <c:pt idx="460">
                  <c:v>10.766999999999999</c:v>
                </c:pt>
                <c:pt idx="461">
                  <c:v>10.651999999999999</c:v>
                </c:pt>
                <c:pt idx="462">
                  <c:v>11.804</c:v>
                </c:pt>
                <c:pt idx="463">
                  <c:v>12.401999999999999</c:v>
                </c:pt>
                <c:pt idx="464">
                  <c:v>13.005000000000001</c:v>
                </c:pt>
                <c:pt idx="465">
                  <c:v>13.379</c:v>
                </c:pt>
                <c:pt idx="466">
                  <c:v>13.946999999999999</c:v>
                </c:pt>
                <c:pt idx="467">
                  <c:v>14.271000000000001</c:v>
                </c:pt>
                <c:pt idx="468">
                  <c:v>14.2</c:v>
                </c:pt>
                <c:pt idx="469">
                  <c:v>15.009</c:v>
                </c:pt>
                <c:pt idx="470">
                  <c:v>13.911</c:v>
                </c:pt>
                <c:pt idx="471">
                  <c:v>13.731</c:v>
                </c:pt>
                <c:pt idx="472">
                  <c:v>14.411</c:v>
                </c:pt>
                <c:pt idx="473">
                  <c:v>14.4</c:v>
                </c:pt>
                <c:pt idx="474">
                  <c:v>14.773</c:v>
                </c:pt>
                <c:pt idx="475">
                  <c:v>14.772</c:v>
                </c:pt>
                <c:pt idx="476">
                  <c:v>15.788</c:v>
                </c:pt>
                <c:pt idx="477">
                  <c:v>15.807</c:v>
                </c:pt>
                <c:pt idx="478">
                  <c:v>16.03</c:v>
                </c:pt>
                <c:pt idx="479">
                  <c:v>15.785</c:v>
                </c:pt>
                <c:pt idx="480">
                  <c:v>16.248000000000001</c:v>
                </c:pt>
                <c:pt idx="481">
                  <c:v>18.318000000000001</c:v>
                </c:pt>
                <c:pt idx="482">
                  <c:v>15.871</c:v>
                </c:pt>
                <c:pt idx="483">
                  <c:v>14.489000000000001</c:v>
                </c:pt>
                <c:pt idx="484">
                  <c:v>14.678000000000001</c:v>
                </c:pt>
                <c:pt idx="485">
                  <c:v>16.170000000000002</c:v>
                </c:pt>
                <c:pt idx="486">
                  <c:v>16.634</c:v>
                </c:pt>
                <c:pt idx="487">
                  <c:v>16.925000000000001</c:v>
                </c:pt>
                <c:pt idx="488">
                  <c:v>16.579999999999998</c:v>
                </c:pt>
                <c:pt idx="489">
                  <c:v>17.939</c:v>
                </c:pt>
                <c:pt idx="490">
                  <c:v>19.327000000000002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BF-4D6E-BC5A-10FE2BAE508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44361</c:v>
                </c:pt>
                <c:pt idx="225">
                  <c:v>44360</c:v>
                </c:pt>
                <c:pt idx="226">
                  <c:v>44359</c:v>
                </c:pt>
                <c:pt idx="227">
                  <c:v>44358</c:v>
                </c:pt>
                <c:pt idx="228">
                  <c:v>44357</c:v>
                </c:pt>
                <c:pt idx="229">
                  <c:v>44356</c:v>
                </c:pt>
                <c:pt idx="230">
                  <c:v>44355</c:v>
                </c:pt>
                <c:pt idx="231">
                  <c:v>44354</c:v>
                </c:pt>
                <c:pt idx="232">
                  <c:v>44353</c:v>
                </c:pt>
                <c:pt idx="233">
                  <c:v>44352</c:v>
                </c:pt>
                <c:pt idx="234">
                  <c:v>44351</c:v>
                </c:pt>
                <c:pt idx="235">
                  <c:v>44350</c:v>
                </c:pt>
                <c:pt idx="236">
                  <c:v>44349</c:v>
                </c:pt>
                <c:pt idx="237">
                  <c:v>44348</c:v>
                </c:pt>
                <c:pt idx="238">
                  <c:v>44347</c:v>
                </c:pt>
                <c:pt idx="239">
                  <c:v>44346</c:v>
                </c:pt>
                <c:pt idx="240">
                  <c:v>44345</c:v>
                </c:pt>
                <c:pt idx="241">
                  <c:v>44344</c:v>
                </c:pt>
                <c:pt idx="242">
                  <c:v>44343</c:v>
                </c:pt>
                <c:pt idx="243">
                  <c:v>44342</c:v>
                </c:pt>
                <c:pt idx="244">
                  <c:v>44341</c:v>
                </c:pt>
                <c:pt idx="245">
                  <c:v>44340</c:v>
                </c:pt>
                <c:pt idx="246">
                  <c:v>44339</c:v>
                </c:pt>
                <c:pt idx="247">
                  <c:v>44338</c:v>
                </c:pt>
                <c:pt idx="248">
                  <c:v>44337</c:v>
                </c:pt>
                <c:pt idx="249">
                  <c:v>44336</c:v>
                </c:pt>
                <c:pt idx="250">
                  <c:v>44335</c:v>
                </c:pt>
                <c:pt idx="251">
                  <c:v>44334</c:v>
                </c:pt>
                <c:pt idx="252">
                  <c:v>44333</c:v>
                </c:pt>
                <c:pt idx="253">
                  <c:v>44332</c:v>
                </c:pt>
                <c:pt idx="254">
                  <c:v>44331</c:v>
                </c:pt>
                <c:pt idx="255">
                  <c:v>44330</c:v>
                </c:pt>
                <c:pt idx="256">
                  <c:v>44329</c:v>
                </c:pt>
                <c:pt idx="257">
                  <c:v>44328</c:v>
                </c:pt>
                <c:pt idx="258">
                  <c:v>44327</c:v>
                </c:pt>
                <c:pt idx="259">
                  <c:v>44326</c:v>
                </c:pt>
                <c:pt idx="260">
                  <c:v>44325</c:v>
                </c:pt>
                <c:pt idx="261">
                  <c:v>44324</c:v>
                </c:pt>
                <c:pt idx="262">
                  <c:v>44323</c:v>
                </c:pt>
                <c:pt idx="263">
                  <c:v>44322</c:v>
                </c:pt>
                <c:pt idx="264">
                  <c:v>44321</c:v>
                </c:pt>
                <c:pt idx="265">
                  <c:v>44320</c:v>
                </c:pt>
                <c:pt idx="266">
                  <c:v>44319</c:v>
                </c:pt>
                <c:pt idx="267">
                  <c:v>44318</c:v>
                </c:pt>
                <c:pt idx="268">
                  <c:v>44317</c:v>
                </c:pt>
                <c:pt idx="269">
                  <c:v>44316</c:v>
                </c:pt>
                <c:pt idx="270">
                  <c:v>44315</c:v>
                </c:pt>
                <c:pt idx="271">
                  <c:v>44314</c:v>
                </c:pt>
                <c:pt idx="272">
                  <c:v>44313</c:v>
                </c:pt>
                <c:pt idx="273">
                  <c:v>44312</c:v>
                </c:pt>
                <c:pt idx="274">
                  <c:v>44311</c:v>
                </c:pt>
                <c:pt idx="275">
                  <c:v>44310</c:v>
                </c:pt>
                <c:pt idx="276">
                  <c:v>44309</c:v>
                </c:pt>
                <c:pt idx="277">
                  <c:v>44308</c:v>
                </c:pt>
                <c:pt idx="278">
                  <c:v>44307</c:v>
                </c:pt>
                <c:pt idx="279">
                  <c:v>44306</c:v>
                </c:pt>
                <c:pt idx="280">
                  <c:v>44305</c:v>
                </c:pt>
                <c:pt idx="281">
                  <c:v>44304</c:v>
                </c:pt>
                <c:pt idx="282">
                  <c:v>44303</c:v>
                </c:pt>
                <c:pt idx="283">
                  <c:v>44302</c:v>
                </c:pt>
                <c:pt idx="284">
                  <c:v>44301</c:v>
                </c:pt>
                <c:pt idx="285">
                  <c:v>44300</c:v>
                </c:pt>
                <c:pt idx="286">
                  <c:v>44299</c:v>
                </c:pt>
                <c:pt idx="287">
                  <c:v>44298</c:v>
                </c:pt>
                <c:pt idx="288">
                  <c:v>44297</c:v>
                </c:pt>
                <c:pt idx="289">
                  <c:v>44296</c:v>
                </c:pt>
                <c:pt idx="290">
                  <c:v>44295</c:v>
                </c:pt>
                <c:pt idx="291">
                  <c:v>44294</c:v>
                </c:pt>
                <c:pt idx="292">
                  <c:v>44293</c:v>
                </c:pt>
                <c:pt idx="293">
                  <c:v>44292</c:v>
                </c:pt>
                <c:pt idx="294">
                  <c:v>44291</c:v>
                </c:pt>
                <c:pt idx="295">
                  <c:v>44290</c:v>
                </c:pt>
                <c:pt idx="296">
                  <c:v>44289</c:v>
                </c:pt>
                <c:pt idx="297">
                  <c:v>44288</c:v>
                </c:pt>
                <c:pt idx="298">
                  <c:v>44287</c:v>
                </c:pt>
                <c:pt idx="299">
                  <c:v>44286</c:v>
                </c:pt>
                <c:pt idx="300">
                  <c:v>44285</c:v>
                </c:pt>
                <c:pt idx="301">
                  <c:v>44284</c:v>
                </c:pt>
                <c:pt idx="302">
                  <c:v>44283</c:v>
                </c:pt>
                <c:pt idx="303">
                  <c:v>44282</c:v>
                </c:pt>
                <c:pt idx="304">
                  <c:v>44281</c:v>
                </c:pt>
                <c:pt idx="305">
                  <c:v>44280</c:v>
                </c:pt>
                <c:pt idx="306">
                  <c:v>44279</c:v>
                </c:pt>
                <c:pt idx="307">
                  <c:v>44278</c:v>
                </c:pt>
                <c:pt idx="308">
                  <c:v>44277</c:v>
                </c:pt>
                <c:pt idx="309">
                  <c:v>44276</c:v>
                </c:pt>
                <c:pt idx="310">
                  <c:v>44275</c:v>
                </c:pt>
                <c:pt idx="311">
                  <c:v>44274</c:v>
                </c:pt>
                <c:pt idx="312">
                  <c:v>44273</c:v>
                </c:pt>
                <c:pt idx="313">
                  <c:v>44272</c:v>
                </c:pt>
                <c:pt idx="314">
                  <c:v>44271</c:v>
                </c:pt>
                <c:pt idx="315">
                  <c:v>44270</c:v>
                </c:pt>
                <c:pt idx="316">
                  <c:v>44269</c:v>
                </c:pt>
                <c:pt idx="317">
                  <c:v>44268</c:v>
                </c:pt>
                <c:pt idx="318">
                  <c:v>44267</c:v>
                </c:pt>
                <c:pt idx="319">
                  <c:v>44266</c:v>
                </c:pt>
                <c:pt idx="320">
                  <c:v>44265</c:v>
                </c:pt>
                <c:pt idx="321">
                  <c:v>44264</c:v>
                </c:pt>
                <c:pt idx="322">
                  <c:v>44263</c:v>
                </c:pt>
                <c:pt idx="323">
                  <c:v>44262</c:v>
                </c:pt>
                <c:pt idx="324">
                  <c:v>44261</c:v>
                </c:pt>
                <c:pt idx="325">
                  <c:v>44260</c:v>
                </c:pt>
                <c:pt idx="326">
                  <c:v>44259</c:v>
                </c:pt>
                <c:pt idx="327">
                  <c:v>44258</c:v>
                </c:pt>
                <c:pt idx="328">
                  <c:v>44257</c:v>
                </c:pt>
                <c:pt idx="329">
                  <c:v>44256</c:v>
                </c:pt>
                <c:pt idx="330">
                  <c:v>44255</c:v>
                </c:pt>
                <c:pt idx="331">
                  <c:v>44254</c:v>
                </c:pt>
                <c:pt idx="332">
                  <c:v>44253</c:v>
                </c:pt>
                <c:pt idx="333">
                  <c:v>44252</c:v>
                </c:pt>
                <c:pt idx="334">
                  <c:v>44251</c:v>
                </c:pt>
                <c:pt idx="335">
                  <c:v>44250</c:v>
                </c:pt>
                <c:pt idx="336">
                  <c:v>44249</c:v>
                </c:pt>
                <c:pt idx="337">
                  <c:v>44248</c:v>
                </c:pt>
                <c:pt idx="338">
                  <c:v>44247</c:v>
                </c:pt>
                <c:pt idx="339">
                  <c:v>44246</c:v>
                </c:pt>
                <c:pt idx="340">
                  <c:v>44245</c:v>
                </c:pt>
                <c:pt idx="341">
                  <c:v>44244</c:v>
                </c:pt>
                <c:pt idx="342">
                  <c:v>44243</c:v>
                </c:pt>
                <c:pt idx="343">
                  <c:v>44242</c:v>
                </c:pt>
                <c:pt idx="344">
                  <c:v>44241</c:v>
                </c:pt>
                <c:pt idx="345">
                  <c:v>44240</c:v>
                </c:pt>
                <c:pt idx="346">
                  <c:v>44239</c:v>
                </c:pt>
                <c:pt idx="347">
                  <c:v>44238</c:v>
                </c:pt>
                <c:pt idx="348">
                  <c:v>44237</c:v>
                </c:pt>
                <c:pt idx="349">
                  <c:v>44236</c:v>
                </c:pt>
                <c:pt idx="350">
                  <c:v>44235</c:v>
                </c:pt>
                <c:pt idx="351">
                  <c:v>44234</c:v>
                </c:pt>
                <c:pt idx="352">
                  <c:v>44233</c:v>
                </c:pt>
                <c:pt idx="353">
                  <c:v>44232</c:v>
                </c:pt>
                <c:pt idx="354">
                  <c:v>44231</c:v>
                </c:pt>
                <c:pt idx="355">
                  <c:v>44230</c:v>
                </c:pt>
                <c:pt idx="356">
                  <c:v>44229</c:v>
                </c:pt>
                <c:pt idx="357">
                  <c:v>44228</c:v>
                </c:pt>
                <c:pt idx="358">
                  <c:v>44227</c:v>
                </c:pt>
                <c:pt idx="359">
                  <c:v>44226</c:v>
                </c:pt>
                <c:pt idx="360">
                  <c:v>44225</c:v>
                </c:pt>
                <c:pt idx="361">
                  <c:v>44224</c:v>
                </c:pt>
                <c:pt idx="362">
                  <c:v>44223</c:v>
                </c:pt>
                <c:pt idx="363">
                  <c:v>44222</c:v>
                </c:pt>
                <c:pt idx="364">
                  <c:v>44221</c:v>
                </c:pt>
                <c:pt idx="365">
                  <c:v>44220</c:v>
                </c:pt>
                <c:pt idx="366">
                  <c:v>44219</c:v>
                </c:pt>
                <c:pt idx="367">
                  <c:v>44218</c:v>
                </c:pt>
                <c:pt idx="368">
                  <c:v>44217</c:v>
                </c:pt>
                <c:pt idx="369">
                  <c:v>44216</c:v>
                </c:pt>
                <c:pt idx="370">
                  <c:v>44215</c:v>
                </c:pt>
                <c:pt idx="371">
                  <c:v>44214</c:v>
                </c:pt>
                <c:pt idx="372">
                  <c:v>44213</c:v>
                </c:pt>
                <c:pt idx="373">
                  <c:v>44212</c:v>
                </c:pt>
                <c:pt idx="374">
                  <c:v>44211</c:v>
                </c:pt>
                <c:pt idx="375">
                  <c:v>44210</c:v>
                </c:pt>
                <c:pt idx="376">
                  <c:v>44209</c:v>
                </c:pt>
                <c:pt idx="377">
                  <c:v>44208</c:v>
                </c:pt>
                <c:pt idx="378">
                  <c:v>44207</c:v>
                </c:pt>
                <c:pt idx="379">
                  <c:v>44206</c:v>
                </c:pt>
                <c:pt idx="380">
                  <c:v>44205</c:v>
                </c:pt>
                <c:pt idx="381">
                  <c:v>44204</c:v>
                </c:pt>
                <c:pt idx="382">
                  <c:v>44203</c:v>
                </c:pt>
                <c:pt idx="383">
                  <c:v>44202</c:v>
                </c:pt>
                <c:pt idx="384">
                  <c:v>44201</c:v>
                </c:pt>
                <c:pt idx="385">
                  <c:v>44200</c:v>
                </c:pt>
                <c:pt idx="386">
                  <c:v>44199</c:v>
                </c:pt>
                <c:pt idx="387">
                  <c:v>44198</c:v>
                </c:pt>
                <c:pt idx="388">
                  <c:v>44197</c:v>
                </c:pt>
                <c:pt idx="389">
                  <c:v>44196</c:v>
                </c:pt>
                <c:pt idx="390">
                  <c:v>44195</c:v>
                </c:pt>
                <c:pt idx="391">
                  <c:v>44194</c:v>
                </c:pt>
                <c:pt idx="392">
                  <c:v>44193</c:v>
                </c:pt>
                <c:pt idx="393">
                  <c:v>44192</c:v>
                </c:pt>
                <c:pt idx="394">
                  <c:v>44191</c:v>
                </c:pt>
                <c:pt idx="395">
                  <c:v>44190</c:v>
                </c:pt>
                <c:pt idx="396">
                  <c:v>44189</c:v>
                </c:pt>
                <c:pt idx="397">
                  <c:v>44188</c:v>
                </c:pt>
                <c:pt idx="398">
                  <c:v>44187</c:v>
                </c:pt>
                <c:pt idx="399">
                  <c:v>44186</c:v>
                </c:pt>
                <c:pt idx="400">
                  <c:v>44185</c:v>
                </c:pt>
                <c:pt idx="401">
                  <c:v>44184</c:v>
                </c:pt>
                <c:pt idx="402">
                  <c:v>44183</c:v>
                </c:pt>
                <c:pt idx="403">
                  <c:v>44182</c:v>
                </c:pt>
                <c:pt idx="404">
                  <c:v>44181</c:v>
                </c:pt>
                <c:pt idx="405">
                  <c:v>44180</c:v>
                </c:pt>
                <c:pt idx="406">
                  <c:v>44179</c:v>
                </c:pt>
                <c:pt idx="407">
                  <c:v>44178</c:v>
                </c:pt>
                <c:pt idx="408">
                  <c:v>44177</c:v>
                </c:pt>
                <c:pt idx="409">
                  <c:v>44176</c:v>
                </c:pt>
                <c:pt idx="410">
                  <c:v>44175</c:v>
                </c:pt>
                <c:pt idx="411">
                  <c:v>44174</c:v>
                </c:pt>
                <c:pt idx="412">
                  <c:v>44173</c:v>
                </c:pt>
                <c:pt idx="413">
                  <c:v>44172</c:v>
                </c:pt>
                <c:pt idx="414">
                  <c:v>44171</c:v>
                </c:pt>
                <c:pt idx="415">
                  <c:v>44170</c:v>
                </c:pt>
                <c:pt idx="416">
                  <c:v>44169</c:v>
                </c:pt>
                <c:pt idx="417">
                  <c:v>44168</c:v>
                </c:pt>
                <c:pt idx="418">
                  <c:v>44167</c:v>
                </c:pt>
                <c:pt idx="419">
                  <c:v>44166</c:v>
                </c:pt>
                <c:pt idx="420">
                  <c:v>44165</c:v>
                </c:pt>
                <c:pt idx="421">
                  <c:v>44164</c:v>
                </c:pt>
                <c:pt idx="422">
                  <c:v>44163</c:v>
                </c:pt>
                <c:pt idx="423">
                  <c:v>44162</c:v>
                </c:pt>
                <c:pt idx="424">
                  <c:v>44161</c:v>
                </c:pt>
                <c:pt idx="425">
                  <c:v>44160</c:v>
                </c:pt>
                <c:pt idx="426">
                  <c:v>44159</c:v>
                </c:pt>
                <c:pt idx="427">
                  <c:v>44158</c:v>
                </c:pt>
                <c:pt idx="428">
                  <c:v>44157</c:v>
                </c:pt>
                <c:pt idx="429">
                  <c:v>44156</c:v>
                </c:pt>
                <c:pt idx="430">
                  <c:v>44155</c:v>
                </c:pt>
                <c:pt idx="431">
                  <c:v>44154</c:v>
                </c:pt>
                <c:pt idx="432">
                  <c:v>44153</c:v>
                </c:pt>
                <c:pt idx="433">
                  <c:v>44152</c:v>
                </c:pt>
                <c:pt idx="434">
                  <c:v>44151</c:v>
                </c:pt>
                <c:pt idx="435">
                  <c:v>44150</c:v>
                </c:pt>
                <c:pt idx="436">
                  <c:v>44149</c:v>
                </c:pt>
                <c:pt idx="437">
                  <c:v>44148</c:v>
                </c:pt>
                <c:pt idx="438">
                  <c:v>44147</c:v>
                </c:pt>
                <c:pt idx="439">
                  <c:v>44146</c:v>
                </c:pt>
                <c:pt idx="440">
                  <c:v>44145</c:v>
                </c:pt>
                <c:pt idx="441">
                  <c:v>44144</c:v>
                </c:pt>
                <c:pt idx="442">
                  <c:v>44143</c:v>
                </c:pt>
                <c:pt idx="443">
                  <c:v>44142</c:v>
                </c:pt>
                <c:pt idx="444">
                  <c:v>44141</c:v>
                </c:pt>
                <c:pt idx="445">
                  <c:v>44140</c:v>
                </c:pt>
                <c:pt idx="446">
                  <c:v>44139</c:v>
                </c:pt>
                <c:pt idx="447">
                  <c:v>44138</c:v>
                </c:pt>
                <c:pt idx="448">
                  <c:v>44137</c:v>
                </c:pt>
                <c:pt idx="449">
                  <c:v>44136</c:v>
                </c:pt>
                <c:pt idx="450">
                  <c:v>44135</c:v>
                </c:pt>
                <c:pt idx="451">
                  <c:v>44134</c:v>
                </c:pt>
                <c:pt idx="452">
                  <c:v>44133</c:v>
                </c:pt>
                <c:pt idx="453">
                  <c:v>44132</c:v>
                </c:pt>
                <c:pt idx="454">
                  <c:v>44131</c:v>
                </c:pt>
                <c:pt idx="455">
                  <c:v>44130</c:v>
                </c:pt>
                <c:pt idx="456">
                  <c:v>44129</c:v>
                </c:pt>
                <c:pt idx="457">
                  <c:v>44128</c:v>
                </c:pt>
                <c:pt idx="458">
                  <c:v>44127</c:v>
                </c:pt>
                <c:pt idx="459">
                  <c:v>44126</c:v>
                </c:pt>
                <c:pt idx="460">
                  <c:v>44125</c:v>
                </c:pt>
                <c:pt idx="461">
                  <c:v>44124</c:v>
                </c:pt>
                <c:pt idx="462">
                  <c:v>44123</c:v>
                </c:pt>
                <c:pt idx="463">
                  <c:v>44122</c:v>
                </c:pt>
                <c:pt idx="464">
                  <c:v>44121</c:v>
                </c:pt>
                <c:pt idx="465">
                  <c:v>44120</c:v>
                </c:pt>
                <c:pt idx="466">
                  <c:v>44119</c:v>
                </c:pt>
                <c:pt idx="467">
                  <c:v>44118</c:v>
                </c:pt>
                <c:pt idx="468">
                  <c:v>44117</c:v>
                </c:pt>
                <c:pt idx="469">
                  <c:v>44116</c:v>
                </c:pt>
                <c:pt idx="470">
                  <c:v>44115</c:v>
                </c:pt>
                <c:pt idx="471">
                  <c:v>44114</c:v>
                </c:pt>
                <c:pt idx="472">
                  <c:v>44113</c:v>
                </c:pt>
                <c:pt idx="473">
                  <c:v>44112</c:v>
                </c:pt>
                <c:pt idx="474">
                  <c:v>44111</c:v>
                </c:pt>
                <c:pt idx="475">
                  <c:v>44110</c:v>
                </c:pt>
                <c:pt idx="476">
                  <c:v>44109</c:v>
                </c:pt>
                <c:pt idx="477">
                  <c:v>44108</c:v>
                </c:pt>
                <c:pt idx="478">
                  <c:v>44107</c:v>
                </c:pt>
                <c:pt idx="479">
                  <c:v>44106</c:v>
                </c:pt>
                <c:pt idx="480">
                  <c:v>44105</c:v>
                </c:pt>
                <c:pt idx="481">
                  <c:v>44104</c:v>
                </c:pt>
                <c:pt idx="482">
                  <c:v>44103</c:v>
                </c:pt>
                <c:pt idx="483">
                  <c:v>44102</c:v>
                </c:pt>
                <c:pt idx="484">
                  <c:v>44101</c:v>
                </c:pt>
                <c:pt idx="485">
                  <c:v>44100</c:v>
                </c:pt>
                <c:pt idx="486">
                  <c:v>44099</c:v>
                </c:pt>
                <c:pt idx="487">
                  <c:v>44098</c:v>
                </c:pt>
                <c:pt idx="488">
                  <c:v>44097</c:v>
                </c:pt>
                <c:pt idx="489">
                  <c:v>44096</c:v>
                </c:pt>
                <c:pt idx="490">
                  <c:v>44095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-248.67747704937042</c:v>
                </c:pt>
                <c:pt idx="1">
                  <c:v>-246.62536615759265</c:v>
                </c:pt>
                <c:pt idx="2">
                  <c:v>-232.45324394061146</c:v>
                </c:pt>
                <c:pt idx="3">
                  <c:v>-248.88393781561143</c:v>
                </c:pt>
                <c:pt idx="4">
                  <c:v>-254.98591149454185</c:v>
                </c:pt>
                <c:pt idx="5">
                  <c:v>-256.10075553009744</c:v>
                </c:pt>
                <c:pt idx="6">
                  <c:v>-249.38052453898632</c:v>
                </c:pt>
                <c:pt idx="7">
                  <c:v>-247.11211028244702</c:v>
                </c:pt>
                <c:pt idx="8">
                  <c:v>-230.86423448052395</c:v>
                </c:pt>
                <c:pt idx="9">
                  <c:v>-229.50984698719066</c:v>
                </c:pt>
                <c:pt idx="10">
                  <c:v>-219.91254485941289</c:v>
                </c:pt>
                <c:pt idx="11">
                  <c:v>-211.62735584765187</c:v>
                </c:pt>
                <c:pt idx="12">
                  <c:v>-207.67636242527087</c:v>
                </c:pt>
                <c:pt idx="13">
                  <c:v>-206.45181646295092</c:v>
                </c:pt>
                <c:pt idx="14">
                  <c:v>-205.56450016213248</c:v>
                </c:pt>
                <c:pt idx="15">
                  <c:v>-193.18893053458149</c:v>
                </c:pt>
                <c:pt idx="16">
                  <c:v>-212.64966674886713</c:v>
                </c:pt>
                <c:pt idx="17">
                  <c:v>-224.02804017080263</c:v>
                </c:pt>
                <c:pt idx="18">
                  <c:v>-220.42899659783967</c:v>
                </c:pt>
                <c:pt idx="19">
                  <c:v>-219.94771537022066</c:v>
                </c:pt>
                <c:pt idx="20">
                  <c:v>-213.64007931715244</c:v>
                </c:pt>
                <c:pt idx="21">
                  <c:v>-208.38202983084471</c:v>
                </c:pt>
                <c:pt idx="22">
                  <c:v>-214.14176527716054</c:v>
                </c:pt>
                <c:pt idx="23">
                  <c:v>-205.58535229314714</c:v>
                </c:pt>
                <c:pt idx="24">
                  <c:v>-203.27563011449851</c:v>
                </c:pt>
                <c:pt idx="25">
                  <c:v>-200.67597892116518</c:v>
                </c:pt>
                <c:pt idx="26">
                  <c:v>-201.13718343414396</c:v>
                </c:pt>
                <c:pt idx="27">
                  <c:v>-202.69697300453228</c:v>
                </c:pt>
                <c:pt idx="28">
                  <c:v>-200.81568732047432</c:v>
                </c:pt>
                <c:pt idx="29">
                  <c:v>-203.92106380090911</c:v>
                </c:pt>
                <c:pt idx="30">
                  <c:v>-201.785443260129</c:v>
                </c:pt>
                <c:pt idx="31">
                  <c:v>-199.06092954701421</c:v>
                </c:pt>
                <c:pt idx="32">
                  <c:v>-193.09462990618087</c:v>
                </c:pt>
                <c:pt idx="33">
                  <c:v>-199.95902798667038</c:v>
                </c:pt>
                <c:pt idx="34">
                  <c:v>-208.00715354364712</c:v>
                </c:pt>
                <c:pt idx="35">
                  <c:v>-198.56014575453145</c:v>
                </c:pt>
                <c:pt idx="36">
                  <c:v>-209.75307003440949</c:v>
                </c:pt>
                <c:pt idx="37">
                  <c:v>-205.80746628207308</c:v>
                </c:pt>
                <c:pt idx="38">
                  <c:v>-212.16272081048223</c:v>
                </c:pt>
                <c:pt idx="39">
                  <c:v>-209.48602071070204</c:v>
                </c:pt>
                <c:pt idx="40">
                  <c:v>-198.85478294138383</c:v>
                </c:pt>
                <c:pt idx="41">
                  <c:v>-205.36124281743645</c:v>
                </c:pt>
                <c:pt idx="42">
                  <c:v>-195.89509421302887</c:v>
                </c:pt>
                <c:pt idx="43">
                  <c:v>-186.58533936157846</c:v>
                </c:pt>
                <c:pt idx="44">
                  <c:v>-192.17716112226807</c:v>
                </c:pt>
                <c:pt idx="45">
                  <c:v>-199.11219753965943</c:v>
                </c:pt>
                <c:pt idx="46">
                  <c:v>-186.12462512555686</c:v>
                </c:pt>
                <c:pt idx="47">
                  <c:v>-187.73285996685649</c:v>
                </c:pt>
                <c:pt idx="48">
                  <c:v>-188.2596266818565</c:v>
                </c:pt>
                <c:pt idx="49">
                  <c:v>-176.20641788044344</c:v>
                </c:pt>
                <c:pt idx="50">
                  <c:v>-165.84731739683397</c:v>
                </c:pt>
                <c:pt idx="51">
                  <c:v>-170.21490672487423</c:v>
                </c:pt>
                <c:pt idx="52">
                  <c:v>-159.89344462822498</c:v>
                </c:pt>
                <c:pt idx="53">
                  <c:v>-170.71276819756827</c:v>
                </c:pt>
                <c:pt idx="54">
                  <c:v>-168.64829175151891</c:v>
                </c:pt>
                <c:pt idx="55">
                  <c:v>-170.46446848916071</c:v>
                </c:pt>
                <c:pt idx="56">
                  <c:v>-156.05283220013629</c:v>
                </c:pt>
                <c:pt idx="57">
                  <c:v>-168.46655780765624</c:v>
                </c:pt>
                <c:pt idx="58">
                  <c:v>-160.77312177397201</c:v>
                </c:pt>
                <c:pt idx="59">
                  <c:v>-149.69920333985439</c:v>
                </c:pt>
                <c:pt idx="60">
                  <c:v>-155.43232121245711</c:v>
                </c:pt>
                <c:pt idx="61">
                  <c:v>-165.73472441815332</c:v>
                </c:pt>
                <c:pt idx="62">
                  <c:v>-163.70165539199945</c:v>
                </c:pt>
                <c:pt idx="63">
                  <c:v>-157.24485050995128</c:v>
                </c:pt>
                <c:pt idx="64">
                  <c:v>-158.85031799382224</c:v>
                </c:pt>
                <c:pt idx="65">
                  <c:v>-158.12919544771694</c:v>
                </c:pt>
                <c:pt idx="66">
                  <c:v>-159.35355201209711</c:v>
                </c:pt>
                <c:pt idx="67">
                  <c:v>-159.34010829219469</c:v>
                </c:pt>
                <c:pt idx="68">
                  <c:v>-156.7208119310836</c:v>
                </c:pt>
                <c:pt idx="69">
                  <c:v>-156.1076888383611</c:v>
                </c:pt>
                <c:pt idx="70">
                  <c:v>-158.13641637556364</c:v>
                </c:pt>
                <c:pt idx="71">
                  <c:v>-152.62419241714716</c:v>
                </c:pt>
                <c:pt idx="72">
                  <c:v>-153.10481577214719</c:v>
                </c:pt>
                <c:pt idx="73">
                  <c:v>-150.14860930635214</c:v>
                </c:pt>
                <c:pt idx="74">
                  <c:v>-149.45292076462377</c:v>
                </c:pt>
                <c:pt idx="75">
                  <c:v>-150.91330442025514</c:v>
                </c:pt>
                <c:pt idx="76">
                  <c:v>-149.43102731553876</c:v>
                </c:pt>
                <c:pt idx="77">
                  <c:v>-151.38374356058893</c:v>
                </c:pt>
                <c:pt idx="78">
                  <c:v>-154.14859555408705</c:v>
                </c:pt>
                <c:pt idx="79">
                  <c:v>-150.80754845947166</c:v>
                </c:pt>
                <c:pt idx="80">
                  <c:v>-154.51616900947164</c:v>
                </c:pt>
                <c:pt idx="81">
                  <c:v>-145.19271312032069</c:v>
                </c:pt>
                <c:pt idx="82">
                  <c:v>-152.69925034463606</c:v>
                </c:pt>
                <c:pt idx="83">
                  <c:v>-148.88751763139936</c:v>
                </c:pt>
                <c:pt idx="84">
                  <c:v>-161.41592939559686</c:v>
                </c:pt>
                <c:pt idx="85">
                  <c:v>-153.92976598404451</c:v>
                </c:pt>
                <c:pt idx="86">
                  <c:v>-153.74607341735506</c:v>
                </c:pt>
                <c:pt idx="87">
                  <c:v>-156.44476693740685</c:v>
                </c:pt>
                <c:pt idx="88">
                  <c:v>-154.1158622580254</c:v>
                </c:pt>
                <c:pt idx="89">
                  <c:v>-154.16703015654784</c:v>
                </c:pt>
                <c:pt idx="90">
                  <c:v>-146.05516175833577</c:v>
                </c:pt>
                <c:pt idx="91">
                  <c:v>-150.1213339857689</c:v>
                </c:pt>
                <c:pt idx="92">
                  <c:v>-152.5067445527088</c:v>
                </c:pt>
                <c:pt idx="93">
                  <c:v>-148.63363163728383</c:v>
                </c:pt>
                <c:pt idx="94">
                  <c:v>-143.77860369547895</c:v>
                </c:pt>
                <c:pt idx="95">
                  <c:v>-142.59146910652245</c:v>
                </c:pt>
                <c:pt idx="96">
                  <c:v>-134.2636955114005</c:v>
                </c:pt>
                <c:pt idx="97">
                  <c:v>-126.36264652607055</c:v>
                </c:pt>
                <c:pt idx="98">
                  <c:v>-121.82150375988795</c:v>
                </c:pt>
                <c:pt idx="99">
                  <c:v>-112.68080875365116</c:v>
                </c:pt>
                <c:pt idx="100">
                  <c:v>-80.826724042059567</c:v>
                </c:pt>
                <c:pt idx="101">
                  <c:v>-85.548278079247055</c:v>
                </c:pt>
                <c:pt idx="102">
                  <c:v>-83.887103355325493</c:v>
                </c:pt>
                <c:pt idx="103">
                  <c:v>-83.066634566345911</c:v>
                </c:pt>
                <c:pt idx="104">
                  <c:v>-83.866073880185908</c:v>
                </c:pt>
                <c:pt idx="105">
                  <c:v>-85.723439943865159</c:v>
                </c:pt>
                <c:pt idx="106">
                  <c:v>-83.525981730206624</c:v>
                </c:pt>
                <c:pt idx="107">
                  <c:v>-87.482316820606613</c:v>
                </c:pt>
                <c:pt idx="108">
                  <c:v>-88.668747581132905</c:v>
                </c:pt>
                <c:pt idx="109">
                  <c:v>-85.439758431778074</c:v>
                </c:pt>
                <c:pt idx="110">
                  <c:v>-80.877198513269605</c:v>
                </c:pt>
                <c:pt idx="111">
                  <c:v>-84.224008281143625</c:v>
                </c:pt>
                <c:pt idx="112">
                  <c:v>-84.404687932789201</c:v>
                </c:pt>
                <c:pt idx="113">
                  <c:v>-85.869060944513336</c:v>
                </c:pt>
                <c:pt idx="114">
                  <c:v>-86.115016443197547</c:v>
                </c:pt>
                <c:pt idx="115">
                  <c:v>-87.143925690742989</c:v>
                </c:pt>
                <c:pt idx="116">
                  <c:v>-87.27005746074299</c:v>
                </c:pt>
                <c:pt idx="117">
                  <c:v>-87.704397736013249</c:v>
                </c:pt>
                <c:pt idx="118">
                  <c:v>-87.538909322013268</c:v>
                </c:pt>
                <c:pt idx="119">
                  <c:v>-88.437420966234384</c:v>
                </c:pt>
                <c:pt idx="120">
                  <c:v>-88.577770226611747</c:v>
                </c:pt>
                <c:pt idx="121">
                  <c:v>-88.667221262535321</c:v>
                </c:pt>
                <c:pt idx="122">
                  <c:v>-88.244855124682971</c:v>
                </c:pt>
                <c:pt idx="123">
                  <c:v>-87.657172923120484</c:v>
                </c:pt>
                <c:pt idx="124">
                  <c:v>-87.356262997120467</c:v>
                </c:pt>
                <c:pt idx="125">
                  <c:v>-86.810027101391313</c:v>
                </c:pt>
                <c:pt idx="126">
                  <c:v>-86.351633376269348</c:v>
                </c:pt>
                <c:pt idx="127">
                  <c:v>-85.800495171354129</c:v>
                </c:pt>
                <c:pt idx="128">
                  <c:v>-86.799874241855377</c:v>
                </c:pt>
                <c:pt idx="129">
                  <c:v>-85.670238303283938</c:v>
                </c:pt>
                <c:pt idx="130">
                  <c:v>-84.998195832565713</c:v>
                </c:pt>
                <c:pt idx="131">
                  <c:v>-83.566155169031234</c:v>
                </c:pt>
                <c:pt idx="132">
                  <c:v>-80.468133820531222</c:v>
                </c:pt>
                <c:pt idx="133">
                  <c:v>-79.421965108231817</c:v>
                </c:pt>
                <c:pt idx="134">
                  <c:v>-78.243415843443074</c:v>
                </c:pt>
                <c:pt idx="135">
                  <c:v>-79.443135006976931</c:v>
                </c:pt>
                <c:pt idx="136">
                  <c:v>-81.744575121826102</c:v>
                </c:pt>
                <c:pt idx="137">
                  <c:v>-80.988159817227171</c:v>
                </c:pt>
                <c:pt idx="138">
                  <c:v>-81.980398415630276</c:v>
                </c:pt>
                <c:pt idx="139">
                  <c:v>-81.764230898208908</c:v>
                </c:pt>
                <c:pt idx="140">
                  <c:v>-79.662103794539547</c:v>
                </c:pt>
                <c:pt idx="141">
                  <c:v>-82.100953982986155</c:v>
                </c:pt>
                <c:pt idx="142">
                  <c:v>-83.421395070838187</c:v>
                </c:pt>
                <c:pt idx="143">
                  <c:v>-82.12006092002413</c:v>
                </c:pt>
                <c:pt idx="144">
                  <c:v>-81.740787226127409</c:v>
                </c:pt>
                <c:pt idx="145">
                  <c:v>-84.005554103769512</c:v>
                </c:pt>
                <c:pt idx="146">
                  <c:v>-84.039116268330929</c:v>
                </c:pt>
                <c:pt idx="147">
                  <c:v>-82.153722968630319</c:v>
                </c:pt>
                <c:pt idx="148">
                  <c:v>-82.435342143442355</c:v>
                </c:pt>
                <c:pt idx="149">
                  <c:v>-83.65444366638971</c:v>
                </c:pt>
                <c:pt idx="150">
                  <c:v>-83.037879199189717</c:v>
                </c:pt>
                <c:pt idx="151">
                  <c:v>-82.512161676671724</c:v>
                </c:pt>
                <c:pt idx="152">
                  <c:v>-82.018681368841527</c:v>
                </c:pt>
                <c:pt idx="153">
                  <c:v>-81.854409870099815</c:v>
                </c:pt>
                <c:pt idx="154">
                  <c:v>-84.075136810341107</c:v>
                </c:pt>
                <c:pt idx="155">
                  <c:v>-83.632192904591975</c:v>
                </c:pt>
                <c:pt idx="156">
                  <c:v>-84.994754519058375</c:v>
                </c:pt>
                <c:pt idx="157">
                  <c:v>-83.115410007017545</c:v>
                </c:pt>
                <c:pt idx="158">
                  <c:v>-82.106550087159391</c:v>
                </c:pt>
                <c:pt idx="159">
                  <c:v>-82.616558451521826</c:v>
                </c:pt>
                <c:pt idx="160">
                  <c:v>-81.230060475206017</c:v>
                </c:pt>
                <c:pt idx="161">
                  <c:v>-81.265355472422513</c:v>
                </c:pt>
                <c:pt idx="162">
                  <c:v>-84.497241068715184</c:v>
                </c:pt>
                <c:pt idx="163">
                  <c:v>-80.959119588017515</c:v>
                </c:pt>
                <c:pt idx="164">
                  <c:v>-83.1857085347512</c:v>
                </c:pt>
                <c:pt idx="165">
                  <c:v>-73.895330814567899</c:v>
                </c:pt>
                <c:pt idx="166">
                  <c:v>-59.88150876870872</c:v>
                </c:pt>
                <c:pt idx="167">
                  <c:v>-62.116698559923677</c:v>
                </c:pt>
                <c:pt idx="168">
                  <c:v>-63.467180924469126</c:v>
                </c:pt>
                <c:pt idx="169">
                  <c:v>-61.529055190741317</c:v>
                </c:pt>
                <c:pt idx="170">
                  <c:v>-62.759917711074664</c:v>
                </c:pt>
                <c:pt idx="171">
                  <c:v>-62.992439049074662</c:v>
                </c:pt>
                <c:pt idx="172">
                  <c:v>-63.85258125883076</c:v>
                </c:pt>
                <c:pt idx="173">
                  <c:v>-63.062737165742526</c:v>
                </c:pt>
                <c:pt idx="174">
                  <c:v>-63.439864935334363</c:v>
                </c:pt>
                <c:pt idx="175">
                  <c:v>-62.842519378667696</c:v>
                </c:pt>
                <c:pt idx="176">
                  <c:v>-62.663075375289317</c:v>
                </c:pt>
                <c:pt idx="177">
                  <c:v>-57.392214931955984</c:v>
                </c:pt>
                <c:pt idx="178">
                  <c:v>-55.25653731655774</c:v>
                </c:pt>
                <c:pt idx="179">
                  <c:v>-47.009410471040539</c:v>
                </c:pt>
                <c:pt idx="180">
                  <c:v>-36.023206055251038</c:v>
                </c:pt>
                <c:pt idx="181">
                  <c:v>-28.368842966732512</c:v>
                </c:pt>
                <c:pt idx="182">
                  <c:v>-27.634647513101203</c:v>
                </c:pt>
                <c:pt idx="183">
                  <c:v>-21.000967476105163</c:v>
                </c:pt>
                <c:pt idx="184">
                  <c:v>-26.420984978680266</c:v>
                </c:pt>
                <c:pt idx="185">
                  <c:v>-24.400798197050644</c:v>
                </c:pt>
                <c:pt idx="186">
                  <c:v>-15.567300193705671</c:v>
                </c:pt>
                <c:pt idx="187">
                  <c:v>-20.542721312914299</c:v>
                </c:pt>
                <c:pt idx="188">
                  <c:v>-26.372163715718045</c:v>
                </c:pt>
                <c:pt idx="189">
                  <c:v>-27.082422945051384</c:v>
                </c:pt>
                <c:pt idx="190">
                  <c:v>-27.466127665051381</c:v>
                </c:pt>
                <c:pt idx="191">
                  <c:v>-28.061459734282156</c:v>
                </c:pt>
                <c:pt idx="192">
                  <c:v>-27.037368653811935</c:v>
                </c:pt>
                <c:pt idx="193">
                  <c:v>-22.594243625240498</c:v>
                </c:pt>
                <c:pt idx="194">
                  <c:v>-20.279265040325235</c:v>
                </c:pt>
                <c:pt idx="195">
                  <c:v>-20.602226208141314</c:v>
                </c:pt>
                <c:pt idx="196">
                  <c:v>-14.456479616095855</c:v>
                </c:pt>
                <c:pt idx="197">
                  <c:v>-15.863177189429193</c:v>
                </c:pt>
                <c:pt idx="198">
                  <c:v>-14.037036719429208</c:v>
                </c:pt>
                <c:pt idx="199">
                  <c:v>-15.214867552762552</c:v>
                </c:pt>
                <c:pt idx="200">
                  <c:v>-9.3392217636716435</c:v>
                </c:pt>
                <c:pt idx="201">
                  <c:v>-8.9593081226880358</c:v>
                </c:pt>
                <c:pt idx="202">
                  <c:v>-8.2200092225387813</c:v>
                </c:pt>
                <c:pt idx="203">
                  <c:v>-8.6721735836623761</c:v>
                </c:pt>
                <c:pt idx="204">
                  <c:v>-5.1453857912299394</c:v>
                </c:pt>
                <c:pt idx="205">
                  <c:v>-3.391959219896612</c:v>
                </c:pt>
                <c:pt idx="206">
                  <c:v>-0.234111142688469</c:v>
                </c:pt>
                <c:pt idx="207">
                  <c:v>2.2803373263884534</c:v>
                </c:pt>
                <c:pt idx="208">
                  <c:v>-6.8188518131464004</c:v>
                </c:pt>
                <c:pt idx="209">
                  <c:v>-6.5945668556463986</c:v>
                </c:pt>
                <c:pt idx="210">
                  <c:v>-7.0510028486696559</c:v>
                </c:pt>
                <c:pt idx="211">
                  <c:v>-5.7558685724931857</c:v>
                </c:pt>
                <c:pt idx="212">
                  <c:v>-5.7972737023045067</c:v>
                </c:pt>
                <c:pt idx="213">
                  <c:v>-5.1809169736268235</c:v>
                </c:pt>
                <c:pt idx="214">
                  <c:v>-5.2861755028721031</c:v>
                </c:pt>
                <c:pt idx="215">
                  <c:v>-5.42705654488927</c:v>
                </c:pt>
                <c:pt idx="216">
                  <c:v>-6.6979051133185914</c:v>
                </c:pt>
                <c:pt idx="217">
                  <c:v>-4.7641655994492451</c:v>
                </c:pt>
                <c:pt idx="218">
                  <c:v>-5.2221627734638467</c:v>
                </c:pt>
                <c:pt idx="219">
                  <c:v>-7.467330060697889</c:v>
                </c:pt>
                <c:pt idx="220">
                  <c:v>-7.6689317803261421</c:v>
                </c:pt>
                <c:pt idx="221">
                  <c:v>-4.246705747211597</c:v>
                </c:pt>
                <c:pt idx="222">
                  <c:v>-4.9764601651163618</c:v>
                </c:pt>
                <c:pt idx="223">
                  <c:v>-0.65946641976752507</c:v>
                </c:pt>
                <c:pt idx="224">
                  <c:v>-0.3357612251459805</c:v>
                </c:pt>
                <c:pt idx="225">
                  <c:v>-0.33600594494071545</c:v>
                </c:pt>
                <c:pt idx="226">
                  <c:v>-0.33833680556640772</c:v>
                </c:pt>
                <c:pt idx="227">
                  <c:v>-0.3387087757968904</c:v>
                </c:pt>
                <c:pt idx="228">
                  <c:v>-0.33627067122523246</c:v>
                </c:pt>
                <c:pt idx="229">
                  <c:v>-0.33571062317173361</c:v>
                </c:pt>
                <c:pt idx="230">
                  <c:v>-0.33686329733153358</c:v>
                </c:pt>
                <c:pt idx="231">
                  <c:v>-0.33762466913003825</c:v>
                </c:pt>
                <c:pt idx="232">
                  <c:v>-0.33176616214491117</c:v>
                </c:pt>
                <c:pt idx="233">
                  <c:v>-0.32872661866315944</c:v>
                </c:pt>
                <c:pt idx="234">
                  <c:v>-0.32674555276452311</c:v>
                </c:pt>
                <c:pt idx="235">
                  <c:v>-0.32273546440053563</c:v>
                </c:pt>
                <c:pt idx="236">
                  <c:v>-0.33492645280548528</c:v>
                </c:pt>
                <c:pt idx="237">
                  <c:v>-0.3352581421980117</c:v>
                </c:pt>
                <c:pt idx="238">
                  <c:v>-0.33324097737495767</c:v>
                </c:pt>
                <c:pt idx="239">
                  <c:v>-0.33487862170840682</c:v>
                </c:pt>
                <c:pt idx="240">
                  <c:v>-0.33496126139953991</c:v>
                </c:pt>
                <c:pt idx="241">
                  <c:v>-0.33384069106982611</c:v>
                </c:pt>
                <c:pt idx="242">
                  <c:v>-0.33227475780817611</c:v>
                </c:pt>
                <c:pt idx="243">
                  <c:v>-0.33253996391969709</c:v>
                </c:pt>
                <c:pt idx="244">
                  <c:v>-0.33053162165991062</c:v>
                </c:pt>
                <c:pt idx="245">
                  <c:v>-0.33352847682379061</c:v>
                </c:pt>
                <c:pt idx="246">
                  <c:v>-0.33690721559650805</c:v>
                </c:pt>
                <c:pt idx="247">
                  <c:v>-0.33815337719186156</c:v>
                </c:pt>
                <c:pt idx="248">
                  <c:v>-0.33934689526862816</c:v>
                </c:pt>
                <c:pt idx="249">
                  <c:v>-0.33822329118985073</c:v>
                </c:pt>
                <c:pt idx="250">
                  <c:v>-0.33994584727316202</c:v>
                </c:pt>
                <c:pt idx="251">
                  <c:v>-0.33659501761526361</c:v>
                </c:pt>
                <c:pt idx="252">
                  <c:v>-0.33092692899108972</c:v>
                </c:pt>
                <c:pt idx="253">
                  <c:v>-0.32475771447326962</c:v>
                </c:pt>
                <c:pt idx="254">
                  <c:v>-0.32433372220183593</c:v>
                </c:pt>
                <c:pt idx="255">
                  <c:v>-0.32292697627036315</c:v>
                </c:pt>
                <c:pt idx="256">
                  <c:v>-0.32653208266156047</c:v>
                </c:pt>
                <c:pt idx="257">
                  <c:v>-0.32675371540748882</c:v>
                </c:pt>
                <c:pt idx="258">
                  <c:v>-0.32579385308873088</c:v>
                </c:pt>
                <c:pt idx="259">
                  <c:v>-0.32684643144881192</c:v>
                </c:pt>
                <c:pt idx="260">
                  <c:v>-0.3262395885744821</c:v>
                </c:pt>
                <c:pt idx="261">
                  <c:v>-0.32584896369418681</c:v>
                </c:pt>
                <c:pt idx="262">
                  <c:v>-0.32510726207406099</c:v>
                </c:pt>
                <c:pt idx="263">
                  <c:v>-0.3238468216389806</c:v>
                </c:pt>
                <c:pt idx="264">
                  <c:v>-0.32450531939408928</c:v>
                </c:pt>
                <c:pt idx="265">
                  <c:v>-0.32882673772906479</c:v>
                </c:pt>
                <c:pt idx="266">
                  <c:v>-0.30183406120906481</c:v>
                </c:pt>
                <c:pt idx="267">
                  <c:v>-0.30047808824392669</c:v>
                </c:pt>
                <c:pt idx="268">
                  <c:v>-0.30025723697082746</c:v>
                </c:pt>
                <c:pt idx="269">
                  <c:v>-0.3001855966184756</c:v>
                </c:pt>
                <c:pt idx="270">
                  <c:v>-0.301970103003187</c:v>
                </c:pt>
                <c:pt idx="271">
                  <c:v>-0.30133436479228948</c:v>
                </c:pt>
                <c:pt idx="272">
                  <c:v>-0.30248934318432202</c:v>
                </c:pt>
                <c:pt idx="273">
                  <c:v>-0.30223030791558902</c:v>
                </c:pt>
                <c:pt idx="274">
                  <c:v>-0.30488689575203648</c:v>
                </c:pt>
                <c:pt idx="275">
                  <c:v>-0.30412504727874479</c:v>
                </c:pt>
                <c:pt idx="276">
                  <c:v>-0.30267166341345064</c:v>
                </c:pt>
                <c:pt idx="277">
                  <c:v>-0.30439483089618002</c:v>
                </c:pt>
                <c:pt idx="278">
                  <c:v>-0.28934453178041447</c:v>
                </c:pt>
                <c:pt idx="279">
                  <c:v>-0.26289154953624605</c:v>
                </c:pt>
                <c:pt idx="280">
                  <c:v>-0.27185638872120843</c:v>
                </c:pt>
                <c:pt idx="281">
                  <c:v>-0.26219753345220842</c:v>
                </c:pt>
                <c:pt idx="282">
                  <c:v>-0.26151674190012314</c:v>
                </c:pt>
                <c:pt idx="283">
                  <c:v>-0.26252799699284829</c:v>
                </c:pt>
                <c:pt idx="284">
                  <c:v>-0.26791608630476293</c:v>
                </c:pt>
                <c:pt idx="285">
                  <c:v>-0.26886576656582911</c:v>
                </c:pt>
                <c:pt idx="286">
                  <c:v>-0.26841037445904053</c:v>
                </c:pt>
                <c:pt idx="287">
                  <c:v>-0.26485209442492047</c:v>
                </c:pt>
                <c:pt idx="288">
                  <c:v>-0.25683591445632709</c:v>
                </c:pt>
                <c:pt idx="289">
                  <c:v>-0.25019743680501455</c:v>
                </c:pt>
                <c:pt idx="290">
                  <c:v>-0.26041754229957281</c:v>
                </c:pt>
                <c:pt idx="291">
                  <c:v>-0.25285851606448567</c:v>
                </c:pt>
                <c:pt idx="292">
                  <c:v>-0.24403881472293631</c:v>
                </c:pt>
                <c:pt idx="293">
                  <c:v>-0.23446261555628556</c:v>
                </c:pt>
                <c:pt idx="294">
                  <c:v>-0.22421683999576239</c:v>
                </c:pt>
                <c:pt idx="295">
                  <c:v>-0.21087084498538028</c:v>
                </c:pt>
                <c:pt idx="296">
                  <c:v>-0.21518617542319915</c:v>
                </c:pt>
                <c:pt idx="297">
                  <c:v>-0.21127996640370997</c:v>
                </c:pt>
                <c:pt idx="298">
                  <c:v>-0.21149499510727882</c:v>
                </c:pt>
                <c:pt idx="299">
                  <c:v>-0.2108845448737367</c:v>
                </c:pt>
                <c:pt idx="300">
                  <c:v>-0.21999953460578123</c:v>
                </c:pt>
                <c:pt idx="301">
                  <c:v>-0.22487359974786292</c:v>
                </c:pt>
                <c:pt idx="302">
                  <c:v>-0.22980238945029124</c:v>
                </c:pt>
                <c:pt idx="303">
                  <c:v>-0.22877630239509977</c:v>
                </c:pt>
                <c:pt idx="304">
                  <c:v>-0.22748179479670194</c:v>
                </c:pt>
                <c:pt idx="305">
                  <c:v>-0.22932769713670195</c:v>
                </c:pt>
                <c:pt idx="306">
                  <c:v>-0.22949543113279386</c:v>
                </c:pt>
                <c:pt idx="307">
                  <c:v>-0.20385457648414743</c:v>
                </c:pt>
                <c:pt idx="308">
                  <c:v>-0.17500856527308445</c:v>
                </c:pt>
                <c:pt idx="309">
                  <c:v>-0.14133201591436473</c:v>
                </c:pt>
                <c:pt idx="310">
                  <c:v>-0.16284150094533309</c:v>
                </c:pt>
                <c:pt idx="311">
                  <c:v>-0.16137056670087935</c:v>
                </c:pt>
                <c:pt idx="312">
                  <c:v>-0.13821400733899433</c:v>
                </c:pt>
                <c:pt idx="313">
                  <c:v>-0.1356784612826677</c:v>
                </c:pt>
                <c:pt idx="314">
                  <c:v>-0.19256571038957715</c:v>
                </c:pt>
                <c:pt idx="315">
                  <c:v>-0.18124562987761997</c:v>
                </c:pt>
                <c:pt idx="316">
                  <c:v>-0.16861257032958626</c:v>
                </c:pt>
                <c:pt idx="317">
                  <c:v>-0.17322660518029273</c:v>
                </c:pt>
                <c:pt idx="318">
                  <c:v>-0.18325303883201935</c:v>
                </c:pt>
                <c:pt idx="319">
                  <c:v>-0.17105199301343252</c:v>
                </c:pt>
                <c:pt idx="320">
                  <c:v>-0.14717837835031383</c:v>
                </c:pt>
                <c:pt idx="321">
                  <c:v>-0.118755158670393</c:v>
                </c:pt>
                <c:pt idx="322">
                  <c:v>-0.14138749925787855</c:v>
                </c:pt>
                <c:pt idx="323">
                  <c:v>-0.10864612172124385</c:v>
                </c:pt>
                <c:pt idx="324">
                  <c:v>-0.1064601727483688</c:v>
                </c:pt>
                <c:pt idx="325">
                  <c:v>-0.10395968063525703</c:v>
                </c:pt>
                <c:pt idx="326">
                  <c:v>-0.11897904786836051</c:v>
                </c:pt>
                <c:pt idx="327">
                  <c:v>-9.8572833780412927E-2</c:v>
                </c:pt>
                <c:pt idx="328">
                  <c:v>-9.2953575682960726E-2</c:v>
                </c:pt>
                <c:pt idx="329">
                  <c:v>-6.3765642209424558E-2</c:v>
                </c:pt>
                <c:pt idx="330">
                  <c:v>-7.8233503577602906E-2</c:v>
                </c:pt>
                <c:pt idx="331">
                  <c:v>-6.70403832894583E-2</c:v>
                </c:pt>
                <c:pt idx="332">
                  <c:v>-6.1756561024462746E-2</c:v>
                </c:pt>
                <c:pt idx="333">
                  <c:v>-5.7882505108144772E-2</c:v>
                </c:pt>
                <c:pt idx="334">
                  <c:v>-3.1513374722857923E-2</c:v>
                </c:pt>
                <c:pt idx="335">
                  <c:v>-2.175817642301596E-2</c:v>
                </c:pt>
                <c:pt idx="336">
                  <c:v>-1.3908571887999875E-2</c:v>
                </c:pt>
                <c:pt idx="337">
                  <c:v>-1.1731895679699875E-2</c:v>
                </c:pt>
                <c:pt idx="338">
                  <c:v>-1.4791669331370045E-2</c:v>
                </c:pt>
                <c:pt idx="339">
                  <c:v>-9.7326308584838664E-3</c:v>
                </c:pt>
                <c:pt idx="340">
                  <c:v>-1.163601895352331E-2</c:v>
                </c:pt>
                <c:pt idx="341">
                  <c:v>-1.2336284332941663E-2</c:v>
                </c:pt>
                <c:pt idx="342">
                  <c:v>-1.3792568862704902E-2</c:v>
                </c:pt>
                <c:pt idx="343">
                  <c:v>-1.321259982417025E-2</c:v>
                </c:pt>
                <c:pt idx="344">
                  <c:v>-1.3457163109959723E-2</c:v>
                </c:pt>
                <c:pt idx="345">
                  <c:v>-1.1512134033396617E-2</c:v>
                </c:pt>
                <c:pt idx="346">
                  <c:v>-1.1737932067256261E-2</c:v>
                </c:pt>
                <c:pt idx="347">
                  <c:v>-1.1583639822333184E-2</c:v>
                </c:pt>
                <c:pt idx="348">
                  <c:v>-1.2423355100749021E-2</c:v>
                </c:pt>
                <c:pt idx="349">
                  <c:v>-1.2614617894894712E-2</c:v>
                </c:pt>
                <c:pt idx="350">
                  <c:v>-1.6561109971196097E-2</c:v>
                </c:pt>
                <c:pt idx="351">
                  <c:v>-2.2735482179696096E-2</c:v>
                </c:pt>
                <c:pt idx="352">
                  <c:v>-1.3427122201282596E-2</c:v>
                </c:pt>
                <c:pt idx="353">
                  <c:v>-1.8578991346739741E-2</c:v>
                </c:pt>
                <c:pt idx="354">
                  <c:v>-2.3807391624369127E-2</c:v>
                </c:pt>
                <c:pt idx="355">
                  <c:v>-2.2021001269997034E-2</c:v>
                </c:pt>
                <c:pt idx="356">
                  <c:v>-2.3326341644835744E-2</c:v>
                </c:pt>
                <c:pt idx="357">
                  <c:v>-2.269081551026431E-2</c:v>
                </c:pt>
                <c:pt idx="358">
                  <c:v>-2.2801673307465124E-2</c:v>
                </c:pt>
                <c:pt idx="359">
                  <c:v>-2.1198035100809268E-2</c:v>
                </c:pt>
                <c:pt idx="360">
                  <c:v>-1.5753884642410298E-2</c:v>
                </c:pt>
                <c:pt idx="361">
                  <c:v>-1.5545106213299785E-2</c:v>
                </c:pt>
                <c:pt idx="362">
                  <c:v>-1.6009250606342409E-2</c:v>
                </c:pt>
                <c:pt idx="363">
                  <c:v>-1.5538392108968671E-2</c:v>
                </c:pt>
                <c:pt idx="364">
                  <c:v>-1.4955701589623217E-2</c:v>
                </c:pt>
                <c:pt idx="365">
                  <c:v>-1.1691609806845438E-2</c:v>
                </c:pt>
                <c:pt idx="366">
                  <c:v>-1.2507260322791381E-2</c:v>
                </c:pt>
                <c:pt idx="367">
                  <c:v>-1.2800548460234993E-2</c:v>
                </c:pt>
                <c:pt idx="368">
                  <c:v>-1.2811099465894565E-2</c:v>
                </c:pt>
                <c:pt idx="369">
                  <c:v>-1.2622792619903378E-2</c:v>
                </c:pt>
                <c:pt idx="370">
                  <c:v>-1.3150747412700923E-2</c:v>
                </c:pt>
                <c:pt idx="371">
                  <c:v>-1.2442303427382796E-2</c:v>
                </c:pt>
                <c:pt idx="372">
                  <c:v>-1.2952437545884288E-2</c:v>
                </c:pt>
                <c:pt idx="373">
                  <c:v>-1.3742440957184543E-2</c:v>
                </c:pt>
                <c:pt idx="374">
                  <c:v>-1.4138965002302524E-2</c:v>
                </c:pt>
                <c:pt idx="375">
                  <c:v>-1.4497387169099612E-2</c:v>
                </c:pt>
                <c:pt idx="376">
                  <c:v>-1.402099157518448E-2</c:v>
                </c:pt>
                <c:pt idx="377">
                  <c:v>-1.4357100161295011E-2</c:v>
                </c:pt>
                <c:pt idx="378">
                  <c:v>-1.4166946679329495E-2</c:v>
                </c:pt>
                <c:pt idx="379">
                  <c:v>-1.3949239728165577E-2</c:v>
                </c:pt>
                <c:pt idx="380">
                  <c:v>-1.3960178959198591E-2</c:v>
                </c:pt>
                <c:pt idx="381">
                  <c:v>-1.464029986736985E-2</c:v>
                </c:pt>
                <c:pt idx="382">
                  <c:v>-1.5079700866950043E-2</c:v>
                </c:pt>
                <c:pt idx="383">
                  <c:v>-1.4531201642136764E-2</c:v>
                </c:pt>
                <c:pt idx="384">
                  <c:v>-1.4564865639753786E-2</c:v>
                </c:pt>
                <c:pt idx="385">
                  <c:v>-1.4095351267158633E-2</c:v>
                </c:pt>
                <c:pt idx="386">
                  <c:v>-1.4206617030521593E-2</c:v>
                </c:pt>
                <c:pt idx="387">
                  <c:v>-1.471503424256081E-2</c:v>
                </c:pt>
                <c:pt idx="388">
                  <c:v>-1.4782091494922716E-2</c:v>
                </c:pt>
                <c:pt idx="389">
                  <c:v>-1.4449742239800764E-2</c:v>
                </c:pt>
                <c:pt idx="390">
                  <c:v>-1.4808799954627722E-2</c:v>
                </c:pt>
                <c:pt idx="391">
                  <c:v>-1.4773814500035575E-2</c:v>
                </c:pt>
                <c:pt idx="392">
                  <c:v>-1.4823001664156942E-2</c:v>
                </c:pt>
                <c:pt idx="393">
                  <c:v>-1.4586479842751045E-2</c:v>
                </c:pt>
                <c:pt idx="394">
                  <c:v>-1.4235558420317956E-2</c:v>
                </c:pt>
                <c:pt idx="395">
                  <c:v>-1.3767384547356078E-2</c:v>
                </c:pt>
                <c:pt idx="396">
                  <c:v>-1.3695549971250661E-2</c:v>
                </c:pt>
                <c:pt idx="397">
                  <c:v>-1.3872009799088498E-2</c:v>
                </c:pt>
                <c:pt idx="398">
                  <c:v>-1.3465481387672134E-2</c:v>
                </c:pt>
                <c:pt idx="399">
                  <c:v>-1.3435930054465032E-2</c:v>
                </c:pt>
                <c:pt idx="400">
                  <c:v>-1.3372968213490303E-2</c:v>
                </c:pt>
                <c:pt idx="401">
                  <c:v>-1.3383060842013794E-2</c:v>
                </c:pt>
                <c:pt idx="402">
                  <c:v>-1.3367013222554338E-2</c:v>
                </c:pt>
                <c:pt idx="403">
                  <c:v>-1.3289850331103151E-2</c:v>
                </c:pt>
                <c:pt idx="404">
                  <c:v>-1.2849291507558E-2</c:v>
                </c:pt>
                <c:pt idx="405">
                  <c:v>-1.3107764921437311E-2</c:v>
                </c:pt>
                <c:pt idx="406">
                  <c:v>-1.2949579641663184E-2</c:v>
                </c:pt>
                <c:pt idx="407">
                  <c:v>-1.2958592746752241E-2</c:v>
                </c:pt>
                <c:pt idx="408">
                  <c:v>-1.3009727165807616E-2</c:v>
                </c:pt>
                <c:pt idx="409">
                  <c:v>-1.3104689329443978E-2</c:v>
                </c:pt>
                <c:pt idx="410">
                  <c:v>-1.3255493947524786E-2</c:v>
                </c:pt>
                <c:pt idx="411">
                  <c:v>-1.3028467012936553E-2</c:v>
                </c:pt>
                <c:pt idx="412">
                  <c:v>-1.3462409897493401E-2</c:v>
                </c:pt>
                <c:pt idx="413">
                  <c:v>-1.2581965333605187E-2</c:v>
                </c:pt>
                <c:pt idx="414">
                  <c:v>-1.2099087373347675E-2</c:v>
                </c:pt>
                <c:pt idx="415">
                  <c:v>-1.2555447898749758E-2</c:v>
                </c:pt>
                <c:pt idx="416">
                  <c:v>-1.2898099728749758E-2</c:v>
                </c:pt>
                <c:pt idx="417">
                  <c:v>-1.1926103221346506E-2</c:v>
                </c:pt>
                <c:pt idx="418">
                  <c:v>-1.1537163523161354E-2</c:v>
                </c:pt>
                <c:pt idx="419">
                  <c:v>-1.2183034315370905E-2</c:v>
                </c:pt>
                <c:pt idx="420">
                  <c:v>-9.8250516855978836E-3</c:v>
                </c:pt>
                <c:pt idx="421">
                  <c:v>-9.9623542545676479E-3</c:v>
                </c:pt>
                <c:pt idx="422">
                  <c:v>-9.9271483804174495E-3</c:v>
                </c:pt>
                <c:pt idx="423">
                  <c:v>-9.9730401597952264E-3</c:v>
                </c:pt>
                <c:pt idx="424">
                  <c:v>-9.9755523117041212E-3</c:v>
                </c:pt>
                <c:pt idx="425">
                  <c:v>-9.6475432312283088E-3</c:v>
                </c:pt>
                <c:pt idx="426">
                  <c:v>-9.0718554953136479E-3</c:v>
                </c:pt>
                <c:pt idx="427">
                  <c:v>-8.7449795384386478E-3</c:v>
                </c:pt>
                <c:pt idx="428">
                  <c:v>-8.7613006329735812E-3</c:v>
                </c:pt>
                <c:pt idx="429">
                  <c:v>-8.4501076128411772E-3</c:v>
                </c:pt>
                <c:pt idx="430">
                  <c:v>-8.8323766108522276E-3</c:v>
                </c:pt>
                <c:pt idx="431">
                  <c:v>-8.5753206761710454E-3</c:v>
                </c:pt>
                <c:pt idx="432">
                  <c:v>-8.780022409038692E-3</c:v>
                </c:pt>
                <c:pt idx="433">
                  <c:v>-8.9533395026794669E-3</c:v>
                </c:pt>
                <c:pt idx="434">
                  <c:v>-9.1107633177788059E-3</c:v>
                </c:pt>
                <c:pt idx="435">
                  <c:v>-8.1420838068446914E-3</c:v>
                </c:pt>
                <c:pt idx="436">
                  <c:v>-8.7786910146704349E-3</c:v>
                </c:pt>
                <c:pt idx="437">
                  <c:v>-8.7781634190353345E-3</c:v>
                </c:pt>
                <c:pt idx="438">
                  <c:v>-8.9010753728814857E-3</c:v>
                </c:pt>
                <c:pt idx="439">
                  <c:v>-8.5025146070099259E-3</c:v>
                </c:pt>
                <c:pt idx="440">
                  <c:v>-8.2575321841175126E-3</c:v>
                </c:pt>
                <c:pt idx="441">
                  <c:v>-8.2031641655940218E-3</c:v>
                </c:pt>
                <c:pt idx="442">
                  <c:v>-8.1673144158504307E-3</c:v>
                </c:pt>
                <c:pt idx="443">
                  <c:v>-8.1781243749932883E-3</c:v>
                </c:pt>
                <c:pt idx="444">
                  <c:v>-7.9868520758968487E-3</c:v>
                </c:pt>
                <c:pt idx="445">
                  <c:v>-8.1296417136088022E-3</c:v>
                </c:pt>
                <c:pt idx="446">
                  <c:v>-8.1280553607620872E-3</c:v>
                </c:pt>
                <c:pt idx="447">
                  <c:v>-8.128466071131317E-3</c:v>
                </c:pt>
                <c:pt idx="448">
                  <c:v>-8.3333575433206675E-3</c:v>
                </c:pt>
                <c:pt idx="449">
                  <c:v>-8.1401772053976383E-3</c:v>
                </c:pt>
                <c:pt idx="450">
                  <c:v>-8.173908119357122E-3</c:v>
                </c:pt>
                <c:pt idx="451">
                  <c:v>-7.9673766354682336E-3</c:v>
                </c:pt>
                <c:pt idx="452">
                  <c:v>-7.7416308450682326E-3</c:v>
                </c:pt>
                <c:pt idx="453">
                  <c:v>-7.520215033747479E-3</c:v>
                </c:pt>
                <c:pt idx="454">
                  <c:v>-7.438219519168828E-3</c:v>
                </c:pt>
                <c:pt idx="455">
                  <c:v>-7.2456212015849343E-3</c:v>
                </c:pt>
                <c:pt idx="456">
                  <c:v>-7.184988684620165E-3</c:v>
                </c:pt>
                <c:pt idx="457">
                  <c:v>-6.7436201411168383E-3</c:v>
                </c:pt>
                <c:pt idx="458">
                  <c:v>-6.9672432611168379E-3</c:v>
                </c:pt>
                <c:pt idx="459">
                  <c:v>-6.6615347862618579E-3</c:v>
                </c:pt>
                <c:pt idx="460">
                  <c:v>-6.4763827031940118E-3</c:v>
                </c:pt>
                <c:pt idx="461">
                  <c:v>-6.2802888392323487E-3</c:v>
                </c:pt>
                <c:pt idx="462">
                  <c:v>-4.8929030864230316E-3</c:v>
                </c:pt>
                <c:pt idx="463">
                  <c:v>-4.4948118538091228E-3</c:v>
                </c:pt>
                <c:pt idx="464">
                  <c:v>-4.0165801865509401E-3</c:v>
                </c:pt>
                <c:pt idx="465">
                  <c:v>-3.7863986865509401E-3</c:v>
                </c:pt>
                <c:pt idx="466">
                  <c:v>-3.5494781541526234E-3</c:v>
                </c:pt>
                <c:pt idx="467">
                  <c:v>-3.4714610779741327E-3</c:v>
                </c:pt>
                <c:pt idx="468">
                  <c:v>-3.2967735335237783E-3</c:v>
                </c:pt>
                <c:pt idx="469">
                  <c:v>-3.0260681601093718E-3</c:v>
                </c:pt>
                <c:pt idx="470">
                  <c:v>-3.2745486872343722E-3</c:v>
                </c:pt>
                <c:pt idx="471">
                  <c:v>-3.4374301334577765E-3</c:v>
                </c:pt>
                <c:pt idx="472">
                  <c:v>-3.1480864492904256E-3</c:v>
                </c:pt>
                <c:pt idx="473">
                  <c:v>-3.0897177577714381E-3</c:v>
                </c:pt>
                <c:pt idx="474">
                  <c:v>-3.1643192914449086E-3</c:v>
                </c:pt>
                <c:pt idx="475">
                  <c:v>-3.2626477672874285E-3</c:v>
                </c:pt>
                <c:pt idx="476">
                  <c:v>-3.0920255268736358E-3</c:v>
                </c:pt>
                <c:pt idx="477">
                  <c:v>-3.1323921088884234E-3</c:v>
                </c:pt>
                <c:pt idx="478">
                  <c:v>-3.0822726733546338E-3</c:v>
                </c:pt>
                <c:pt idx="479">
                  <c:v>-2.9183224142511855E-3</c:v>
                </c:pt>
                <c:pt idx="480">
                  <c:v>-3.1689099660519525E-3</c:v>
                </c:pt>
                <c:pt idx="481">
                  <c:v>-2.4025431923317938E-3</c:v>
                </c:pt>
                <c:pt idx="482">
                  <c:v>-3.0351070988783417E-3</c:v>
                </c:pt>
                <c:pt idx="483">
                  <c:v>-3.9212228366492389E-3</c:v>
                </c:pt>
                <c:pt idx="484">
                  <c:v>-2.8367689905600675E-3</c:v>
                </c:pt>
                <c:pt idx="485">
                  <c:v>-2.5900341122146401E-3</c:v>
                </c:pt>
                <c:pt idx="486">
                  <c:v>-2.349762995692901E-3</c:v>
                </c:pt>
                <c:pt idx="487">
                  <c:v>-2.2631202855796333E-3</c:v>
                </c:pt>
                <c:pt idx="488">
                  <c:v>-2.3008561739194019E-3</c:v>
                </c:pt>
                <c:pt idx="489">
                  <c:v>-1.769320693919402E-3</c:v>
                </c:pt>
                <c:pt idx="490">
                  <c:v>-1.2735183075884035E-3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BF-4D6E-BC5A-10FE2BAE5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126624"/>
        <c:axId val="579847392"/>
      </c:lineChart>
      <c:dateAx>
        <c:axId val="144126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847392"/>
        <c:crosses val="autoZero"/>
        <c:auto val="1"/>
        <c:lblOffset val="100"/>
        <c:baseTimeUnit val="days"/>
      </c:dateAx>
      <c:valAx>
        <c:axId val="5798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12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320015B-D53F-44CB-B09C-9A0F942A41C4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05EE99-ECB2-4EB1-8D63-1BAB7DA4B2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54.56</v>
      </c>
      <c r="D2" s="4">
        <f>MIN(D3:D1912)</f>
        <v>1.3140000000000001E-2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1.4579999999999999E-2</v>
      </c>
      <c r="C5">
        <v>1.472E-2</v>
      </c>
      <c r="D5">
        <v>1.427E-2</v>
      </c>
      <c r="E5">
        <v>1.4279999999999999E-2</v>
      </c>
      <c r="F5">
        <v>214755791</v>
      </c>
      <c r="G5">
        <v>1.4279999999999999E-2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-0.95555555555555749</v>
      </c>
      <c r="Q5">
        <f t="shared" ref="Q5" si="1">F5*P5</f>
        <v>-205211089.17777818</v>
      </c>
      <c r="R5">
        <f t="shared" ref="R5" si="2">R6+Q5</f>
        <v>-24867747704.937042</v>
      </c>
      <c r="S5">
        <f t="shared" ref="S5" si="3">R5/100000</f>
        <v>-248677.47704937041</v>
      </c>
      <c r="T5">
        <f t="shared" ref="T5" si="4">S5/1000</f>
        <v>-248.67747704937042</v>
      </c>
    </row>
    <row r="6" spans="1:20" x14ac:dyDescent="0.25">
      <c r="A6" s="5">
        <v>44587</v>
      </c>
      <c r="B6">
        <v>1.4420000000000001E-2</v>
      </c>
      <c r="C6">
        <v>1.536E-2</v>
      </c>
      <c r="D6">
        <v>1.43E-2</v>
      </c>
      <c r="E6">
        <v>1.4579999999999999E-2</v>
      </c>
      <c r="F6">
        <v>3004489910</v>
      </c>
      <c r="G6">
        <v>1.4579999999999999E-2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-0.47169811320754912</v>
      </c>
      <c r="Q6">
        <f t="shared" ref="Q6" si="6">F6*P6</f>
        <v>-1417212221.6981192</v>
      </c>
      <c r="R6">
        <f t="shared" ref="R6" si="7">R7+Q6</f>
        <v>-24662536615.759266</v>
      </c>
      <c r="S6">
        <f t="shared" ref="S6" si="8">R6/100000</f>
        <v>-246625.36615759265</v>
      </c>
      <c r="T6">
        <f t="shared" ref="T6" si="9">S6/1000</f>
        <v>-246.62536615759265</v>
      </c>
    </row>
    <row r="7" spans="1:20" x14ac:dyDescent="0.25">
      <c r="A7" s="5">
        <v>44586</v>
      </c>
      <c r="B7">
        <v>1.4330000000000001E-2</v>
      </c>
      <c r="C7">
        <v>1.4590000000000001E-2</v>
      </c>
      <c r="D7">
        <v>1.3950000000000001E-2</v>
      </c>
      <c r="E7">
        <v>1.443E-2</v>
      </c>
      <c r="F7">
        <v>3286138775</v>
      </c>
      <c r="G7">
        <v>1.443E-2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0.49999999999999867</v>
      </c>
      <c r="Q7">
        <f t="shared" ref="Q7" si="11">F7*P7</f>
        <v>1643069387.4999957</v>
      </c>
      <c r="R7">
        <f t="shared" ref="R7" si="12">R8+Q7</f>
        <v>-23245324394.061146</v>
      </c>
      <c r="S7">
        <f t="shared" ref="S7" si="13">R7/100000</f>
        <v>-232453.24394061146</v>
      </c>
      <c r="T7">
        <f t="shared" ref="T7" si="14">S7/1000</f>
        <v>-232.45324394061146</v>
      </c>
    </row>
    <row r="8" spans="1:20" x14ac:dyDescent="0.25">
      <c r="A8" s="5">
        <v>44585</v>
      </c>
      <c r="B8">
        <v>1.5010000000000001E-2</v>
      </c>
      <c r="C8">
        <v>1.5010000000000001E-2</v>
      </c>
      <c r="D8">
        <v>1.3140000000000001E-2</v>
      </c>
      <c r="E8">
        <v>1.4319999999999999E-2</v>
      </c>
      <c r="F8">
        <v>2328712404</v>
      </c>
      <c r="G8">
        <v>1.4319999999999999E-2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0.26203208556149593</v>
      </c>
      <c r="Q8">
        <f t="shared" ref="Q8" si="16">F8*P8</f>
        <v>610197367.89304483</v>
      </c>
      <c r="R8">
        <f t="shared" ref="R8" si="17">R9+Q8</f>
        <v>-24888393781.561142</v>
      </c>
      <c r="S8">
        <f t="shared" ref="S8" si="18">R8/100000</f>
        <v>-248883.93781561143</v>
      </c>
      <c r="T8">
        <f t="shared" ref="T8" si="19">S8/1000</f>
        <v>-248.88393781561143</v>
      </c>
    </row>
    <row r="9" spans="1:20" x14ac:dyDescent="0.25">
      <c r="A9" s="5">
        <v>44584</v>
      </c>
      <c r="B9">
        <v>1.4930000000000001E-2</v>
      </c>
      <c r="C9">
        <v>1.5509999999999999E-2</v>
      </c>
      <c r="D9">
        <v>1.443E-2</v>
      </c>
      <c r="E9">
        <v>1.5010000000000001E-2</v>
      </c>
      <c r="F9">
        <v>1505039448</v>
      </c>
      <c r="G9">
        <v>1.5010000000000001E-2</v>
      </c>
      <c r="L9" t="s">
        <v>7</v>
      </c>
      <c r="M9" t="s">
        <v>7</v>
      </c>
      <c r="N9" t="s">
        <v>7</v>
      </c>
      <c r="P9">
        <f t="shared" ref="P9" si="20">IF(C9=D9,0,((E9-D9)-(C9-E9))/(C9-D9))</f>
        <v>7.4074074074075916E-2</v>
      </c>
      <c r="Q9">
        <f t="shared" ref="Q9" si="21">F9*P9</f>
        <v>111484403.55555832</v>
      </c>
      <c r="R9">
        <f t="shared" ref="R9" si="22">R10+Q9</f>
        <v>-25498591149.454185</v>
      </c>
      <c r="S9">
        <f t="shared" ref="S9" si="23">R9/100000</f>
        <v>-254985.91149454186</v>
      </c>
      <c r="T9">
        <f t="shared" ref="T9" si="24">S9/1000</f>
        <v>-254.98591149454185</v>
      </c>
    </row>
    <row r="10" spans="1:20" x14ac:dyDescent="0.25">
      <c r="A10" s="5">
        <v>44583</v>
      </c>
      <c r="B10">
        <v>1.6140000000000002E-2</v>
      </c>
      <c r="C10">
        <v>1.6480000000000002E-2</v>
      </c>
      <c r="D10">
        <v>1.396E-2</v>
      </c>
      <c r="E10">
        <v>1.494E-2</v>
      </c>
      <c r="F10">
        <v>3024103946</v>
      </c>
      <c r="G10">
        <v>1.494E-2</v>
      </c>
      <c r="L10" t="s">
        <v>8</v>
      </c>
      <c r="M10" t="s">
        <v>7</v>
      </c>
      <c r="N10" t="s">
        <v>7</v>
      </c>
      <c r="P10">
        <f t="shared" ref="P10" si="25">IF(C10=D10,0,((E10-D10)-(C10-E10))/(C10-D10))</f>
        <v>-0.22222222222222268</v>
      </c>
      <c r="Q10">
        <f t="shared" ref="Q10" si="26">F10*P10</f>
        <v>-672023099.11111248</v>
      </c>
      <c r="R10">
        <f t="shared" ref="R10" si="27">R11+Q10</f>
        <v>-25610075553.009743</v>
      </c>
      <c r="S10">
        <f t="shared" ref="S10" si="28">R10/100000</f>
        <v>-256100.75553009743</v>
      </c>
      <c r="T10">
        <f t="shared" ref="T10" si="29">S10/1000</f>
        <v>-256.10075553009744</v>
      </c>
    </row>
    <row r="11" spans="1:20" x14ac:dyDescent="0.25">
      <c r="A11" s="5">
        <v>44582</v>
      </c>
      <c r="B11">
        <v>1.8370000000000001E-2</v>
      </c>
      <c r="C11">
        <v>1.857E-2</v>
      </c>
      <c r="D11">
        <v>1.4120000000000001E-2</v>
      </c>
      <c r="E11">
        <v>1.6140000000000002E-2</v>
      </c>
      <c r="F11">
        <v>2462059376</v>
      </c>
      <c r="G11">
        <v>1.6140000000000002E-2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-9.2134831460673541E-2</v>
      </c>
      <c r="Q11">
        <f t="shared" ref="Q11" si="31">F11*P11</f>
        <v>-226841425.65393108</v>
      </c>
      <c r="R11">
        <f t="shared" ref="R11" si="32">R12+Q11</f>
        <v>-24938052453.898632</v>
      </c>
      <c r="S11">
        <f t="shared" ref="S11" si="33">R11/100000</f>
        <v>-249380.52453898633</v>
      </c>
      <c r="T11">
        <f t="shared" ref="T11" si="34">S11/1000</f>
        <v>-249.38052453898632</v>
      </c>
    </row>
    <row r="12" spans="1:20" x14ac:dyDescent="0.25">
      <c r="A12" s="5">
        <v>44581</v>
      </c>
      <c r="B12">
        <v>1.8960000000000001E-2</v>
      </c>
      <c r="C12">
        <v>1.9869999999999999E-2</v>
      </c>
      <c r="D12">
        <v>1.831E-2</v>
      </c>
      <c r="E12">
        <v>1.8380000000000001E-2</v>
      </c>
      <c r="F12">
        <v>1784977905</v>
      </c>
      <c r="G12">
        <v>1.8380000000000001E-2</v>
      </c>
      <c r="L12" t="s">
        <v>7</v>
      </c>
      <c r="M12" t="s">
        <v>8</v>
      </c>
      <c r="N12" t="s">
        <v>7</v>
      </c>
      <c r="P12">
        <f t="shared" ref="P12" si="35">IF(C12=D12,0,((E12-D12)-(C12-E12))/(C12-D12))</f>
        <v>-0.91025641025640935</v>
      </c>
      <c r="Q12">
        <f t="shared" ref="Q12" si="36">F12*P12</f>
        <v>-1624787580.192306</v>
      </c>
      <c r="R12">
        <f t="shared" ref="R12" si="37">R13+Q12</f>
        <v>-24711211028.244701</v>
      </c>
      <c r="S12">
        <f t="shared" ref="S12" si="38">R12/100000</f>
        <v>-247112.11028244701</v>
      </c>
      <c r="T12">
        <f t="shared" ref="T12" si="39">S12/1000</f>
        <v>-247.11211028244702</v>
      </c>
    </row>
    <row r="13" spans="1:20" x14ac:dyDescent="0.25">
      <c r="A13" s="5">
        <v>44580</v>
      </c>
      <c r="B13">
        <v>1.9460000000000002E-2</v>
      </c>
      <c r="C13">
        <v>1.951E-2</v>
      </c>
      <c r="D13">
        <v>1.8489999999999999E-2</v>
      </c>
      <c r="E13">
        <v>1.8960000000000001E-2</v>
      </c>
      <c r="F13">
        <v>1726844054</v>
      </c>
      <c r="G13">
        <v>1.8960000000000001E-2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-7.8431372549016401E-2</v>
      </c>
      <c r="Q13">
        <f t="shared" ref="Q13" si="41">F13*P13</f>
        <v>-135438749.3333278</v>
      </c>
      <c r="R13">
        <f t="shared" ref="R13" si="42">R14+Q13</f>
        <v>-23086423448.052395</v>
      </c>
      <c r="S13">
        <f t="shared" ref="S13" si="43">R13/100000</f>
        <v>-230864.23448052394</v>
      </c>
      <c r="T13">
        <f t="shared" ref="T13" si="44">S13/1000</f>
        <v>-230.86423448052395</v>
      </c>
    </row>
    <row r="14" spans="1:20" x14ac:dyDescent="0.25">
      <c r="A14" s="5">
        <v>44579</v>
      </c>
      <c r="B14">
        <v>2.0709999999999999E-2</v>
      </c>
      <c r="C14">
        <v>2.0930000000000001E-2</v>
      </c>
      <c r="D14">
        <v>1.9040000000000001E-2</v>
      </c>
      <c r="E14">
        <v>1.9460000000000002E-2</v>
      </c>
      <c r="F14">
        <v>1727514383</v>
      </c>
      <c r="G14">
        <v>1.9460000000000002E-2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-0.55555555555555514</v>
      </c>
      <c r="Q14">
        <f t="shared" ref="Q14" si="46">F14*P14</f>
        <v>-959730212.77777708</v>
      </c>
      <c r="R14">
        <f t="shared" ref="R14" si="47">R15+Q14</f>
        <v>-22950984698.719067</v>
      </c>
      <c r="S14">
        <f t="shared" ref="S14" si="48">R14/100000</f>
        <v>-229509.84698719066</v>
      </c>
      <c r="T14">
        <f t="shared" ref="T14" si="49">S14/1000</f>
        <v>-229.50984698719066</v>
      </c>
    </row>
    <row r="15" spans="1:20" x14ac:dyDescent="0.25">
      <c r="A15" s="5">
        <v>44578</v>
      </c>
      <c r="B15">
        <v>2.1059999999999999E-2</v>
      </c>
      <c r="C15">
        <v>2.189E-2</v>
      </c>
      <c r="D15">
        <v>2.0299999999999999E-2</v>
      </c>
      <c r="E15">
        <v>2.0709999999999999E-2</v>
      </c>
      <c r="F15">
        <v>1710837731</v>
      </c>
      <c r="G15">
        <v>2.0709999999999999E-2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-0.48427672955974799</v>
      </c>
      <c r="Q15">
        <f t="shared" ref="Q15" si="51">F15*P15</f>
        <v>-828518901.1760999</v>
      </c>
      <c r="R15">
        <f t="shared" ref="R15" si="52">R16+Q15</f>
        <v>-21991254485.941288</v>
      </c>
      <c r="S15">
        <f t="shared" ref="S15" si="53">R15/100000</f>
        <v>-219912.54485941288</v>
      </c>
      <c r="T15">
        <f t="shared" ref="T15" si="54">S15/1000</f>
        <v>-219.91254485941289</v>
      </c>
    </row>
    <row r="16" spans="1:20" x14ac:dyDescent="0.25">
      <c r="A16" s="5">
        <v>44577</v>
      </c>
      <c r="B16">
        <v>2.0830000000000001E-2</v>
      </c>
      <c r="C16">
        <v>2.1610000000000001E-2</v>
      </c>
      <c r="D16">
        <v>2.077E-2</v>
      </c>
      <c r="E16">
        <v>2.1059999999999999E-2</v>
      </c>
      <c r="F16">
        <v>1276474798</v>
      </c>
      <c r="G16">
        <v>2.1059999999999999E-2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-0.30952380952381325</v>
      </c>
      <c r="Q16">
        <f t="shared" ref="Q16" si="56">F16*P16</f>
        <v>-395099342.23809999</v>
      </c>
      <c r="R16">
        <f t="shared" ref="R16" si="57">R17+Q16</f>
        <v>-21162735584.765186</v>
      </c>
      <c r="S16">
        <f t="shared" ref="S16" si="58">R16/100000</f>
        <v>-211627.35584765187</v>
      </c>
      <c r="T16">
        <f t="shared" ref="T16" si="59">S16/1000</f>
        <v>-211.62735584765187</v>
      </c>
    </row>
    <row r="17" spans="1:20" x14ac:dyDescent="0.25">
      <c r="A17" s="5">
        <v>44576</v>
      </c>
      <c r="B17">
        <v>2.0500000000000001E-2</v>
      </c>
      <c r="C17">
        <v>2.1499999999999998E-2</v>
      </c>
      <c r="D17">
        <v>2.0250000000000001E-2</v>
      </c>
      <c r="E17">
        <v>2.0830000000000001E-2</v>
      </c>
      <c r="F17">
        <v>1700758281</v>
      </c>
      <c r="G17">
        <v>2.0830000000000001E-2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-7.1999999999997205E-2</v>
      </c>
      <c r="Q17">
        <f t="shared" ref="Q17" si="61">F17*P17</f>
        <v>-122454596.23199524</v>
      </c>
      <c r="R17">
        <f t="shared" ref="R17" si="62">R18+Q17</f>
        <v>-20767636242.527088</v>
      </c>
      <c r="S17">
        <f t="shared" ref="S17" si="63">R17/100000</f>
        <v>-207676.36242527087</v>
      </c>
      <c r="T17">
        <f t="shared" ref="T17" si="64">S17/1000</f>
        <v>-207.67636242527087</v>
      </c>
    </row>
    <row r="18" spans="1:20" x14ac:dyDescent="0.25">
      <c r="A18" s="5">
        <v>44575</v>
      </c>
      <c r="B18">
        <v>1.9290000000000002E-2</v>
      </c>
      <c r="C18">
        <v>2.1940000000000001E-2</v>
      </c>
      <c r="D18">
        <v>1.9130000000000001E-2</v>
      </c>
      <c r="E18">
        <v>2.0480000000000002E-2</v>
      </c>
      <c r="F18">
        <v>2266689823</v>
      </c>
      <c r="G18">
        <v>2.0480000000000002E-2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-3.9145907473309247E-2</v>
      </c>
      <c r="Q18">
        <f t="shared" ref="Q18" si="66">F18*P18</f>
        <v>-88731630.081849709</v>
      </c>
      <c r="R18">
        <f t="shared" ref="R18" si="67">R19+Q18</f>
        <v>-20645181646.295094</v>
      </c>
      <c r="S18">
        <f t="shared" ref="S18" si="68">R18/100000</f>
        <v>-206451.81646295093</v>
      </c>
      <c r="T18">
        <f t="shared" ref="T18" si="69">S18/1000</f>
        <v>-206.45181646295092</v>
      </c>
    </row>
    <row r="19" spans="1:20" x14ac:dyDescent="0.25">
      <c r="A19" s="5">
        <v>44574</v>
      </c>
      <c r="B19">
        <v>1.9779999999999999E-2</v>
      </c>
      <c r="C19">
        <v>2.0039999999999999E-2</v>
      </c>
      <c r="D19">
        <v>1.9060000000000001E-2</v>
      </c>
      <c r="E19">
        <v>1.9300000000000001E-2</v>
      </c>
      <c r="F19">
        <v>2425611647</v>
      </c>
      <c r="G19">
        <v>1.9300000000000001E-2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-0.51020408163265085</v>
      </c>
      <c r="Q19">
        <f t="shared" ref="Q19" si="71">F19*P19</f>
        <v>-1237556962.7550967</v>
      </c>
      <c r="R19">
        <f t="shared" ref="R19" si="72">R20+Q19</f>
        <v>-20556450016.213245</v>
      </c>
      <c r="S19">
        <f t="shared" ref="S19" si="73">R19/100000</f>
        <v>-205564.50016213246</v>
      </c>
      <c r="T19">
        <f t="shared" ref="T19" si="74">S19/1000</f>
        <v>-205.56450016213248</v>
      </c>
    </row>
    <row r="20" spans="1:20" x14ac:dyDescent="0.25">
      <c r="A20" s="5">
        <v>44573</v>
      </c>
      <c r="B20">
        <v>1.8689999999999998E-2</v>
      </c>
      <c r="C20">
        <v>1.9910000000000001E-2</v>
      </c>
      <c r="D20">
        <v>1.865E-2</v>
      </c>
      <c r="E20">
        <v>1.9779999999999999E-2</v>
      </c>
      <c r="F20">
        <v>2452052763</v>
      </c>
      <c r="G20">
        <v>1.9779999999999999E-2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0.79365079365079116</v>
      </c>
      <c r="Q20">
        <f t="shared" ref="Q20" si="76">F20*P20</f>
        <v>1946073621.4285653</v>
      </c>
      <c r="R20">
        <f t="shared" ref="R20" si="77">R21+Q20</f>
        <v>-19318893053.458149</v>
      </c>
      <c r="S20">
        <f t="shared" ref="S20" si="78">R20/100000</f>
        <v>-193188.93053458148</v>
      </c>
      <c r="T20">
        <f t="shared" ref="T20" si="79">S20/1000</f>
        <v>-193.18893053458149</v>
      </c>
    </row>
    <row r="21" spans="1:20" x14ac:dyDescent="0.25">
      <c r="A21" s="5">
        <v>44572</v>
      </c>
      <c r="B21">
        <v>1.8149999999999999E-2</v>
      </c>
      <c r="C21">
        <v>1.8839999999999999E-2</v>
      </c>
      <c r="D21">
        <v>1.7909999999999999E-2</v>
      </c>
      <c r="E21">
        <v>1.8689999999999998E-2</v>
      </c>
      <c r="F21">
        <v>1679664648</v>
      </c>
      <c r="G21">
        <v>1.8689999999999998E-2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0.67741935483870797</v>
      </c>
      <c r="Q21">
        <f t="shared" ref="Q21" si="81">F21*P21</f>
        <v>1137837342.1935456</v>
      </c>
      <c r="R21">
        <f t="shared" ref="R21" si="82">R22+Q21</f>
        <v>-21264966674.886715</v>
      </c>
      <c r="S21">
        <f t="shared" ref="S21" si="83">R21/100000</f>
        <v>-212649.66674886714</v>
      </c>
      <c r="T21">
        <f t="shared" ref="T21" si="84">S21/1000</f>
        <v>-212.64966674886713</v>
      </c>
    </row>
    <row r="22" spans="1:20" x14ac:dyDescent="0.25">
      <c r="A22" s="5">
        <v>44571</v>
      </c>
      <c r="B22">
        <v>1.8950000000000002E-2</v>
      </c>
      <c r="C22">
        <v>1.934E-2</v>
      </c>
      <c r="D22">
        <v>1.745E-2</v>
      </c>
      <c r="E22">
        <v>1.8149999999999999E-2</v>
      </c>
      <c r="F22">
        <v>1388202521</v>
      </c>
      <c r="G22">
        <v>1.8149999999999999E-2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-0.2592592592592598</v>
      </c>
      <c r="Q22">
        <f t="shared" ref="Q22" si="86">F22*P22</f>
        <v>-359904357.29629707</v>
      </c>
      <c r="R22">
        <f t="shared" ref="R22" si="87">R23+Q22</f>
        <v>-22402804017.080261</v>
      </c>
      <c r="S22">
        <f t="shared" ref="S22" si="88">R22/100000</f>
        <v>-224028.04017080262</v>
      </c>
      <c r="T22">
        <f t="shared" ref="T22" si="89">S22/1000</f>
        <v>-224.02804017080263</v>
      </c>
    </row>
    <row r="23" spans="1:20" x14ac:dyDescent="0.25">
      <c r="A23" s="5">
        <v>44570</v>
      </c>
      <c r="B23">
        <v>1.8689999999999998E-2</v>
      </c>
      <c r="C23">
        <v>1.9400000000000001E-2</v>
      </c>
      <c r="D23">
        <v>1.856E-2</v>
      </c>
      <c r="E23">
        <v>1.8960000000000001E-2</v>
      </c>
      <c r="F23">
        <v>1010690578</v>
      </c>
      <c r="G23">
        <v>1.8960000000000001E-2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-4.7619047619045653E-2</v>
      </c>
      <c r="Q23">
        <f t="shared" ref="Q23" si="91">F23*P23</f>
        <v>-48128122.761902772</v>
      </c>
      <c r="R23">
        <f t="shared" ref="R23" si="92">R24+Q23</f>
        <v>-22042899659.783966</v>
      </c>
      <c r="S23">
        <f t="shared" ref="S23" si="93">R23/100000</f>
        <v>-220428.99659783966</v>
      </c>
      <c r="T23">
        <f t="shared" ref="T23" si="94">S23/1000</f>
        <v>-220.42899659783967</v>
      </c>
    </row>
    <row r="24" spans="1:20" x14ac:dyDescent="0.25">
      <c r="A24" s="5">
        <v>44569</v>
      </c>
      <c r="B24">
        <v>1.9689999999999999E-2</v>
      </c>
      <c r="C24">
        <v>2.0080000000000001E-2</v>
      </c>
      <c r="D24">
        <v>1.8319999999999999E-2</v>
      </c>
      <c r="E24">
        <v>1.8689999999999998E-2</v>
      </c>
      <c r="F24">
        <v>1088376417</v>
      </c>
      <c r="G24">
        <v>1.8689999999999998E-2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-0.57954545454545614</v>
      </c>
      <c r="Q24">
        <f t="shared" ref="Q24" si="96">F24*P24</f>
        <v>-630763605.30681992</v>
      </c>
      <c r="R24">
        <f t="shared" ref="R24" si="97">R25+Q24</f>
        <v>-21994771537.022064</v>
      </c>
      <c r="S24">
        <f t="shared" ref="S24" si="98">R24/100000</f>
        <v>-219947.71537022066</v>
      </c>
      <c r="T24">
        <f t="shared" ref="T24" si="99">S24/1000</f>
        <v>-219.94771537022066</v>
      </c>
    </row>
    <row r="25" spans="1:20" x14ac:dyDescent="0.25">
      <c r="A25" s="5">
        <v>44568</v>
      </c>
      <c r="B25">
        <v>2.095E-2</v>
      </c>
      <c r="C25">
        <v>2.1000000000000001E-2</v>
      </c>
      <c r="D25">
        <v>1.9050000000000001E-2</v>
      </c>
      <c r="E25">
        <v>1.968E-2</v>
      </c>
      <c r="F25">
        <v>1485970507</v>
      </c>
      <c r="G25">
        <v>1.968E-2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-0.35384615384615536</v>
      </c>
      <c r="Q25">
        <f t="shared" ref="Q25" si="101">F25*P25</f>
        <v>-525804948.63077146</v>
      </c>
      <c r="R25">
        <f t="shared" ref="R25" si="102">R26+Q25</f>
        <v>-21364007931.715244</v>
      </c>
      <c r="S25">
        <f t="shared" ref="S25" si="103">R25/100000</f>
        <v>-213640.07931715244</v>
      </c>
      <c r="T25">
        <f t="shared" ref="T25" si="104">S25/1000</f>
        <v>-213.64007931715244</v>
      </c>
    </row>
    <row r="26" spans="1:20" x14ac:dyDescent="0.25">
      <c r="A26" s="5">
        <v>44567</v>
      </c>
      <c r="B26">
        <v>2.0449999999999999E-2</v>
      </c>
      <c r="C26">
        <v>2.1239999999999998E-2</v>
      </c>
      <c r="D26">
        <v>2.01E-2</v>
      </c>
      <c r="E26">
        <v>2.095E-2</v>
      </c>
      <c r="F26">
        <v>1172517573</v>
      </c>
      <c r="G26">
        <v>2.095E-2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0.49122807017544046</v>
      </c>
      <c r="Q26">
        <f t="shared" ref="Q26" si="106">F26*P26</f>
        <v>575973544.63158119</v>
      </c>
      <c r="R26">
        <f t="shared" ref="R26" si="107">R27+Q26</f>
        <v>-20838202983.084473</v>
      </c>
      <c r="S26">
        <f t="shared" ref="S26" si="108">R26/100000</f>
        <v>-208382.02983084472</v>
      </c>
      <c r="T26">
        <f t="shared" ref="T26" si="109">S26/1000</f>
        <v>-208.38202983084471</v>
      </c>
    </row>
    <row r="27" spans="1:20" x14ac:dyDescent="0.25">
      <c r="A27" s="5">
        <v>44566</v>
      </c>
      <c r="B27">
        <v>2.2339999999999999E-2</v>
      </c>
      <c r="C27">
        <v>2.299E-2</v>
      </c>
      <c r="D27">
        <v>0.02</v>
      </c>
      <c r="E27">
        <v>2.043E-2</v>
      </c>
      <c r="F27">
        <v>1201111494</v>
      </c>
      <c r="G27">
        <v>2.043E-2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-0.71237458193979941</v>
      </c>
      <c r="Q27">
        <f t="shared" ref="Q27" si="111">F27*P27</f>
        <v>-855641298.40133786</v>
      </c>
      <c r="R27">
        <f t="shared" ref="R27" si="112">R28+Q27</f>
        <v>-21414176527.716053</v>
      </c>
      <c r="S27">
        <f t="shared" ref="S27" si="113">R27/100000</f>
        <v>-214141.76527716054</v>
      </c>
      <c r="T27">
        <f t="shared" ref="T27" si="114">S27/1000</f>
        <v>-214.14176527716054</v>
      </c>
    </row>
    <row r="28" spans="1:20" x14ac:dyDescent="0.25">
      <c r="A28" s="5">
        <v>44565</v>
      </c>
      <c r="B28">
        <v>2.2069999999999999E-2</v>
      </c>
      <c r="C28">
        <v>2.3300000000000001E-2</v>
      </c>
      <c r="D28">
        <v>2.1819999999999999E-2</v>
      </c>
      <c r="E28">
        <v>2.2339999999999999E-2</v>
      </c>
      <c r="F28">
        <v>776906551</v>
      </c>
      <c r="G28">
        <v>2.2339999999999999E-2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-0.29729729729729881</v>
      </c>
      <c r="Q28">
        <f t="shared" ref="Q28" si="116">F28*P28</f>
        <v>-230972217.86486605</v>
      </c>
      <c r="R28">
        <f t="shared" ref="R28" si="117">R29+Q28</f>
        <v>-20558535229.314716</v>
      </c>
      <c r="S28">
        <f t="shared" ref="S28" si="118">R28/100000</f>
        <v>-205585.35229314715</v>
      </c>
      <c r="T28">
        <f t="shared" ref="T28" si="119">S28/1000</f>
        <v>-205.58535229314714</v>
      </c>
    </row>
    <row r="29" spans="1:20" x14ac:dyDescent="0.25">
      <c r="A29" s="5">
        <v>44564</v>
      </c>
      <c r="B29">
        <v>2.2290000000000001E-2</v>
      </c>
      <c r="C29">
        <v>2.2630000000000001E-2</v>
      </c>
      <c r="D29">
        <v>2.1819999999999999E-2</v>
      </c>
      <c r="E29">
        <v>2.206E-2</v>
      </c>
      <c r="F29">
        <v>638096202</v>
      </c>
      <c r="G29">
        <v>2.206E-2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-0.40740740740740711</v>
      </c>
      <c r="Q29">
        <f t="shared" ref="Q29" si="121">F29*P29</f>
        <v>-259965119.33333313</v>
      </c>
      <c r="R29">
        <f t="shared" ref="R29" si="122">R30+Q29</f>
        <v>-20327563011.449852</v>
      </c>
      <c r="S29">
        <f t="shared" ref="S29" si="123">R29/100000</f>
        <v>-203275.63011449852</v>
      </c>
      <c r="T29">
        <f t="shared" ref="T29" si="124">S29/1000</f>
        <v>-203.27563011449851</v>
      </c>
    </row>
    <row r="30" spans="1:20" x14ac:dyDescent="0.25">
      <c r="A30" s="5">
        <v>44563</v>
      </c>
      <c r="B30">
        <v>2.2460000000000001E-2</v>
      </c>
      <c r="C30">
        <v>2.2519999999999998E-2</v>
      </c>
      <c r="D30">
        <v>2.205E-2</v>
      </c>
      <c r="E30">
        <v>2.23E-2</v>
      </c>
      <c r="F30">
        <v>722553737</v>
      </c>
      <c r="G30">
        <v>2.23E-2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6.3829787234047586E-2</v>
      </c>
      <c r="Q30">
        <f t="shared" ref="Q30" si="126">F30*P30</f>
        <v>46120451.297875978</v>
      </c>
      <c r="R30">
        <f t="shared" ref="R30" si="127">R31+Q30</f>
        <v>-20067597892.11652</v>
      </c>
      <c r="S30">
        <f t="shared" ref="S30" si="128">R30/100000</f>
        <v>-200675.9789211652</v>
      </c>
      <c r="T30">
        <f t="shared" ref="T30" si="129">S30/1000</f>
        <v>-200.67597892116518</v>
      </c>
    </row>
    <row r="31" spans="1:20" x14ac:dyDescent="0.25">
      <c r="A31" s="5">
        <v>44562</v>
      </c>
      <c r="B31">
        <v>2.179E-2</v>
      </c>
      <c r="C31">
        <v>2.2780000000000002E-2</v>
      </c>
      <c r="D31">
        <v>2.1749999999999999E-2</v>
      </c>
      <c r="E31">
        <v>2.2460000000000001E-2</v>
      </c>
      <c r="F31">
        <v>411944425</v>
      </c>
      <c r="G31">
        <v>2.2460000000000001E-2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0.3786407766990294</v>
      </c>
      <c r="Q31">
        <f t="shared" ref="Q31" si="131">F31*P31</f>
        <v>155978957.03883508</v>
      </c>
      <c r="R31">
        <f t="shared" ref="R31" si="132">R32+Q31</f>
        <v>-20113718343.414394</v>
      </c>
      <c r="S31">
        <f t="shared" ref="S31" si="133">R31/100000</f>
        <v>-201137.18343414395</v>
      </c>
      <c r="T31">
        <f t="shared" ref="T31" si="134">S31/1000</f>
        <v>-201.13718343414396</v>
      </c>
    </row>
    <row r="32" spans="1:20" x14ac:dyDescent="0.25">
      <c r="A32" s="5">
        <v>44561</v>
      </c>
      <c r="B32">
        <v>2.2100000000000002E-2</v>
      </c>
      <c r="C32">
        <v>2.265E-2</v>
      </c>
      <c r="D32">
        <v>2.1270000000000001E-2</v>
      </c>
      <c r="E32">
        <v>2.179E-2</v>
      </c>
      <c r="F32">
        <v>763580660</v>
      </c>
      <c r="G32">
        <v>2.179E-2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-0.24637681159420305</v>
      </c>
      <c r="Q32">
        <f t="shared" ref="Q32" si="136">F32*P32</f>
        <v>-188128568.40579721</v>
      </c>
      <c r="R32">
        <f t="shared" ref="R32" si="137">R33+Q32</f>
        <v>-20269697300.453228</v>
      </c>
      <c r="S32">
        <f t="shared" ref="S32" si="138">R32/100000</f>
        <v>-202696.97300453228</v>
      </c>
      <c r="T32">
        <f t="shared" ref="T32" si="139">S32/1000</f>
        <v>-202.69697300453228</v>
      </c>
    </row>
    <row r="33" spans="1:20" x14ac:dyDescent="0.25">
      <c r="A33" s="5">
        <v>44560</v>
      </c>
      <c r="B33">
        <v>2.1739999999999999E-2</v>
      </c>
      <c r="C33">
        <v>2.2380000000000001E-2</v>
      </c>
      <c r="D33">
        <v>2.146E-2</v>
      </c>
      <c r="E33">
        <v>2.2110000000000001E-2</v>
      </c>
      <c r="F33">
        <v>751827990</v>
      </c>
      <c r="G33">
        <v>2.2110000000000001E-2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0.41304347826087129</v>
      </c>
      <c r="Q33">
        <f t="shared" ref="Q33" si="141">F33*P33</f>
        <v>310537648.04347956</v>
      </c>
      <c r="R33">
        <f t="shared" ref="R33" si="142">R34+Q33</f>
        <v>-20081568732.047432</v>
      </c>
      <c r="S33">
        <f t="shared" ref="S33" si="143">R33/100000</f>
        <v>-200815.68732047433</v>
      </c>
      <c r="T33">
        <f t="shared" ref="T33" si="144">S33/1000</f>
        <v>-200.81568732047432</v>
      </c>
    </row>
    <row r="34" spans="1:20" x14ac:dyDescent="0.25">
      <c r="A34" s="5">
        <v>44559</v>
      </c>
      <c r="B34">
        <v>2.196E-2</v>
      </c>
      <c r="C34">
        <v>2.3019999999999999E-2</v>
      </c>
      <c r="D34">
        <v>2.1610000000000001E-2</v>
      </c>
      <c r="E34">
        <v>2.1690000000000001E-2</v>
      </c>
      <c r="F34">
        <v>240897997</v>
      </c>
      <c r="G34">
        <v>2.1690000000000001E-2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-0.88652482269503496</v>
      </c>
      <c r="Q34">
        <f t="shared" ref="Q34" si="146">F34*P34</f>
        <v>-213562054.07801408</v>
      </c>
      <c r="R34">
        <f t="shared" ref="R34" si="147">R35+Q34</f>
        <v>-20392106380.090912</v>
      </c>
      <c r="S34">
        <f t="shared" ref="S34" si="148">R34/100000</f>
        <v>-203921.06380090912</v>
      </c>
      <c r="T34">
        <f t="shared" ref="T34" si="149">S34/1000</f>
        <v>-203.92106380090911</v>
      </c>
    </row>
    <row r="35" spans="1:20" x14ac:dyDescent="0.25">
      <c r="A35" s="5">
        <v>44558</v>
      </c>
      <c r="B35">
        <v>2.4160000000000001E-2</v>
      </c>
      <c r="C35">
        <v>2.4219999999999998E-2</v>
      </c>
      <c r="D35">
        <v>2.1780000000000001E-2</v>
      </c>
      <c r="E35">
        <v>2.1999999999999999E-2</v>
      </c>
      <c r="F35">
        <v>332390673</v>
      </c>
      <c r="G35">
        <v>2.1999999999999999E-2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-0.81967213114754245</v>
      </c>
      <c r="Q35">
        <f t="shared" ref="Q35" si="151">F35*P35</f>
        <v>-272451371.31147587</v>
      </c>
      <c r="R35">
        <f t="shared" ref="R35" si="152">R36+Q35</f>
        <v>-20178544326.012897</v>
      </c>
      <c r="S35">
        <f t="shared" ref="S35" si="153">R35/100000</f>
        <v>-201785.44326012899</v>
      </c>
      <c r="T35">
        <f t="shared" ref="T35" si="154">S35/1000</f>
        <v>-201.785443260129</v>
      </c>
    </row>
    <row r="36" spans="1:20" x14ac:dyDescent="0.25">
      <c r="A36" s="5">
        <v>44557</v>
      </c>
      <c r="B36">
        <v>2.445E-2</v>
      </c>
      <c r="C36">
        <v>2.5479999999999999E-2</v>
      </c>
      <c r="D36">
        <v>2.4039999999999999E-2</v>
      </c>
      <c r="E36">
        <v>2.4150000000000001E-2</v>
      </c>
      <c r="F36">
        <v>704218974</v>
      </c>
      <c r="G36">
        <v>2.4150000000000001E-2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-0.84722222222221888</v>
      </c>
      <c r="Q36">
        <f t="shared" ref="Q36" si="156">F36*P36</f>
        <v>-596629964.08333099</v>
      </c>
      <c r="R36">
        <f t="shared" ref="R36" si="157">R37+Q36</f>
        <v>-19906092954.70142</v>
      </c>
      <c r="S36">
        <f t="shared" ref="S36" si="158">R36/100000</f>
        <v>-199060.92954701421</v>
      </c>
      <c r="T36">
        <f t="shared" ref="T36" si="159">S36/1000</f>
        <v>-199.06092954701421</v>
      </c>
    </row>
    <row r="37" spans="1:20" x14ac:dyDescent="0.25">
      <c r="A37" s="5">
        <v>44556</v>
      </c>
      <c r="B37">
        <v>2.383E-2</v>
      </c>
      <c r="C37">
        <v>2.4549999999999999E-2</v>
      </c>
      <c r="D37">
        <v>2.3120000000000002E-2</v>
      </c>
      <c r="E37">
        <v>2.445E-2</v>
      </c>
      <c r="F37">
        <v>798056037</v>
      </c>
      <c r="G37">
        <v>2.445E-2</v>
      </c>
      <c r="L37" t="s">
        <v>8</v>
      </c>
      <c r="M37" t="s">
        <v>7</v>
      </c>
      <c r="N37" t="s">
        <v>7</v>
      </c>
      <c r="P37">
        <f t="shared" ref="P37" si="160">IF(C37=D37,0,((E37-D37)-(C37-E37))/(C37-D37))</f>
        <v>0.86013986013986077</v>
      </c>
      <c r="Q37">
        <f t="shared" ref="Q37" si="161">F37*P37</f>
        <v>686439808.04895151</v>
      </c>
      <c r="R37">
        <f t="shared" ref="R37" si="162">R38+Q37</f>
        <v>-19309462990.618088</v>
      </c>
      <c r="S37">
        <f t="shared" ref="S37" si="163">R37/100000</f>
        <v>-193094.62990618087</v>
      </c>
      <c r="T37">
        <f t="shared" ref="T37" si="164">S37/1000</f>
        <v>-193.09462990618087</v>
      </c>
    </row>
    <row r="38" spans="1:20" x14ac:dyDescent="0.25">
      <c r="A38" s="5">
        <v>44555</v>
      </c>
      <c r="B38">
        <v>2.3290000000000002E-2</v>
      </c>
      <c r="C38">
        <v>2.3970000000000002E-2</v>
      </c>
      <c r="D38">
        <v>2.3109999999999999E-2</v>
      </c>
      <c r="E38">
        <v>2.383E-2</v>
      </c>
      <c r="F38">
        <v>1193342755</v>
      </c>
      <c r="G38">
        <v>2.383E-2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0.6744186046511611</v>
      </c>
      <c r="Q38">
        <f t="shared" ref="Q38" si="166">F38*P38</f>
        <v>804812555.69767237</v>
      </c>
      <c r="R38">
        <f t="shared" ref="R38" si="167">R39+Q38</f>
        <v>-19995902798.667038</v>
      </c>
      <c r="S38">
        <f t="shared" ref="S38" si="168">R38/100000</f>
        <v>-199959.02798667038</v>
      </c>
      <c r="T38">
        <f t="shared" ref="T38" si="169">S38/1000</f>
        <v>-199.95902798667038</v>
      </c>
    </row>
    <row r="39" spans="1:20" x14ac:dyDescent="0.25">
      <c r="A39" s="5">
        <v>44554</v>
      </c>
      <c r="B39">
        <v>2.409E-2</v>
      </c>
      <c r="C39">
        <v>2.4629999999999999E-2</v>
      </c>
      <c r="D39">
        <v>2.316E-2</v>
      </c>
      <c r="E39">
        <v>2.3269999999999999E-2</v>
      </c>
      <c r="F39">
        <v>1110968116</v>
      </c>
      <c r="G39">
        <v>2.3269999999999999E-2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-0.85034013605442305</v>
      </c>
      <c r="Q39">
        <f t="shared" ref="Q39" si="171">F39*P39</f>
        <v>-944700778.91156602</v>
      </c>
      <c r="R39">
        <f t="shared" ref="R39" si="172">R40+Q39</f>
        <v>-20800715354.364712</v>
      </c>
      <c r="S39">
        <f t="shared" ref="S39" si="173">R39/100000</f>
        <v>-208007.15354364712</v>
      </c>
      <c r="T39">
        <f t="shared" ref="T39" si="174">S39/1000</f>
        <v>-208.00715354364712</v>
      </c>
    </row>
    <row r="40" spans="1:20" x14ac:dyDescent="0.25">
      <c r="A40" s="5">
        <v>44553</v>
      </c>
      <c r="B40">
        <v>2.2960000000000001E-2</v>
      </c>
      <c r="C40">
        <v>2.4230000000000002E-2</v>
      </c>
      <c r="D40">
        <v>2.2589999999999999E-2</v>
      </c>
      <c r="E40">
        <v>2.4080000000000001E-2</v>
      </c>
      <c r="F40">
        <v>1369880285</v>
      </c>
      <c r="G40">
        <v>2.4080000000000001E-2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0.8170731707317066</v>
      </c>
      <c r="Q40">
        <f t="shared" ref="Q40" si="176">F40*P40</f>
        <v>1119292427.9878039</v>
      </c>
      <c r="R40">
        <f t="shared" ref="R40" si="177">R41+Q40</f>
        <v>-19856014575.453144</v>
      </c>
      <c r="S40">
        <f t="shared" ref="S40" si="178">R40/100000</f>
        <v>-198560.14575453143</v>
      </c>
      <c r="T40">
        <f t="shared" ref="T40" si="179">S40/1000</f>
        <v>-198.56014575453145</v>
      </c>
    </row>
    <row r="41" spans="1:20" x14ac:dyDescent="0.25">
      <c r="A41" s="5">
        <v>44552</v>
      </c>
      <c r="B41">
        <v>2.2749999999999999E-2</v>
      </c>
      <c r="C41">
        <v>2.367E-2</v>
      </c>
      <c r="D41">
        <v>2.2599999999999999E-2</v>
      </c>
      <c r="E41">
        <v>2.2950000000000002E-2</v>
      </c>
      <c r="F41">
        <v>1141025950</v>
      </c>
      <c r="G41">
        <v>2.2950000000000002E-2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-0.34579439252335964</v>
      </c>
      <c r="Q41">
        <f t="shared" ref="Q41" si="181">F41*P41</f>
        <v>-394560375.23363936</v>
      </c>
      <c r="R41">
        <f t="shared" ref="R41" si="182">R42+Q41</f>
        <v>-20975307003.440948</v>
      </c>
      <c r="S41">
        <f t="shared" ref="S41" si="183">R41/100000</f>
        <v>-209753.07003440949</v>
      </c>
      <c r="T41">
        <f t="shared" ref="T41" si="184">S41/1000</f>
        <v>-209.75307003440949</v>
      </c>
    </row>
    <row r="42" spans="1:20" x14ac:dyDescent="0.25">
      <c r="A42" s="5">
        <v>44551</v>
      </c>
      <c r="B42">
        <v>2.23E-2</v>
      </c>
      <c r="C42">
        <v>2.2919999999999999E-2</v>
      </c>
      <c r="D42">
        <v>2.2040000000000001E-2</v>
      </c>
      <c r="E42">
        <v>2.273E-2</v>
      </c>
      <c r="F42">
        <v>1118524797</v>
      </c>
      <c r="G42">
        <v>2.273E-2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0.56818181818181945</v>
      </c>
      <c r="Q42">
        <f t="shared" ref="Q42" si="186">F42*P42</f>
        <v>635525452.84091055</v>
      </c>
      <c r="R42">
        <f t="shared" ref="R42" si="187">R43+Q42</f>
        <v>-20580746628.20731</v>
      </c>
      <c r="S42">
        <f t="shared" ref="S42" si="188">R42/100000</f>
        <v>-205807.46628207309</v>
      </c>
      <c r="T42">
        <f t="shared" ref="T42" si="189">S42/1000</f>
        <v>-205.80746628207308</v>
      </c>
    </row>
    <row r="43" spans="1:20" x14ac:dyDescent="0.25">
      <c r="A43" s="5">
        <v>44550</v>
      </c>
      <c r="B43">
        <v>2.316E-2</v>
      </c>
      <c r="C43">
        <v>2.3359999999999999E-2</v>
      </c>
      <c r="D43">
        <v>2.154E-2</v>
      </c>
      <c r="E43">
        <v>2.2270000000000002E-2</v>
      </c>
      <c r="F43">
        <v>1353220606</v>
      </c>
      <c r="G43">
        <v>2.2270000000000002E-2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-0.1978021978021956</v>
      </c>
      <c r="Q43">
        <f t="shared" ref="Q43" si="191">F43*P43</f>
        <v>-267670009.978019</v>
      </c>
      <c r="R43">
        <f t="shared" ref="R43" si="192">R44+Q43</f>
        <v>-21216272081.048222</v>
      </c>
      <c r="S43">
        <f t="shared" ref="S43" si="193">R43/100000</f>
        <v>-212162.72081048222</v>
      </c>
      <c r="T43">
        <f t="shared" ref="T43" si="194">S43/1000</f>
        <v>-212.16272081048223</v>
      </c>
    </row>
    <row r="44" spans="1:20" x14ac:dyDescent="0.25">
      <c r="A44" s="5">
        <v>44549</v>
      </c>
      <c r="B44">
        <v>2.2530000000000001E-2</v>
      </c>
      <c r="C44">
        <v>2.759E-2</v>
      </c>
      <c r="D44">
        <v>2.231E-2</v>
      </c>
      <c r="E44">
        <v>2.316E-2</v>
      </c>
      <c r="F44">
        <v>1567959090</v>
      </c>
      <c r="G44">
        <v>2.316E-2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-0.67803030303030298</v>
      </c>
      <c r="Q44">
        <f t="shared" ref="Q44" si="196">F44*P44</f>
        <v>-1063123776.9318181</v>
      </c>
      <c r="R44">
        <f t="shared" ref="R44" si="197">R45+Q44</f>
        <v>-20948602071.070202</v>
      </c>
      <c r="S44">
        <f t="shared" ref="S44" si="198">R44/100000</f>
        <v>-209486.02071070203</v>
      </c>
      <c r="T44">
        <f t="shared" ref="T44" si="199">S44/1000</f>
        <v>-209.48602071070204</v>
      </c>
    </row>
    <row r="45" spans="1:20" x14ac:dyDescent="0.25">
      <c r="A45" s="5">
        <v>44548</v>
      </c>
      <c r="B45">
        <v>2.171E-2</v>
      </c>
      <c r="C45">
        <v>2.2960000000000001E-2</v>
      </c>
      <c r="D45">
        <v>2.1440000000000001E-2</v>
      </c>
      <c r="E45">
        <v>2.2530000000000001E-2</v>
      </c>
      <c r="F45">
        <v>1498457426</v>
      </c>
      <c r="G45">
        <v>2.2530000000000001E-2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0.43421052631578988</v>
      </c>
      <c r="Q45">
        <f t="shared" ref="Q45" si="201">F45*P45</f>
        <v>650645987.60526371</v>
      </c>
      <c r="R45">
        <f t="shared" ref="R45" si="202">R46+Q45</f>
        <v>-19885478294.138382</v>
      </c>
      <c r="S45">
        <f t="shared" ref="S45" si="203">R45/100000</f>
        <v>-198854.78294138383</v>
      </c>
      <c r="T45">
        <f t="shared" ref="T45" si="204">S45/1000</f>
        <v>-198.85478294138383</v>
      </c>
    </row>
    <row r="46" spans="1:20" x14ac:dyDescent="0.25">
      <c r="A46" s="5">
        <v>44547</v>
      </c>
      <c r="B46">
        <v>2.3099999999999999E-2</v>
      </c>
      <c r="C46">
        <v>2.333E-2</v>
      </c>
      <c r="D46">
        <v>2.1219999999999999E-2</v>
      </c>
      <c r="E46">
        <v>2.171E-2</v>
      </c>
      <c r="F46">
        <v>1767572881</v>
      </c>
      <c r="G46">
        <v>2.171E-2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-0.53554502369668178</v>
      </c>
      <c r="Q46">
        <f t="shared" ref="Q46" si="206">F46*P46</f>
        <v>-946614860.44075704</v>
      </c>
      <c r="R46">
        <f t="shared" ref="R46" si="207">R47+Q46</f>
        <v>-20536124281.743645</v>
      </c>
      <c r="S46">
        <f t="shared" ref="S46" si="208">R46/100000</f>
        <v>-205361.24281743646</v>
      </c>
      <c r="T46">
        <f t="shared" ref="T46" si="209">S46/1000</f>
        <v>-205.36124281743645</v>
      </c>
    </row>
    <row r="47" spans="1:20" x14ac:dyDescent="0.25">
      <c r="A47" s="5">
        <v>44546</v>
      </c>
      <c r="B47">
        <v>2.4199999999999999E-2</v>
      </c>
      <c r="C47">
        <v>2.436E-2</v>
      </c>
      <c r="D47">
        <v>2.3050000000000001E-2</v>
      </c>
      <c r="E47">
        <v>2.3109999999999999E-2</v>
      </c>
      <c r="F47">
        <v>1024855366</v>
      </c>
      <c r="G47">
        <v>2.3109999999999999E-2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-0.90839694656488912</v>
      </c>
      <c r="Q47">
        <f t="shared" ref="Q47" si="211">F47*P47</f>
        <v>-930975485.14504182</v>
      </c>
      <c r="R47">
        <f t="shared" ref="R47" si="212">R48+Q47</f>
        <v>-19589509421.302887</v>
      </c>
      <c r="S47">
        <f t="shared" ref="S47" si="213">R47/100000</f>
        <v>-195895.09421302887</v>
      </c>
      <c r="T47">
        <f t="shared" ref="T47" si="214">S47/1000</f>
        <v>-195.89509421302887</v>
      </c>
    </row>
    <row r="48" spans="1:20" x14ac:dyDescent="0.25">
      <c r="A48" s="5">
        <v>44545</v>
      </c>
      <c r="B48">
        <v>2.4070000000000001E-2</v>
      </c>
      <c r="C48">
        <v>2.4830000000000001E-2</v>
      </c>
      <c r="D48">
        <v>2.2509999999999999E-2</v>
      </c>
      <c r="E48">
        <v>2.4209999999999999E-2</v>
      </c>
      <c r="F48">
        <v>1201206156</v>
      </c>
      <c r="G48">
        <v>2.4209999999999999E-2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0.46551724137930878</v>
      </c>
      <c r="Q48">
        <f t="shared" ref="Q48" si="216">F48*P48</f>
        <v>559182176.06896365</v>
      </c>
      <c r="R48">
        <f t="shared" ref="R48" si="217">R49+Q48</f>
        <v>-18658533936.157845</v>
      </c>
      <c r="S48">
        <f t="shared" ref="S48" si="218">R48/100000</f>
        <v>-186585.33936157846</v>
      </c>
      <c r="T48">
        <f t="shared" ref="T48" si="219">S48/1000</f>
        <v>-186.58533936157846</v>
      </c>
    </row>
    <row r="49" spans="1:20" x14ac:dyDescent="0.25">
      <c r="A49" s="5">
        <v>44544</v>
      </c>
      <c r="B49">
        <v>2.3529999999999999E-2</v>
      </c>
      <c r="C49">
        <v>2.445E-2</v>
      </c>
      <c r="D49">
        <v>2.307E-2</v>
      </c>
      <c r="E49">
        <v>2.4060000000000002E-2</v>
      </c>
      <c r="F49">
        <v>1595058376</v>
      </c>
      <c r="G49">
        <v>2.4060000000000002E-2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0.43478260869565477</v>
      </c>
      <c r="Q49">
        <f t="shared" ref="Q49" si="221">F49*P49</f>
        <v>693503641.73913455</v>
      </c>
      <c r="R49">
        <f t="shared" ref="R49" si="222">R50+Q49</f>
        <v>-19217716112.226807</v>
      </c>
      <c r="S49">
        <f t="shared" ref="S49" si="223">R49/100000</f>
        <v>-192177.16112226807</v>
      </c>
      <c r="T49">
        <f t="shared" ref="T49" si="224">S49/1000</f>
        <v>-192.17716112226807</v>
      </c>
    </row>
    <row r="50" spans="1:20" x14ac:dyDescent="0.25">
      <c r="A50" s="5">
        <v>44543</v>
      </c>
      <c r="B50">
        <v>2.7279999999999999E-2</v>
      </c>
      <c r="C50">
        <v>2.7449999999999999E-2</v>
      </c>
      <c r="D50">
        <v>2.316E-2</v>
      </c>
      <c r="E50">
        <v>2.3529999999999999E-2</v>
      </c>
      <c r="F50">
        <v>1569484103</v>
      </c>
      <c r="G50">
        <v>2.3529999999999999E-2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-0.82750582750582802</v>
      </c>
      <c r="Q50">
        <f t="shared" ref="Q50" si="226">F50*P50</f>
        <v>-1298757241.4102571</v>
      </c>
      <c r="R50">
        <f t="shared" ref="R50" si="227">R51+Q50</f>
        <v>-19911219753.965942</v>
      </c>
      <c r="S50">
        <f t="shared" ref="S50" si="228">R50/100000</f>
        <v>-199112.19753965942</v>
      </c>
      <c r="T50">
        <f t="shared" ref="T50" si="229">S50/1000</f>
        <v>-199.11219753965943</v>
      </c>
    </row>
    <row r="51" spans="1:20" x14ac:dyDescent="0.25">
      <c r="A51" s="5">
        <v>44542</v>
      </c>
      <c r="B51">
        <v>2.47E-2</v>
      </c>
      <c r="C51">
        <v>2.9870000000000001E-2</v>
      </c>
      <c r="D51">
        <v>2.4330000000000001E-2</v>
      </c>
      <c r="E51">
        <v>2.7279999999999999E-2</v>
      </c>
      <c r="F51">
        <v>2474894728</v>
      </c>
      <c r="G51">
        <v>2.7279999999999999E-2</v>
      </c>
      <c r="L51" t="s">
        <v>8</v>
      </c>
      <c r="M51" t="s">
        <v>8</v>
      </c>
      <c r="N51" t="s">
        <v>8</v>
      </c>
      <c r="P51">
        <f t="shared" ref="P51" si="230">IF(C51=D51,0,((E51-D51)-(C51-E51))/(C51-D51))</f>
        <v>6.4981949458482985E-2</v>
      </c>
      <c r="Q51">
        <f t="shared" ref="Q51" si="231">F51*P51</f>
        <v>160823484.129962</v>
      </c>
      <c r="R51">
        <f t="shared" ref="R51" si="232">R52+Q51</f>
        <v>-18612462512.555687</v>
      </c>
      <c r="S51">
        <f t="shared" ref="S51" si="233">R51/100000</f>
        <v>-186124.62512555686</v>
      </c>
      <c r="T51">
        <f t="shared" ref="T51" si="234">S51/1000</f>
        <v>-186.12462512555686</v>
      </c>
    </row>
    <row r="52" spans="1:20" x14ac:dyDescent="0.25">
      <c r="A52" s="5">
        <v>44541</v>
      </c>
      <c r="B52">
        <v>2.4320000000000001E-2</v>
      </c>
      <c r="C52">
        <v>2.4479999999999998E-2</v>
      </c>
      <c r="D52">
        <v>2.3879999999999998E-2</v>
      </c>
      <c r="E52">
        <v>2.445E-2</v>
      </c>
      <c r="F52">
        <v>58529635</v>
      </c>
      <c r="G52">
        <v>2.445E-2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0.90000000000000402</v>
      </c>
      <c r="Q52">
        <f t="shared" ref="Q52" si="236">F52*P52</f>
        <v>52676671.500000238</v>
      </c>
      <c r="R52">
        <f t="shared" ref="R52" si="237">R53+Q52</f>
        <v>-18773285996.68565</v>
      </c>
      <c r="S52">
        <f t="shared" ref="S52" si="238">R52/100000</f>
        <v>-187732.85996685649</v>
      </c>
      <c r="T52">
        <f t="shared" ref="T52" si="239">S52/1000</f>
        <v>-187.73285996685649</v>
      </c>
    </row>
    <row r="53" spans="1:20" x14ac:dyDescent="0.25">
      <c r="A53" s="5">
        <v>44540</v>
      </c>
      <c r="B53">
        <v>2.443E-2</v>
      </c>
      <c r="C53">
        <v>2.6040000000000001E-2</v>
      </c>
      <c r="D53">
        <v>2.4199999999999999E-2</v>
      </c>
      <c r="E53">
        <v>2.435E-2</v>
      </c>
      <c r="F53">
        <v>1440123649</v>
      </c>
      <c r="G53">
        <v>2.435E-2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-0.83695652173912971</v>
      </c>
      <c r="Q53">
        <f t="shared" ref="Q53" si="241">F53*P53</f>
        <v>-1205320880.1413033</v>
      </c>
      <c r="R53">
        <f t="shared" ref="R53" si="242">R54+Q53</f>
        <v>-18825962668.18565</v>
      </c>
      <c r="S53">
        <f t="shared" ref="S53" si="243">R53/100000</f>
        <v>-188259.62668185649</v>
      </c>
      <c r="T53">
        <f t="shared" ref="T53" si="244">S53/1000</f>
        <v>-188.2596266818565</v>
      </c>
    </row>
    <row r="54" spans="1:20" x14ac:dyDescent="0.25">
      <c r="A54" s="5">
        <v>44539</v>
      </c>
      <c r="B54">
        <v>2.5600000000000001E-2</v>
      </c>
      <c r="C54">
        <v>2.605E-2</v>
      </c>
      <c r="D54">
        <v>2.436E-2</v>
      </c>
      <c r="E54">
        <v>2.4459999999999999E-2</v>
      </c>
      <c r="F54">
        <v>1174958377</v>
      </c>
      <c r="G54">
        <v>2.4459999999999999E-2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-0.88165680473372854</v>
      </c>
      <c r="Q54">
        <f t="shared" ref="Q54" si="246">F54*P54</f>
        <v>-1035910048.3609476</v>
      </c>
      <c r="R54">
        <f t="shared" ref="R54" si="247">R55+Q54</f>
        <v>-17620641788.044346</v>
      </c>
      <c r="S54">
        <f t="shared" ref="S54" si="248">R54/100000</f>
        <v>-176206.41788044345</v>
      </c>
      <c r="T54">
        <f t="shared" ref="T54" si="249">S54/1000</f>
        <v>-176.20641788044344</v>
      </c>
    </row>
    <row r="55" spans="1:20" x14ac:dyDescent="0.25">
      <c r="A55" s="5">
        <v>44538</v>
      </c>
      <c r="B55">
        <v>2.4510000000000001E-2</v>
      </c>
      <c r="C55">
        <v>2.6349999999999998E-2</v>
      </c>
      <c r="D55">
        <v>2.436E-2</v>
      </c>
      <c r="E55">
        <v>2.5610000000000001E-2</v>
      </c>
      <c r="F55">
        <v>1704216228</v>
      </c>
      <c r="G55">
        <v>2.5610000000000001E-2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0.25628140703517782</v>
      </c>
      <c r="Q55">
        <f t="shared" ref="Q55" si="251">F55*P55</f>
        <v>436758932.80402339</v>
      </c>
      <c r="R55">
        <f t="shared" ref="R55" si="252">R56+Q55</f>
        <v>-16584731739.683397</v>
      </c>
      <c r="S55">
        <f t="shared" ref="S55" si="253">R55/100000</f>
        <v>-165847.31739683397</v>
      </c>
      <c r="T55">
        <f t="shared" ref="T55" si="254">S55/1000</f>
        <v>-165.84731739683397</v>
      </c>
    </row>
    <row r="56" spans="1:20" x14ac:dyDescent="0.25">
      <c r="A56" s="5">
        <v>44537</v>
      </c>
      <c r="B56">
        <v>2.427E-2</v>
      </c>
      <c r="C56">
        <v>2.606E-2</v>
      </c>
      <c r="D56">
        <v>2.4150000000000001E-2</v>
      </c>
      <c r="E56">
        <v>2.4510000000000001E-2</v>
      </c>
      <c r="F56">
        <v>1656638034</v>
      </c>
      <c r="G56">
        <v>2.4510000000000001E-2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-0.62303664921466018</v>
      </c>
      <c r="Q56">
        <f t="shared" ref="Q56" si="256">F56*P56</f>
        <v>-1032146209.6649222</v>
      </c>
      <c r="R56">
        <f t="shared" ref="R56" si="257">R57+Q56</f>
        <v>-17021490672.487421</v>
      </c>
      <c r="S56">
        <f t="shared" ref="S56" si="258">R56/100000</f>
        <v>-170214.90672487422</v>
      </c>
      <c r="T56">
        <f t="shared" ref="T56" si="259">S56/1000</f>
        <v>-170.21490672487423</v>
      </c>
    </row>
    <row r="57" spans="1:20" x14ac:dyDescent="0.25">
      <c r="A57" s="5">
        <v>44536</v>
      </c>
      <c r="B57">
        <v>2.4889999999999999E-2</v>
      </c>
      <c r="C57">
        <v>2.4899999999999999E-2</v>
      </c>
      <c r="D57">
        <v>2.155E-2</v>
      </c>
      <c r="E57">
        <v>2.427E-2</v>
      </c>
      <c r="F57">
        <v>1734197797</v>
      </c>
      <c r="G57">
        <v>2.427E-2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0.62388059701492604</v>
      </c>
      <c r="Q57">
        <f t="shared" ref="Q57" si="261">F57*P57</f>
        <v>1081932356.9343295</v>
      </c>
      <c r="R57">
        <f t="shared" ref="R57" si="262">R58+Q57</f>
        <v>-15989344462.822498</v>
      </c>
      <c r="S57">
        <f t="shared" ref="S57" si="263">R57/100000</f>
        <v>-159893.44462822497</v>
      </c>
      <c r="T57">
        <f t="shared" ref="T57" si="264">S57/1000</f>
        <v>-159.89344462822498</v>
      </c>
    </row>
    <row r="58" spans="1:20" x14ac:dyDescent="0.25">
      <c r="A58" s="5">
        <v>44535</v>
      </c>
      <c r="B58">
        <v>2.5870000000000001E-2</v>
      </c>
      <c r="C58">
        <v>2.6259999999999999E-2</v>
      </c>
      <c r="D58">
        <v>2.383E-2</v>
      </c>
      <c r="E58">
        <v>2.4879999999999999E-2</v>
      </c>
      <c r="F58">
        <v>1520205383</v>
      </c>
      <c r="G58">
        <v>2.4879999999999999E-2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-0.13580246913580274</v>
      </c>
      <c r="Q58">
        <f t="shared" ref="Q58" si="266">F58*P58</f>
        <v>-206447644.60493869</v>
      </c>
      <c r="R58">
        <f t="shared" ref="R58" si="267">R59+Q58</f>
        <v>-17071276819.756828</v>
      </c>
      <c r="S58">
        <f t="shared" ref="S58" si="268">R58/100000</f>
        <v>-170712.76819756828</v>
      </c>
      <c r="T58">
        <f t="shared" ref="T58" si="269">S58/1000</f>
        <v>-170.71276819756827</v>
      </c>
    </row>
    <row r="59" spans="1:20" x14ac:dyDescent="0.25">
      <c r="A59" s="5">
        <v>44534</v>
      </c>
      <c r="B59">
        <v>2.8920000000000001E-2</v>
      </c>
      <c r="C59">
        <v>2.8930000000000001E-2</v>
      </c>
      <c r="D59">
        <v>2.223E-2</v>
      </c>
      <c r="E59">
        <v>2.5909999999999999E-2</v>
      </c>
      <c r="F59">
        <v>1843694567</v>
      </c>
      <c r="G59">
        <v>2.5909999999999999E-2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9.8507462686566766E-2</v>
      </c>
      <c r="Q59">
        <f t="shared" ref="Q59" si="271">F59*P59</f>
        <v>181617673.76417837</v>
      </c>
      <c r="R59">
        <f t="shared" ref="R59" si="272">R60+Q59</f>
        <v>-16864829175.15189</v>
      </c>
      <c r="S59">
        <f t="shared" ref="S59" si="273">R59/100000</f>
        <v>-168648.2917515189</v>
      </c>
      <c r="T59">
        <f t="shared" ref="T59" si="274">S59/1000</f>
        <v>-168.64829175151891</v>
      </c>
    </row>
    <row r="60" spans="1:20" x14ac:dyDescent="0.25">
      <c r="A60" s="5">
        <v>44533</v>
      </c>
      <c r="B60">
        <v>3.0329999999999999E-2</v>
      </c>
      <c r="C60">
        <v>3.1969999999999998E-2</v>
      </c>
      <c r="D60">
        <v>2.869E-2</v>
      </c>
      <c r="E60">
        <v>2.8930000000000001E-2</v>
      </c>
      <c r="F60">
        <v>1688220251</v>
      </c>
      <c r="G60">
        <v>2.8930000000000001E-2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-0.85365853658536539</v>
      </c>
      <c r="Q60">
        <f t="shared" ref="Q60" si="276">F60*P60</f>
        <v>-1441163628.9024382</v>
      </c>
      <c r="R60">
        <f t="shared" ref="R60" si="277">R61+Q60</f>
        <v>-17046446848.916069</v>
      </c>
      <c r="S60">
        <f t="shared" ref="S60" si="278">R60/100000</f>
        <v>-170464.4684891607</v>
      </c>
      <c r="T60">
        <f t="shared" ref="T60" si="279">S60/1000</f>
        <v>-170.46446848916071</v>
      </c>
    </row>
    <row r="61" spans="1:20" x14ac:dyDescent="0.25">
      <c r="A61" s="5">
        <v>44532</v>
      </c>
      <c r="B61">
        <v>3.0079999999999999E-2</v>
      </c>
      <c r="C61">
        <v>3.0460000000000001E-2</v>
      </c>
      <c r="D61">
        <v>2.921E-2</v>
      </c>
      <c r="E61">
        <v>3.0349999999999999E-2</v>
      </c>
      <c r="F61">
        <v>1506520098</v>
      </c>
      <c r="G61">
        <v>3.0349999999999999E-2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0.82399999999999618</v>
      </c>
      <c r="Q61">
        <f t="shared" ref="Q61" si="281">F61*P61</f>
        <v>1241372560.7519941</v>
      </c>
      <c r="R61">
        <f t="shared" ref="R61" si="282">R62+Q61</f>
        <v>-15605283220.01363</v>
      </c>
      <c r="S61">
        <f t="shared" ref="S61" si="283">R61/100000</f>
        <v>-156052.8322001363</v>
      </c>
      <c r="T61">
        <f t="shared" ref="T61" si="284">S61/1000</f>
        <v>-156.05283220013629</v>
      </c>
    </row>
    <row r="62" spans="1:20" x14ac:dyDescent="0.25">
      <c r="A62" s="5">
        <v>44531</v>
      </c>
      <c r="B62">
        <v>3.007E-2</v>
      </c>
      <c r="C62">
        <v>3.1300000000000001E-2</v>
      </c>
      <c r="D62">
        <v>2.9780000000000001E-2</v>
      </c>
      <c r="E62">
        <v>3.006E-2</v>
      </c>
      <c r="F62">
        <v>1218127372</v>
      </c>
      <c r="G62">
        <v>3.006E-2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-0.63157894736842246</v>
      </c>
      <c r="Q62">
        <f t="shared" ref="Q62" si="286">F62*P62</f>
        <v>-769343603.36842275</v>
      </c>
      <c r="R62">
        <f t="shared" ref="R62" si="287">R63+Q62</f>
        <v>-16846655780.765625</v>
      </c>
      <c r="S62">
        <f t="shared" ref="S62" si="288">R62/100000</f>
        <v>-168466.55780765624</v>
      </c>
      <c r="T62">
        <f t="shared" ref="T62" si="289">S62/1000</f>
        <v>-168.46655780765624</v>
      </c>
    </row>
    <row r="63" spans="1:20" x14ac:dyDescent="0.25">
      <c r="A63" s="5">
        <v>44530</v>
      </c>
      <c r="B63">
        <v>3.0550000000000001E-2</v>
      </c>
      <c r="C63">
        <v>3.1449999999999999E-2</v>
      </c>
      <c r="D63">
        <v>2.9749999999999999E-2</v>
      </c>
      <c r="E63">
        <v>3.005E-2</v>
      </c>
      <c r="F63">
        <v>1711423758</v>
      </c>
      <c r="G63">
        <v>3.005E-2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-0.6470588235294098</v>
      </c>
      <c r="Q63">
        <f t="shared" ref="Q63" si="291">F63*P63</f>
        <v>-1107391843.4117613</v>
      </c>
      <c r="R63">
        <f t="shared" ref="R63" si="292">R64+Q63</f>
        <v>-16077312177.397202</v>
      </c>
      <c r="S63">
        <f t="shared" ref="S63" si="293">R63/100000</f>
        <v>-160773.121773972</v>
      </c>
      <c r="T63">
        <f t="shared" ref="T63" si="294">S63/1000</f>
        <v>-160.77312177397201</v>
      </c>
    </row>
    <row r="64" spans="1:20" x14ac:dyDescent="0.25">
      <c r="A64" s="5">
        <v>44529</v>
      </c>
      <c r="B64">
        <v>3.014E-2</v>
      </c>
      <c r="C64">
        <v>3.0980000000000001E-2</v>
      </c>
      <c r="D64">
        <v>2.9520000000000001E-2</v>
      </c>
      <c r="E64">
        <v>3.0509999999999999E-2</v>
      </c>
      <c r="F64">
        <v>1609683095</v>
      </c>
      <c r="G64">
        <v>3.0509999999999999E-2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0.35616438356164132</v>
      </c>
      <c r="Q64">
        <f t="shared" ref="Q64" si="296">F64*P64</f>
        <v>573311787.26026988</v>
      </c>
      <c r="R64">
        <f t="shared" ref="R64" si="297">R65+Q64</f>
        <v>-14969920333.985441</v>
      </c>
      <c r="S64">
        <f t="shared" ref="S64" si="298">R64/100000</f>
        <v>-149699.2033398544</v>
      </c>
      <c r="T64">
        <f t="shared" ref="T64" si="299">S64/1000</f>
        <v>-149.69920333985439</v>
      </c>
    </row>
    <row r="65" spans="1:20" x14ac:dyDescent="0.25">
      <c r="A65" s="5">
        <v>44528</v>
      </c>
      <c r="B65">
        <v>2.9399999999999999E-2</v>
      </c>
      <c r="C65">
        <v>3.0190000000000002E-2</v>
      </c>
      <c r="D65">
        <v>2.7820000000000001E-2</v>
      </c>
      <c r="E65">
        <v>3.0130000000000001E-2</v>
      </c>
      <c r="F65">
        <v>1085186471</v>
      </c>
      <c r="G65">
        <v>3.0130000000000001E-2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0.94936708860759411</v>
      </c>
      <c r="Q65">
        <f t="shared" ref="Q65" si="301">F65*P65</f>
        <v>1030240320.5696194</v>
      </c>
      <c r="R65">
        <f t="shared" ref="R65" si="302">R66+Q65</f>
        <v>-15543232121.24571</v>
      </c>
      <c r="S65">
        <f t="shared" ref="S65" si="303">R65/100000</f>
        <v>-155432.32121245711</v>
      </c>
      <c r="T65">
        <f t="shared" ref="T65" si="304">S65/1000</f>
        <v>-155.43232121245711</v>
      </c>
    </row>
    <row r="66" spans="1:20" x14ac:dyDescent="0.25">
      <c r="A66" s="5">
        <v>44527</v>
      </c>
      <c r="B66">
        <v>2.8760000000000001E-2</v>
      </c>
      <c r="C66">
        <v>3.0499999999999999E-2</v>
      </c>
      <c r="D66">
        <v>2.8680000000000001E-2</v>
      </c>
      <c r="E66">
        <v>2.937E-2</v>
      </c>
      <c r="F66">
        <v>840951279</v>
      </c>
      <c r="G66">
        <v>2.937E-2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-0.24175824175824162</v>
      </c>
      <c r="Q66">
        <f t="shared" ref="Q66" si="306">F66*P66</f>
        <v>-203306902.61538449</v>
      </c>
      <c r="R66">
        <f t="shared" ref="R66" si="307">R67+Q66</f>
        <v>-16573472441.815331</v>
      </c>
      <c r="S66">
        <f t="shared" ref="S66" si="308">R66/100000</f>
        <v>-165734.72441815332</v>
      </c>
      <c r="T66">
        <f t="shared" ref="T66" si="309">S66/1000</f>
        <v>-165.73472441815332</v>
      </c>
    </row>
    <row r="67" spans="1:20" x14ac:dyDescent="0.25">
      <c r="A67" s="5">
        <v>44526</v>
      </c>
      <c r="B67">
        <v>3.2309999999999998E-2</v>
      </c>
      <c r="C67">
        <v>3.236E-2</v>
      </c>
      <c r="D67">
        <v>2.8209999999999999E-2</v>
      </c>
      <c r="E67">
        <v>2.8760000000000001E-2</v>
      </c>
      <c r="F67">
        <v>878548861</v>
      </c>
      <c r="G67">
        <v>2.8760000000000001E-2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-0.73493975903614372</v>
      </c>
      <c r="Q67">
        <f t="shared" ref="Q67" si="311">F67*P67</f>
        <v>-645680488.20481849</v>
      </c>
      <c r="R67">
        <f t="shared" ref="R67" si="312">R68+Q67</f>
        <v>-16370165539.199945</v>
      </c>
      <c r="S67">
        <f t="shared" ref="S67" si="313">R67/100000</f>
        <v>-163701.65539199946</v>
      </c>
      <c r="T67">
        <f t="shared" ref="T67" si="314">S67/1000</f>
        <v>-163.70165539199945</v>
      </c>
    </row>
    <row r="68" spans="1:20" x14ac:dyDescent="0.25">
      <c r="A68" s="5">
        <v>44525</v>
      </c>
      <c r="B68">
        <v>3.1109999999999999E-2</v>
      </c>
      <c r="C68">
        <v>3.2759999999999997E-2</v>
      </c>
      <c r="D68">
        <v>3.09E-2</v>
      </c>
      <c r="E68">
        <v>3.2309999999999998E-2</v>
      </c>
      <c r="F68">
        <v>311059325</v>
      </c>
      <c r="G68">
        <v>3.2309999999999998E-2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0.51612903225806483</v>
      </c>
      <c r="Q68">
        <f t="shared" ref="Q68" si="316">F68*P68</f>
        <v>160546748.38709688</v>
      </c>
      <c r="R68">
        <f t="shared" ref="R68" si="317">R69+Q68</f>
        <v>-15724485050.995127</v>
      </c>
      <c r="S68">
        <f t="shared" ref="S68" si="318">R68/100000</f>
        <v>-157244.85050995127</v>
      </c>
      <c r="T68">
        <f t="shared" ref="T68" si="319">S68/1000</f>
        <v>-157.24485050995128</v>
      </c>
    </row>
    <row r="69" spans="1:20" x14ac:dyDescent="0.25">
      <c r="A69" s="5">
        <v>44524</v>
      </c>
      <c r="B69">
        <v>3.3410000000000002E-2</v>
      </c>
      <c r="C69">
        <v>3.3500000000000002E-2</v>
      </c>
      <c r="D69">
        <v>3.1600000000000003E-2</v>
      </c>
      <c r="E69">
        <v>3.184E-2</v>
      </c>
      <c r="F69">
        <v>96488228</v>
      </c>
      <c r="G69">
        <v>3.184E-2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-0.74736842105263446</v>
      </c>
      <c r="Q69">
        <f t="shared" ref="Q69" si="321">F69*P69</f>
        <v>-72112254.610526592</v>
      </c>
      <c r="R69">
        <f t="shared" ref="R69" si="322">R70+Q69</f>
        <v>-15885031799.382223</v>
      </c>
      <c r="S69">
        <f t="shared" ref="S69" si="323">R69/100000</f>
        <v>-158850.31799382225</v>
      </c>
      <c r="T69">
        <f t="shared" ref="T69" si="324">S69/1000</f>
        <v>-158.85031799382224</v>
      </c>
    </row>
    <row r="70" spans="1:20" x14ac:dyDescent="0.25">
      <c r="A70" s="5">
        <v>44523</v>
      </c>
      <c r="B70">
        <v>3.32E-2</v>
      </c>
      <c r="C70">
        <v>3.3610000000000001E-2</v>
      </c>
      <c r="D70">
        <v>3.2399999999999998E-2</v>
      </c>
      <c r="E70">
        <v>3.3410000000000002E-2</v>
      </c>
      <c r="F70">
        <v>182897709</v>
      </c>
      <c r="G70">
        <v>3.3410000000000002E-2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0.66942148760330855</v>
      </c>
      <c r="Q70">
        <f t="shared" ref="Q70" si="326">F70*P70</f>
        <v>122435656.43801704</v>
      </c>
      <c r="R70">
        <f t="shared" ref="R70" si="327">R71+Q70</f>
        <v>-15812919544.771696</v>
      </c>
      <c r="S70">
        <f t="shared" ref="S70" si="328">R70/100000</f>
        <v>-158129.19544771695</v>
      </c>
      <c r="T70">
        <f t="shared" ref="T70" si="329">S70/1000</f>
        <v>-158.12919544771694</v>
      </c>
    </row>
    <row r="71" spans="1:20" x14ac:dyDescent="0.25">
      <c r="A71" s="5">
        <v>44522</v>
      </c>
      <c r="B71">
        <v>3.4040000000000001E-2</v>
      </c>
      <c r="C71">
        <v>3.424E-2</v>
      </c>
      <c r="D71">
        <v>3.2190000000000003E-2</v>
      </c>
      <c r="E71">
        <v>3.3210000000000003E-2</v>
      </c>
      <c r="F71">
        <v>275596258</v>
      </c>
      <c r="G71">
        <v>3.3210000000000003E-2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-4.8780487804859227E-3</v>
      </c>
      <c r="Q71">
        <f t="shared" ref="Q71" si="331">F71*P71</f>
        <v>-1344371.9902433837</v>
      </c>
      <c r="R71">
        <f t="shared" ref="R71" si="332">R72+Q71</f>
        <v>-15935355201.209713</v>
      </c>
      <c r="S71">
        <f t="shared" ref="S71" si="333">R71/100000</f>
        <v>-159353.55201209712</v>
      </c>
      <c r="T71">
        <f t="shared" ref="T71" si="334">S71/1000</f>
        <v>-159.35355201209711</v>
      </c>
    </row>
    <row r="72" spans="1:20" x14ac:dyDescent="0.25">
      <c r="A72" s="5">
        <v>44521</v>
      </c>
      <c r="B72">
        <v>3.4709999999999998E-2</v>
      </c>
      <c r="C72">
        <v>3.5490000000000001E-2</v>
      </c>
      <c r="D72">
        <v>3.4049999999999997E-2</v>
      </c>
      <c r="E72">
        <v>3.4070000000000003E-2</v>
      </c>
      <c r="F72">
        <v>269413340</v>
      </c>
      <c r="G72">
        <v>3.4070000000000003E-2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-0.97222222222221377</v>
      </c>
      <c r="Q72">
        <f t="shared" ref="Q72" si="336">F72*P72</f>
        <v>-261929636.11110884</v>
      </c>
      <c r="R72">
        <f t="shared" ref="R72" si="337">R73+Q72</f>
        <v>-15934010829.219469</v>
      </c>
      <c r="S72">
        <f t="shared" ref="S72" si="338">R72/100000</f>
        <v>-159340.10829219469</v>
      </c>
      <c r="T72">
        <f t="shared" ref="T72" si="339">S72/1000</f>
        <v>-159.34010829219469</v>
      </c>
    </row>
    <row r="73" spans="1:20" x14ac:dyDescent="0.25">
      <c r="A73" s="5">
        <v>44520</v>
      </c>
      <c r="B73">
        <v>3.3399999999999999E-2</v>
      </c>
      <c r="C73">
        <v>3.6990000000000002E-2</v>
      </c>
      <c r="D73">
        <v>3.3169999999999998E-2</v>
      </c>
      <c r="E73">
        <v>3.4709999999999998E-2</v>
      </c>
      <c r="F73">
        <v>316504083</v>
      </c>
      <c r="G73">
        <v>3.4709999999999998E-2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-0.19371727748691198</v>
      </c>
      <c r="Q73">
        <f t="shared" ref="Q73" si="341">F73*P73</f>
        <v>-61312309.272251621</v>
      </c>
      <c r="R73">
        <f t="shared" ref="R73" si="342">R74+Q73</f>
        <v>-15672081193.10836</v>
      </c>
      <c r="S73">
        <f t="shared" ref="S73" si="343">R73/100000</f>
        <v>-156720.81193108359</v>
      </c>
      <c r="T73">
        <f t="shared" ref="T73" si="344">S73/1000</f>
        <v>-156.7208119310836</v>
      </c>
    </row>
    <row r="74" spans="1:20" x14ac:dyDescent="0.25">
      <c r="A74" s="5">
        <v>44519</v>
      </c>
      <c r="B74">
        <v>3.1399999999999997E-2</v>
      </c>
      <c r="C74">
        <v>3.3930000000000002E-2</v>
      </c>
      <c r="D74">
        <v>3.082E-2</v>
      </c>
      <c r="E74">
        <v>3.3419999999999998E-2</v>
      </c>
      <c r="F74">
        <v>301882423</v>
      </c>
      <c r="G74">
        <v>3.3419999999999998E-2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0.67202572347266676</v>
      </c>
      <c r="Q74">
        <f t="shared" ref="Q74" si="346">F74*P74</f>
        <v>202872753.72025663</v>
      </c>
      <c r="R74">
        <f t="shared" ref="R74" si="347">R75+Q74</f>
        <v>-15610768883.836109</v>
      </c>
      <c r="S74">
        <f t="shared" ref="S74" si="348">R74/100000</f>
        <v>-156107.68883836109</v>
      </c>
      <c r="T74">
        <f t="shared" ref="T74" si="349">S74/1000</f>
        <v>-156.1076888383611</v>
      </c>
    </row>
    <row r="75" spans="1:20" x14ac:dyDescent="0.25">
      <c r="A75" s="5">
        <v>44518</v>
      </c>
      <c r="B75">
        <v>3.5270000000000003E-2</v>
      </c>
      <c r="C75">
        <v>3.5610000000000003E-2</v>
      </c>
      <c r="D75">
        <v>3.1E-2</v>
      </c>
      <c r="E75">
        <v>3.1419999999999997E-2</v>
      </c>
      <c r="F75">
        <v>674041179</v>
      </c>
      <c r="G75">
        <v>3.1419999999999997E-2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-0.81778741865509919</v>
      </c>
      <c r="Q75">
        <f t="shared" ref="Q75" si="351">F75*P75</f>
        <v>-551222395.84164965</v>
      </c>
      <c r="R75">
        <f t="shared" ref="R75" si="352">R76+Q75</f>
        <v>-15813641637.556366</v>
      </c>
      <c r="S75">
        <f t="shared" ref="S75" si="353">R75/100000</f>
        <v>-158136.41637556365</v>
      </c>
      <c r="T75">
        <f t="shared" ref="T75" si="354">S75/1000</f>
        <v>-158.13641637556364</v>
      </c>
    </row>
    <row r="76" spans="1:20" x14ac:dyDescent="0.25">
      <c r="A76" s="5">
        <v>44517</v>
      </c>
      <c r="B76">
        <v>3.5790000000000002E-2</v>
      </c>
      <c r="C76">
        <v>3.6240000000000001E-2</v>
      </c>
      <c r="D76">
        <v>3.4119999999999998E-2</v>
      </c>
      <c r="E76">
        <v>3.5270000000000003E-2</v>
      </c>
      <c r="F76">
        <v>566067507</v>
      </c>
      <c r="G76">
        <v>3.5270000000000003E-2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8.4905660377361428E-2</v>
      </c>
      <c r="Q76">
        <f t="shared" ref="Q76" si="356">F76*P76</f>
        <v>48062335.500001661</v>
      </c>
      <c r="R76">
        <f t="shared" ref="R76" si="357">R77+Q76</f>
        <v>-15262419241.714716</v>
      </c>
      <c r="S76">
        <f t="shared" ref="S76" si="358">R76/100000</f>
        <v>-152624.19241714716</v>
      </c>
      <c r="T76">
        <f t="shared" ref="T76" si="359">S76/1000</f>
        <v>-152.62419241714716</v>
      </c>
    </row>
    <row r="77" spans="1:20" x14ac:dyDescent="0.25">
      <c r="A77" s="5">
        <v>44516</v>
      </c>
      <c r="B77">
        <v>4.061E-2</v>
      </c>
      <c r="C77">
        <v>4.061E-2</v>
      </c>
      <c r="D77">
        <v>3.3000000000000002E-2</v>
      </c>
      <c r="E77">
        <v>3.5819999999999998E-2</v>
      </c>
      <c r="F77">
        <v>1141966051</v>
      </c>
      <c r="G77">
        <v>3.5819999999999998E-2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-0.25886990801576965</v>
      </c>
      <c r="Q77">
        <f t="shared" ref="Q77" si="361">F77*P77</f>
        <v>-295620646.57950169</v>
      </c>
      <c r="R77">
        <f t="shared" ref="R77" si="362">R78+Q77</f>
        <v>-15310481577.214718</v>
      </c>
      <c r="S77">
        <f t="shared" ref="S77" si="363">R77/100000</f>
        <v>-153104.81577214718</v>
      </c>
      <c r="T77">
        <f t="shared" ref="T77" si="364">S77/1000</f>
        <v>-153.10481577214719</v>
      </c>
    </row>
    <row r="78" spans="1:20" x14ac:dyDescent="0.25">
      <c r="A78" s="5">
        <v>44515</v>
      </c>
      <c r="B78">
        <v>3.9289999999999999E-2</v>
      </c>
      <c r="C78">
        <v>4.2729999999999997E-2</v>
      </c>
      <c r="D78">
        <v>3.8679999999999999E-2</v>
      </c>
      <c r="E78">
        <v>4.0590000000000001E-2</v>
      </c>
      <c r="F78">
        <v>1225016780</v>
      </c>
      <c r="G78">
        <v>4.0590000000000001E-2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-5.6790123456788695E-2</v>
      </c>
      <c r="Q78">
        <f t="shared" ref="Q78" si="366">F78*P78</f>
        <v>-69568854.172837749</v>
      </c>
      <c r="R78">
        <f t="shared" ref="R78" si="367">R79+Q78</f>
        <v>-15014860930.635216</v>
      </c>
      <c r="S78">
        <f t="shared" ref="S78" si="368">R78/100000</f>
        <v>-150148.60930635215</v>
      </c>
      <c r="T78">
        <f t="shared" ref="T78" si="369">S78/1000</f>
        <v>-150.14860930635214</v>
      </c>
    </row>
    <row r="79" spans="1:20" x14ac:dyDescent="0.25">
      <c r="A79" s="5">
        <v>44514</v>
      </c>
      <c r="B79">
        <v>3.8600000000000002E-2</v>
      </c>
      <c r="C79">
        <v>4.0480000000000002E-2</v>
      </c>
      <c r="D79">
        <v>3.755E-2</v>
      </c>
      <c r="E79">
        <v>3.9289999999999999E-2</v>
      </c>
      <c r="F79">
        <v>777986202</v>
      </c>
      <c r="G79">
        <v>3.9289999999999999E-2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0.18771331058020291</v>
      </c>
      <c r="Q79">
        <f t="shared" ref="Q79" si="371">F79*P79</f>
        <v>146038365.56313848</v>
      </c>
      <c r="R79">
        <f t="shared" ref="R79" si="372">R80+Q79</f>
        <v>-14945292076.462378</v>
      </c>
      <c r="S79">
        <f t="shared" ref="S79" si="373">R79/100000</f>
        <v>-149452.92076462376</v>
      </c>
      <c r="T79">
        <f t="shared" ref="T79" si="374">S79/1000</f>
        <v>-149.45292076462377</v>
      </c>
    </row>
    <row r="80" spans="1:20" x14ac:dyDescent="0.25">
      <c r="A80" s="5">
        <v>44513</v>
      </c>
      <c r="B80">
        <v>3.5619999999999999E-2</v>
      </c>
      <c r="C80">
        <v>4.2290000000000001E-2</v>
      </c>
      <c r="D80">
        <v>3.5589999999999997E-2</v>
      </c>
      <c r="E80">
        <v>3.8600000000000002E-2</v>
      </c>
      <c r="F80">
        <v>1460478912</v>
      </c>
      <c r="G80">
        <v>3.8600000000000002E-2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-0.10149253731343173</v>
      </c>
      <c r="Q80">
        <f t="shared" ref="Q80" si="376">F80*P80</f>
        <v>-148227710.47164017</v>
      </c>
      <c r="R80">
        <f t="shared" ref="R80" si="377">R81+Q80</f>
        <v>-15091330442.025517</v>
      </c>
      <c r="S80">
        <f t="shared" ref="S80" si="378">R80/100000</f>
        <v>-150913.30442025515</v>
      </c>
      <c r="T80">
        <f t="shared" ref="T80" si="379">S80/1000</f>
        <v>-150.91330442025514</v>
      </c>
    </row>
    <row r="81" spans="1:20" x14ac:dyDescent="0.25">
      <c r="A81" s="5">
        <v>44512</v>
      </c>
      <c r="B81">
        <v>3.6339999999999997E-2</v>
      </c>
      <c r="C81">
        <v>3.687E-2</v>
      </c>
      <c r="D81">
        <v>3.388E-2</v>
      </c>
      <c r="E81">
        <v>3.5619999999999999E-2</v>
      </c>
      <c r="F81">
        <v>1191555423</v>
      </c>
      <c r="G81">
        <v>3.5619999999999999E-2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0.1638795986622065</v>
      </c>
      <c r="Q81">
        <f t="shared" ref="Q81" si="381">F81*P81</f>
        <v>195271624.5050157</v>
      </c>
      <c r="R81">
        <f t="shared" ref="R81" si="382">R82+Q81</f>
        <v>-14943102731.553877</v>
      </c>
      <c r="S81">
        <f t="shared" ref="S81" si="383">R81/100000</f>
        <v>-149431.02731553875</v>
      </c>
      <c r="T81">
        <f t="shared" ref="T81" si="384">S81/1000</f>
        <v>-149.43102731553876</v>
      </c>
    </row>
    <row r="82" spans="1:20" x14ac:dyDescent="0.25">
      <c r="A82" s="5">
        <v>44511</v>
      </c>
      <c r="B82">
        <v>3.5790000000000002E-2</v>
      </c>
      <c r="C82">
        <v>3.7379999999999997E-2</v>
      </c>
      <c r="D82">
        <v>3.4750000000000003E-2</v>
      </c>
      <c r="E82">
        <v>3.6330000000000001E-2</v>
      </c>
      <c r="F82">
        <v>1371992593</v>
      </c>
      <c r="G82">
        <v>3.6330000000000001E-2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0.20152091254753005</v>
      </c>
      <c r="Q82">
        <f t="shared" ref="Q82" si="386">F82*P82</f>
        <v>276485199.34981197</v>
      </c>
      <c r="R82">
        <f t="shared" ref="R82" si="387">R83+Q82</f>
        <v>-15138374356.058893</v>
      </c>
      <c r="S82">
        <f t="shared" ref="S82" si="388">R82/100000</f>
        <v>-151383.74356058892</v>
      </c>
      <c r="T82">
        <f t="shared" ref="T82" si="389">S82/1000</f>
        <v>-151.38374356058893</v>
      </c>
    </row>
    <row r="83" spans="1:20" x14ac:dyDescent="0.25">
      <c r="A83" s="5">
        <v>44510</v>
      </c>
      <c r="B83">
        <v>3.8510000000000003E-2</v>
      </c>
      <c r="C83">
        <v>3.9629999999999999E-2</v>
      </c>
      <c r="D83">
        <v>3.508E-2</v>
      </c>
      <c r="E83">
        <v>3.5830000000000001E-2</v>
      </c>
      <c r="F83">
        <v>498418501</v>
      </c>
      <c r="G83">
        <v>3.5830000000000001E-2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-0.67032967032966995</v>
      </c>
      <c r="Q83">
        <f t="shared" ref="Q83" si="391">F83*P83</f>
        <v>-334104709.46153826</v>
      </c>
      <c r="R83">
        <f t="shared" ref="R83" si="392">R84+Q83</f>
        <v>-15414859555.408705</v>
      </c>
      <c r="S83">
        <f t="shared" ref="S83" si="393">R83/100000</f>
        <v>-154148.59555408705</v>
      </c>
      <c r="T83">
        <f t="shared" ref="T83" si="394">S83/1000</f>
        <v>-154.14859555408705</v>
      </c>
    </row>
    <row r="84" spans="1:20" x14ac:dyDescent="0.25">
      <c r="A84" s="5">
        <v>44509</v>
      </c>
      <c r="B84">
        <v>3.8199999999999998E-2</v>
      </c>
      <c r="C84">
        <v>3.8830000000000003E-2</v>
      </c>
      <c r="D84">
        <v>3.721E-2</v>
      </c>
      <c r="E84">
        <v>3.8469999999999997E-2</v>
      </c>
      <c r="F84">
        <v>667551699</v>
      </c>
      <c r="G84">
        <v>3.8469999999999997E-2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0.55555555555554892</v>
      </c>
      <c r="Q84">
        <f t="shared" ref="Q84" si="396">F84*P84</f>
        <v>370862054.99999559</v>
      </c>
      <c r="R84">
        <f t="shared" ref="R84" si="397">R85+Q84</f>
        <v>-15080754845.947166</v>
      </c>
      <c r="S84">
        <f t="shared" ref="S84" si="398">R84/100000</f>
        <v>-150807.54845947167</v>
      </c>
      <c r="T84">
        <f t="shared" ref="T84" si="399">S84/1000</f>
        <v>-150.80754845947166</v>
      </c>
    </row>
    <row r="85" spans="1:20" x14ac:dyDescent="0.25">
      <c r="A85" s="5">
        <v>44508</v>
      </c>
      <c r="B85">
        <v>3.7830000000000003E-2</v>
      </c>
      <c r="C85">
        <v>4.1860000000000001E-2</v>
      </c>
      <c r="D85">
        <v>3.7620000000000001E-2</v>
      </c>
      <c r="E85">
        <v>3.8240000000000003E-2</v>
      </c>
      <c r="F85">
        <v>1317715099</v>
      </c>
      <c r="G85">
        <v>3.8240000000000003E-2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-0.7075471698113196</v>
      </c>
      <c r="Q85">
        <f t="shared" ref="Q85" si="401">F85*P85</f>
        <v>-932345588.91509283</v>
      </c>
      <c r="R85">
        <f t="shared" ref="R85" si="402">R86+Q85</f>
        <v>-15451616900.947163</v>
      </c>
      <c r="S85">
        <f t="shared" ref="S85" si="403">R85/100000</f>
        <v>-154516.16900947163</v>
      </c>
      <c r="T85">
        <f t="shared" ref="T85" si="404">S85/1000</f>
        <v>-154.51616900947164</v>
      </c>
    </row>
    <row r="86" spans="1:20" x14ac:dyDescent="0.25">
      <c r="A86" s="5">
        <v>44507</v>
      </c>
      <c r="B86">
        <v>3.6119999999999999E-2</v>
      </c>
      <c r="C86">
        <v>3.832E-2</v>
      </c>
      <c r="D86">
        <v>3.5909999999999997E-2</v>
      </c>
      <c r="E86">
        <v>3.7830000000000003E-2</v>
      </c>
      <c r="F86">
        <v>1265087742</v>
      </c>
      <c r="G86">
        <v>3.7830000000000003E-2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0.59336099585062496</v>
      </c>
      <c r="Q86">
        <f t="shared" ref="Q86" si="406">F86*P86</f>
        <v>750653722.43153846</v>
      </c>
      <c r="R86">
        <f t="shared" ref="R86" si="407">R87+Q86</f>
        <v>-14519271312.03207</v>
      </c>
      <c r="S86">
        <f t="shared" ref="S86" si="408">R86/100000</f>
        <v>-145192.7131203207</v>
      </c>
      <c r="T86">
        <f t="shared" ref="T86" si="409">S86/1000</f>
        <v>-145.19271312032069</v>
      </c>
    </row>
    <row r="87" spans="1:20" x14ac:dyDescent="0.25">
      <c r="A87" s="5">
        <v>44506</v>
      </c>
      <c r="B87">
        <v>3.5479999999999998E-2</v>
      </c>
      <c r="C87">
        <v>3.8640000000000001E-2</v>
      </c>
      <c r="D87">
        <v>3.4500000000000003E-2</v>
      </c>
      <c r="E87">
        <v>3.6130000000000002E-2</v>
      </c>
      <c r="F87">
        <v>1793246981</v>
      </c>
      <c r="G87">
        <v>3.6130000000000002E-2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-0.21256038647342979</v>
      </c>
      <c r="Q87">
        <f t="shared" ref="Q87" si="411">F87*P87</f>
        <v>-381173271.32367122</v>
      </c>
      <c r="R87">
        <f t="shared" ref="R87" si="412">R88+Q87</f>
        <v>-15269925034.463608</v>
      </c>
      <c r="S87">
        <f t="shared" ref="S87" si="413">R87/100000</f>
        <v>-152699.25034463606</v>
      </c>
      <c r="T87">
        <f t="shared" ref="T87" si="414">S87/1000</f>
        <v>-152.69925034463606</v>
      </c>
    </row>
    <row r="88" spans="1:20" x14ac:dyDescent="0.25">
      <c r="A88" s="5">
        <v>44505</v>
      </c>
      <c r="B88">
        <v>3.4770000000000002E-2</v>
      </c>
      <c r="C88">
        <v>3.5700000000000003E-2</v>
      </c>
      <c r="D88">
        <v>3.4079999999999999E-2</v>
      </c>
      <c r="E88">
        <v>3.5470000000000002E-2</v>
      </c>
      <c r="F88">
        <v>1749657505</v>
      </c>
      <c r="G88">
        <v>3.5470000000000002E-2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0.71604938271604868</v>
      </c>
      <c r="Q88">
        <f t="shared" ref="Q88" si="416">F88*P88</f>
        <v>1252841176.4197519</v>
      </c>
      <c r="R88">
        <f t="shared" ref="R88" si="417">R89+Q88</f>
        <v>-14888751763.139936</v>
      </c>
      <c r="S88">
        <f t="shared" ref="S88" si="418">R88/100000</f>
        <v>-148887.51763139936</v>
      </c>
      <c r="T88">
        <f t="shared" ref="T88" si="419">S88/1000</f>
        <v>-148.88751763139936</v>
      </c>
    </row>
    <row r="89" spans="1:20" x14ac:dyDescent="0.25">
      <c r="A89" s="5">
        <v>44504</v>
      </c>
      <c r="B89">
        <v>3.6130000000000002E-2</v>
      </c>
      <c r="C89">
        <v>3.6790000000000003E-2</v>
      </c>
      <c r="D89">
        <v>3.4020000000000002E-2</v>
      </c>
      <c r="E89">
        <v>3.4779999999999998E-2</v>
      </c>
      <c r="F89">
        <v>1658933812</v>
      </c>
      <c r="G89">
        <v>3.4779999999999998E-2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-0.45126353790613982</v>
      </c>
      <c r="Q89">
        <f t="shared" ref="Q89" si="421">F89*P89</f>
        <v>-748616341.15523899</v>
      </c>
      <c r="R89">
        <f t="shared" ref="R89" si="422">R90+Q89</f>
        <v>-16141592939.559689</v>
      </c>
      <c r="S89">
        <f t="shared" ref="S89" si="423">R89/100000</f>
        <v>-161415.92939559688</v>
      </c>
      <c r="T89">
        <f t="shared" ref="T89" si="424">S89/1000</f>
        <v>-161.41592939559686</v>
      </c>
    </row>
    <row r="90" spans="1:20" x14ac:dyDescent="0.25">
      <c r="A90" s="5">
        <v>44503</v>
      </c>
      <c r="B90">
        <v>3.7240000000000002E-2</v>
      </c>
      <c r="C90">
        <v>3.7620000000000001E-2</v>
      </c>
      <c r="D90">
        <v>3.4689999999999999E-2</v>
      </c>
      <c r="E90">
        <v>3.6139999999999999E-2</v>
      </c>
      <c r="F90">
        <v>1794064068</v>
      </c>
      <c r="G90">
        <v>3.6139999999999999E-2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-1.0238907849830111E-2</v>
      </c>
      <c r="Q90">
        <f t="shared" ref="Q90" si="426">F90*P90</f>
        <v>-18369256.668943342</v>
      </c>
      <c r="R90">
        <f t="shared" ref="R90" si="427">R91+Q90</f>
        <v>-15392976598.404449</v>
      </c>
      <c r="S90">
        <f t="shared" ref="S90" si="428">R90/100000</f>
        <v>-153929.7659840445</v>
      </c>
      <c r="T90">
        <f t="shared" ref="T90" si="429">S90/1000</f>
        <v>-153.92976598404451</v>
      </c>
    </row>
    <row r="91" spans="1:20" x14ac:dyDescent="0.25">
      <c r="A91" s="5">
        <v>44502</v>
      </c>
      <c r="B91">
        <v>3.4209999999999997E-2</v>
      </c>
      <c r="C91">
        <v>3.9609999999999999E-2</v>
      </c>
      <c r="D91">
        <v>3.3820000000000003E-2</v>
      </c>
      <c r="E91">
        <v>3.7249999999999998E-2</v>
      </c>
      <c r="F91">
        <v>1460321073</v>
      </c>
      <c r="G91">
        <v>3.7249999999999998E-2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0.18480138169257257</v>
      </c>
      <c r="Q91">
        <f t="shared" ref="Q91" si="431">F91*P91</f>
        <v>269869352.00518012</v>
      </c>
      <c r="R91">
        <f t="shared" ref="R91" si="432">R92+Q91</f>
        <v>-15374607341.735506</v>
      </c>
      <c r="S91">
        <f t="shared" ref="S91" si="433">R91/100000</f>
        <v>-153746.07341735507</v>
      </c>
      <c r="T91">
        <f t="shared" ref="T91" si="434">S91/1000</f>
        <v>-153.74607341735506</v>
      </c>
    </row>
    <row r="92" spans="1:20" x14ac:dyDescent="0.25">
      <c r="A92" s="5">
        <v>44501</v>
      </c>
      <c r="B92">
        <v>3.5349999999999999E-2</v>
      </c>
      <c r="C92">
        <v>3.6490000000000002E-2</v>
      </c>
      <c r="D92">
        <v>3.3579999999999999E-2</v>
      </c>
      <c r="E92">
        <v>3.4209999999999997E-2</v>
      </c>
      <c r="F92">
        <v>410734098</v>
      </c>
      <c r="G92">
        <v>3.4209999999999997E-2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-0.56701030927835194</v>
      </c>
      <c r="Q92">
        <f t="shared" ref="Q92" si="436">F92*P92</f>
        <v>-232890467.93814492</v>
      </c>
      <c r="R92">
        <f t="shared" ref="R92" si="437">R93+Q92</f>
        <v>-15644476693.740686</v>
      </c>
      <c r="S92">
        <f t="shared" ref="S92" si="438">R92/100000</f>
        <v>-156444.76693740685</v>
      </c>
      <c r="T92">
        <f t="shared" ref="T92" si="439">S92/1000</f>
        <v>-156.44476693740685</v>
      </c>
    </row>
    <row r="93" spans="1:20" x14ac:dyDescent="0.25">
      <c r="A93" s="5">
        <v>44500</v>
      </c>
      <c r="B93">
        <v>3.4639999999999997E-2</v>
      </c>
      <c r="C93">
        <v>3.7199999999999997E-2</v>
      </c>
      <c r="D93">
        <v>3.3410000000000002E-2</v>
      </c>
      <c r="E93">
        <v>3.5319999999999997E-2</v>
      </c>
      <c r="F93">
        <v>646421118</v>
      </c>
      <c r="G93">
        <v>3.5319999999999997E-2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7.9155672823206721E-3</v>
      </c>
      <c r="Q93">
        <f t="shared" ref="Q93" si="441">F93*P93</f>
        <v>5116789.8522419501</v>
      </c>
      <c r="R93">
        <f t="shared" ref="R93" si="442">R94+Q93</f>
        <v>-15411586225.802542</v>
      </c>
      <c r="S93">
        <f t="shared" ref="S93" si="443">R93/100000</f>
        <v>-154115.86225802542</v>
      </c>
      <c r="T93">
        <f t="shared" ref="T93" si="444">S93/1000</f>
        <v>-154.1158622580254</v>
      </c>
    </row>
    <row r="94" spans="1:20" x14ac:dyDescent="0.25">
      <c r="A94" s="5">
        <v>44499</v>
      </c>
      <c r="B94">
        <v>3.3399999999999999E-2</v>
      </c>
      <c r="C94">
        <v>4.0890000000000003E-2</v>
      </c>
      <c r="D94">
        <v>3.2779999999999997E-2</v>
      </c>
      <c r="E94">
        <v>3.4660000000000003E-2</v>
      </c>
      <c r="F94">
        <v>1512350637</v>
      </c>
      <c r="G94">
        <v>3.4660000000000003E-2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-0.53637484586929585</v>
      </c>
      <c r="Q94">
        <f t="shared" ref="Q94" si="446">F94*P94</f>
        <v>-811186839.82120645</v>
      </c>
      <c r="R94">
        <f t="shared" ref="R94" si="447">R95+Q94</f>
        <v>-15416703015.654783</v>
      </c>
      <c r="S94">
        <f t="shared" ref="S94" si="448">R94/100000</f>
        <v>-154167.03015654784</v>
      </c>
      <c r="T94">
        <f t="shared" ref="T94" si="449">S94/1000</f>
        <v>-154.16703015654784</v>
      </c>
    </row>
    <row r="95" spans="1:20" x14ac:dyDescent="0.25">
      <c r="A95" s="5">
        <v>44498</v>
      </c>
      <c r="B95">
        <v>3.2399999999999998E-2</v>
      </c>
      <c r="C95">
        <v>3.372E-2</v>
      </c>
      <c r="D95">
        <v>3.1850000000000003E-2</v>
      </c>
      <c r="E95">
        <v>3.347E-2</v>
      </c>
      <c r="F95">
        <v>555017669</v>
      </c>
      <c r="G95">
        <v>3.347E-2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0.73262032085561424</v>
      </c>
      <c r="Q95">
        <f t="shared" ref="Q95" si="451">F95*P95</f>
        <v>406617222.7433151</v>
      </c>
      <c r="R95">
        <f t="shared" ref="R95" si="452">R96+Q95</f>
        <v>-14605516175.833576</v>
      </c>
      <c r="S95">
        <f t="shared" ref="S95" si="453">R95/100000</f>
        <v>-146055.16175833577</v>
      </c>
      <c r="T95">
        <f t="shared" ref="T95" si="454">S95/1000</f>
        <v>-146.05516175833577</v>
      </c>
    </row>
    <row r="96" spans="1:20" x14ac:dyDescent="0.25">
      <c r="A96" s="5">
        <v>44497</v>
      </c>
      <c r="B96">
        <v>3.0870000000000002E-2</v>
      </c>
      <c r="C96">
        <v>3.2680000000000001E-2</v>
      </c>
      <c r="D96">
        <v>3.0849999999999999E-2</v>
      </c>
      <c r="E96">
        <v>3.2390000000000002E-2</v>
      </c>
      <c r="F96">
        <v>349224107</v>
      </c>
      <c r="G96">
        <v>3.2390000000000002E-2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0.68306010928961935</v>
      </c>
      <c r="Q96">
        <f t="shared" ref="Q96" si="456">F96*P96</f>
        <v>238541056.69398972</v>
      </c>
      <c r="R96">
        <f t="shared" ref="R96" si="457">R97+Q96</f>
        <v>-15012133398.576891</v>
      </c>
      <c r="S96">
        <f t="shared" ref="S96" si="458">R96/100000</f>
        <v>-150121.3339857689</v>
      </c>
      <c r="T96">
        <f t="shared" ref="T96" si="459">S96/1000</f>
        <v>-150.1213339857689</v>
      </c>
    </row>
    <row r="97" spans="1:20" x14ac:dyDescent="0.25">
      <c r="A97" s="5">
        <v>44496</v>
      </c>
      <c r="B97">
        <v>3.4349999999999999E-2</v>
      </c>
      <c r="C97">
        <v>3.5009999999999999E-2</v>
      </c>
      <c r="D97">
        <v>2.9479999999999999E-2</v>
      </c>
      <c r="E97">
        <v>3.09E-2</v>
      </c>
      <c r="F97">
        <v>796219867</v>
      </c>
      <c r="G97">
        <v>3.09E-2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-0.48643761301989114</v>
      </c>
      <c r="Q97">
        <f t="shared" ref="Q97" si="461">F97*P97</f>
        <v>-387311291.54249519</v>
      </c>
      <c r="R97">
        <f t="shared" ref="R97" si="462">R98+Q97</f>
        <v>-15250674455.27088</v>
      </c>
      <c r="S97">
        <f t="shared" ref="S97" si="463">R97/100000</f>
        <v>-152506.74455270878</v>
      </c>
      <c r="T97">
        <f t="shared" ref="T97" si="464">S97/1000</f>
        <v>-152.5067445527088</v>
      </c>
    </row>
    <row r="98" spans="1:20" x14ac:dyDescent="0.25">
      <c r="A98" s="5">
        <v>44495</v>
      </c>
      <c r="B98">
        <v>3.4360000000000002E-2</v>
      </c>
      <c r="C98">
        <v>3.61E-2</v>
      </c>
      <c r="D98">
        <v>3.4049999999999997E-2</v>
      </c>
      <c r="E98">
        <v>3.4329999999999999E-2</v>
      </c>
      <c r="F98">
        <v>667973643</v>
      </c>
      <c r="G98">
        <v>3.4329999999999999E-2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-0.72682926829268091</v>
      </c>
      <c r="Q98">
        <f t="shared" ref="Q98" si="466">F98*P98</f>
        <v>-485502794.18048644</v>
      </c>
      <c r="R98">
        <f t="shared" ref="R98" si="467">R99+Q98</f>
        <v>-14863363163.728384</v>
      </c>
      <c r="S98">
        <f t="shared" ref="S98" si="468">R98/100000</f>
        <v>-148633.63163728383</v>
      </c>
      <c r="T98">
        <f t="shared" ref="T98" si="469">S98/1000</f>
        <v>-148.63363163728383</v>
      </c>
    </row>
    <row r="99" spans="1:20" x14ac:dyDescent="0.25">
      <c r="A99" s="5">
        <v>44494</v>
      </c>
      <c r="B99">
        <v>3.3180000000000001E-2</v>
      </c>
      <c r="C99">
        <v>3.6450000000000003E-2</v>
      </c>
      <c r="D99">
        <v>3.3000000000000002E-2</v>
      </c>
      <c r="E99">
        <v>3.4369999999999998E-2</v>
      </c>
      <c r="F99">
        <v>576847089</v>
      </c>
      <c r="G99">
        <v>3.4369999999999998E-2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-0.20579710144927793</v>
      </c>
      <c r="Q99">
        <f t="shared" ref="Q99" si="471">F99*P99</f>
        <v>-118713458.89565365</v>
      </c>
      <c r="R99">
        <f t="shared" ref="R99" si="472">R100+Q99</f>
        <v>-14377860369.547897</v>
      </c>
      <c r="S99">
        <f t="shared" ref="S99" si="473">R99/100000</f>
        <v>-143778.60369547896</v>
      </c>
      <c r="T99">
        <f t="shared" ref="T99" si="474">S99/1000</f>
        <v>-143.77860369547895</v>
      </c>
    </row>
    <row r="100" spans="1:20" x14ac:dyDescent="0.25">
      <c r="A100" s="5">
        <v>44493</v>
      </c>
      <c r="B100">
        <v>3.406E-2</v>
      </c>
      <c r="C100">
        <v>3.7999999999999999E-2</v>
      </c>
      <c r="D100">
        <v>3.2669999999999998E-2</v>
      </c>
      <c r="E100">
        <v>3.3189999999999997E-2</v>
      </c>
      <c r="F100">
        <v>1034662780</v>
      </c>
      <c r="G100">
        <v>3.3189999999999997E-2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-0.80487804878048796</v>
      </c>
      <c r="Q100">
        <f t="shared" ref="Q100" si="476">F100*P100</f>
        <v>-832777359.51219523</v>
      </c>
      <c r="R100">
        <f t="shared" ref="R100" si="477">R101+Q100</f>
        <v>-14259146910.652245</v>
      </c>
      <c r="S100">
        <f t="shared" ref="S100" si="478">R100/100000</f>
        <v>-142591.46910652245</v>
      </c>
      <c r="T100">
        <f t="shared" ref="T100" si="479">S100/1000</f>
        <v>-142.59146910652245</v>
      </c>
    </row>
    <row r="101" spans="1:20" x14ac:dyDescent="0.25">
      <c r="A101" s="5">
        <v>44492</v>
      </c>
      <c r="B101">
        <v>3.159E-2</v>
      </c>
      <c r="C101">
        <v>4.1050000000000003E-2</v>
      </c>
      <c r="D101">
        <v>3.1199999999999999E-2</v>
      </c>
      <c r="E101">
        <v>3.4049999999999997E-2</v>
      </c>
      <c r="F101">
        <v>1875309217</v>
      </c>
      <c r="G101">
        <v>3.4049999999999997E-2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-0.42131979695431532</v>
      </c>
      <c r="Q101">
        <f t="shared" ref="Q101" si="481">F101*P101</f>
        <v>-790104898.53299606</v>
      </c>
      <c r="R101">
        <f t="shared" ref="R101" si="482">R102+Q101</f>
        <v>-13426369551.140049</v>
      </c>
      <c r="S101">
        <f t="shared" ref="S101" si="483">R101/100000</f>
        <v>-134263.6955114005</v>
      </c>
      <c r="T101">
        <f t="shared" ref="T101" si="484">S101/1000</f>
        <v>-134.2636955114005</v>
      </c>
    </row>
    <row r="102" spans="1:20" x14ac:dyDescent="0.25">
      <c r="A102" s="5">
        <v>44491</v>
      </c>
      <c r="B102">
        <v>3.2930000000000001E-2</v>
      </c>
      <c r="C102">
        <v>3.354E-2</v>
      </c>
      <c r="D102">
        <v>3.1130000000000001E-2</v>
      </c>
      <c r="E102">
        <v>3.1579999999999997E-2</v>
      </c>
      <c r="F102">
        <v>724778415</v>
      </c>
      <c r="G102">
        <v>3.1579999999999997E-2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-0.62655601659751392</v>
      </c>
      <c r="Q102">
        <f t="shared" ref="Q102" si="486">F102*P102</f>
        <v>-454114276.61825985</v>
      </c>
      <c r="R102">
        <f t="shared" ref="R102" si="487">R103+Q102</f>
        <v>-12636264652.607054</v>
      </c>
      <c r="S102">
        <f t="shared" ref="S102" si="488">R102/100000</f>
        <v>-126362.64652607054</v>
      </c>
      <c r="T102">
        <f t="shared" ref="T102" si="489">S102/1000</f>
        <v>-126.36264652607055</v>
      </c>
    </row>
    <row r="103" spans="1:20" x14ac:dyDescent="0.25">
      <c r="A103" s="5">
        <v>44490</v>
      </c>
      <c r="B103">
        <v>3.6159999999999998E-2</v>
      </c>
      <c r="C103">
        <v>3.7199999999999997E-2</v>
      </c>
      <c r="D103">
        <v>3.2469999999999999E-2</v>
      </c>
      <c r="E103">
        <v>3.2930000000000001E-2</v>
      </c>
      <c r="F103">
        <v>1134789695</v>
      </c>
      <c r="G103">
        <v>3.2930000000000001E-2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-0.80549682875264172</v>
      </c>
      <c r="Q103">
        <f t="shared" ref="Q103" si="491">F103*P103</f>
        <v>-914069500.62367749</v>
      </c>
      <c r="R103">
        <f t="shared" ref="R103" si="492">R104+Q103</f>
        <v>-12182150375.988794</v>
      </c>
      <c r="S103">
        <f t="shared" ref="S103" si="493">R103/100000</f>
        <v>-121821.50375988794</v>
      </c>
      <c r="T103">
        <f t="shared" ref="T103" si="494">S103/1000</f>
        <v>-121.82150375988795</v>
      </c>
    </row>
    <row r="104" spans="1:20" x14ac:dyDescent="0.25">
      <c r="A104" s="5">
        <v>44489</v>
      </c>
      <c r="B104">
        <v>2.9139999999999999E-2</v>
      </c>
      <c r="C104">
        <v>5.5579999999999997E-2</v>
      </c>
      <c r="D104">
        <v>2.894E-2</v>
      </c>
      <c r="E104">
        <v>3.6179999999999997E-2</v>
      </c>
      <c r="F104">
        <v>6978559348</v>
      </c>
      <c r="G104">
        <v>3.6179999999999997E-2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-0.45645645645645666</v>
      </c>
      <c r="Q104">
        <f t="shared" ref="Q104" si="496">F104*P104</f>
        <v>-3185408471.1591606</v>
      </c>
      <c r="R104">
        <f t="shared" ref="R104" si="497">R105+Q104</f>
        <v>-11268080875.365116</v>
      </c>
      <c r="S104">
        <f t="shared" ref="S104" si="498">R104/100000</f>
        <v>-112680.80875365116</v>
      </c>
      <c r="T104">
        <f t="shared" ref="T104" si="499">S104/1000</f>
        <v>-112.68080875365116</v>
      </c>
    </row>
    <row r="105" spans="1:20" x14ac:dyDescent="0.25">
      <c r="A105" s="5">
        <v>44488</v>
      </c>
      <c r="B105">
        <v>2.819E-2</v>
      </c>
      <c r="C105">
        <v>2.9389999999999999E-2</v>
      </c>
      <c r="D105">
        <v>2.811E-2</v>
      </c>
      <c r="E105">
        <v>2.913E-2</v>
      </c>
      <c r="F105">
        <v>795209101</v>
      </c>
      <c r="G105">
        <v>2.913E-2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0.59375000000000022</v>
      </c>
      <c r="Q105">
        <f t="shared" ref="Q105" si="501">F105*P105</f>
        <v>472155403.71875018</v>
      </c>
      <c r="R105">
        <f t="shared" ref="R105" si="502">R106+Q105</f>
        <v>-8082672404.2059565</v>
      </c>
      <c r="S105">
        <f t="shared" ref="S105" si="503">R105/100000</f>
        <v>-80826.724042059563</v>
      </c>
      <c r="T105">
        <f t="shared" ref="T105" si="504">S105/1000</f>
        <v>-80.826724042059567</v>
      </c>
    </row>
    <row r="106" spans="1:20" x14ac:dyDescent="0.25">
      <c r="A106" s="5">
        <v>44487</v>
      </c>
      <c r="B106">
        <v>2.8629999999999999E-2</v>
      </c>
      <c r="C106">
        <v>2.894E-2</v>
      </c>
      <c r="D106">
        <v>2.792E-2</v>
      </c>
      <c r="E106">
        <v>2.8240000000000001E-2</v>
      </c>
      <c r="F106">
        <v>445894268</v>
      </c>
      <c r="G106">
        <v>2.8240000000000001E-2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-0.37254901960784154</v>
      </c>
      <c r="Q106">
        <f t="shared" ref="Q106" si="506">F106*P106</f>
        <v>-166117472.39215615</v>
      </c>
      <c r="R106">
        <f t="shared" ref="R106" si="507">R107+Q106</f>
        <v>-8554827807.9247065</v>
      </c>
      <c r="S106">
        <f t="shared" ref="S106" si="508">R106/100000</f>
        <v>-85548.278079247058</v>
      </c>
      <c r="T106">
        <f t="shared" ref="T106" si="509">S106/1000</f>
        <v>-85.548278079247055</v>
      </c>
    </row>
    <row r="107" spans="1:20" x14ac:dyDescent="0.25">
      <c r="A107" s="5">
        <v>44486</v>
      </c>
      <c r="B107">
        <v>2.9270000000000001E-2</v>
      </c>
      <c r="C107">
        <v>2.9499999999999998E-2</v>
      </c>
      <c r="D107">
        <v>2.8029999999999999E-2</v>
      </c>
      <c r="E107">
        <v>2.8629999999999999E-2</v>
      </c>
      <c r="F107">
        <v>446699674</v>
      </c>
      <c r="G107">
        <v>2.8629999999999999E-2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-0.18367346938775481</v>
      </c>
      <c r="Q107">
        <f t="shared" ref="Q107" si="511">F107*P107</f>
        <v>-82046878.897959054</v>
      </c>
      <c r="R107">
        <f t="shared" ref="R107" si="512">R108+Q107</f>
        <v>-8388710335.5325499</v>
      </c>
      <c r="S107">
        <f t="shared" ref="S107" si="513">R107/100000</f>
        <v>-83887.103355325497</v>
      </c>
      <c r="T107">
        <f t="shared" ref="T107" si="514">S107/1000</f>
        <v>-83.887103355325493</v>
      </c>
    </row>
    <row r="108" spans="1:20" x14ac:dyDescent="0.25">
      <c r="A108" s="5">
        <v>44485</v>
      </c>
      <c r="B108">
        <v>2.9170000000000001E-2</v>
      </c>
      <c r="C108">
        <v>2.9559999999999999E-2</v>
      </c>
      <c r="D108">
        <v>2.8309999999999998E-2</v>
      </c>
      <c r="E108">
        <v>2.9219999999999999E-2</v>
      </c>
      <c r="F108">
        <v>175315639</v>
      </c>
      <c r="G108">
        <v>2.9219999999999999E-2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0.45600000000000046</v>
      </c>
      <c r="Q108">
        <f t="shared" ref="Q108" si="516">F108*P108</f>
        <v>79943931.384000078</v>
      </c>
      <c r="R108">
        <f t="shared" ref="R108" si="517">R109+Q108</f>
        <v>-8306663456.6345911</v>
      </c>
      <c r="S108">
        <f t="shared" ref="S108" si="518">R108/100000</f>
        <v>-83066.634566345907</v>
      </c>
      <c r="T108">
        <f t="shared" ref="T108" si="519">S108/1000</f>
        <v>-83.066634566345911</v>
      </c>
    </row>
    <row r="109" spans="1:20" x14ac:dyDescent="0.25">
      <c r="A109" s="5">
        <v>44484</v>
      </c>
      <c r="B109">
        <v>2.8289999999999999E-2</v>
      </c>
      <c r="C109">
        <v>2.9790000000000001E-2</v>
      </c>
      <c r="D109">
        <v>2.767E-2</v>
      </c>
      <c r="E109">
        <v>2.9180000000000001E-2</v>
      </c>
      <c r="F109">
        <v>437512895</v>
      </c>
      <c r="G109">
        <v>2.9180000000000001E-2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0.42452830188679308</v>
      </c>
      <c r="Q109">
        <f t="shared" ref="Q109" si="521">F109*P109</f>
        <v>185736606.36792481</v>
      </c>
      <c r="R109">
        <f t="shared" ref="R109" si="522">R110+Q109</f>
        <v>-8386607388.0185909</v>
      </c>
      <c r="S109">
        <f t="shared" ref="S109" si="523">R109/100000</f>
        <v>-83866.073880185912</v>
      </c>
      <c r="T109">
        <f t="shared" ref="T109" si="524">S109/1000</f>
        <v>-83.866073880185908</v>
      </c>
    </row>
    <row r="110" spans="1:20" x14ac:dyDescent="0.25">
      <c r="A110" s="5">
        <v>44483</v>
      </c>
      <c r="B110">
        <v>2.8389999999999999E-2</v>
      </c>
      <c r="C110">
        <v>2.8969999999999999E-2</v>
      </c>
      <c r="D110">
        <v>2.8150000000000001E-2</v>
      </c>
      <c r="E110">
        <v>2.8330000000000001E-2</v>
      </c>
      <c r="F110">
        <v>391720812</v>
      </c>
      <c r="G110">
        <v>2.8330000000000001E-2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-0.56097560975609739</v>
      </c>
      <c r="Q110">
        <f t="shared" ref="Q110" si="526">F110*P110</f>
        <v>-219745821.36585361</v>
      </c>
      <c r="R110">
        <f t="shared" ref="R110" si="527">R111+Q110</f>
        <v>-8572343994.3865156</v>
      </c>
      <c r="S110">
        <f t="shared" ref="S110" si="528">R110/100000</f>
        <v>-85723.43994386516</v>
      </c>
      <c r="T110">
        <f t="shared" ref="T110" si="529">S110/1000</f>
        <v>-85.723439943865159</v>
      </c>
    </row>
    <row r="111" spans="1:20" x14ac:dyDescent="0.25">
      <c r="A111" s="5">
        <v>44482</v>
      </c>
      <c r="B111">
        <v>2.758E-2</v>
      </c>
      <c r="C111">
        <v>2.844E-2</v>
      </c>
      <c r="D111">
        <v>2.7439999999999999E-2</v>
      </c>
      <c r="E111">
        <v>2.8379999999999999E-2</v>
      </c>
      <c r="F111">
        <v>449583533</v>
      </c>
      <c r="G111">
        <v>2.8379999999999999E-2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0.87999999999999801</v>
      </c>
      <c r="Q111">
        <f t="shared" ref="Q111" si="531">F111*P111</f>
        <v>395633509.03999913</v>
      </c>
      <c r="R111">
        <f t="shared" ref="R111" si="532">R112+Q111</f>
        <v>-8352598173.0206623</v>
      </c>
      <c r="S111">
        <f t="shared" ref="S111" si="533">R111/100000</f>
        <v>-83525.981730206622</v>
      </c>
      <c r="T111">
        <f t="shared" ref="T111" si="534">S111/1000</f>
        <v>-83.525981730206624</v>
      </c>
    </row>
    <row r="112" spans="1:20" x14ac:dyDescent="0.25">
      <c r="A112" s="5">
        <v>44481</v>
      </c>
      <c r="B112">
        <v>2.8230000000000002E-2</v>
      </c>
      <c r="C112">
        <v>2.8240000000000001E-2</v>
      </c>
      <c r="D112">
        <v>2.6530000000000001E-2</v>
      </c>
      <c r="E112">
        <v>2.7609999999999999E-2</v>
      </c>
      <c r="F112">
        <v>450843689</v>
      </c>
      <c r="G112">
        <v>2.7609999999999999E-2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0.26315789473683954</v>
      </c>
      <c r="Q112">
        <f t="shared" ref="Q112" si="536">F112*P112</f>
        <v>118643076.05263042</v>
      </c>
      <c r="R112">
        <f t="shared" ref="R112" si="537">R113+Q112</f>
        <v>-8748231682.0606613</v>
      </c>
      <c r="S112">
        <f t="shared" ref="S112" si="538">R112/100000</f>
        <v>-87482.316820606618</v>
      </c>
      <c r="T112">
        <f t="shared" ref="T112" si="539">S112/1000</f>
        <v>-87.482316820606613</v>
      </c>
    </row>
    <row r="113" spans="1:20" x14ac:dyDescent="0.25">
      <c r="A113" s="5">
        <v>44480</v>
      </c>
      <c r="B113">
        <v>2.8479999999999998E-2</v>
      </c>
      <c r="C113">
        <v>2.9669999999999998E-2</v>
      </c>
      <c r="D113">
        <v>2.7810000000000001E-2</v>
      </c>
      <c r="E113">
        <v>2.8250000000000001E-2</v>
      </c>
      <c r="F113">
        <v>612848961</v>
      </c>
      <c r="G113">
        <v>2.8250000000000001E-2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-0.52688172043010739</v>
      </c>
      <c r="Q113">
        <f t="shared" ref="Q113" si="541">F113*P113</f>
        <v>-322898914.93548381</v>
      </c>
      <c r="R113">
        <f t="shared" ref="R113" si="542">R114+Q113</f>
        <v>-8866874758.1132908</v>
      </c>
      <c r="S113">
        <f t="shared" ref="S113" si="543">R113/100000</f>
        <v>-88668.747581132906</v>
      </c>
      <c r="T113">
        <f t="shared" ref="T113" si="544">S113/1000</f>
        <v>-88.668747581132905</v>
      </c>
    </row>
    <row r="114" spans="1:20" x14ac:dyDescent="0.25">
      <c r="A114" s="5">
        <v>44479</v>
      </c>
      <c r="B114">
        <v>3.1280000000000002E-2</v>
      </c>
      <c r="C114">
        <v>3.1320000000000001E-2</v>
      </c>
      <c r="D114">
        <v>2.8369999999999999E-2</v>
      </c>
      <c r="E114">
        <v>2.8500000000000001E-2</v>
      </c>
      <c r="F114">
        <v>500355084</v>
      </c>
      <c r="G114">
        <v>2.8500000000000001E-2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-0.91186440677965996</v>
      </c>
      <c r="Q114">
        <f t="shared" ref="Q114" si="546">F114*P114</f>
        <v>-456255991.85084695</v>
      </c>
      <c r="R114">
        <f t="shared" ref="R114" si="547">R115+Q114</f>
        <v>-8543975843.1778069</v>
      </c>
      <c r="S114">
        <f t="shared" ref="S114" si="548">R114/100000</f>
        <v>-85439.758431778071</v>
      </c>
      <c r="T114">
        <f t="shared" ref="T114" si="549">S114/1000</f>
        <v>-85.439758431778074</v>
      </c>
    </row>
    <row r="115" spans="1:20" x14ac:dyDescent="0.25">
      <c r="A115" s="5">
        <v>44478</v>
      </c>
      <c r="B115">
        <v>2.946E-2</v>
      </c>
      <c r="C115">
        <v>3.177E-2</v>
      </c>
      <c r="D115">
        <v>2.9229999999999999E-2</v>
      </c>
      <c r="E115">
        <v>3.1260000000000003E-2</v>
      </c>
      <c r="F115">
        <v>559269527</v>
      </c>
      <c r="G115">
        <v>3.1260000000000003E-2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0.59842519685039652</v>
      </c>
      <c r="Q115">
        <f t="shared" ref="Q115" si="551">F115*P115</f>
        <v>334680976.78740317</v>
      </c>
      <c r="R115">
        <f t="shared" ref="R115" si="552">R116+Q115</f>
        <v>-8087719851.3269596</v>
      </c>
      <c r="S115">
        <f t="shared" ref="S115" si="553">R115/100000</f>
        <v>-80877.198513269599</v>
      </c>
      <c r="T115">
        <f t="shared" ref="T115" si="554">S115/1000</f>
        <v>-80.877198513269605</v>
      </c>
    </row>
    <row r="116" spans="1:20" x14ac:dyDescent="0.25">
      <c r="A116" s="5">
        <v>44477</v>
      </c>
      <c r="B116">
        <v>2.8729999999999999E-2</v>
      </c>
      <c r="C116">
        <v>3.0159999999999999E-2</v>
      </c>
      <c r="D116">
        <v>2.8580000000000001E-2</v>
      </c>
      <c r="E116">
        <v>2.9409999999999999E-2</v>
      </c>
      <c r="F116">
        <v>356842312</v>
      </c>
      <c r="G116">
        <v>2.9409999999999999E-2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5.0632911392403064E-2</v>
      </c>
      <c r="Q116">
        <f t="shared" ref="Q116" si="556">F116*P116</f>
        <v>18067965.16455625</v>
      </c>
      <c r="R116">
        <f t="shared" ref="R116" si="557">R117+Q116</f>
        <v>-8422400828.1143627</v>
      </c>
      <c r="S116">
        <f t="shared" ref="S116" si="558">R116/100000</f>
        <v>-84224.00828114363</v>
      </c>
      <c r="T116">
        <f t="shared" ref="T116" si="559">S116/1000</f>
        <v>-84.224008281143625</v>
      </c>
    </row>
    <row r="117" spans="1:20" x14ac:dyDescent="0.25">
      <c r="A117" s="5">
        <v>44476</v>
      </c>
      <c r="B117">
        <v>2.8139999999999998E-2</v>
      </c>
      <c r="C117">
        <v>2.8899999999999999E-2</v>
      </c>
      <c r="D117">
        <v>2.7449999999999999E-2</v>
      </c>
      <c r="E117">
        <v>2.8729999999999999E-2</v>
      </c>
      <c r="F117">
        <v>191291970</v>
      </c>
      <c r="G117">
        <v>2.8729999999999999E-2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0.76551724137931032</v>
      </c>
      <c r="Q117">
        <f t="shared" ref="Q117" si="561">F117*P117</f>
        <v>146437301.1724138</v>
      </c>
      <c r="R117">
        <f t="shared" ref="R117" si="562">R118+Q117</f>
        <v>-8440468793.2789192</v>
      </c>
      <c r="S117">
        <f t="shared" ref="S117" si="563">R117/100000</f>
        <v>-84404.687932789195</v>
      </c>
      <c r="T117">
        <f t="shared" ref="T117" si="564">S117/1000</f>
        <v>-84.404687932789201</v>
      </c>
    </row>
    <row r="118" spans="1:20" x14ac:dyDescent="0.25">
      <c r="A118" s="5">
        <v>44475</v>
      </c>
      <c r="B118">
        <v>2.9100000000000001E-2</v>
      </c>
      <c r="C118">
        <v>2.913E-2</v>
      </c>
      <c r="D118">
        <v>2.6849999999999999E-2</v>
      </c>
      <c r="E118">
        <v>2.8139999999999998E-2</v>
      </c>
      <c r="F118">
        <v>186926179</v>
      </c>
      <c r="G118">
        <v>2.8139999999999998E-2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0.13157894736842021</v>
      </c>
      <c r="Q118">
        <f t="shared" ref="Q118" si="566">F118*P118</f>
        <v>24595549.868420895</v>
      </c>
      <c r="R118">
        <f t="shared" ref="R118" si="567">R119+Q118</f>
        <v>-8586906094.451333</v>
      </c>
      <c r="S118">
        <f t="shared" ref="S118" si="568">R118/100000</f>
        <v>-85869.06094451333</v>
      </c>
      <c r="T118">
        <f t="shared" ref="T118" si="569">S118/1000</f>
        <v>-85.869060944513336</v>
      </c>
    </row>
    <row r="119" spans="1:20" x14ac:dyDescent="0.25">
      <c r="A119" s="5">
        <v>44474</v>
      </c>
      <c r="B119">
        <v>2.7490000000000001E-2</v>
      </c>
      <c r="C119">
        <v>2.9690000000000001E-2</v>
      </c>
      <c r="D119">
        <v>2.7490000000000001E-2</v>
      </c>
      <c r="E119">
        <v>2.9080000000000002E-2</v>
      </c>
      <c r="F119">
        <v>230979627</v>
      </c>
      <c r="G119">
        <v>2.9080000000000002E-2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0.4454545454545461</v>
      </c>
      <c r="Q119">
        <f t="shared" ref="Q119" si="571">F119*P119</f>
        <v>102890924.7545456</v>
      </c>
      <c r="R119">
        <f t="shared" ref="R119" si="572">R120+Q119</f>
        <v>-8611501644.3197536</v>
      </c>
      <c r="S119">
        <f t="shared" ref="S119" si="573">R119/100000</f>
        <v>-86115.016443197543</v>
      </c>
      <c r="T119">
        <f t="shared" ref="T119" si="574">S119/1000</f>
        <v>-86.115016443197547</v>
      </c>
    </row>
    <row r="120" spans="1:20" x14ac:dyDescent="0.25">
      <c r="A120" s="5">
        <v>44473</v>
      </c>
      <c r="B120">
        <v>2.7859999999999999E-2</v>
      </c>
      <c r="C120">
        <v>2.7859999999999999E-2</v>
      </c>
      <c r="D120">
        <v>2.6290000000000001E-2</v>
      </c>
      <c r="E120">
        <v>2.7189999999999999E-2</v>
      </c>
      <c r="F120">
        <v>86098643</v>
      </c>
      <c r="G120">
        <v>2.7189999999999999E-2</v>
      </c>
      <c r="L120" t="s">
        <v>8</v>
      </c>
      <c r="M120" t="s">
        <v>7</v>
      </c>
      <c r="N120" t="s">
        <v>7</v>
      </c>
      <c r="P120">
        <f t="shared" ref="P120" si="575">IF(C120=D120,0,((E120-D120)-(C120-E120))/(C120-D120))</f>
        <v>0.14649681528662278</v>
      </c>
      <c r="Q120">
        <f t="shared" ref="Q120" si="576">F120*P120</f>
        <v>12613176.999999877</v>
      </c>
      <c r="R120">
        <f t="shared" ref="R120" si="577">R121+Q120</f>
        <v>-8714392569.0742989</v>
      </c>
      <c r="S120">
        <f t="shared" ref="S120" si="578">R120/100000</f>
        <v>-87143.925690742995</v>
      </c>
      <c r="T120">
        <f t="shared" ref="T120" si="579">S120/1000</f>
        <v>-87.143925690742989</v>
      </c>
    </row>
    <row r="121" spans="1:20" x14ac:dyDescent="0.25">
      <c r="A121" s="5">
        <v>44472</v>
      </c>
      <c r="B121">
        <v>2.7119999999999998E-2</v>
      </c>
      <c r="C121">
        <v>2.8170000000000001E-2</v>
      </c>
      <c r="D121">
        <v>2.6689999999999998E-2</v>
      </c>
      <c r="E121">
        <v>2.7820000000000001E-2</v>
      </c>
      <c r="F121">
        <v>82413283</v>
      </c>
      <c r="G121">
        <v>2.7820000000000001E-2</v>
      </c>
      <c r="L121" t="s">
        <v>8</v>
      </c>
      <c r="M121" t="s">
        <v>7</v>
      </c>
      <c r="N121" t="s">
        <v>7</v>
      </c>
      <c r="P121">
        <f t="shared" ref="P121" si="580">IF(C121=D121,0,((E121-D121)-(C121-E121))/(C121-D121))</f>
        <v>0.52702702702702819</v>
      </c>
      <c r="Q121">
        <f t="shared" ref="Q121" si="581">F121*P121</f>
        <v>43434027.527027123</v>
      </c>
      <c r="R121">
        <f t="shared" ref="R121" si="582">R122+Q121</f>
        <v>-8727005746.0742989</v>
      </c>
      <c r="S121">
        <f t="shared" ref="S121" si="583">R121/100000</f>
        <v>-87270.057460742988</v>
      </c>
      <c r="T121">
        <f t="shared" ref="T121" si="584">S121/1000</f>
        <v>-87.27005746074299</v>
      </c>
    </row>
    <row r="122" spans="1:20" x14ac:dyDescent="0.25">
      <c r="A122" s="5">
        <v>44471</v>
      </c>
      <c r="B122">
        <v>2.7210000000000002E-2</v>
      </c>
      <c r="C122">
        <v>2.7869999999999999E-2</v>
      </c>
      <c r="D122">
        <v>2.6669999999999999E-2</v>
      </c>
      <c r="E122">
        <v>2.7140000000000001E-2</v>
      </c>
      <c r="F122">
        <v>76379268</v>
      </c>
      <c r="G122">
        <v>2.7140000000000001E-2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-0.21666666666666368</v>
      </c>
      <c r="Q122">
        <f t="shared" ref="Q122" si="586">F122*P122</f>
        <v>-16548841.399999771</v>
      </c>
      <c r="R122">
        <f t="shared" ref="R122" si="587">R123+Q122</f>
        <v>-8770439773.601326</v>
      </c>
      <c r="S122">
        <f t="shared" ref="S122" si="588">R122/100000</f>
        <v>-87704.397736013256</v>
      </c>
      <c r="T122">
        <f t="shared" ref="T122" si="589">S122/1000</f>
        <v>-87.704397736013249</v>
      </c>
    </row>
    <row r="123" spans="1:20" x14ac:dyDescent="0.25">
      <c r="A123" s="5">
        <v>44470</v>
      </c>
      <c r="B123">
        <v>2.5510000000000001E-2</v>
      </c>
      <c r="C123">
        <v>2.7279999999999999E-2</v>
      </c>
      <c r="D123">
        <v>2.529E-2</v>
      </c>
      <c r="E123">
        <v>2.7210000000000002E-2</v>
      </c>
      <c r="F123">
        <v>96650712</v>
      </c>
      <c r="G123">
        <v>2.7210000000000002E-2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0.92964824120603295</v>
      </c>
      <c r="Q123">
        <f t="shared" ref="Q123" si="591">F123*P123</f>
        <v>89851164.422110826</v>
      </c>
      <c r="R123">
        <f t="shared" ref="R123" si="592">R124+Q123</f>
        <v>-8753890932.2013264</v>
      </c>
      <c r="S123">
        <f t="shared" ref="S123" si="593">R123/100000</f>
        <v>-87538.909322013264</v>
      </c>
      <c r="T123">
        <f t="shared" ref="T123" si="594">S123/1000</f>
        <v>-87.538909322013268</v>
      </c>
    </row>
    <row r="124" spans="1:20" x14ac:dyDescent="0.25">
      <c r="A124" s="5">
        <v>44469</v>
      </c>
      <c r="B124">
        <v>2.495E-2</v>
      </c>
      <c r="C124">
        <v>2.5899999999999999E-2</v>
      </c>
      <c r="D124">
        <v>2.4840000000000001E-2</v>
      </c>
      <c r="E124">
        <v>2.5510000000000001E-2</v>
      </c>
      <c r="F124">
        <v>53132220</v>
      </c>
      <c r="G124">
        <v>2.5510000000000001E-2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0.26415094339622913</v>
      </c>
      <c r="Q124">
        <f t="shared" ref="Q124" si="596">F124*P124</f>
        <v>14034926.037735993</v>
      </c>
      <c r="R124">
        <f t="shared" ref="R124" si="597">R125+Q124</f>
        <v>-8843742096.6234379</v>
      </c>
      <c r="S124">
        <f t="shared" ref="S124" si="598">R124/100000</f>
        <v>-88437.420966234378</v>
      </c>
      <c r="T124">
        <f t="shared" ref="T124" si="599">S124/1000</f>
        <v>-88.437420966234384</v>
      </c>
    </row>
    <row r="125" spans="1:20" x14ac:dyDescent="0.25">
      <c r="A125" s="5">
        <v>44468</v>
      </c>
      <c r="B125">
        <v>2.41E-2</v>
      </c>
      <c r="C125">
        <v>2.5569999999999999E-2</v>
      </c>
      <c r="D125">
        <v>2.4E-2</v>
      </c>
      <c r="E125">
        <v>2.495E-2</v>
      </c>
      <c r="F125">
        <v>42557008</v>
      </c>
      <c r="G125">
        <v>2.495E-2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0.21019108280254825</v>
      </c>
      <c r="Q125">
        <f t="shared" ref="Q125" si="601">F125*P125</f>
        <v>8945103.5923567079</v>
      </c>
      <c r="R125">
        <f t="shared" ref="R125" si="602">R126+Q125</f>
        <v>-8857777022.6611748</v>
      </c>
      <c r="S125">
        <f t="shared" ref="S125" si="603">R125/100000</f>
        <v>-88577.770226611741</v>
      </c>
      <c r="T125">
        <f t="shared" ref="T125" si="604">S125/1000</f>
        <v>-88.577770226611747</v>
      </c>
    </row>
    <row r="126" spans="1:20" x14ac:dyDescent="0.25">
      <c r="A126" s="5">
        <v>44467</v>
      </c>
      <c r="B126">
        <v>2.5360000000000001E-2</v>
      </c>
      <c r="C126">
        <v>2.5489999999999999E-2</v>
      </c>
      <c r="D126">
        <v>2.4E-2</v>
      </c>
      <c r="E126">
        <v>2.41E-2</v>
      </c>
      <c r="F126">
        <v>48784926</v>
      </c>
      <c r="G126">
        <v>2.41E-2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-0.86577181208053755</v>
      </c>
      <c r="Q126">
        <f t="shared" ref="Q126" si="606">F126*P126</f>
        <v>-42236613.785234928</v>
      </c>
      <c r="R126">
        <f t="shared" ref="R126" si="607">R127+Q126</f>
        <v>-8866722126.2535324</v>
      </c>
      <c r="S126">
        <f t="shared" ref="S126" si="608">R126/100000</f>
        <v>-88667.221262535328</v>
      </c>
      <c r="T126">
        <f t="shared" ref="T126" si="609">S126/1000</f>
        <v>-88.667221262535321</v>
      </c>
    </row>
    <row r="127" spans="1:20" x14ac:dyDescent="0.25">
      <c r="A127" s="5">
        <v>44466</v>
      </c>
      <c r="B127">
        <v>2.5389999999999999E-2</v>
      </c>
      <c r="C127">
        <v>2.639E-2</v>
      </c>
      <c r="D127">
        <v>2.511E-2</v>
      </c>
      <c r="E127">
        <v>2.537E-2</v>
      </c>
      <c r="F127">
        <v>98978055</v>
      </c>
      <c r="G127">
        <v>2.537E-2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-0.59375000000000022</v>
      </c>
      <c r="Q127">
        <f t="shared" ref="Q127" si="611">F127*P127</f>
        <v>-58768220.156250022</v>
      </c>
      <c r="R127">
        <f t="shared" ref="R127" si="612">R128+Q127</f>
        <v>-8824485512.468298</v>
      </c>
      <c r="S127">
        <f t="shared" ref="S127" si="613">R127/100000</f>
        <v>-88244.855124682974</v>
      </c>
      <c r="T127">
        <f t="shared" ref="T127" si="614">S127/1000</f>
        <v>-88.244855124682971</v>
      </c>
    </row>
    <row r="128" spans="1:20" x14ac:dyDescent="0.25">
      <c r="A128" s="5">
        <v>44465</v>
      </c>
      <c r="B128">
        <v>2.7400000000000001E-2</v>
      </c>
      <c r="C128">
        <v>2.7550000000000002E-2</v>
      </c>
      <c r="D128">
        <v>2.3949999999999999E-2</v>
      </c>
      <c r="E128">
        <v>2.5389999999999999E-2</v>
      </c>
      <c r="F128">
        <v>150454963</v>
      </c>
      <c r="G128">
        <v>2.5389999999999999E-2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-0.20000000000000037</v>
      </c>
      <c r="Q128">
        <f t="shared" ref="Q128" si="616">F128*P128</f>
        <v>-30090992.600000057</v>
      </c>
      <c r="R128">
        <f t="shared" ref="R128" si="617">R129+Q128</f>
        <v>-8765717292.312048</v>
      </c>
      <c r="S128">
        <f t="shared" ref="S128" si="618">R128/100000</f>
        <v>-87657.172923120481</v>
      </c>
      <c r="T128">
        <f t="shared" ref="T128" si="619">S128/1000</f>
        <v>-87.657172923120484</v>
      </c>
    </row>
    <row r="129" spans="1:20" x14ac:dyDescent="0.25">
      <c r="A129" s="5">
        <v>44464</v>
      </c>
      <c r="B129">
        <v>2.8500000000000001E-2</v>
      </c>
      <c r="C129">
        <v>2.8920000000000001E-2</v>
      </c>
      <c r="D129">
        <v>2.7E-2</v>
      </c>
      <c r="E129">
        <v>2.7369999999999998E-2</v>
      </c>
      <c r="F129">
        <v>88879061</v>
      </c>
      <c r="G129">
        <v>2.7369999999999998E-2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-0.61458333333333492</v>
      </c>
      <c r="Q129">
        <f t="shared" ref="Q129" si="621">F129*P129</f>
        <v>-54623589.572916806</v>
      </c>
      <c r="R129">
        <f t="shared" ref="R129" si="622">R130+Q129</f>
        <v>-8735626299.7120476</v>
      </c>
      <c r="S129">
        <f t="shared" ref="S129" si="623">R129/100000</f>
        <v>-87356.262997120473</v>
      </c>
      <c r="T129">
        <f t="shared" ref="T129" si="624">S129/1000</f>
        <v>-87.356262997120467</v>
      </c>
    </row>
    <row r="130" spans="1:20" x14ac:dyDescent="0.25">
      <c r="A130" s="5">
        <v>44463</v>
      </c>
      <c r="B130">
        <v>3.1399999999999997E-2</v>
      </c>
      <c r="C130">
        <v>3.1609999999999999E-2</v>
      </c>
      <c r="D130">
        <v>2.6689999999999998E-2</v>
      </c>
      <c r="E130">
        <v>2.8490000000000001E-2</v>
      </c>
      <c r="F130">
        <v>170855843</v>
      </c>
      <c r="G130">
        <v>2.8490000000000001E-2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-0.26829268292682817</v>
      </c>
      <c r="Q130">
        <f t="shared" ref="Q130" si="626">F130*P130</f>
        <v>-45839372.512194932</v>
      </c>
      <c r="R130">
        <f t="shared" ref="R130" si="627">R131+Q130</f>
        <v>-8681002710.1391315</v>
      </c>
      <c r="S130">
        <f t="shared" ref="S130" si="628">R130/100000</f>
        <v>-86810.027101391315</v>
      </c>
      <c r="T130">
        <f t="shared" ref="T130" si="629">S130/1000</f>
        <v>-86.810027101391313</v>
      </c>
    </row>
    <row r="131" spans="1:20" x14ac:dyDescent="0.25">
      <c r="A131" s="5">
        <v>44462</v>
      </c>
      <c r="B131">
        <v>3.1850000000000003E-2</v>
      </c>
      <c r="C131">
        <v>3.243E-2</v>
      </c>
      <c r="D131">
        <v>3.066E-2</v>
      </c>
      <c r="E131">
        <v>3.1460000000000002E-2</v>
      </c>
      <c r="F131">
        <v>573832131</v>
      </c>
      <c r="G131">
        <v>3.1460000000000002E-2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-9.6045197740110999E-2</v>
      </c>
      <c r="Q131">
        <f t="shared" ref="Q131" si="631">F131*P131</f>
        <v>-55113820.491524279</v>
      </c>
      <c r="R131">
        <f t="shared" ref="R131" si="632">R132+Q131</f>
        <v>-8635163337.626936</v>
      </c>
      <c r="S131">
        <f t="shared" ref="S131" si="633">R131/100000</f>
        <v>-86351.633376269354</v>
      </c>
      <c r="T131">
        <f t="shared" ref="T131" si="634">S131/1000</f>
        <v>-86.351633376269348</v>
      </c>
    </row>
    <row r="132" spans="1:20" x14ac:dyDescent="0.25">
      <c r="A132" s="5">
        <v>44461</v>
      </c>
      <c r="B132">
        <v>2.8389999999999999E-2</v>
      </c>
      <c r="C132">
        <v>3.2000000000000001E-2</v>
      </c>
      <c r="D132">
        <v>2.801E-2</v>
      </c>
      <c r="E132">
        <v>3.184E-2</v>
      </c>
      <c r="F132">
        <v>108651839</v>
      </c>
      <c r="G132">
        <v>3.184E-2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0.91979949874686695</v>
      </c>
      <c r="Q132">
        <f t="shared" ref="Q132" si="636">F132*P132</f>
        <v>99937907.050125286</v>
      </c>
      <c r="R132">
        <f t="shared" ref="R132" si="637">R133+Q132</f>
        <v>-8580049517.1354122</v>
      </c>
      <c r="S132">
        <f t="shared" ref="S132" si="638">R132/100000</f>
        <v>-85800.495171354123</v>
      </c>
      <c r="T132">
        <f t="shared" ref="T132" si="639">S132/1000</f>
        <v>-85.800495171354129</v>
      </c>
    </row>
    <row r="133" spans="1:20" x14ac:dyDescent="0.25">
      <c r="A133" s="5">
        <v>44460</v>
      </c>
      <c r="B133">
        <v>3.0550000000000001E-2</v>
      </c>
      <c r="C133">
        <v>3.1809999999999998E-2</v>
      </c>
      <c r="D133">
        <v>2.8170000000000001E-2</v>
      </c>
      <c r="E133">
        <v>2.8459999999999999E-2</v>
      </c>
      <c r="F133">
        <v>134374994</v>
      </c>
      <c r="G133">
        <v>2.8459999999999999E-2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-0.84065934065934134</v>
      </c>
      <c r="Q133">
        <f t="shared" ref="Q133" si="641">F133*P133</f>
        <v>-112963593.85714296</v>
      </c>
      <c r="R133">
        <f t="shared" ref="R133" si="642">R134+Q133</f>
        <v>-8679987424.1855373</v>
      </c>
      <c r="S133">
        <f t="shared" ref="S133" si="643">R133/100000</f>
        <v>-86799.874241855374</v>
      </c>
      <c r="T133">
        <f t="shared" ref="T133" si="644">S133/1000</f>
        <v>-86.799874241855377</v>
      </c>
    </row>
    <row r="134" spans="1:20" x14ac:dyDescent="0.25">
      <c r="A134" s="5">
        <v>44459</v>
      </c>
      <c r="B134">
        <v>3.5319999999999997E-2</v>
      </c>
      <c r="C134">
        <v>3.5389999999999998E-2</v>
      </c>
      <c r="D134">
        <v>3.177E-2</v>
      </c>
      <c r="E134">
        <v>3.2500000000000001E-2</v>
      </c>
      <c r="F134">
        <v>112629340</v>
      </c>
      <c r="G134">
        <v>3.2500000000000001E-2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-0.59668508287292721</v>
      </c>
      <c r="Q134">
        <f t="shared" ref="Q134" si="646">F134*P134</f>
        <v>-67204247.07182309</v>
      </c>
      <c r="R134">
        <f t="shared" ref="R134" si="647">R135+Q134</f>
        <v>-8567023830.3283949</v>
      </c>
      <c r="S134">
        <f t="shared" ref="S134" si="648">R134/100000</f>
        <v>-85670.238303283943</v>
      </c>
      <c r="T134">
        <f t="shared" ref="T134" si="649">S134/1000</f>
        <v>-85.670238303283938</v>
      </c>
    </row>
    <row r="135" spans="1:20" x14ac:dyDescent="0.25">
      <c r="A135" s="5">
        <v>44458</v>
      </c>
      <c r="B135">
        <v>3.7409999999999999E-2</v>
      </c>
      <c r="C135">
        <v>3.7490000000000002E-2</v>
      </c>
      <c r="D135">
        <v>3.517E-2</v>
      </c>
      <c r="E135">
        <v>3.5319999999999997E-2</v>
      </c>
      <c r="F135">
        <v>164471997</v>
      </c>
      <c r="G135">
        <v>3.5319999999999997E-2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-0.87068965517241625</v>
      </c>
      <c r="Q135">
        <f t="shared" ref="Q135" si="651">F135*P135</f>
        <v>-143204066.35344869</v>
      </c>
      <c r="R135">
        <f t="shared" ref="R135" si="652">R136+Q135</f>
        <v>-8499819583.2565718</v>
      </c>
      <c r="S135">
        <f t="shared" ref="S135" si="653">R135/100000</f>
        <v>-84998.195832565718</v>
      </c>
      <c r="T135">
        <f t="shared" ref="T135" si="654">S135/1000</f>
        <v>-84.998195832565713</v>
      </c>
    </row>
    <row r="136" spans="1:20" x14ac:dyDescent="0.25">
      <c r="A136" s="5">
        <v>44457</v>
      </c>
      <c r="B136">
        <v>3.8690000000000002E-2</v>
      </c>
      <c r="C136">
        <v>4.1059999999999999E-2</v>
      </c>
      <c r="D136">
        <v>3.6659999999999998E-2</v>
      </c>
      <c r="E136">
        <v>3.7429999999999998E-2</v>
      </c>
      <c r="F136">
        <v>476618669</v>
      </c>
      <c r="G136">
        <v>3.7429999999999998E-2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-0.65000000000000013</v>
      </c>
      <c r="Q136">
        <f t="shared" ref="Q136" si="656">F136*P136</f>
        <v>-309802134.85000008</v>
      </c>
      <c r="R136">
        <f t="shared" ref="R136" si="657">R137+Q136</f>
        <v>-8356615516.9031229</v>
      </c>
      <c r="S136">
        <f t="shared" ref="S136" si="658">R136/100000</f>
        <v>-83566.155169031234</v>
      </c>
      <c r="T136">
        <f t="shared" ref="T136" si="659">S136/1000</f>
        <v>-83.566155169031234</v>
      </c>
    </row>
    <row r="137" spans="1:20" x14ac:dyDescent="0.25">
      <c r="A137" s="5">
        <v>44456</v>
      </c>
      <c r="B137">
        <v>3.5229999999999997E-2</v>
      </c>
      <c r="C137">
        <v>4.3099999999999999E-2</v>
      </c>
      <c r="D137">
        <v>3.4750000000000003E-2</v>
      </c>
      <c r="E137">
        <v>3.8629999999999998E-2</v>
      </c>
      <c r="F137">
        <v>1480594703</v>
      </c>
      <c r="G137">
        <v>3.8629999999999998E-2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-7.0658682634731435E-2</v>
      </c>
      <c r="Q137">
        <f t="shared" ref="Q137" si="661">F137*P137</f>
        <v>-104616871.22994144</v>
      </c>
      <c r="R137">
        <f t="shared" ref="R137" si="662">R138+Q137</f>
        <v>-8046813382.0531225</v>
      </c>
      <c r="S137">
        <f t="shared" ref="S137" si="663">R137/100000</f>
        <v>-80468.13382053122</v>
      </c>
      <c r="T137">
        <f t="shared" ref="T137" si="664">S137/1000</f>
        <v>-80.468133820531222</v>
      </c>
    </row>
    <row r="138" spans="1:20" x14ac:dyDescent="0.25">
      <c r="A138" s="5">
        <v>44455</v>
      </c>
      <c r="B138">
        <v>3.7310000000000003E-2</v>
      </c>
      <c r="C138">
        <v>3.7749999999999999E-2</v>
      </c>
      <c r="D138">
        <v>3.4909999999999997E-2</v>
      </c>
      <c r="E138">
        <v>3.5229999999999997E-2</v>
      </c>
      <c r="F138">
        <v>152139996</v>
      </c>
      <c r="G138">
        <v>3.5229999999999997E-2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-0.7746478873239433</v>
      </c>
      <c r="Q138">
        <f t="shared" ref="Q138" si="666">F138*P138</f>
        <v>-117854926.47887318</v>
      </c>
      <c r="R138">
        <f t="shared" ref="R138" si="667">R139+Q138</f>
        <v>-7942196510.8231812</v>
      </c>
      <c r="S138">
        <f t="shared" ref="S138" si="668">R138/100000</f>
        <v>-79421.965108231816</v>
      </c>
      <c r="T138">
        <f t="shared" ref="T138" si="669">S138/1000</f>
        <v>-79.421965108231817</v>
      </c>
    </row>
    <row r="139" spans="1:20" x14ac:dyDescent="0.25">
      <c r="A139" s="5">
        <v>44454</v>
      </c>
      <c r="B139">
        <v>3.6670000000000001E-2</v>
      </c>
      <c r="C139">
        <v>3.7749999999999999E-2</v>
      </c>
      <c r="D139">
        <v>3.5090000000000003E-2</v>
      </c>
      <c r="E139">
        <v>3.7310000000000003E-2</v>
      </c>
      <c r="F139">
        <v>179283875</v>
      </c>
      <c r="G139">
        <v>3.7310000000000003E-2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0.66917293233082953</v>
      </c>
      <c r="Q139">
        <f t="shared" ref="Q139" si="671">F139*P139</f>
        <v>119971916.3533839</v>
      </c>
      <c r="R139">
        <f t="shared" ref="R139" si="672">R140+Q139</f>
        <v>-7824341584.3443079</v>
      </c>
      <c r="S139">
        <f t="shared" ref="S139" si="673">R139/100000</f>
        <v>-78243.415843443072</v>
      </c>
      <c r="T139">
        <f t="shared" ref="T139" si="674">S139/1000</f>
        <v>-78.243415843443074</v>
      </c>
    </row>
    <row r="140" spans="1:20" x14ac:dyDescent="0.25">
      <c r="A140" s="5">
        <v>44453</v>
      </c>
      <c r="B140">
        <v>3.3090000000000001E-2</v>
      </c>
      <c r="C140">
        <v>3.7319999999999999E-2</v>
      </c>
      <c r="D140">
        <v>3.3009999999999998E-2</v>
      </c>
      <c r="E140">
        <v>3.6659999999999998E-2</v>
      </c>
      <c r="F140">
        <v>331746050</v>
      </c>
      <c r="G140">
        <v>3.6659999999999998E-2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0.69373549883990693</v>
      </c>
      <c r="Q140">
        <f t="shared" ref="Q140" si="676">F140*P140</f>
        <v>230144011.48491871</v>
      </c>
      <c r="R140">
        <f t="shared" ref="R140" si="677">R141+Q140</f>
        <v>-7944313500.6976919</v>
      </c>
      <c r="S140">
        <f t="shared" ref="S140" si="678">R140/100000</f>
        <v>-79443.135006976925</v>
      </c>
      <c r="T140">
        <f t="shared" ref="T140" si="679">S140/1000</f>
        <v>-79.443135006976931</v>
      </c>
    </row>
    <row r="141" spans="1:20" x14ac:dyDescent="0.25">
      <c r="A141" s="5">
        <v>44452</v>
      </c>
      <c r="B141">
        <v>3.569E-2</v>
      </c>
      <c r="C141">
        <v>3.6999999999999998E-2</v>
      </c>
      <c r="D141">
        <v>3.1390000000000001E-2</v>
      </c>
      <c r="E141">
        <v>3.313E-2</v>
      </c>
      <c r="F141">
        <v>199224876</v>
      </c>
      <c r="G141">
        <v>3.313E-2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-0.37967914438502692</v>
      </c>
      <c r="Q141">
        <f t="shared" ref="Q141" si="681">F141*P141</f>
        <v>-75641530.459893078</v>
      </c>
      <c r="R141">
        <f t="shared" ref="R141" si="682">R142+Q141</f>
        <v>-8174457512.1826105</v>
      </c>
      <c r="S141">
        <f t="shared" ref="S141" si="683">R141/100000</f>
        <v>-81744.575121826099</v>
      </c>
      <c r="T141">
        <f t="shared" ref="T141" si="684">S141/1000</f>
        <v>-81.744575121826102</v>
      </c>
    </row>
    <row r="142" spans="1:20" x14ac:dyDescent="0.25">
      <c r="A142" s="5">
        <v>44451</v>
      </c>
      <c r="B142">
        <v>3.2190000000000003E-2</v>
      </c>
      <c r="C142">
        <v>3.8269999999999998E-2</v>
      </c>
      <c r="D142">
        <v>3.1820000000000001E-2</v>
      </c>
      <c r="E142">
        <v>3.576E-2</v>
      </c>
      <c r="F142">
        <v>447548179</v>
      </c>
      <c r="G142">
        <v>3.576E-2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0.22170542635658935</v>
      </c>
      <c r="Q142">
        <f t="shared" ref="Q142" si="686">F142*P142</f>
        <v>99223859.840310171</v>
      </c>
      <c r="R142">
        <f t="shared" ref="R142" si="687">R143+Q142</f>
        <v>-8098815981.7227173</v>
      </c>
      <c r="S142">
        <f t="shared" ref="S142" si="688">R142/100000</f>
        <v>-80988.159817227177</v>
      </c>
      <c r="T142">
        <f t="shared" ref="T142" si="689">S142/1000</f>
        <v>-80.988159817227171</v>
      </c>
    </row>
    <row r="143" spans="1:20" x14ac:dyDescent="0.25">
      <c r="A143" s="5">
        <v>44450</v>
      </c>
      <c r="B143">
        <v>3.2120000000000003E-2</v>
      </c>
      <c r="C143">
        <v>3.3140000000000003E-2</v>
      </c>
      <c r="D143">
        <v>3.1550000000000002E-2</v>
      </c>
      <c r="E143">
        <v>3.2190000000000003E-2</v>
      </c>
      <c r="F143">
        <v>110873017</v>
      </c>
      <c r="G143">
        <v>3.2190000000000003E-2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-0.19496855345911795</v>
      </c>
      <c r="Q143">
        <f t="shared" ref="Q143" si="691">F143*P143</f>
        <v>-21616751.742138192</v>
      </c>
      <c r="R143">
        <f t="shared" ref="R143" si="692">R144+Q143</f>
        <v>-8198039841.5630274</v>
      </c>
      <c r="S143">
        <f t="shared" ref="S143" si="693">R143/100000</f>
        <v>-81980.398415630276</v>
      </c>
      <c r="T143">
        <f t="shared" ref="T143" si="694">S143/1000</f>
        <v>-81.980398415630276</v>
      </c>
    </row>
    <row r="144" spans="1:20" x14ac:dyDescent="0.25">
      <c r="A144" s="5">
        <v>44449</v>
      </c>
      <c r="B144">
        <v>3.5650000000000001E-2</v>
      </c>
      <c r="C144">
        <v>3.637E-2</v>
      </c>
      <c r="D144">
        <v>3.141E-2</v>
      </c>
      <c r="E144">
        <v>3.2120000000000003E-2</v>
      </c>
      <c r="F144">
        <v>294535323</v>
      </c>
      <c r="G144">
        <v>3.2120000000000003E-2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-0.71370967741935387</v>
      </c>
      <c r="Q144">
        <f t="shared" ref="Q144" si="696">F144*P144</f>
        <v>-210212710.36693519</v>
      </c>
      <c r="R144">
        <f t="shared" ref="R144" si="697">R145+Q144</f>
        <v>-8176423089.8208895</v>
      </c>
      <c r="S144">
        <f t="shared" ref="S144" si="698">R144/100000</f>
        <v>-81764.230898208902</v>
      </c>
      <c r="T144">
        <f t="shared" ref="T144" si="699">S144/1000</f>
        <v>-81.764230898208908</v>
      </c>
    </row>
    <row r="145" spans="1:20" x14ac:dyDescent="0.25">
      <c r="A145" s="5">
        <v>44448</v>
      </c>
      <c r="B145">
        <v>3.2009999999999997E-2</v>
      </c>
      <c r="C145">
        <v>3.5749999999999997E-2</v>
      </c>
      <c r="D145">
        <v>3.0599999999999999E-2</v>
      </c>
      <c r="E145">
        <v>3.5650000000000001E-2</v>
      </c>
      <c r="F145">
        <v>253738959</v>
      </c>
      <c r="G145">
        <v>3.5650000000000001E-2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0.96116504854369089</v>
      </c>
      <c r="Q145">
        <f t="shared" ref="Q145" si="701">F145*P145</f>
        <v>243885018.84466058</v>
      </c>
      <c r="R145">
        <f t="shared" ref="R145" si="702">R146+Q145</f>
        <v>-7966210379.4539547</v>
      </c>
      <c r="S145">
        <f t="shared" ref="S145" si="703">R145/100000</f>
        <v>-79662.103794539551</v>
      </c>
      <c r="T145">
        <f t="shared" ref="T145" si="704">S145/1000</f>
        <v>-79.662103794539547</v>
      </c>
    </row>
    <row r="146" spans="1:20" x14ac:dyDescent="0.25">
      <c r="A146" s="5">
        <v>44447</v>
      </c>
      <c r="B146">
        <v>3.143E-2</v>
      </c>
      <c r="C146">
        <v>3.2829999999999998E-2</v>
      </c>
      <c r="D146">
        <v>2.8639999999999999E-2</v>
      </c>
      <c r="E146">
        <v>3.2030000000000003E-2</v>
      </c>
      <c r="F146">
        <v>213615759</v>
      </c>
      <c r="G146">
        <v>3.2030000000000003E-2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0.61813842482100467</v>
      </c>
      <c r="Q146">
        <f t="shared" ref="Q146" si="706">F146*P146</f>
        <v>132044108.78520335</v>
      </c>
      <c r="R146">
        <f t="shared" ref="R146" si="707">R147+Q146</f>
        <v>-8210095398.2986155</v>
      </c>
      <c r="S146">
        <f t="shared" ref="S146" si="708">R146/100000</f>
        <v>-82100.953982986161</v>
      </c>
      <c r="T146">
        <f t="shared" ref="T146" si="709">S146/1000</f>
        <v>-82.100953982986155</v>
      </c>
    </row>
    <row r="147" spans="1:20" x14ac:dyDescent="0.25">
      <c r="A147" s="5">
        <v>44446</v>
      </c>
      <c r="B147">
        <v>3.891E-2</v>
      </c>
      <c r="C147">
        <v>3.9359999999999999E-2</v>
      </c>
      <c r="D147">
        <v>2.7689999999999999E-2</v>
      </c>
      <c r="E147">
        <v>3.1399999999999997E-2</v>
      </c>
      <c r="F147">
        <v>357331048</v>
      </c>
      <c r="G147">
        <v>3.1399999999999997E-2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-0.36418166238217686</v>
      </c>
      <c r="Q147">
        <f t="shared" ref="Q147" si="711">F147*P147</f>
        <v>-130133415.08140543</v>
      </c>
      <c r="R147">
        <f t="shared" ref="R147" si="712">R148+Q147</f>
        <v>-8342139507.0838184</v>
      </c>
      <c r="S147">
        <f t="shared" ref="S147" si="713">R147/100000</f>
        <v>-83421.395070838189</v>
      </c>
      <c r="T147">
        <f t="shared" ref="T147" si="714">S147/1000</f>
        <v>-83.421395070838187</v>
      </c>
    </row>
    <row r="148" spans="1:20" x14ac:dyDescent="0.25">
      <c r="A148" s="5">
        <v>44445</v>
      </c>
      <c r="B148">
        <v>4.0300000000000002E-2</v>
      </c>
      <c r="C148">
        <v>4.1320000000000003E-2</v>
      </c>
      <c r="D148">
        <v>3.7060000000000003E-2</v>
      </c>
      <c r="E148">
        <v>3.8929999999999999E-2</v>
      </c>
      <c r="F148">
        <v>310712680</v>
      </c>
      <c r="G148">
        <v>3.8929999999999999E-2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-0.12206572769953206</v>
      </c>
      <c r="Q148">
        <f t="shared" ref="Q148" si="716">F148*P148</f>
        <v>-37927369.38967184</v>
      </c>
      <c r="R148">
        <f t="shared" ref="R148" si="717">R149+Q148</f>
        <v>-8212006092.0024128</v>
      </c>
      <c r="S148">
        <f t="shared" ref="S148" si="718">R148/100000</f>
        <v>-82120.060920024131</v>
      </c>
      <c r="T148">
        <f t="shared" ref="T148" si="719">S148/1000</f>
        <v>-82.12006092002413</v>
      </c>
    </row>
    <row r="149" spans="1:20" x14ac:dyDescent="0.25">
      <c r="A149" s="5">
        <v>44444</v>
      </c>
      <c r="B149">
        <v>3.4700000000000002E-2</v>
      </c>
      <c r="C149">
        <v>4.41E-2</v>
      </c>
      <c r="D149">
        <v>3.4599999999999999E-2</v>
      </c>
      <c r="E149">
        <v>4.0309999999999999E-2</v>
      </c>
      <c r="F149">
        <v>1120587778</v>
      </c>
      <c r="G149">
        <v>4.0309999999999999E-2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0.20210526315789451</v>
      </c>
      <c r="Q149">
        <f t="shared" ref="Q149" si="721">F149*P149</f>
        <v>226476687.76421028</v>
      </c>
      <c r="R149">
        <f t="shared" ref="R149" si="722">R150+Q149</f>
        <v>-8174078722.6127405</v>
      </c>
      <c r="S149">
        <f t="shared" ref="S149" si="723">R149/100000</f>
        <v>-81740.787226127402</v>
      </c>
      <c r="T149">
        <f t="shared" ref="T149" si="724">S149/1000</f>
        <v>-81.740787226127409</v>
      </c>
    </row>
    <row r="150" spans="1:20" x14ac:dyDescent="0.25">
      <c r="A150" s="5">
        <v>44443</v>
      </c>
      <c r="B150">
        <v>3.4000000000000002E-2</v>
      </c>
      <c r="C150">
        <v>3.6069999999999998E-2</v>
      </c>
      <c r="D150">
        <v>3.322E-2</v>
      </c>
      <c r="E150">
        <v>3.4669999999999999E-2</v>
      </c>
      <c r="F150">
        <v>191304338</v>
      </c>
      <c r="G150">
        <v>3.4669999999999999E-2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1.754385964912332E-2</v>
      </c>
      <c r="Q150">
        <f t="shared" ref="Q150" si="726">F150*P150</f>
        <v>3356216.4561404488</v>
      </c>
      <c r="R150">
        <f t="shared" ref="R150" si="727">R151+Q150</f>
        <v>-8400555410.3769512</v>
      </c>
      <c r="S150">
        <f t="shared" ref="S150" si="728">R150/100000</f>
        <v>-84005.554103769507</v>
      </c>
      <c r="T150">
        <f t="shared" ref="T150" si="729">S150/1000</f>
        <v>-84.005554103769512</v>
      </c>
    </row>
    <row r="151" spans="1:20" x14ac:dyDescent="0.25">
      <c r="A151" s="5">
        <v>44442</v>
      </c>
      <c r="B151">
        <v>3.3550000000000003E-2</v>
      </c>
      <c r="C151">
        <v>3.7510000000000002E-2</v>
      </c>
      <c r="D151">
        <v>3.2500000000000001E-2</v>
      </c>
      <c r="E151">
        <v>3.4000000000000002E-2</v>
      </c>
      <c r="F151">
        <v>469941315</v>
      </c>
      <c r="G151">
        <v>3.4000000000000002E-2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-0.40119760479041872</v>
      </c>
      <c r="Q151">
        <f t="shared" ref="Q151" si="731">F151*P151</f>
        <v>-188539329.97005966</v>
      </c>
      <c r="R151">
        <f t="shared" ref="R151" si="732">R152+Q151</f>
        <v>-8403911626.8330917</v>
      </c>
      <c r="S151">
        <f t="shared" ref="S151" si="733">R151/100000</f>
        <v>-84039.116268330923</v>
      </c>
      <c r="T151">
        <f t="shared" ref="T151" si="734">S151/1000</f>
        <v>-84.039116268330929</v>
      </c>
    </row>
    <row r="152" spans="1:20" x14ac:dyDescent="0.25">
      <c r="A152" s="5">
        <v>44441</v>
      </c>
      <c r="B152">
        <v>3.2489999999999998E-2</v>
      </c>
      <c r="C152">
        <v>3.4709999999999998E-2</v>
      </c>
      <c r="D152">
        <v>3.2050000000000002E-2</v>
      </c>
      <c r="E152">
        <v>3.3529999999999997E-2</v>
      </c>
      <c r="F152">
        <v>249702335</v>
      </c>
      <c r="G152">
        <v>3.3529999999999997E-2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0.11278195488721623</v>
      </c>
      <c r="Q152">
        <f t="shared" ref="Q152" si="736">F152*P152</f>
        <v>28161917.481202554</v>
      </c>
      <c r="R152">
        <f t="shared" ref="R152" si="737">R153+Q152</f>
        <v>-8215372296.8630323</v>
      </c>
      <c r="S152">
        <f t="shared" ref="S152" si="738">R152/100000</f>
        <v>-82153.722968630318</v>
      </c>
      <c r="T152">
        <f t="shared" ref="T152" si="739">S152/1000</f>
        <v>-82.153722968630319</v>
      </c>
    </row>
    <row r="153" spans="1:20" x14ac:dyDescent="0.25">
      <c r="A153" s="5">
        <v>44440</v>
      </c>
      <c r="B153">
        <v>3.124E-2</v>
      </c>
      <c r="C153">
        <v>3.2599999999999997E-2</v>
      </c>
      <c r="D153">
        <v>3.0700000000000002E-2</v>
      </c>
      <c r="E153">
        <v>3.2489999999999998E-2</v>
      </c>
      <c r="F153">
        <v>137874577</v>
      </c>
      <c r="G153">
        <v>3.2489999999999998E-2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0.88421052631579022</v>
      </c>
      <c r="Q153">
        <f t="shared" ref="Q153" si="741">F153*P153</f>
        <v>121910152.29473695</v>
      </c>
      <c r="R153">
        <f t="shared" ref="R153" si="742">R154+Q153</f>
        <v>-8243534214.3442345</v>
      </c>
      <c r="S153">
        <f t="shared" ref="S153" si="743">R153/100000</f>
        <v>-82435.342143442351</v>
      </c>
      <c r="T153">
        <f t="shared" ref="T153" si="744">S153/1000</f>
        <v>-82.435342143442355</v>
      </c>
    </row>
    <row r="154" spans="1:20" x14ac:dyDescent="0.25">
      <c r="A154" s="5">
        <v>44439</v>
      </c>
      <c r="B154">
        <v>3.1660000000000001E-2</v>
      </c>
      <c r="C154">
        <v>3.2680000000000001E-2</v>
      </c>
      <c r="D154">
        <v>3.0679999999999999E-2</v>
      </c>
      <c r="E154">
        <v>3.124E-2</v>
      </c>
      <c r="F154">
        <v>140128288</v>
      </c>
      <c r="G154">
        <v>3.124E-2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-0.439999999999999</v>
      </c>
      <c r="Q154">
        <f t="shared" ref="Q154" si="746">F154*P154</f>
        <v>-61656446.719999857</v>
      </c>
      <c r="R154">
        <f t="shared" ref="R154" si="747">R155+Q154</f>
        <v>-8365444366.6389713</v>
      </c>
      <c r="S154">
        <f t="shared" ref="S154" si="748">R154/100000</f>
        <v>-83654.443666389707</v>
      </c>
      <c r="T154">
        <f t="shared" ref="T154" si="749">S154/1000</f>
        <v>-83.65444366638971</v>
      </c>
    </row>
    <row r="155" spans="1:20" x14ac:dyDescent="0.25">
      <c r="A155" s="5">
        <v>44438</v>
      </c>
      <c r="B155">
        <v>3.1640000000000001E-2</v>
      </c>
      <c r="C155">
        <v>3.3430000000000001E-2</v>
      </c>
      <c r="D155">
        <v>3.065E-2</v>
      </c>
      <c r="E155">
        <v>3.1649999999999998E-2</v>
      </c>
      <c r="F155">
        <v>187371117</v>
      </c>
      <c r="G155">
        <v>3.1649999999999998E-2</v>
      </c>
      <c r="L155" t="s">
        <v>8</v>
      </c>
      <c r="M155" t="s">
        <v>7</v>
      </c>
      <c r="N155" t="s">
        <v>7</v>
      </c>
      <c r="P155">
        <f t="shared" ref="P155" si="750">IF(C155=D155,0,((E155-D155)-(C155-E155))/(C155-D155))</f>
        <v>-0.28057553956834752</v>
      </c>
      <c r="Q155">
        <f t="shared" ref="Q155" si="751">F155*P155</f>
        <v>-52571752.251798972</v>
      </c>
      <c r="R155">
        <f t="shared" ref="R155" si="752">R156+Q155</f>
        <v>-8303787919.9189711</v>
      </c>
      <c r="S155">
        <f t="shared" ref="S155" si="753">R155/100000</f>
        <v>-83037.879199189716</v>
      </c>
      <c r="T155">
        <f t="shared" ref="T155" si="754">S155/1000</f>
        <v>-83.037879199189717</v>
      </c>
    </row>
    <row r="156" spans="1:20" x14ac:dyDescent="0.25">
      <c r="A156" s="5">
        <v>44437</v>
      </c>
      <c r="B156">
        <v>3.2059999999999998E-2</v>
      </c>
      <c r="C156">
        <v>3.3090000000000001E-2</v>
      </c>
      <c r="D156">
        <v>3.0970000000000001E-2</v>
      </c>
      <c r="E156">
        <v>3.1640000000000001E-2</v>
      </c>
      <c r="F156">
        <v>134125417</v>
      </c>
      <c r="G156">
        <v>3.1640000000000001E-2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-0.36792452830188649</v>
      </c>
      <c r="Q156">
        <f t="shared" ref="Q156" si="756">F156*P156</f>
        <v>-49348030.783018827</v>
      </c>
      <c r="R156">
        <f t="shared" ref="R156" si="757">R157+Q156</f>
        <v>-8251216167.6671724</v>
      </c>
      <c r="S156">
        <f t="shared" ref="S156" si="758">R156/100000</f>
        <v>-82512.16167667172</v>
      </c>
      <c r="T156">
        <f t="shared" ref="T156" si="759">S156/1000</f>
        <v>-82.512161676671724</v>
      </c>
    </row>
    <row r="157" spans="1:20" x14ac:dyDescent="0.25">
      <c r="A157" s="5">
        <v>44436</v>
      </c>
      <c r="B157">
        <v>3.2660000000000002E-2</v>
      </c>
      <c r="C157">
        <v>3.286E-2</v>
      </c>
      <c r="D157">
        <v>3.1350000000000003E-2</v>
      </c>
      <c r="E157">
        <v>3.202E-2</v>
      </c>
      <c r="F157">
        <v>145911743</v>
      </c>
      <c r="G157">
        <v>3.202E-2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-0.11258278145695613</v>
      </c>
      <c r="Q157">
        <f t="shared" ref="Q157" si="761">F157*P157</f>
        <v>-16427149.87417255</v>
      </c>
      <c r="R157">
        <f t="shared" ref="R157" si="762">R158+Q157</f>
        <v>-8201868136.8841534</v>
      </c>
      <c r="S157">
        <f t="shared" ref="S157" si="763">R157/100000</f>
        <v>-82018.681368841528</v>
      </c>
      <c r="T157">
        <f t="shared" ref="T157" si="764">S157/1000</f>
        <v>-82.018681368841527</v>
      </c>
    </row>
    <row r="158" spans="1:20" x14ac:dyDescent="0.25">
      <c r="A158" s="5">
        <v>44435</v>
      </c>
      <c r="B158">
        <v>0.03</v>
      </c>
      <c r="C158">
        <v>3.3029999999999997E-2</v>
      </c>
      <c r="D158">
        <v>2.93E-2</v>
      </c>
      <c r="E158">
        <v>3.2660000000000002E-2</v>
      </c>
      <c r="F158">
        <v>277033829</v>
      </c>
      <c r="G158">
        <v>3.2660000000000002E-2</v>
      </c>
      <c r="L158" t="s">
        <v>8</v>
      </c>
      <c r="M158" t="s">
        <v>7</v>
      </c>
      <c r="N158" t="s">
        <v>7</v>
      </c>
      <c r="P158">
        <f t="shared" ref="P158" si="765">IF(C158=D158,0,((E158-D158)-(C158-E158))/(C158-D158))</f>
        <v>0.80160857908847416</v>
      </c>
      <c r="Q158">
        <f t="shared" ref="Q158" si="766">F158*P158</f>
        <v>222072694.02412933</v>
      </c>
      <c r="R158">
        <f t="shared" ref="R158" si="767">R159+Q158</f>
        <v>-8185440987.0099812</v>
      </c>
      <c r="S158">
        <f t="shared" ref="S158" si="768">R158/100000</f>
        <v>-81854.409870099815</v>
      </c>
      <c r="T158">
        <f t="shared" ref="T158" si="769">S158/1000</f>
        <v>-81.854409870099815</v>
      </c>
    </row>
    <row r="159" spans="1:20" x14ac:dyDescent="0.25">
      <c r="A159" s="5">
        <v>44434</v>
      </c>
      <c r="B159">
        <v>3.1820000000000001E-2</v>
      </c>
      <c r="C159">
        <v>3.1899999999999998E-2</v>
      </c>
      <c r="D159">
        <v>2.903E-2</v>
      </c>
      <c r="E159">
        <v>3.0040000000000001E-2</v>
      </c>
      <c r="F159">
        <v>149558707</v>
      </c>
      <c r="G159">
        <v>3.0040000000000001E-2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-0.29616724738675865</v>
      </c>
      <c r="Q159">
        <f t="shared" ref="Q159" si="771">F159*P159</f>
        <v>-44294390.574912749</v>
      </c>
      <c r="R159">
        <f t="shared" ref="R159" si="772">R160+Q159</f>
        <v>-8407513681.0341101</v>
      </c>
      <c r="S159">
        <f t="shared" ref="S159" si="773">R159/100000</f>
        <v>-84075.136810341108</v>
      </c>
      <c r="T159">
        <f t="shared" ref="T159" si="774">S159/1000</f>
        <v>-84.075136810341107</v>
      </c>
    </row>
    <row r="160" spans="1:20" x14ac:dyDescent="0.25">
      <c r="A160" s="5">
        <v>44433</v>
      </c>
      <c r="B160">
        <v>3.0669999999999999E-2</v>
      </c>
      <c r="C160">
        <v>3.2140000000000002E-2</v>
      </c>
      <c r="D160">
        <v>2.9610000000000001E-2</v>
      </c>
      <c r="E160">
        <v>3.1820000000000001E-2</v>
      </c>
      <c r="F160">
        <v>182395814</v>
      </c>
      <c r="G160">
        <v>3.1820000000000001E-2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0.74703557312252911</v>
      </c>
      <c r="Q160">
        <f t="shared" ref="Q160" si="776">F160*P160</f>
        <v>136256161.44664022</v>
      </c>
      <c r="R160">
        <f t="shared" ref="R160" si="777">R161+Q160</f>
        <v>-8363219290.459197</v>
      </c>
      <c r="S160">
        <f t="shared" ref="S160" si="778">R160/100000</f>
        <v>-83632.192904591968</v>
      </c>
      <c r="T160">
        <f t="shared" ref="T160" si="779">S160/1000</f>
        <v>-83.632192904591975</v>
      </c>
    </row>
    <row r="161" spans="1:20" x14ac:dyDescent="0.25">
      <c r="A161" s="5">
        <v>44432</v>
      </c>
      <c r="B161">
        <v>3.3770000000000001E-2</v>
      </c>
      <c r="C161">
        <v>3.3890000000000003E-2</v>
      </c>
      <c r="D161">
        <v>3.0460000000000001E-2</v>
      </c>
      <c r="E161">
        <v>3.0669999999999999E-2</v>
      </c>
      <c r="F161">
        <v>214157863</v>
      </c>
      <c r="G161">
        <v>3.0669999999999999E-2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-0.87755102040816435</v>
      </c>
      <c r="Q161">
        <f t="shared" ref="Q161" si="781">F161*P161</f>
        <v>-187934451.20408186</v>
      </c>
      <c r="R161">
        <f t="shared" ref="R161" si="782">R162+Q161</f>
        <v>-8499475451.9058371</v>
      </c>
      <c r="S161">
        <f t="shared" ref="S161" si="783">R161/100000</f>
        <v>-84994.754519058377</v>
      </c>
      <c r="T161">
        <f t="shared" ref="T161" si="784">S161/1000</f>
        <v>-84.994754519058375</v>
      </c>
    </row>
    <row r="162" spans="1:20" x14ac:dyDescent="0.25">
      <c r="A162" s="5">
        <v>44431</v>
      </c>
      <c r="B162">
        <v>3.4279999999999998E-2</v>
      </c>
      <c r="C162">
        <v>3.4750000000000003E-2</v>
      </c>
      <c r="D162">
        <v>3.3340000000000002E-2</v>
      </c>
      <c r="E162">
        <v>3.372E-2</v>
      </c>
      <c r="F162">
        <v>218844998</v>
      </c>
      <c r="G162">
        <v>3.372E-2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-0.46099290780142133</v>
      </c>
      <c r="Q162">
        <f t="shared" ref="Q162" si="786">F162*P162</f>
        <v>-100885991.98581624</v>
      </c>
      <c r="R162">
        <f t="shared" ref="R162" si="787">R163+Q162</f>
        <v>-8311541000.7017555</v>
      </c>
      <c r="S162">
        <f t="shared" ref="S162" si="788">R162/100000</f>
        <v>-83115.410007017548</v>
      </c>
      <c r="T162">
        <f t="shared" ref="T162" si="789">S162/1000</f>
        <v>-83.115410007017545</v>
      </c>
    </row>
    <row r="163" spans="1:20" x14ac:dyDescent="0.25">
      <c r="A163" s="5">
        <v>44430</v>
      </c>
      <c r="B163">
        <v>3.415E-2</v>
      </c>
      <c r="C163">
        <v>3.5249999999999997E-2</v>
      </c>
      <c r="D163">
        <v>3.3759999999999998E-2</v>
      </c>
      <c r="E163">
        <v>3.5139999999999998E-2</v>
      </c>
      <c r="F163">
        <v>59835627</v>
      </c>
      <c r="G163">
        <v>3.5139999999999998E-2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0.85234899328859182</v>
      </c>
      <c r="Q163">
        <f t="shared" ref="Q163" si="791">F163*P163</f>
        <v>51000836.436241686</v>
      </c>
      <c r="R163">
        <f t="shared" ref="R163" si="792">R164+Q163</f>
        <v>-8210655008.7159395</v>
      </c>
      <c r="S163">
        <f t="shared" ref="S163" si="793">R163/100000</f>
        <v>-82106.550087159398</v>
      </c>
      <c r="T163">
        <f t="shared" ref="T163" si="794">S163/1000</f>
        <v>-82.106550087159391</v>
      </c>
    </row>
    <row r="164" spans="1:20" x14ac:dyDescent="0.25">
      <c r="A164" s="5">
        <v>44429</v>
      </c>
      <c r="B164">
        <v>3.5450000000000002E-2</v>
      </c>
      <c r="C164">
        <v>3.5529999999999999E-2</v>
      </c>
      <c r="D164">
        <v>3.3820000000000003E-2</v>
      </c>
      <c r="E164">
        <v>3.415E-2</v>
      </c>
      <c r="F164">
        <v>225801099</v>
      </c>
      <c r="G164">
        <v>3.415E-2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-0.61403508771930093</v>
      </c>
      <c r="Q164">
        <f t="shared" ref="Q164" si="796">F164*P164</f>
        <v>-138649797.63157955</v>
      </c>
      <c r="R164">
        <f t="shared" ref="R164" si="797">R165+Q164</f>
        <v>-8261655845.1521816</v>
      </c>
      <c r="S164">
        <f t="shared" ref="S164" si="798">R164/100000</f>
        <v>-82616.558451521822</v>
      </c>
      <c r="T164">
        <f t="shared" ref="T164" si="799">S164/1000</f>
        <v>-82.616558451521826</v>
      </c>
    </row>
    <row r="165" spans="1:20" x14ac:dyDescent="0.25">
      <c r="A165" s="5">
        <v>44428</v>
      </c>
      <c r="B165">
        <v>3.56E-2</v>
      </c>
      <c r="C165">
        <v>3.644E-2</v>
      </c>
      <c r="D165">
        <v>3.4500000000000003E-2</v>
      </c>
      <c r="E165">
        <v>3.5479999999999998E-2</v>
      </c>
      <c r="F165">
        <v>342361473</v>
      </c>
      <c r="G165">
        <v>3.5479999999999998E-2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1.0309278350511481E-2</v>
      </c>
      <c r="Q165">
        <f t="shared" ref="Q165" si="801">F165*P165</f>
        <v>3529499.7216481208</v>
      </c>
      <c r="R165">
        <f t="shared" ref="R165" si="802">R166+Q165</f>
        <v>-8123006047.5206022</v>
      </c>
      <c r="S165">
        <f t="shared" ref="S165" si="803">R165/100000</f>
        <v>-81230.060475206017</v>
      </c>
      <c r="T165">
        <f t="shared" ref="T165" si="804">S165/1000</f>
        <v>-81.230060475206017</v>
      </c>
    </row>
    <row r="166" spans="1:20" x14ac:dyDescent="0.25">
      <c r="A166" s="5">
        <v>44427</v>
      </c>
      <c r="B166">
        <v>3.4909999999999997E-2</v>
      </c>
      <c r="C166">
        <v>3.5929999999999997E-2</v>
      </c>
      <c r="D166">
        <v>3.1829999999999997E-2</v>
      </c>
      <c r="E166">
        <v>3.56E-2</v>
      </c>
      <c r="F166">
        <v>385195667</v>
      </c>
      <c r="G166">
        <v>3.56E-2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0.83902439024390385</v>
      </c>
      <c r="Q166">
        <f t="shared" ref="Q166" si="806">F166*P166</f>
        <v>323188559.62926883</v>
      </c>
      <c r="R166">
        <f t="shared" ref="R166" si="807">R167+Q166</f>
        <v>-8126535547.2422504</v>
      </c>
      <c r="S166">
        <f t="shared" ref="S166" si="808">R166/100000</f>
        <v>-81265.355472422511</v>
      </c>
      <c r="T166">
        <f t="shared" ref="T166" si="809">S166/1000</f>
        <v>-81.265355472422513</v>
      </c>
    </row>
    <row r="167" spans="1:20" x14ac:dyDescent="0.25">
      <c r="A167" s="5">
        <v>44426</v>
      </c>
      <c r="B167">
        <v>3.6650000000000002E-2</v>
      </c>
      <c r="C167">
        <v>3.9440000000000003E-2</v>
      </c>
      <c r="D167">
        <v>3.2989999999999998E-2</v>
      </c>
      <c r="E167">
        <v>3.492E-2</v>
      </c>
      <c r="F167">
        <v>881115195</v>
      </c>
      <c r="G167">
        <v>3.492E-2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-0.40155038759689926</v>
      </c>
      <c r="Q167">
        <f t="shared" ref="Q167" si="811">F167*P167</f>
        <v>-353812148.06976748</v>
      </c>
      <c r="R167">
        <f t="shared" ref="R167" si="812">R168+Q167</f>
        <v>-8449724106.8715191</v>
      </c>
      <c r="S167">
        <f t="shared" ref="S167" si="813">R167/100000</f>
        <v>-84497.241068715186</v>
      </c>
      <c r="T167">
        <f t="shared" ref="T167" si="814">S167/1000</f>
        <v>-84.497241068715184</v>
      </c>
    </row>
    <row r="168" spans="1:20" x14ac:dyDescent="0.25">
      <c r="A168" s="5">
        <v>44425</v>
      </c>
      <c r="B168">
        <v>3.5200000000000002E-2</v>
      </c>
      <c r="C168">
        <v>3.7949999999999998E-2</v>
      </c>
      <c r="D168">
        <v>3.397E-2</v>
      </c>
      <c r="E168">
        <v>3.6650000000000002E-2</v>
      </c>
      <c r="F168">
        <v>642161160</v>
      </c>
      <c r="G168">
        <v>3.6650000000000002E-2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0.34673366834171032</v>
      </c>
      <c r="Q168">
        <f t="shared" ref="Q168" si="816">F168*P168</f>
        <v>222658894.67336798</v>
      </c>
      <c r="R168">
        <f t="shared" ref="R168" si="817">R169+Q168</f>
        <v>-8095911958.8017521</v>
      </c>
      <c r="S168">
        <f t="shared" ref="S168" si="818">R168/100000</f>
        <v>-80959.119588017522</v>
      </c>
      <c r="T168">
        <f t="shared" ref="T168" si="819">S168/1000</f>
        <v>-80.959119588017515</v>
      </c>
    </row>
    <row r="169" spans="1:20" x14ac:dyDescent="0.25">
      <c r="A169" s="5">
        <v>44424</v>
      </c>
      <c r="B169">
        <v>3.8390000000000001E-2</v>
      </c>
      <c r="C169">
        <v>0.04</v>
      </c>
      <c r="D169">
        <v>3.5090000000000003E-2</v>
      </c>
      <c r="E169">
        <v>3.5200000000000002E-2</v>
      </c>
      <c r="F169">
        <v>972617369</v>
      </c>
      <c r="G169">
        <v>3.5200000000000002E-2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-0.95519348268839144</v>
      </c>
      <c r="Q169">
        <f t="shared" ref="Q169" si="821">F169*P169</f>
        <v>-929037772.01833034</v>
      </c>
      <c r="R169">
        <f t="shared" ref="R169" si="822">R170+Q169</f>
        <v>-8318570853.4751205</v>
      </c>
      <c r="S169">
        <f t="shared" ref="S169" si="823">R169/100000</f>
        <v>-83185.708534751204</v>
      </c>
      <c r="T169">
        <f t="shared" ref="T169" si="824">S169/1000</f>
        <v>-83.1857085347512</v>
      </c>
    </row>
    <row r="170" spans="1:20" x14ac:dyDescent="0.25">
      <c r="A170" s="5">
        <v>44423</v>
      </c>
      <c r="B170">
        <v>2.9600000000000001E-2</v>
      </c>
      <c r="C170">
        <v>5.3429999999999998E-2</v>
      </c>
      <c r="D170">
        <v>2.9569999999999999E-2</v>
      </c>
      <c r="E170">
        <v>3.8390000000000001E-2</v>
      </c>
      <c r="F170">
        <v>5375720161</v>
      </c>
      <c r="G170">
        <v>3.8390000000000001E-2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-0.2606873428331935</v>
      </c>
      <c r="Q170">
        <f t="shared" ref="Q170" si="826">F170*P170</f>
        <v>-1401382204.5859172</v>
      </c>
      <c r="R170">
        <f t="shared" ref="R170" si="827">R171+Q170</f>
        <v>-7389533081.45679</v>
      </c>
      <c r="S170">
        <f t="shared" ref="S170" si="828">R170/100000</f>
        <v>-73895.330814567904</v>
      </c>
      <c r="T170">
        <f t="shared" ref="T170" si="829">S170/1000</f>
        <v>-73.895330814567899</v>
      </c>
    </row>
    <row r="171" spans="1:20" x14ac:dyDescent="0.25">
      <c r="A171" s="5">
        <v>44422</v>
      </c>
      <c r="B171">
        <v>2.734E-2</v>
      </c>
      <c r="C171">
        <v>3.0110000000000001E-2</v>
      </c>
      <c r="D171">
        <v>2.69E-2</v>
      </c>
      <c r="E171">
        <v>2.9569999999999999E-2</v>
      </c>
      <c r="F171">
        <v>336852546</v>
      </c>
      <c r="G171">
        <v>2.9569999999999999E-2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0.66355140186915762</v>
      </c>
      <c r="Q171">
        <f t="shared" ref="Q171" si="831">F171*P171</f>
        <v>223518979.12149489</v>
      </c>
      <c r="R171">
        <f t="shared" ref="R171" si="832">R172+Q171</f>
        <v>-5988150876.8708725</v>
      </c>
      <c r="S171">
        <f t="shared" ref="S171" si="833">R171/100000</f>
        <v>-59881.508768708722</v>
      </c>
      <c r="T171">
        <f t="shared" ref="T171" si="834">S171/1000</f>
        <v>-59.88150876870872</v>
      </c>
    </row>
    <row r="172" spans="1:20" x14ac:dyDescent="0.25">
      <c r="A172" s="5">
        <v>44421</v>
      </c>
      <c r="B172">
        <v>2.538E-2</v>
      </c>
      <c r="C172">
        <v>2.7490000000000001E-2</v>
      </c>
      <c r="D172">
        <v>2.529E-2</v>
      </c>
      <c r="E172">
        <v>2.741E-2</v>
      </c>
      <c r="F172">
        <v>145640255</v>
      </c>
      <c r="G172">
        <v>2.741E-2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0.92727272727272714</v>
      </c>
      <c r="Q172">
        <f t="shared" ref="Q172" si="836">F172*P172</f>
        <v>135048236.45454544</v>
      </c>
      <c r="R172">
        <f t="shared" ref="R172" si="837">R173+Q172</f>
        <v>-6211669855.9923677</v>
      </c>
      <c r="S172">
        <f t="shared" ref="S172" si="838">R172/100000</f>
        <v>-62116.69855992368</v>
      </c>
      <c r="T172">
        <f t="shared" ref="T172" si="839">S172/1000</f>
        <v>-62.116698559923677</v>
      </c>
    </row>
    <row r="173" spans="1:20" x14ac:dyDescent="0.25">
      <c r="A173" s="5">
        <v>44420</v>
      </c>
      <c r="B173">
        <v>2.6020000000000001E-2</v>
      </c>
      <c r="C173">
        <v>2.8199999999999999E-2</v>
      </c>
      <c r="D173">
        <v>2.4819999999999998E-2</v>
      </c>
      <c r="E173">
        <v>2.5409999999999999E-2</v>
      </c>
      <c r="F173">
        <v>297766590</v>
      </c>
      <c r="G173">
        <v>2.5409999999999999E-2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-0.65088757396449703</v>
      </c>
      <c r="Q173">
        <f t="shared" ref="Q173" si="841">F173*P173</f>
        <v>-193812573.37278107</v>
      </c>
      <c r="R173">
        <f t="shared" ref="R173" si="842">R174+Q173</f>
        <v>-6346718092.4469128</v>
      </c>
      <c r="S173">
        <f t="shared" ref="S173" si="843">R173/100000</f>
        <v>-63467.180924469125</v>
      </c>
      <c r="T173">
        <f t="shared" ref="T173" si="844">S173/1000</f>
        <v>-63.467180924469126</v>
      </c>
    </row>
    <row r="174" spans="1:20" x14ac:dyDescent="0.25">
      <c r="A174" s="5">
        <v>44419</v>
      </c>
      <c r="B174">
        <v>2.4469999999999999E-2</v>
      </c>
      <c r="C174">
        <v>2.6780000000000002E-2</v>
      </c>
      <c r="D174">
        <v>2.4379999999999999E-2</v>
      </c>
      <c r="E174">
        <v>2.6100000000000002E-2</v>
      </c>
      <c r="F174">
        <v>284045197</v>
      </c>
      <c r="G174">
        <v>2.6100000000000002E-2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0.43333333333333396</v>
      </c>
      <c r="Q174">
        <f t="shared" ref="Q174" si="846">F174*P174</f>
        <v>123086252.03333351</v>
      </c>
      <c r="R174">
        <f t="shared" ref="R174" si="847">R175+Q174</f>
        <v>-6152905519.074132</v>
      </c>
      <c r="S174">
        <f t="shared" ref="S174" si="848">R174/100000</f>
        <v>-61529.055190741317</v>
      </c>
      <c r="T174">
        <f t="shared" ref="T174" si="849">S174/1000</f>
        <v>-61.529055190741317</v>
      </c>
    </row>
    <row r="175" spans="1:20" x14ac:dyDescent="0.25">
      <c r="A175" s="5">
        <v>44418</v>
      </c>
      <c r="B175">
        <v>2.4330000000000001E-2</v>
      </c>
      <c r="C175">
        <v>2.486E-2</v>
      </c>
      <c r="D175">
        <v>2.376E-2</v>
      </c>
      <c r="E175">
        <v>2.4420000000000001E-2</v>
      </c>
      <c r="F175">
        <v>116260669</v>
      </c>
      <c r="G175">
        <v>2.4420000000000001E-2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0.20000000000000126</v>
      </c>
      <c r="Q175">
        <f t="shared" ref="Q175" si="851">F175*P175</f>
        <v>23252133.800000146</v>
      </c>
      <c r="R175">
        <f t="shared" ref="R175" si="852">R176+Q175</f>
        <v>-6275991771.1074657</v>
      </c>
      <c r="S175">
        <f t="shared" ref="S175" si="853">R175/100000</f>
        <v>-62759.91771107466</v>
      </c>
      <c r="T175">
        <f t="shared" ref="T175" si="854">S175/1000</f>
        <v>-62.759917711074664</v>
      </c>
    </row>
    <row r="176" spans="1:20" x14ac:dyDescent="0.25">
      <c r="A176" s="5">
        <v>44417</v>
      </c>
      <c r="B176">
        <v>2.402E-2</v>
      </c>
      <c r="C176">
        <v>2.4639999999999999E-2</v>
      </c>
      <c r="D176">
        <v>2.341E-2</v>
      </c>
      <c r="E176">
        <v>2.435E-2</v>
      </c>
      <c r="F176">
        <v>162765372</v>
      </c>
      <c r="G176">
        <v>2.435E-2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0.52845528455284718</v>
      </c>
      <c r="Q176">
        <f t="shared" ref="Q176" si="856">F176*P176</f>
        <v>86014220.975610033</v>
      </c>
      <c r="R176">
        <f t="shared" ref="R176" si="857">R177+Q176</f>
        <v>-6299243904.9074659</v>
      </c>
      <c r="S176">
        <f t="shared" ref="S176" si="858">R176/100000</f>
        <v>-62992.439049074659</v>
      </c>
      <c r="T176">
        <f t="shared" ref="T176" si="859">S176/1000</f>
        <v>-62.992439049074662</v>
      </c>
    </row>
    <row r="177" spans="1:20" x14ac:dyDescent="0.25">
      <c r="A177" s="5">
        <v>44416</v>
      </c>
      <c r="B177">
        <v>2.4879999999999999E-2</v>
      </c>
      <c r="C177">
        <v>2.52E-2</v>
      </c>
      <c r="D177">
        <v>2.384E-2</v>
      </c>
      <c r="E177">
        <v>2.4029999999999999E-2</v>
      </c>
      <c r="F177">
        <v>109611017</v>
      </c>
      <c r="G177">
        <v>2.4029999999999999E-2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-0.72058823529411886</v>
      </c>
      <c r="Q177">
        <f t="shared" ref="Q177" si="861">F177*P177</f>
        <v>-78984409.30882366</v>
      </c>
      <c r="R177">
        <f t="shared" ref="R177" si="862">R178+Q177</f>
        <v>-6385258125.8830757</v>
      </c>
      <c r="S177">
        <f t="shared" ref="S177" si="863">R177/100000</f>
        <v>-63852.58125883076</v>
      </c>
      <c r="T177">
        <f t="shared" ref="T177" si="864">S177/1000</f>
        <v>-63.85258125883076</v>
      </c>
    </row>
    <row r="178" spans="1:20" x14ac:dyDescent="0.25">
      <c r="A178" s="5">
        <v>44415</v>
      </c>
      <c r="B178">
        <v>2.4559999999999998E-2</v>
      </c>
      <c r="C178">
        <v>2.5319999999999999E-2</v>
      </c>
      <c r="D178">
        <v>2.4340000000000001E-2</v>
      </c>
      <c r="E178">
        <v>2.4920000000000001E-2</v>
      </c>
      <c r="F178">
        <v>205325119</v>
      </c>
      <c r="G178">
        <v>2.4920000000000001E-2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0.18367346938775858</v>
      </c>
      <c r="Q178">
        <f t="shared" ref="Q178" si="866">F178*P178</f>
        <v>37712776.959184386</v>
      </c>
      <c r="R178">
        <f t="shared" ref="R178" si="867">R179+Q178</f>
        <v>-6306273716.5742521</v>
      </c>
      <c r="S178">
        <f t="shared" ref="S178" si="868">R178/100000</f>
        <v>-63062.737165742525</v>
      </c>
      <c r="T178">
        <f t="shared" ref="T178" si="869">S178/1000</f>
        <v>-63.062737165742526</v>
      </c>
    </row>
    <row r="179" spans="1:20" x14ac:dyDescent="0.25">
      <c r="A179" s="5">
        <v>44414</v>
      </c>
      <c r="B179">
        <v>2.5069999999999999E-2</v>
      </c>
      <c r="C179">
        <v>2.5090000000000001E-2</v>
      </c>
      <c r="D179">
        <v>2.4250000000000001E-2</v>
      </c>
      <c r="E179">
        <v>2.453E-2</v>
      </c>
      <c r="F179">
        <v>179203667</v>
      </c>
      <c r="G179">
        <v>2.453E-2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-0.33333333333333609</v>
      </c>
      <c r="Q179">
        <f t="shared" ref="Q179" si="871">F179*P179</f>
        <v>-59734555.666667163</v>
      </c>
      <c r="R179">
        <f t="shared" ref="R179" si="872">R180+Q179</f>
        <v>-6343986493.5334368</v>
      </c>
      <c r="S179">
        <f t="shared" ref="S179" si="873">R179/100000</f>
        <v>-63439.864935334364</v>
      </c>
      <c r="T179">
        <f t="shared" ref="T179" si="874">S179/1000</f>
        <v>-63.439864935334363</v>
      </c>
    </row>
    <row r="180" spans="1:20" x14ac:dyDescent="0.25">
      <c r="A180" s="5">
        <v>44413</v>
      </c>
      <c r="B180">
        <v>2.5700000000000001E-2</v>
      </c>
      <c r="C180">
        <v>2.5860000000000001E-2</v>
      </c>
      <c r="D180">
        <v>2.4379999999999999E-2</v>
      </c>
      <c r="E180">
        <v>2.5069999999999999E-2</v>
      </c>
      <c r="F180">
        <v>265577125</v>
      </c>
      <c r="G180">
        <v>2.5069999999999999E-2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-6.7567567567569403E-2</v>
      </c>
      <c r="Q180">
        <f t="shared" ref="Q180" si="876">F180*P180</f>
        <v>-17944400.337838326</v>
      </c>
      <c r="R180">
        <f t="shared" ref="R180" si="877">R181+Q180</f>
        <v>-6284251937.8667698</v>
      </c>
      <c r="S180">
        <f t="shared" ref="S180" si="878">R180/100000</f>
        <v>-62842.519378667697</v>
      </c>
      <c r="T180">
        <f t="shared" ref="T180" si="879">S180/1000</f>
        <v>-62.842519378667696</v>
      </c>
    </row>
    <row r="181" spans="1:20" x14ac:dyDescent="0.25">
      <c r="A181" s="5">
        <v>44412</v>
      </c>
      <c r="B181">
        <v>2.5649999999999999E-2</v>
      </c>
      <c r="C181">
        <v>2.6700000000000002E-2</v>
      </c>
      <c r="D181">
        <v>2.52E-2</v>
      </c>
      <c r="E181">
        <v>2.5700000000000001E-2</v>
      </c>
      <c r="F181">
        <v>1581258133</v>
      </c>
      <c r="G181">
        <v>2.5700000000000001E-2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-0.33333333333333331</v>
      </c>
      <c r="Q181">
        <f t="shared" ref="Q181" si="881">F181*P181</f>
        <v>-527086044.33333331</v>
      </c>
      <c r="R181">
        <f t="shared" ref="R181" si="882">R182+Q181</f>
        <v>-6266307537.5289316</v>
      </c>
      <c r="S181">
        <f t="shared" ref="S181" si="883">R181/100000</f>
        <v>-62663.075375289314</v>
      </c>
      <c r="T181">
        <f t="shared" ref="T181" si="884">S181/1000</f>
        <v>-62.663075375289317</v>
      </c>
    </row>
    <row r="182" spans="1:20" x14ac:dyDescent="0.25">
      <c r="A182" s="5">
        <v>44411</v>
      </c>
      <c r="B182">
        <v>2.5239999999999999E-2</v>
      </c>
      <c r="C182">
        <v>2.632E-2</v>
      </c>
      <c r="D182">
        <v>2.5190000000000001E-2</v>
      </c>
      <c r="E182">
        <v>2.564E-2</v>
      </c>
      <c r="F182">
        <v>1049267698</v>
      </c>
      <c r="G182">
        <v>2.564E-2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-0.20353982300885065</v>
      </c>
      <c r="Q182">
        <f t="shared" ref="Q182" si="886">F182*P182</f>
        <v>-213567761.53982416</v>
      </c>
      <c r="R182">
        <f t="shared" ref="R182" si="887">R183+Q182</f>
        <v>-5739221493.1955986</v>
      </c>
      <c r="S182">
        <f t="shared" ref="S182" si="888">R182/100000</f>
        <v>-57392.214931955983</v>
      </c>
      <c r="T182">
        <f t="shared" ref="T182" si="889">S182/1000</f>
        <v>-57.392214931955984</v>
      </c>
    </row>
    <row r="183" spans="1:20" x14ac:dyDescent="0.25">
      <c r="A183" s="5">
        <v>44410</v>
      </c>
      <c r="B183">
        <v>2.52E-2</v>
      </c>
      <c r="C183">
        <v>2.623E-2</v>
      </c>
      <c r="D183">
        <v>2.5069999999999999E-2</v>
      </c>
      <c r="E183">
        <v>2.5190000000000001E-2</v>
      </c>
      <c r="F183">
        <v>1039855124</v>
      </c>
      <c r="G183">
        <v>2.5190000000000001E-2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-0.79310344827585877</v>
      </c>
      <c r="Q183">
        <f t="shared" ref="Q183" si="891">F183*P183</f>
        <v>-824712684.55172074</v>
      </c>
      <c r="R183">
        <f t="shared" ref="R183" si="892">R184+Q183</f>
        <v>-5525653731.6557741</v>
      </c>
      <c r="S183">
        <f t="shared" ref="S183" si="893">R183/100000</f>
        <v>-55256.53731655774</v>
      </c>
      <c r="T183">
        <f t="shared" ref="T183" si="894">S183/1000</f>
        <v>-55.25653731655774</v>
      </c>
    </row>
    <row r="184" spans="1:20" x14ac:dyDescent="0.25">
      <c r="A184" s="5">
        <v>44409</v>
      </c>
      <c r="B184">
        <v>2.52E-2</v>
      </c>
      <c r="C184">
        <v>2.6519999999999998E-2</v>
      </c>
      <c r="D184">
        <v>2.5000000000000001E-2</v>
      </c>
      <c r="E184">
        <v>2.52E-2</v>
      </c>
      <c r="F184">
        <v>1490984885</v>
      </c>
      <c r="G184">
        <v>2.52E-2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-0.73684210526315896</v>
      </c>
      <c r="Q184">
        <f t="shared" ref="Q184" si="896">F184*P184</f>
        <v>-1098620441.578949</v>
      </c>
      <c r="R184">
        <f t="shared" ref="R184" si="897">R185+Q184</f>
        <v>-4700941047.1040535</v>
      </c>
      <c r="S184">
        <f t="shared" ref="S184" si="898">R184/100000</f>
        <v>-47009.410471040537</v>
      </c>
      <c r="T184">
        <f t="shared" ref="T184" si="899">S184/1000</f>
        <v>-47.009410471040539</v>
      </c>
    </row>
    <row r="185" spans="1:20" x14ac:dyDescent="0.25">
      <c r="A185" s="5">
        <v>44408</v>
      </c>
      <c r="B185">
        <v>2.5780000000000001E-2</v>
      </c>
      <c r="C185">
        <v>2.6800000000000001E-2</v>
      </c>
      <c r="D185">
        <v>2.4910000000000002E-2</v>
      </c>
      <c r="E185">
        <v>2.5190000000000001E-2</v>
      </c>
      <c r="F185">
        <v>1087725281</v>
      </c>
      <c r="G185">
        <v>2.5190000000000001E-2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-0.70370370370370461</v>
      </c>
      <c r="Q185">
        <f t="shared" ref="Q185" si="901">F185*P185</f>
        <v>-765436308.85185289</v>
      </c>
      <c r="R185">
        <f t="shared" ref="R185" si="902">R186+Q185</f>
        <v>-3602320605.525104</v>
      </c>
      <c r="S185">
        <f t="shared" ref="S185" si="903">R185/100000</f>
        <v>-36023.206055251037</v>
      </c>
      <c r="T185">
        <f t="shared" ref="T185" si="904">S185/1000</f>
        <v>-36.023206055251038</v>
      </c>
    </row>
    <row r="186" spans="1:20" x14ac:dyDescent="0.25">
      <c r="A186" s="5">
        <v>44407</v>
      </c>
      <c r="B186">
        <v>2.512E-2</v>
      </c>
      <c r="C186">
        <v>2.6710000000000001E-2</v>
      </c>
      <c r="D186">
        <v>2.4920000000000001E-2</v>
      </c>
      <c r="E186">
        <v>2.5739999999999999E-2</v>
      </c>
      <c r="F186">
        <v>876139908</v>
      </c>
      <c r="G186">
        <v>2.5739999999999999E-2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-8.3798882681566655E-2</v>
      </c>
      <c r="Q186">
        <f t="shared" ref="Q186" si="906">F186*P186</f>
        <v>-73419545.363130599</v>
      </c>
      <c r="R186">
        <f t="shared" ref="R186" si="907">R187+Q186</f>
        <v>-2836884296.6732512</v>
      </c>
      <c r="S186">
        <f t="shared" ref="S186" si="908">R186/100000</f>
        <v>-28368.842966732511</v>
      </c>
      <c r="T186">
        <f t="shared" ref="T186" si="909">S186/1000</f>
        <v>-28.368842966732512</v>
      </c>
    </row>
    <row r="187" spans="1:20" x14ac:dyDescent="0.25">
      <c r="A187" s="5">
        <v>44406</v>
      </c>
      <c r="B187">
        <v>2.4850000000000001E-2</v>
      </c>
      <c r="C187">
        <v>2.69E-2</v>
      </c>
      <c r="D187">
        <v>2.4369999999999999E-2</v>
      </c>
      <c r="E187">
        <v>2.512E-2</v>
      </c>
      <c r="F187">
        <v>1629437912</v>
      </c>
      <c r="G187">
        <v>2.512E-2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-0.40711462450592856</v>
      </c>
      <c r="Q187">
        <f t="shared" ref="Q187" si="911">F187*P187</f>
        <v>-663368003.69960427</v>
      </c>
      <c r="R187">
        <f t="shared" ref="R187" si="912">R188+Q187</f>
        <v>-2763464751.3101206</v>
      </c>
      <c r="S187">
        <f t="shared" ref="S187" si="913">R187/100000</f>
        <v>-27634.647513101205</v>
      </c>
      <c r="T187">
        <f t="shared" ref="T187" si="914">S187/1000</f>
        <v>-27.634647513101203</v>
      </c>
    </row>
    <row r="188" spans="1:20" x14ac:dyDescent="0.25">
      <c r="A188" s="5">
        <v>44405</v>
      </c>
      <c r="B188">
        <v>2.3630000000000002E-2</v>
      </c>
      <c r="C188">
        <v>2.5499999999999998E-2</v>
      </c>
      <c r="D188">
        <v>2.317E-2</v>
      </c>
      <c r="E188">
        <v>2.4819999999999998E-2</v>
      </c>
      <c r="F188">
        <v>1301921730</v>
      </c>
      <c r="G188">
        <v>2.4819999999999998E-2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0.41630901287553612</v>
      </c>
      <c r="Q188">
        <f t="shared" ref="Q188" si="916">F188*P188</f>
        <v>542001750.2575103</v>
      </c>
      <c r="R188">
        <f t="shared" ref="R188" si="917">R189+Q188</f>
        <v>-2100096747.6105165</v>
      </c>
      <c r="S188">
        <f t="shared" ref="S188" si="918">R188/100000</f>
        <v>-21000.967476105165</v>
      </c>
      <c r="T188">
        <f t="shared" ref="T188" si="919">S188/1000</f>
        <v>-21.000967476105163</v>
      </c>
    </row>
    <row r="189" spans="1:20" x14ac:dyDescent="0.25">
      <c r="A189" s="5">
        <v>44404</v>
      </c>
      <c r="B189">
        <v>2.3949999999999999E-2</v>
      </c>
      <c r="C189">
        <v>2.5569999999999999E-2</v>
      </c>
      <c r="D189">
        <v>2.2870000000000001E-2</v>
      </c>
      <c r="E189">
        <v>2.3630000000000002E-2</v>
      </c>
      <c r="F189">
        <v>462246128</v>
      </c>
      <c r="G189">
        <v>2.3630000000000002E-2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-0.43703703703703634</v>
      </c>
      <c r="Q189">
        <f t="shared" ref="Q189" si="921">F189*P189</f>
        <v>-202018678.16296265</v>
      </c>
      <c r="R189">
        <f t="shared" ref="R189" si="922">R190+Q189</f>
        <v>-2642098497.8680267</v>
      </c>
      <c r="S189">
        <f t="shared" ref="S189" si="923">R189/100000</f>
        <v>-26420.984978680266</v>
      </c>
      <c r="T189">
        <f t="shared" ref="T189" si="924">S189/1000</f>
        <v>-26.420984978680266</v>
      </c>
    </row>
    <row r="190" spans="1:20" x14ac:dyDescent="0.25">
      <c r="A190" s="5">
        <v>44403</v>
      </c>
      <c r="B190">
        <v>2.376E-2</v>
      </c>
      <c r="C190">
        <v>2.6100000000000002E-2</v>
      </c>
      <c r="D190">
        <v>2.3230000000000001E-2</v>
      </c>
      <c r="E190">
        <v>2.3949999999999999E-2</v>
      </c>
      <c r="F190">
        <v>1772876872</v>
      </c>
      <c r="G190">
        <v>2.3949999999999999E-2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-0.49825783972125565</v>
      </c>
      <c r="Q190">
        <f t="shared" ref="Q190" si="926">F190*P190</f>
        <v>-883349800.33449709</v>
      </c>
      <c r="R190">
        <f t="shared" ref="R190" si="927">R191+Q190</f>
        <v>-2440079819.7050643</v>
      </c>
      <c r="S190">
        <f t="shared" ref="S190" si="928">R190/100000</f>
        <v>-24400.798197050644</v>
      </c>
      <c r="T190">
        <f t="shared" ref="T190" si="929">S190/1000</f>
        <v>-24.400798197050644</v>
      </c>
    </row>
    <row r="191" spans="1:20" x14ac:dyDescent="0.25">
      <c r="A191" s="5">
        <v>44402</v>
      </c>
      <c r="B191">
        <v>2.0959999999999999E-2</v>
      </c>
      <c r="C191">
        <v>2.5600000000000001E-2</v>
      </c>
      <c r="D191">
        <v>2.0039999999999999E-2</v>
      </c>
      <c r="E191">
        <v>2.376E-2</v>
      </c>
      <c r="F191">
        <v>1471454331</v>
      </c>
      <c r="G191">
        <v>2.376E-2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0.33812949640287748</v>
      </c>
      <c r="Q191">
        <f t="shared" ref="Q191" si="931">F191*P191</f>
        <v>497542111.92086297</v>
      </c>
      <c r="R191">
        <f t="shared" ref="R191" si="932">R192+Q191</f>
        <v>-1556730019.3705671</v>
      </c>
      <c r="S191">
        <f t="shared" ref="S191" si="933">R191/100000</f>
        <v>-15567.300193705671</v>
      </c>
      <c r="T191">
        <f t="shared" ref="T191:T197" si="934">S191/1000</f>
        <v>-15.567300193705671</v>
      </c>
    </row>
    <row r="192" spans="1:20" x14ac:dyDescent="0.25">
      <c r="A192" s="5">
        <v>44401</v>
      </c>
      <c r="B192">
        <v>1.874E-2</v>
      </c>
      <c r="C192">
        <v>2.171E-2</v>
      </c>
      <c r="D192">
        <v>1.8499999999999999E-2</v>
      </c>
      <c r="E192">
        <v>2.0930000000000001E-2</v>
      </c>
      <c r="F192">
        <v>1134091522</v>
      </c>
      <c r="G192">
        <v>2.0930000000000001E-2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0.51401869158878555</v>
      </c>
      <c r="Q192">
        <f t="shared" ref="Q192" si="936">F192*P192</f>
        <v>582944240.28037441</v>
      </c>
      <c r="R192">
        <f t="shared" ref="R192" si="937">R193+Q192</f>
        <v>-2054272131.29143</v>
      </c>
      <c r="S192">
        <f t="shared" ref="S192" si="938">R192/100000</f>
        <v>-20542.721312914298</v>
      </c>
      <c r="T192">
        <f t="shared" si="934"/>
        <v>-20.542721312914299</v>
      </c>
    </row>
    <row r="193" spans="1:20" x14ac:dyDescent="0.25">
      <c r="A193" s="5">
        <v>44400</v>
      </c>
      <c r="B193">
        <v>1.8519999999999998E-2</v>
      </c>
      <c r="C193">
        <v>1.8749999999999999E-2</v>
      </c>
      <c r="D193">
        <v>1.7999999999999999E-2</v>
      </c>
      <c r="E193">
        <v>1.8700000000000001E-2</v>
      </c>
      <c r="F193">
        <v>81952988</v>
      </c>
      <c r="G193">
        <v>1.8700000000000001E-2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0.86666666666667225</v>
      </c>
      <c r="Q193">
        <f t="shared" ref="Q193" si="940">F193*P193</f>
        <v>71025922.933333784</v>
      </c>
      <c r="R193">
        <f t="shared" ref="R193" si="941">R194+Q193</f>
        <v>-2637216371.5718045</v>
      </c>
      <c r="S193">
        <f t="shared" ref="S193" si="942">R193/100000</f>
        <v>-26372.163715718045</v>
      </c>
      <c r="T193">
        <f t="shared" si="934"/>
        <v>-26.372163715718045</v>
      </c>
    </row>
    <row r="194" spans="1:20" x14ac:dyDescent="0.25">
      <c r="A194" s="5">
        <v>44399</v>
      </c>
      <c r="B194">
        <v>1.8290000000000001E-2</v>
      </c>
      <c r="C194">
        <v>1.8579999999999999E-2</v>
      </c>
      <c r="D194">
        <v>1.7899999999999999E-2</v>
      </c>
      <c r="E194">
        <v>1.8519999999999998E-2</v>
      </c>
      <c r="F194">
        <v>46592716</v>
      </c>
      <c r="G194">
        <v>1.8519999999999998E-2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0.82352941176470285</v>
      </c>
      <c r="Q194">
        <f t="shared" ref="Q194" si="944">F194*P194</f>
        <v>38370471.999999858</v>
      </c>
      <c r="R194">
        <f t="shared" ref="R194" si="945">R195+Q194</f>
        <v>-2708242294.5051384</v>
      </c>
      <c r="S194">
        <f t="shared" ref="S194" si="946">R194/100000</f>
        <v>-27082.422945051385</v>
      </c>
      <c r="T194">
        <f t="shared" si="934"/>
        <v>-27.082422945051384</v>
      </c>
    </row>
    <row r="195" spans="1:20" x14ac:dyDescent="0.25">
      <c r="A195" s="5">
        <v>44398</v>
      </c>
      <c r="B195">
        <v>1.7260000000000001E-2</v>
      </c>
      <c r="C195">
        <v>1.8710000000000001E-2</v>
      </c>
      <c r="D195">
        <v>1.6889999999999999E-2</v>
      </c>
      <c r="E195">
        <v>1.8290000000000001E-2</v>
      </c>
      <c r="F195">
        <v>110561670</v>
      </c>
      <c r="G195">
        <v>1.8290000000000001E-2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0.53846153846153877</v>
      </c>
      <c r="Q195">
        <f t="shared" ref="Q195" si="948">F195*P195</f>
        <v>59533206.923076957</v>
      </c>
      <c r="R195">
        <f t="shared" ref="R195" si="949">R196+Q195</f>
        <v>-2746612766.5051384</v>
      </c>
      <c r="S195">
        <f t="shared" ref="S195" si="950">R195/100000</f>
        <v>-27466.127665051383</v>
      </c>
      <c r="T195">
        <f t="shared" si="934"/>
        <v>-27.466127665051381</v>
      </c>
    </row>
    <row r="196" spans="1:20" x14ac:dyDescent="0.25">
      <c r="A196" s="5">
        <v>44397</v>
      </c>
      <c r="B196">
        <v>1.9900000000000001E-2</v>
      </c>
      <c r="C196">
        <v>1.9990000000000001E-2</v>
      </c>
      <c r="D196">
        <v>1.6799999999999999E-2</v>
      </c>
      <c r="E196">
        <v>1.7260000000000001E-2</v>
      </c>
      <c r="F196">
        <v>143914121</v>
      </c>
      <c r="G196">
        <v>1.7260000000000001E-2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-0.71159874608150353</v>
      </c>
      <c r="Q196">
        <f t="shared" ref="Q196" si="952">F196*P196</f>
        <v>-102409108.04702178</v>
      </c>
      <c r="R196">
        <f t="shared" ref="R196" si="953">R197+Q196</f>
        <v>-2806145973.4282155</v>
      </c>
      <c r="S196">
        <f t="shared" ref="S196" si="954">R196/100000</f>
        <v>-28061.459734282154</v>
      </c>
      <c r="T196">
        <f t="shared" si="934"/>
        <v>-28.061459734282156</v>
      </c>
    </row>
    <row r="197" spans="1:20" x14ac:dyDescent="0.25">
      <c r="A197" s="5">
        <v>44396</v>
      </c>
      <c r="B197">
        <v>2.0459999999999999E-2</v>
      </c>
      <c r="C197">
        <v>2.0619999999999999E-2</v>
      </c>
      <c r="D197">
        <v>1.9779999999999999E-2</v>
      </c>
      <c r="E197">
        <v>1.9879999999999998E-2</v>
      </c>
      <c r="F197">
        <v>583160160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-0.76190476190476353</v>
      </c>
      <c r="Q197">
        <f t="shared" ref="Q197" si="956">F197*P197</f>
        <v>-444312502.85714382</v>
      </c>
      <c r="R197">
        <f t="shared" ref="R197" si="957">R198+Q197</f>
        <v>-2703736865.3811936</v>
      </c>
      <c r="S197">
        <f t="shared" ref="S197" si="958">R197/100000</f>
        <v>-27037.368653811936</v>
      </c>
      <c r="T197">
        <f t="shared" si="934"/>
        <v>-27.037368653811935</v>
      </c>
    </row>
    <row r="198" spans="1:20" x14ac:dyDescent="0.25">
      <c r="A198" s="5">
        <v>44395</v>
      </c>
      <c r="B198">
        <v>2.069E-2</v>
      </c>
      <c r="C198">
        <v>2.095E-2</v>
      </c>
      <c r="D198">
        <v>2.036E-2</v>
      </c>
      <c r="E198">
        <v>2.0459999999999999E-2</v>
      </c>
      <c r="F198">
        <v>350214709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-0.66101694915254461</v>
      </c>
      <c r="Q198">
        <f t="shared" ref="Q198:Q261" si="960">F198*P198</f>
        <v>-231497858.49152622</v>
      </c>
      <c r="R198">
        <f t="shared" ref="R198:R261" si="961">R199+Q198</f>
        <v>-2259424362.5240498</v>
      </c>
      <c r="S198">
        <f t="shared" ref="S198:S261" si="962">R198/100000</f>
        <v>-22594.243625240499</v>
      </c>
      <c r="T198">
        <f t="shared" ref="T198:T261" si="963">S198/1000</f>
        <v>-22.594243625240498</v>
      </c>
    </row>
    <row r="199" spans="1:20" x14ac:dyDescent="0.25">
      <c r="A199" s="5">
        <v>44394</v>
      </c>
      <c r="B199">
        <v>2.044E-2</v>
      </c>
      <c r="C199">
        <v>2.1100000000000001E-2</v>
      </c>
      <c r="D199">
        <v>2.0230000000000001E-2</v>
      </c>
      <c r="E199">
        <v>2.069E-2</v>
      </c>
      <c r="F199">
        <v>561952432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5.7471264367813801E-2</v>
      </c>
      <c r="Q199">
        <f t="shared" si="960"/>
        <v>32296116.781607907</v>
      </c>
      <c r="R199">
        <f t="shared" si="961"/>
        <v>-2027926504.0325234</v>
      </c>
      <c r="S199">
        <f t="shared" si="962"/>
        <v>-20279.265040325234</v>
      </c>
      <c r="T199">
        <f t="shared" si="963"/>
        <v>-20.279265040325235</v>
      </c>
    </row>
    <row r="200" spans="1:20" x14ac:dyDescent="0.25">
      <c r="A200" s="5">
        <v>44393</v>
      </c>
      <c r="B200">
        <v>2.1000000000000001E-2</v>
      </c>
      <c r="C200">
        <v>2.2009999999999998E-2</v>
      </c>
      <c r="D200">
        <v>2.0250000000000001E-2</v>
      </c>
      <c r="E200">
        <v>2.043E-2</v>
      </c>
      <c r="F200">
        <v>772608143</v>
      </c>
      <c r="G200">
        <v>0</v>
      </c>
      <c r="L200" t="s">
        <v>8</v>
      </c>
      <c r="M200" t="s">
        <v>7</v>
      </c>
      <c r="N200" t="s">
        <v>7</v>
      </c>
      <c r="P200">
        <f t="shared" si="959"/>
        <v>-0.79545454545454564</v>
      </c>
      <c r="Q200">
        <f t="shared" si="960"/>
        <v>-614574659.20454562</v>
      </c>
      <c r="R200">
        <f t="shared" si="961"/>
        <v>-2060222620.8141313</v>
      </c>
      <c r="S200">
        <f t="shared" si="962"/>
        <v>-20602.226208141314</v>
      </c>
      <c r="T200">
        <f t="shared" si="963"/>
        <v>-20.602226208141314</v>
      </c>
    </row>
    <row r="201" spans="1:20" x14ac:dyDescent="0.25">
      <c r="A201" s="5">
        <v>44392</v>
      </c>
      <c r="B201">
        <v>2.068E-2</v>
      </c>
      <c r="C201">
        <v>2.163E-2</v>
      </c>
      <c r="D201">
        <v>2.0070000000000001E-2</v>
      </c>
      <c r="E201">
        <v>2.1010000000000001E-2</v>
      </c>
      <c r="F201">
        <v>685765067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0.20512820512820581</v>
      </c>
      <c r="Q201">
        <f t="shared" si="960"/>
        <v>140669757.33333379</v>
      </c>
      <c r="R201">
        <f t="shared" si="961"/>
        <v>-1445647961.6095855</v>
      </c>
      <c r="S201">
        <f t="shared" si="962"/>
        <v>-14456.479616095856</v>
      </c>
      <c r="T201">
        <f t="shared" si="963"/>
        <v>-14.456479616095855</v>
      </c>
    </row>
    <row r="202" spans="1:20" x14ac:dyDescent="0.25">
      <c r="A202" s="5">
        <v>44391</v>
      </c>
      <c r="B202">
        <v>2.0619999999999999E-2</v>
      </c>
      <c r="C202">
        <v>2.1649999999999999E-2</v>
      </c>
      <c r="D202">
        <v>0.02</v>
      </c>
      <c r="E202">
        <v>2.0660000000000001E-2</v>
      </c>
      <c r="F202">
        <v>913070235</v>
      </c>
      <c r="G202">
        <v>0</v>
      </c>
      <c r="L202" t="s">
        <v>8</v>
      </c>
      <c r="M202" t="s">
        <v>7</v>
      </c>
      <c r="N202" t="s">
        <v>7</v>
      </c>
      <c r="P202">
        <f t="shared" si="959"/>
        <v>-0.19999999999999832</v>
      </c>
      <c r="Q202">
        <f t="shared" si="960"/>
        <v>-182614046.99999845</v>
      </c>
      <c r="R202">
        <f t="shared" si="961"/>
        <v>-1586317718.9429193</v>
      </c>
      <c r="S202">
        <f t="shared" si="962"/>
        <v>-15863.177189429192</v>
      </c>
      <c r="T202">
        <f t="shared" si="963"/>
        <v>-15.863177189429193</v>
      </c>
    </row>
    <row r="203" spans="1:20" x14ac:dyDescent="0.25">
      <c r="A203" s="5">
        <v>44390</v>
      </c>
      <c r="B203">
        <v>1.9460000000000002E-2</v>
      </c>
      <c r="C203">
        <v>2.145E-2</v>
      </c>
      <c r="D203">
        <v>1.9349999999999999E-2</v>
      </c>
      <c r="E203">
        <v>2.0570000000000001E-2</v>
      </c>
      <c r="F203">
        <v>727483750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0.16190476190476347</v>
      </c>
      <c r="Q203">
        <f t="shared" si="960"/>
        <v>117783083.33333448</v>
      </c>
      <c r="R203">
        <f t="shared" si="961"/>
        <v>-1403703671.9429209</v>
      </c>
      <c r="S203">
        <f t="shared" si="962"/>
        <v>-14037.036719429208</v>
      </c>
      <c r="T203">
        <f t="shared" si="963"/>
        <v>-14.037036719429208</v>
      </c>
    </row>
    <row r="204" spans="1:20" x14ac:dyDescent="0.25">
      <c r="A204" s="5">
        <v>44389</v>
      </c>
      <c r="B204">
        <v>1.983E-2</v>
      </c>
      <c r="C204">
        <v>2.1129999999999999E-2</v>
      </c>
      <c r="D204">
        <v>1.915E-2</v>
      </c>
      <c r="E204">
        <v>1.95E-2</v>
      </c>
      <c r="F204">
        <v>908888958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-0.64646464646464674</v>
      </c>
      <c r="Q204">
        <f t="shared" si="960"/>
        <v>-587564578.90909111</v>
      </c>
      <c r="R204">
        <f t="shared" si="961"/>
        <v>-1521486755.2762554</v>
      </c>
      <c r="S204">
        <f t="shared" si="962"/>
        <v>-15214.867552762553</v>
      </c>
      <c r="T204">
        <f t="shared" si="963"/>
        <v>-15.214867552762552</v>
      </c>
    </row>
    <row r="205" spans="1:20" x14ac:dyDescent="0.25">
      <c r="A205" s="5">
        <v>44388</v>
      </c>
      <c r="B205">
        <v>1.9390000000000001E-2</v>
      </c>
      <c r="C205">
        <v>2.0830000000000001E-2</v>
      </c>
      <c r="D205">
        <v>1.9E-2</v>
      </c>
      <c r="E205">
        <v>1.984E-2</v>
      </c>
      <c r="F205">
        <v>463494642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-8.1967213114754467E-2</v>
      </c>
      <c r="Q205">
        <f t="shared" si="960"/>
        <v>-37991364.098360829</v>
      </c>
      <c r="R205">
        <f t="shared" si="961"/>
        <v>-933922176.36716425</v>
      </c>
      <c r="S205">
        <f t="shared" si="962"/>
        <v>-9339.2217636716432</v>
      </c>
      <c r="T205">
        <f t="shared" si="963"/>
        <v>-9.3392217636716435</v>
      </c>
    </row>
    <row r="206" spans="1:20" x14ac:dyDescent="0.25">
      <c r="A206" s="5">
        <v>44387</v>
      </c>
      <c r="B206">
        <v>2.044E-2</v>
      </c>
      <c r="C206">
        <v>2.0539999999999999E-2</v>
      </c>
      <c r="D206">
        <v>1.9199999999999998E-2</v>
      </c>
      <c r="E206">
        <v>1.9359999999999999E-2</v>
      </c>
      <c r="F206">
        <v>97123581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-0.7611940298507458</v>
      </c>
      <c r="Q206">
        <f t="shared" si="960"/>
        <v>-73929890.014925331</v>
      </c>
      <c r="R206">
        <f t="shared" si="961"/>
        <v>-895930812.26880348</v>
      </c>
      <c r="S206">
        <f t="shared" si="962"/>
        <v>-8959.3081226880349</v>
      </c>
      <c r="T206">
        <f t="shared" si="963"/>
        <v>-8.9593081226880358</v>
      </c>
    </row>
    <row r="207" spans="1:20" x14ac:dyDescent="0.25">
      <c r="A207" s="5">
        <v>44386</v>
      </c>
      <c r="B207">
        <v>2.0219999999999998E-2</v>
      </c>
      <c r="C207">
        <v>2.06E-2</v>
      </c>
      <c r="D207">
        <v>1.9709999999999998E-2</v>
      </c>
      <c r="E207">
        <v>2.044E-2</v>
      </c>
      <c r="F207">
        <v>70601102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0.64044943820224698</v>
      </c>
      <c r="Q207">
        <f t="shared" si="960"/>
        <v>45216436.112359539</v>
      </c>
      <c r="R207">
        <f t="shared" si="961"/>
        <v>-822000922.25387812</v>
      </c>
      <c r="S207">
        <f t="shared" si="962"/>
        <v>-8220.0092225387816</v>
      </c>
      <c r="T207">
        <f t="shared" si="963"/>
        <v>-8.2200092225387813</v>
      </c>
    </row>
    <row r="208" spans="1:20" x14ac:dyDescent="0.25">
      <c r="A208" s="5">
        <v>44385</v>
      </c>
      <c r="B208">
        <v>2.129E-2</v>
      </c>
      <c r="C208">
        <v>2.1510000000000001E-2</v>
      </c>
      <c r="D208">
        <v>2.0029999999999999E-2</v>
      </c>
      <c r="E208">
        <v>2.0289999999999999E-2</v>
      </c>
      <c r="F208">
        <v>543713118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-0.64864864864864946</v>
      </c>
      <c r="Q208">
        <f t="shared" si="960"/>
        <v>-352678779.24324369</v>
      </c>
      <c r="R208">
        <f t="shared" si="961"/>
        <v>-867217358.36623764</v>
      </c>
      <c r="S208">
        <f t="shared" si="962"/>
        <v>-8672.1735836623757</v>
      </c>
      <c r="T208">
        <f t="shared" si="963"/>
        <v>-8.6721735836623761</v>
      </c>
    </row>
    <row r="209" spans="1:20" x14ac:dyDescent="0.25">
      <c r="A209" s="5">
        <v>44384</v>
      </c>
      <c r="B209">
        <v>2.1160000000000002E-2</v>
      </c>
      <c r="C209">
        <v>2.215E-2</v>
      </c>
      <c r="D209">
        <v>2.0799999999999999E-2</v>
      </c>
      <c r="E209">
        <v>2.129E-2</v>
      </c>
      <c r="F209">
        <v>639763749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-0.27407407407407308</v>
      </c>
      <c r="Q209">
        <f t="shared" si="960"/>
        <v>-175342657.1333327</v>
      </c>
      <c r="R209">
        <f t="shared" si="961"/>
        <v>-514538579.12299395</v>
      </c>
      <c r="S209">
        <f t="shared" si="962"/>
        <v>-5145.3857912299391</v>
      </c>
      <c r="T209">
        <f t="shared" si="963"/>
        <v>-5.1453857912299394</v>
      </c>
    </row>
    <row r="210" spans="1:20" x14ac:dyDescent="0.25">
      <c r="A210" s="5">
        <v>44383</v>
      </c>
      <c r="B210">
        <v>2.1010000000000001E-2</v>
      </c>
      <c r="C210">
        <v>2.2540000000000001E-2</v>
      </c>
      <c r="D210">
        <v>2.0570000000000001E-2</v>
      </c>
      <c r="E210">
        <v>2.1149999999999999E-2</v>
      </c>
      <c r="F210">
        <v>768019841</v>
      </c>
      <c r="G210">
        <v>0</v>
      </c>
      <c r="L210" t="s">
        <v>7</v>
      </c>
      <c r="M210" t="s">
        <v>7</v>
      </c>
      <c r="N210" t="s">
        <v>7</v>
      </c>
      <c r="P210">
        <f t="shared" si="959"/>
        <v>-0.41116751269035806</v>
      </c>
      <c r="Q210">
        <f t="shared" si="960"/>
        <v>-315784807.72081429</v>
      </c>
      <c r="R210">
        <f t="shared" si="961"/>
        <v>-339195921.98966122</v>
      </c>
      <c r="S210">
        <f t="shared" si="962"/>
        <v>-3391.959219896612</v>
      </c>
      <c r="T210">
        <f t="shared" si="963"/>
        <v>-3.391959219896612</v>
      </c>
    </row>
    <row r="211" spans="1:20" x14ac:dyDescent="0.25">
      <c r="A211" s="5">
        <v>44382</v>
      </c>
      <c r="B211">
        <v>2.1590000000000002E-2</v>
      </c>
      <c r="C211">
        <v>2.2370000000000001E-2</v>
      </c>
      <c r="D211">
        <v>2.0420000000000001E-2</v>
      </c>
      <c r="E211">
        <v>2.1010000000000001E-2</v>
      </c>
      <c r="F211">
        <v>636775911</v>
      </c>
      <c r="G211">
        <v>0</v>
      </c>
      <c r="L211" t="s">
        <v>8</v>
      </c>
      <c r="M211" t="s">
        <v>7</v>
      </c>
      <c r="N211" t="s">
        <v>7</v>
      </c>
      <c r="P211">
        <f t="shared" si="959"/>
        <v>-0.39487179487179475</v>
      </c>
      <c r="Q211">
        <f t="shared" si="960"/>
        <v>-251444846.90769222</v>
      </c>
      <c r="R211">
        <f t="shared" si="961"/>
        <v>-23411114.268846899</v>
      </c>
      <c r="S211">
        <f t="shared" si="962"/>
        <v>-234.11114268846899</v>
      </c>
      <c r="T211">
        <f t="shared" si="963"/>
        <v>-0.234111142688469</v>
      </c>
    </row>
    <row r="212" spans="1:20" x14ac:dyDescent="0.25">
      <c r="A212" s="5">
        <v>44381</v>
      </c>
      <c r="B212">
        <v>2.0500000000000001E-2</v>
      </c>
      <c r="C212">
        <v>2.1690000000000001E-2</v>
      </c>
      <c r="D212">
        <v>1.9970000000000002E-2</v>
      </c>
      <c r="E212">
        <v>2.1579999999999998E-2</v>
      </c>
      <c r="F212">
        <v>1043373688</v>
      </c>
      <c r="G212">
        <v>0</v>
      </c>
      <c r="L212" t="s">
        <v>7</v>
      </c>
      <c r="M212" t="s">
        <v>7</v>
      </c>
      <c r="N212" t="s">
        <v>7</v>
      </c>
      <c r="P212">
        <f t="shared" si="959"/>
        <v>0.87209302325581106</v>
      </c>
      <c r="Q212">
        <f t="shared" si="960"/>
        <v>909918913.95348537</v>
      </c>
      <c r="R212">
        <f t="shared" si="961"/>
        <v>228033732.63884532</v>
      </c>
      <c r="S212">
        <f t="shared" si="962"/>
        <v>2280.3373263884532</v>
      </c>
      <c r="T212">
        <f t="shared" si="963"/>
        <v>2.2803373263884534</v>
      </c>
    </row>
    <row r="213" spans="1:20" x14ac:dyDescent="0.25">
      <c r="A213" s="5">
        <v>44380</v>
      </c>
      <c r="B213">
        <v>2.0899999999999998E-2</v>
      </c>
      <c r="C213">
        <v>2.0959999999999999E-2</v>
      </c>
      <c r="D213">
        <v>2.0320000000000001E-2</v>
      </c>
      <c r="E213">
        <v>2.052E-2</v>
      </c>
      <c r="F213">
        <v>59809322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-0.37500000000000205</v>
      </c>
      <c r="Q213">
        <f t="shared" si="960"/>
        <v>-22428495.750000123</v>
      </c>
      <c r="R213">
        <f t="shared" si="961"/>
        <v>-681885181.31464005</v>
      </c>
      <c r="S213">
        <f t="shared" si="962"/>
        <v>-6818.8518131464007</v>
      </c>
      <c r="T213">
        <f t="shared" si="963"/>
        <v>-6.8188518131464004</v>
      </c>
    </row>
    <row r="214" spans="1:20" x14ac:dyDescent="0.25">
      <c r="A214" s="5">
        <v>44379</v>
      </c>
      <c r="B214">
        <v>2.0580000000000001E-2</v>
      </c>
      <c r="C214">
        <v>2.1600000000000001E-2</v>
      </c>
      <c r="D214">
        <v>1.9879999999999998E-2</v>
      </c>
      <c r="E214">
        <v>2.094E-2</v>
      </c>
      <c r="F214">
        <v>196267477</v>
      </c>
      <c r="G214">
        <v>0</v>
      </c>
      <c r="L214" t="s">
        <v>8</v>
      </c>
      <c r="M214" t="s">
        <v>7</v>
      </c>
      <c r="N214" t="s">
        <v>7</v>
      </c>
      <c r="P214">
        <f t="shared" si="959"/>
        <v>0.23255813953488397</v>
      </c>
      <c r="Q214">
        <f t="shared" si="960"/>
        <v>45643599.302325629</v>
      </c>
      <c r="R214">
        <f t="shared" si="961"/>
        <v>-659456685.56463993</v>
      </c>
      <c r="S214">
        <f t="shared" si="962"/>
        <v>-6594.5668556463988</v>
      </c>
      <c r="T214">
        <f t="shared" si="963"/>
        <v>-6.5945668556463986</v>
      </c>
    </row>
    <row r="215" spans="1:20" x14ac:dyDescent="0.25">
      <c r="A215" s="5">
        <v>44378</v>
      </c>
      <c r="B215">
        <v>2.1989999999999999E-2</v>
      </c>
      <c r="C215">
        <v>2.2009999999999998E-2</v>
      </c>
      <c r="D215">
        <v>1.9970000000000002E-2</v>
      </c>
      <c r="E215">
        <v>2.0580000000000001E-2</v>
      </c>
      <c r="F215">
        <v>322204137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-0.40196078431372506</v>
      </c>
      <c r="Q215">
        <f t="shared" si="960"/>
        <v>-129513427.61764692</v>
      </c>
      <c r="R215">
        <f t="shared" si="961"/>
        <v>-705100284.86696553</v>
      </c>
      <c r="S215">
        <f t="shared" si="962"/>
        <v>-7051.0028486696556</v>
      </c>
      <c r="T215">
        <f t="shared" si="963"/>
        <v>-7.0510028486696559</v>
      </c>
    </row>
    <row r="216" spans="1:20" x14ac:dyDescent="0.25">
      <c r="A216" s="5">
        <v>44377</v>
      </c>
      <c r="B216">
        <v>2.2769999999999999E-2</v>
      </c>
      <c r="C216">
        <v>2.3019999999999999E-2</v>
      </c>
      <c r="D216">
        <v>2.0899999999999998E-2</v>
      </c>
      <c r="E216">
        <v>2.1999999999999999E-2</v>
      </c>
      <c r="F216">
        <v>109723594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3.7735849056603869E-2</v>
      </c>
      <c r="Q216">
        <f t="shared" si="960"/>
        <v>4140512.9811320859</v>
      </c>
      <c r="R216">
        <f t="shared" si="961"/>
        <v>-575586857.2493186</v>
      </c>
      <c r="S216">
        <f t="shared" si="962"/>
        <v>-5755.8685724931856</v>
      </c>
      <c r="T216">
        <f t="shared" si="963"/>
        <v>-5.7558685724931857</v>
      </c>
    </row>
    <row r="217" spans="1:20" x14ac:dyDescent="0.25">
      <c r="A217" s="5">
        <v>44376</v>
      </c>
      <c r="B217">
        <v>2.2519999999999998E-2</v>
      </c>
      <c r="C217">
        <v>2.3699999999999999E-2</v>
      </c>
      <c r="D217">
        <v>2.249E-2</v>
      </c>
      <c r="E217">
        <v>2.2800000000000001E-2</v>
      </c>
      <c r="F217">
        <v>126405363</v>
      </c>
      <c r="G217">
        <v>0</v>
      </c>
      <c r="L217" t="s">
        <v>8</v>
      </c>
      <c r="M217" t="s">
        <v>7</v>
      </c>
      <c r="N217" t="s">
        <v>8</v>
      </c>
      <c r="P217">
        <f t="shared" si="959"/>
        <v>-0.48760330578512162</v>
      </c>
      <c r="Q217">
        <f t="shared" si="960"/>
        <v>-61635672.867768295</v>
      </c>
      <c r="R217">
        <f t="shared" si="961"/>
        <v>-579727370.23045063</v>
      </c>
      <c r="S217">
        <f t="shared" si="962"/>
        <v>-5797.2737023045065</v>
      </c>
      <c r="T217">
        <f t="shared" si="963"/>
        <v>-5.7972737023045067</v>
      </c>
    </row>
    <row r="218" spans="1:20" x14ac:dyDescent="0.25">
      <c r="A218" s="5">
        <v>44375</v>
      </c>
      <c r="B218">
        <v>2.264E-2</v>
      </c>
      <c r="C218">
        <v>2.3E-2</v>
      </c>
      <c r="D218">
        <v>2.1940000000000001E-2</v>
      </c>
      <c r="E218">
        <v>2.2519999999999998E-2</v>
      </c>
      <c r="F218">
        <v>111574041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9.4339622641505735E-2</v>
      </c>
      <c r="Q218">
        <f t="shared" si="960"/>
        <v>10525852.924527889</v>
      </c>
      <c r="R218">
        <f t="shared" si="961"/>
        <v>-518091697.36268234</v>
      </c>
      <c r="S218">
        <f t="shared" si="962"/>
        <v>-5180.9169736268232</v>
      </c>
      <c r="T218">
        <f t="shared" si="963"/>
        <v>-5.1809169736268235</v>
      </c>
    </row>
    <row r="219" spans="1:20" x14ac:dyDescent="0.25">
      <c r="A219" s="5">
        <v>44374</v>
      </c>
      <c r="B219">
        <v>2.265E-2</v>
      </c>
      <c r="C219">
        <v>2.3650000000000001E-2</v>
      </c>
      <c r="D219">
        <v>2.1319999999999999E-2</v>
      </c>
      <c r="E219">
        <v>2.264E-2</v>
      </c>
      <c r="F219">
        <v>105888009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0.1330472103004296</v>
      </c>
      <c r="Q219">
        <f t="shared" si="960"/>
        <v>14088104.201716783</v>
      </c>
      <c r="R219">
        <f t="shared" si="961"/>
        <v>-528617550.28721023</v>
      </c>
      <c r="S219">
        <f t="shared" si="962"/>
        <v>-5286.1755028721027</v>
      </c>
      <c r="T219">
        <f t="shared" si="963"/>
        <v>-5.2861755028721031</v>
      </c>
    </row>
    <row r="220" spans="1:20" x14ac:dyDescent="0.25">
      <c r="A220" s="5">
        <v>44373</v>
      </c>
      <c r="B220">
        <v>2.223E-2</v>
      </c>
      <c r="C220">
        <v>2.266E-2</v>
      </c>
      <c r="D220">
        <v>2.0750000000000001E-2</v>
      </c>
      <c r="E220">
        <v>2.2620000000000001E-2</v>
      </c>
      <c r="F220">
        <v>132640479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0.95811518324607492</v>
      </c>
      <c r="Q220">
        <f t="shared" si="960"/>
        <v>127084856.84293215</v>
      </c>
      <c r="R220">
        <f t="shared" si="961"/>
        <v>-542705654.48892701</v>
      </c>
      <c r="S220">
        <f t="shared" si="962"/>
        <v>-5427.0565448892703</v>
      </c>
      <c r="T220">
        <f t="shared" si="963"/>
        <v>-5.42705654488927</v>
      </c>
    </row>
    <row r="221" spans="1:20" x14ac:dyDescent="0.25">
      <c r="A221" s="5">
        <v>44372</v>
      </c>
      <c r="B221">
        <v>2.5270000000000001E-2</v>
      </c>
      <c r="C221">
        <v>2.588E-2</v>
      </c>
      <c r="D221">
        <v>2.1899999999999999E-2</v>
      </c>
      <c r="E221">
        <v>2.223E-2</v>
      </c>
      <c r="F221">
        <v>231815761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-0.83417085427135662</v>
      </c>
      <c r="Q221">
        <f t="shared" si="960"/>
        <v>-193373951.38693464</v>
      </c>
      <c r="R221">
        <f t="shared" si="961"/>
        <v>-669790511.33185911</v>
      </c>
      <c r="S221">
        <f t="shared" si="962"/>
        <v>-6697.9051133185912</v>
      </c>
      <c r="T221">
        <f t="shared" si="963"/>
        <v>-6.6979051133185914</v>
      </c>
    </row>
    <row r="222" spans="1:20" x14ac:dyDescent="0.25">
      <c r="A222" s="5">
        <v>44371</v>
      </c>
      <c r="B222">
        <v>2.2460000000000001E-2</v>
      </c>
      <c r="C222">
        <v>2.7830000000000001E-2</v>
      </c>
      <c r="D222">
        <v>2.2349999999999998E-2</v>
      </c>
      <c r="E222">
        <v>2.5270000000000001E-2</v>
      </c>
      <c r="F222">
        <v>697173476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6.5693430656934768E-2</v>
      </c>
      <c r="Q222">
        <f t="shared" si="960"/>
        <v>45799717.401460178</v>
      </c>
      <c r="R222">
        <f t="shared" si="961"/>
        <v>-476416559.94492447</v>
      </c>
      <c r="S222">
        <f t="shared" si="962"/>
        <v>-4764.1655994492448</v>
      </c>
      <c r="T222">
        <f t="shared" si="963"/>
        <v>-4.7641655994492451</v>
      </c>
    </row>
    <row r="223" spans="1:20" x14ac:dyDescent="0.25">
      <c r="A223" s="5">
        <v>44370</v>
      </c>
      <c r="B223">
        <v>1.907E-2</v>
      </c>
      <c r="C223">
        <v>2.2579999999999999E-2</v>
      </c>
      <c r="D223">
        <v>1.8350000000000002E-2</v>
      </c>
      <c r="E223">
        <v>2.249E-2</v>
      </c>
      <c r="F223">
        <v>234495250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0.95744680851063835</v>
      </c>
      <c r="Q223">
        <f t="shared" si="960"/>
        <v>224516728.72340426</v>
      </c>
      <c r="R223">
        <f t="shared" si="961"/>
        <v>-522216277.34638464</v>
      </c>
      <c r="S223">
        <f t="shared" si="962"/>
        <v>-5222.1627734638469</v>
      </c>
      <c r="T223">
        <f t="shared" si="963"/>
        <v>-5.2221627734638467</v>
      </c>
    </row>
    <row r="224" spans="1:20" x14ac:dyDescent="0.25">
      <c r="A224" s="5">
        <v>44369</v>
      </c>
      <c r="B224">
        <v>2.036E-2</v>
      </c>
      <c r="C224">
        <v>2.1600000000000001E-2</v>
      </c>
      <c r="D224">
        <v>1.6219999999999998E-2</v>
      </c>
      <c r="E224">
        <v>1.908E-2</v>
      </c>
      <c r="F224">
        <v>319005074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6.31970260223048E-2</v>
      </c>
      <c r="Q224">
        <f t="shared" si="960"/>
        <v>20160171.962825269</v>
      </c>
      <c r="R224">
        <f t="shared" si="961"/>
        <v>-746733006.06978893</v>
      </c>
      <c r="S224">
        <f t="shared" si="962"/>
        <v>-7467.3300606978892</v>
      </c>
      <c r="T224">
        <f t="shared" si="963"/>
        <v>-7.467330060697889</v>
      </c>
    </row>
    <row r="225" spans="1:20" x14ac:dyDescent="0.25">
      <c r="A225" s="5">
        <v>44368</v>
      </c>
      <c r="B225">
        <v>2.792E-2</v>
      </c>
      <c r="C225">
        <v>2.8000000000000001E-2</v>
      </c>
      <c r="D225">
        <v>2.0230000000000001E-2</v>
      </c>
      <c r="E225">
        <v>2.036E-2</v>
      </c>
      <c r="F225">
        <v>354070523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-0.96653796653796697</v>
      </c>
      <c r="Q225">
        <f t="shared" si="960"/>
        <v>-342222603.31145447</v>
      </c>
      <c r="R225">
        <f t="shared" si="961"/>
        <v>-766893178.03261423</v>
      </c>
      <c r="S225">
        <f t="shared" si="962"/>
        <v>-7668.931780326142</v>
      </c>
      <c r="T225">
        <f t="shared" si="963"/>
        <v>-7.6689317803261421</v>
      </c>
    </row>
    <row r="226" spans="1:20" x14ac:dyDescent="0.25">
      <c r="A226" s="5">
        <v>44367</v>
      </c>
      <c r="B226">
        <v>2.9020000000000001E-2</v>
      </c>
      <c r="C226">
        <v>2.9149999999999999E-2</v>
      </c>
      <c r="D226">
        <v>2.5999999999999999E-2</v>
      </c>
      <c r="E226">
        <v>2.792E-2</v>
      </c>
      <c r="F226">
        <v>333148756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0.21904761904762005</v>
      </c>
      <c r="Q226">
        <f t="shared" si="960"/>
        <v>72975441.790476516</v>
      </c>
      <c r="R226">
        <f t="shared" si="961"/>
        <v>-424670574.7211597</v>
      </c>
      <c r="S226">
        <f t="shared" si="962"/>
        <v>-4246.7057472115966</v>
      </c>
      <c r="T226">
        <f t="shared" si="963"/>
        <v>-4.246705747211597</v>
      </c>
    </row>
    <row r="227" spans="1:20" x14ac:dyDescent="0.25">
      <c r="A227" s="5">
        <v>44366</v>
      </c>
      <c r="B227">
        <v>3.304E-2</v>
      </c>
      <c r="C227">
        <v>3.3649999999999999E-2</v>
      </c>
      <c r="D227">
        <v>2.8490000000000001E-2</v>
      </c>
      <c r="E227">
        <v>2.9000000000000001E-2</v>
      </c>
      <c r="F227">
        <v>538060090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-0.80232558139534871</v>
      </c>
      <c r="Q227">
        <f t="shared" si="960"/>
        <v>-431699374.53488368</v>
      </c>
      <c r="R227">
        <f t="shared" si="961"/>
        <v>-497646016.5116362</v>
      </c>
      <c r="S227">
        <f t="shared" si="962"/>
        <v>-4976.4601651163621</v>
      </c>
      <c r="T227">
        <f t="shared" si="963"/>
        <v>-4.9764601651163618</v>
      </c>
    </row>
    <row r="228" spans="1:20" x14ac:dyDescent="0.25">
      <c r="A228" s="5">
        <v>44365</v>
      </c>
      <c r="B228">
        <v>2.7570000000000001E-2</v>
      </c>
      <c r="C228">
        <v>3.8800000000000001E-2</v>
      </c>
      <c r="D228">
        <v>2.7570000000000001E-2</v>
      </c>
      <c r="E228">
        <v>3.3050000000000003E-2</v>
      </c>
      <c r="F228">
        <v>1346373828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-2.404274265360605E-2</v>
      </c>
      <c r="Q228">
        <f t="shared" si="960"/>
        <v>-32370519.462154455</v>
      </c>
      <c r="R228">
        <f t="shared" si="961"/>
        <v>-65946641.976752505</v>
      </c>
      <c r="S228">
        <f t="shared" si="962"/>
        <v>-659.46641976752505</v>
      </c>
      <c r="T228">
        <f t="shared" si="963"/>
        <v>-0.65946641976752507</v>
      </c>
    </row>
    <row r="229" spans="1:20" x14ac:dyDescent="0.25">
      <c r="A229" s="5">
        <v>44361</v>
      </c>
      <c r="B229">
        <v>26.657</v>
      </c>
      <c r="C229">
        <v>28.405999999999999</v>
      </c>
      <c r="D229">
        <v>26.161000000000001</v>
      </c>
      <c r="E229">
        <v>27.571999999999999</v>
      </c>
      <c r="F229">
        <v>95215.933999999994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0.2570155902004449</v>
      </c>
      <c r="Q229">
        <f t="shared" si="960"/>
        <v>24471.979473496605</v>
      </c>
      <c r="R229">
        <f t="shared" si="961"/>
        <v>-33576122.514598049</v>
      </c>
      <c r="S229">
        <f t="shared" si="962"/>
        <v>-335.76122514598052</v>
      </c>
      <c r="T229">
        <f t="shared" si="963"/>
        <v>-0.3357612251459805</v>
      </c>
    </row>
    <row r="230" spans="1:20" x14ac:dyDescent="0.25">
      <c r="A230" s="5">
        <v>44360</v>
      </c>
      <c r="B230">
        <v>23.774000000000001</v>
      </c>
      <c r="C230">
        <v>27.667000000000002</v>
      </c>
      <c r="D230">
        <v>23.260999999999999</v>
      </c>
      <c r="E230">
        <v>26.585999999999999</v>
      </c>
      <c r="F230">
        <v>457654.72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0.50930549251021218</v>
      </c>
      <c r="Q230">
        <f t="shared" si="960"/>
        <v>233086.06256922323</v>
      </c>
      <c r="R230">
        <f t="shared" si="961"/>
        <v>-33600594.494071543</v>
      </c>
      <c r="S230">
        <f t="shared" si="962"/>
        <v>-336.00594494071544</v>
      </c>
      <c r="T230">
        <f t="shared" si="963"/>
        <v>-0.33600594494071545</v>
      </c>
    </row>
    <row r="231" spans="1:20" x14ac:dyDescent="0.25">
      <c r="A231" s="5">
        <v>44359</v>
      </c>
      <c r="B231">
        <v>24.242999999999999</v>
      </c>
      <c r="C231">
        <v>24.73</v>
      </c>
      <c r="D231">
        <v>22.41</v>
      </c>
      <c r="E231">
        <v>23.774000000000001</v>
      </c>
      <c r="F231">
        <v>211512.484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0.17586206896551776</v>
      </c>
      <c r="Q231">
        <f t="shared" si="960"/>
        <v>37197.023048275973</v>
      </c>
      <c r="R231">
        <f t="shared" si="961"/>
        <v>-33833680.556640767</v>
      </c>
      <c r="S231">
        <f t="shared" si="962"/>
        <v>-338.33680556640769</v>
      </c>
      <c r="T231">
        <f t="shared" si="963"/>
        <v>-0.33833680556640772</v>
      </c>
    </row>
    <row r="232" spans="1:20" x14ac:dyDescent="0.25">
      <c r="A232" s="5">
        <v>44358</v>
      </c>
      <c r="B232">
        <v>26.305</v>
      </c>
      <c r="C232">
        <v>27.463000000000001</v>
      </c>
      <c r="D232">
        <v>23.85</v>
      </c>
      <c r="E232">
        <v>24.308</v>
      </c>
      <c r="F232">
        <v>326617.42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-0.74647107666759016</v>
      </c>
      <c r="Q232">
        <f t="shared" si="960"/>
        <v>-243810.45716579049</v>
      </c>
      <c r="R232">
        <f t="shared" si="961"/>
        <v>-33870877.579689041</v>
      </c>
      <c r="S232">
        <f t="shared" si="962"/>
        <v>-338.70877579689039</v>
      </c>
      <c r="T232">
        <f t="shared" si="963"/>
        <v>-0.3387087757968904</v>
      </c>
    </row>
    <row r="233" spans="1:20" x14ac:dyDescent="0.25">
      <c r="A233" s="5">
        <v>44357</v>
      </c>
      <c r="B233">
        <v>28.384</v>
      </c>
      <c r="C233">
        <v>28.442</v>
      </c>
      <c r="D233">
        <v>25.260999999999999</v>
      </c>
      <c r="E233">
        <v>26.318000000000001</v>
      </c>
      <c r="F233">
        <v>166964.65400000001</v>
      </c>
      <c r="G233">
        <v>0</v>
      </c>
      <c r="L233" t="s">
        <v>7</v>
      </c>
      <c r="M233" t="s">
        <v>8</v>
      </c>
      <c r="N233" t="s">
        <v>7</v>
      </c>
      <c r="P233">
        <f t="shared" si="959"/>
        <v>-0.33542911034265838</v>
      </c>
      <c r="Q233">
        <f t="shared" si="960"/>
        <v>-56004.805349889779</v>
      </c>
      <c r="R233">
        <f t="shared" si="961"/>
        <v>-33627067.122523248</v>
      </c>
      <c r="S233">
        <f t="shared" si="962"/>
        <v>-336.27067122523249</v>
      </c>
      <c r="T233">
        <f t="shared" si="963"/>
        <v>-0.33627067122523246</v>
      </c>
    </row>
    <row r="234" spans="1:20" x14ac:dyDescent="0.25">
      <c r="A234" s="5">
        <v>44356</v>
      </c>
      <c r="B234">
        <v>26.661000000000001</v>
      </c>
      <c r="C234">
        <v>30.074000000000002</v>
      </c>
      <c r="D234">
        <v>25.474</v>
      </c>
      <c r="E234">
        <v>28.344999999999999</v>
      </c>
      <c r="F234">
        <v>464299.57400000002</v>
      </c>
      <c r="G234">
        <v>0</v>
      </c>
      <c r="L234" t="s">
        <v>8</v>
      </c>
      <c r="M234" t="s">
        <v>8</v>
      </c>
      <c r="N234" t="s">
        <v>7</v>
      </c>
      <c r="P234">
        <f t="shared" si="959"/>
        <v>0.24826086956521642</v>
      </c>
      <c r="Q234">
        <f t="shared" si="960"/>
        <v>115267.41597999955</v>
      </c>
      <c r="R234">
        <f t="shared" si="961"/>
        <v>-33571062.317173362</v>
      </c>
      <c r="S234">
        <f t="shared" si="962"/>
        <v>-335.71062317173363</v>
      </c>
      <c r="T234">
        <f t="shared" si="963"/>
        <v>-0.33571062317173361</v>
      </c>
    </row>
    <row r="235" spans="1:20" x14ac:dyDescent="0.25">
      <c r="A235" s="5">
        <v>44355</v>
      </c>
      <c r="B235">
        <v>25.303000000000001</v>
      </c>
      <c r="C235">
        <v>29.164999999999999</v>
      </c>
      <c r="D235">
        <v>23.600999999999999</v>
      </c>
      <c r="E235">
        <v>26.661000000000001</v>
      </c>
      <c r="F235">
        <v>761919.54799999995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9.992810927390447E-2</v>
      </c>
      <c r="Q235">
        <f t="shared" si="960"/>
        <v>76137.179850467903</v>
      </c>
      <c r="R235">
        <f t="shared" si="961"/>
        <v>-33686329.733153358</v>
      </c>
      <c r="S235">
        <f t="shared" si="962"/>
        <v>-336.8632973315336</v>
      </c>
      <c r="T235">
        <f t="shared" si="963"/>
        <v>-0.33686329733153358</v>
      </c>
    </row>
    <row r="236" spans="1:20" x14ac:dyDescent="0.25">
      <c r="A236" s="5">
        <v>44354</v>
      </c>
      <c r="B236">
        <v>30.58</v>
      </c>
      <c r="C236">
        <v>31.594000000000001</v>
      </c>
      <c r="D236">
        <v>25.22</v>
      </c>
      <c r="E236">
        <v>25.303000000000001</v>
      </c>
      <c r="F236">
        <v>601516.16500000004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-0.97395669909005278</v>
      </c>
      <c r="Q236">
        <f t="shared" si="960"/>
        <v>-585850.6985127076</v>
      </c>
      <c r="R236">
        <f t="shared" si="961"/>
        <v>-33762466.913003825</v>
      </c>
      <c r="S236">
        <f t="shared" si="962"/>
        <v>-337.62466913003823</v>
      </c>
      <c r="T236">
        <f t="shared" si="963"/>
        <v>-0.33762466913003825</v>
      </c>
    </row>
    <row r="237" spans="1:20" x14ac:dyDescent="0.25">
      <c r="A237" s="5">
        <v>44353</v>
      </c>
      <c r="B237">
        <v>34.277000000000001</v>
      </c>
      <c r="C237">
        <v>34.534999999999997</v>
      </c>
      <c r="D237">
        <v>29.928000000000001</v>
      </c>
      <c r="E237">
        <v>30.581</v>
      </c>
      <c r="F237">
        <v>424210.14299999998</v>
      </c>
      <c r="G237">
        <v>0</v>
      </c>
      <c r="L237" t="s">
        <v>7</v>
      </c>
      <c r="M237" t="s">
        <v>7</v>
      </c>
      <c r="N237" t="s">
        <v>7</v>
      </c>
      <c r="P237">
        <f t="shared" si="959"/>
        <v>-0.71651834165400508</v>
      </c>
      <c r="Q237">
        <f t="shared" si="960"/>
        <v>-303954.34817516833</v>
      </c>
      <c r="R237">
        <f t="shared" si="961"/>
        <v>-33176616.214491114</v>
      </c>
      <c r="S237">
        <f t="shared" si="962"/>
        <v>-331.76616214491116</v>
      </c>
      <c r="T237">
        <f t="shared" si="963"/>
        <v>-0.33176616214491117</v>
      </c>
    </row>
    <row r="238" spans="1:20" x14ac:dyDescent="0.25">
      <c r="A238" s="5">
        <v>44352</v>
      </c>
      <c r="B238">
        <v>37.034999999999997</v>
      </c>
      <c r="C238">
        <v>39.722999999999999</v>
      </c>
      <c r="D238">
        <v>34.003</v>
      </c>
      <c r="E238">
        <v>34.28</v>
      </c>
      <c r="F238">
        <v>219351.47</v>
      </c>
      <c r="G238">
        <v>0</v>
      </c>
      <c r="L238" t="s">
        <v>7</v>
      </c>
      <c r="M238" t="s">
        <v>7</v>
      </c>
      <c r="N238" t="s">
        <v>8</v>
      </c>
      <c r="P238">
        <f t="shared" si="959"/>
        <v>-0.90314685314685272</v>
      </c>
      <c r="Q238">
        <f t="shared" si="960"/>
        <v>-198106.58986363627</v>
      </c>
      <c r="R238">
        <f t="shared" si="961"/>
        <v>-32872661.866315946</v>
      </c>
      <c r="S238">
        <f t="shared" si="962"/>
        <v>-328.72661866315946</v>
      </c>
      <c r="T238">
        <f t="shared" si="963"/>
        <v>-0.32872661866315944</v>
      </c>
    </row>
    <row r="239" spans="1:20" x14ac:dyDescent="0.25">
      <c r="A239" s="5">
        <v>44351</v>
      </c>
      <c r="B239">
        <v>40.997999999999998</v>
      </c>
      <c r="C239">
        <v>42.375999999999998</v>
      </c>
      <c r="D239">
        <v>35.338999999999999</v>
      </c>
      <c r="E239">
        <v>36.901000000000003</v>
      </c>
      <c r="F239">
        <v>721160.02599999995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-0.55606082137274271</v>
      </c>
      <c r="Q239">
        <f t="shared" si="960"/>
        <v>-401008.83639874845</v>
      </c>
      <c r="R239">
        <f t="shared" si="961"/>
        <v>-32674555.27645231</v>
      </c>
      <c r="S239">
        <f t="shared" si="962"/>
        <v>-326.7455527645231</v>
      </c>
      <c r="T239">
        <f t="shared" si="963"/>
        <v>-0.32674555276452311</v>
      </c>
    </row>
    <row r="240" spans="1:20" x14ac:dyDescent="0.25">
      <c r="A240" s="5">
        <v>44350</v>
      </c>
      <c r="B240">
        <v>28.763999999999999</v>
      </c>
      <c r="C240">
        <v>44.752000000000002</v>
      </c>
      <c r="D240">
        <v>28.582999999999998</v>
      </c>
      <c r="E240">
        <v>40.999000000000002</v>
      </c>
      <c r="F240">
        <v>2275379.1009999998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0.53577834127033219</v>
      </c>
      <c r="Q240">
        <f t="shared" si="960"/>
        <v>1219098.8404949596</v>
      </c>
      <c r="R240">
        <f t="shared" si="961"/>
        <v>-32273546.440053564</v>
      </c>
      <c r="S240">
        <f t="shared" si="962"/>
        <v>-322.73546440053565</v>
      </c>
      <c r="T240">
        <f t="shared" si="963"/>
        <v>-0.32273546440053563</v>
      </c>
    </row>
    <row r="241" spans="1:20" x14ac:dyDescent="0.25">
      <c r="A241" s="5">
        <v>44349</v>
      </c>
      <c r="B241">
        <v>27.542000000000002</v>
      </c>
      <c r="C241">
        <v>30.023</v>
      </c>
      <c r="D241">
        <v>26.998999999999999</v>
      </c>
      <c r="E241">
        <v>28.782</v>
      </c>
      <c r="F241">
        <v>185060.65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0.17923280423280472</v>
      </c>
      <c r="Q241">
        <f t="shared" si="960"/>
        <v>33168.939252645592</v>
      </c>
      <c r="R241">
        <f t="shared" si="961"/>
        <v>-33492645.280548524</v>
      </c>
      <c r="S241">
        <f t="shared" si="962"/>
        <v>-334.92645280548527</v>
      </c>
      <c r="T241">
        <f t="shared" si="963"/>
        <v>-0.33492645280548528</v>
      </c>
    </row>
    <row r="242" spans="1:20" x14ac:dyDescent="0.25">
      <c r="A242" s="5">
        <v>44348</v>
      </c>
      <c r="B242">
        <v>27.745000000000001</v>
      </c>
      <c r="C242">
        <v>32.378</v>
      </c>
      <c r="D242">
        <v>26.864000000000001</v>
      </c>
      <c r="E242">
        <v>27.54</v>
      </c>
      <c r="F242">
        <v>267242.83600000001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-0.75480594849474125</v>
      </c>
      <c r="Q242">
        <f t="shared" si="960"/>
        <v>-201716.48230540458</v>
      </c>
      <c r="R242">
        <f t="shared" si="961"/>
        <v>-33525814.219801169</v>
      </c>
      <c r="S242">
        <f t="shared" si="962"/>
        <v>-335.25814219801168</v>
      </c>
      <c r="T242">
        <f t="shared" si="963"/>
        <v>-0.3352581421980117</v>
      </c>
    </row>
    <row r="243" spans="1:20" x14ac:dyDescent="0.25">
      <c r="A243" s="5">
        <v>44347</v>
      </c>
      <c r="B243">
        <v>24.667999999999999</v>
      </c>
      <c r="C243">
        <v>29.87</v>
      </c>
      <c r="D243">
        <v>23.538</v>
      </c>
      <c r="E243">
        <v>27.893999999999998</v>
      </c>
      <c r="F243">
        <v>435695.96299999999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0.37586860391661325</v>
      </c>
      <c r="Q243">
        <f t="shared" si="960"/>
        <v>163764.43334491437</v>
      </c>
      <c r="R243">
        <f t="shared" si="961"/>
        <v>-33324097.737495765</v>
      </c>
      <c r="S243">
        <f t="shared" si="962"/>
        <v>-333.24097737495765</v>
      </c>
      <c r="T243">
        <f t="shared" si="963"/>
        <v>-0.33324097737495767</v>
      </c>
    </row>
    <row r="244" spans="1:20" x14ac:dyDescent="0.25">
      <c r="A244" s="5">
        <v>44346</v>
      </c>
      <c r="B244">
        <v>24.527999999999999</v>
      </c>
      <c r="C244">
        <v>26.010999999999999</v>
      </c>
      <c r="D244">
        <v>23.187000000000001</v>
      </c>
      <c r="E244">
        <v>24.678000000000001</v>
      </c>
      <c r="F244">
        <v>147705.372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5.5949008498584051E-2</v>
      </c>
      <c r="Q244">
        <f t="shared" si="960"/>
        <v>8263.9691133145188</v>
      </c>
      <c r="R244">
        <f t="shared" si="961"/>
        <v>-33487862.170840681</v>
      </c>
      <c r="S244">
        <f t="shared" si="962"/>
        <v>-334.8786217084068</v>
      </c>
      <c r="T244">
        <f t="shared" si="963"/>
        <v>-0.33487862170840682</v>
      </c>
    </row>
    <row r="245" spans="1:20" x14ac:dyDescent="0.25">
      <c r="A245" s="5">
        <v>44345</v>
      </c>
      <c r="B245">
        <v>26.792999999999999</v>
      </c>
      <c r="C245">
        <v>27.983000000000001</v>
      </c>
      <c r="D245">
        <v>23.65</v>
      </c>
      <c r="E245">
        <v>24.53</v>
      </c>
      <c r="F245">
        <v>188707.005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-0.59381490883914045</v>
      </c>
      <c r="Q245">
        <f t="shared" si="960"/>
        <v>-112057.03297138223</v>
      </c>
      <c r="R245">
        <f t="shared" si="961"/>
        <v>-33496126.139953993</v>
      </c>
      <c r="S245">
        <f t="shared" si="962"/>
        <v>-334.96126139953992</v>
      </c>
      <c r="T245">
        <f t="shared" si="963"/>
        <v>-0.33496126139953991</v>
      </c>
    </row>
    <row r="246" spans="1:20" x14ac:dyDescent="0.25">
      <c r="A246" s="5">
        <v>44344</v>
      </c>
      <c r="B246">
        <v>28.454000000000001</v>
      </c>
      <c r="C246">
        <v>30.986000000000001</v>
      </c>
      <c r="D246">
        <v>25.483000000000001</v>
      </c>
      <c r="E246">
        <v>26.721</v>
      </c>
      <c r="F246">
        <v>284682.21799999999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-0.55006360167181556</v>
      </c>
      <c r="Q246">
        <f t="shared" si="960"/>
        <v>-156593.32616500097</v>
      </c>
      <c r="R246">
        <f t="shared" si="961"/>
        <v>-33384069.106982611</v>
      </c>
      <c r="S246">
        <f t="shared" si="962"/>
        <v>-333.84069106982611</v>
      </c>
      <c r="T246">
        <f t="shared" si="963"/>
        <v>-0.33384069106982611</v>
      </c>
    </row>
    <row r="247" spans="1:20" x14ac:dyDescent="0.25">
      <c r="A247" s="5">
        <v>44343</v>
      </c>
      <c r="B247">
        <v>28.12</v>
      </c>
      <c r="C247">
        <v>32</v>
      </c>
      <c r="D247">
        <v>24.484999999999999</v>
      </c>
      <c r="E247">
        <v>28.481999999999999</v>
      </c>
      <c r="F247">
        <v>416080.152</v>
      </c>
      <c r="G247">
        <v>0</v>
      </c>
      <c r="L247" t="s">
        <v>7</v>
      </c>
      <c r="M247" t="s">
        <v>7</v>
      </c>
      <c r="N247" t="s">
        <v>8</v>
      </c>
      <c r="P247">
        <f t="shared" si="959"/>
        <v>6.3739188290086388E-2</v>
      </c>
      <c r="Q247">
        <f t="shared" si="960"/>
        <v>26520.611152095764</v>
      </c>
      <c r="R247">
        <f t="shared" si="961"/>
        <v>-33227475.780817609</v>
      </c>
      <c r="S247">
        <f t="shared" si="962"/>
        <v>-332.2747578081761</v>
      </c>
      <c r="T247">
        <f t="shared" si="963"/>
        <v>-0.33227475780817611</v>
      </c>
    </row>
    <row r="248" spans="1:20" x14ac:dyDescent="0.25">
      <c r="A248" s="5">
        <v>44342</v>
      </c>
      <c r="B248">
        <v>26.417999999999999</v>
      </c>
      <c r="C248">
        <v>32.473999999999997</v>
      </c>
      <c r="D248">
        <v>26.013000000000002</v>
      </c>
      <c r="E248">
        <v>28.111999999999998</v>
      </c>
      <c r="F248">
        <v>573393.696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-0.35025537842439303</v>
      </c>
      <c r="Q248">
        <f t="shared" si="960"/>
        <v>-200834.22597864136</v>
      </c>
      <c r="R248">
        <f t="shared" si="961"/>
        <v>-33253996.391969707</v>
      </c>
      <c r="S248">
        <f t="shared" si="962"/>
        <v>-332.53996391969707</v>
      </c>
      <c r="T248">
        <f t="shared" si="963"/>
        <v>-0.33253996391969709</v>
      </c>
    </row>
    <row r="249" spans="1:20" x14ac:dyDescent="0.25">
      <c r="A249" s="5">
        <v>44341</v>
      </c>
      <c r="B249">
        <v>20.356999999999999</v>
      </c>
      <c r="C249">
        <v>26.96</v>
      </c>
      <c r="D249">
        <v>19.666</v>
      </c>
      <c r="E249">
        <v>26.402000000000001</v>
      </c>
      <c r="F249">
        <v>353821.00300000003</v>
      </c>
      <c r="G249">
        <v>0</v>
      </c>
      <c r="L249" t="s">
        <v>8</v>
      </c>
      <c r="M249" t="s">
        <v>8</v>
      </c>
      <c r="N249" t="s">
        <v>8</v>
      </c>
      <c r="P249">
        <f t="shared" si="959"/>
        <v>0.84699753221826168</v>
      </c>
      <c r="Q249">
        <f t="shared" si="960"/>
        <v>299685.51638799021</v>
      </c>
      <c r="R249">
        <f t="shared" si="961"/>
        <v>-33053162.165991064</v>
      </c>
      <c r="S249">
        <f t="shared" si="962"/>
        <v>-330.53162165991063</v>
      </c>
      <c r="T249">
        <f t="shared" si="963"/>
        <v>-0.33053162165991062</v>
      </c>
    </row>
    <row r="250" spans="1:20" x14ac:dyDescent="0.25">
      <c r="A250" s="5">
        <v>44340</v>
      </c>
      <c r="B250">
        <v>16.745999999999999</v>
      </c>
      <c r="C250">
        <v>20.51</v>
      </c>
      <c r="D250">
        <v>15.601000000000001</v>
      </c>
      <c r="E250">
        <v>20.366</v>
      </c>
      <c r="F250">
        <v>358931.587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0.94133224689346018</v>
      </c>
      <c r="Q250">
        <f t="shared" si="960"/>
        <v>337873.87727174547</v>
      </c>
      <c r="R250">
        <f t="shared" si="961"/>
        <v>-33352847.682379056</v>
      </c>
      <c r="S250">
        <f t="shared" si="962"/>
        <v>-333.52847682379058</v>
      </c>
      <c r="T250">
        <f t="shared" si="963"/>
        <v>-0.33352847682379061</v>
      </c>
    </row>
    <row r="251" spans="1:20" x14ac:dyDescent="0.25">
      <c r="A251" s="5">
        <v>44339</v>
      </c>
      <c r="B251">
        <v>16.954000000000001</v>
      </c>
      <c r="C251">
        <v>18.605</v>
      </c>
      <c r="D251">
        <v>14.249000000000001</v>
      </c>
      <c r="E251">
        <v>16.745999999999999</v>
      </c>
      <c r="F251">
        <v>850827.57200000004</v>
      </c>
      <c r="G251">
        <v>0</v>
      </c>
      <c r="L251" t="s">
        <v>7</v>
      </c>
      <c r="M251" t="s">
        <v>8</v>
      </c>
      <c r="N251" t="s">
        <v>7</v>
      </c>
      <c r="P251">
        <f t="shared" si="959"/>
        <v>0.14646464646464563</v>
      </c>
      <c r="Q251">
        <f t="shared" si="960"/>
        <v>124616.15953535284</v>
      </c>
      <c r="R251">
        <f t="shared" si="961"/>
        <v>-33690721.559650801</v>
      </c>
      <c r="S251">
        <f t="shared" si="962"/>
        <v>-336.90721559650802</v>
      </c>
      <c r="T251">
        <f t="shared" si="963"/>
        <v>-0.33690721559650805</v>
      </c>
    </row>
    <row r="252" spans="1:20" x14ac:dyDescent="0.25">
      <c r="A252" s="5">
        <v>44338</v>
      </c>
      <c r="B252">
        <v>17.106000000000002</v>
      </c>
      <c r="C252">
        <v>17.481999999999999</v>
      </c>
      <c r="D252">
        <v>14.612</v>
      </c>
      <c r="E252">
        <v>16.981000000000002</v>
      </c>
      <c r="F252">
        <v>183372.424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0.65087108013937434</v>
      </c>
      <c r="Q252">
        <f t="shared" si="960"/>
        <v>119351.80767665533</v>
      </c>
      <c r="R252">
        <f t="shared" si="961"/>
        <v>-33815337.719186157</v>
      </c>
      <c r="S252">
        <f t="shared" si="962"/>
        <v>-338.15337719186158</v>
      </c>
      <c r="T252">
        <f t="shared" si="963"/>
        <v>-0.33815337719186156</v>
      </c>
    </row>
    <row r="253" spans="1:20" x14ac:dyDescent="0.25">
      <c r="A253" s="5">
        <v>44337</v>
      </c>
      <c r="B253">
        <v>20.454000000000001</v>
      </c>
      <c r="C253">
        <v>21.571000000000002</v>
      </c>
      <c r="D253">
        <v>15.51</v>
      </c>
      <c r="E253">
        <v>17.106000000000002</v>
      </c>
      <c r="F253">
        <v>237370.663</v>
      </c>
      <c r="G253">
        <v>0</v>
      </c>
      <c r="L253" t="s">
        <v>8</v>
      </c>
      <c r="M253" t="s">
        <v>7</v>
      </c>
      <c r="N253" t="s">
        <v>7</v>
      </c>
      <c r="P253">
        <f t="shared" si="959"/>
        <v>-0.47335423197492116</v>
      </c>
      <c r="Q253">
        <f t="shared" si="960"/>
        <v>-112360.40787774284</v>
      </c>
      <c r="R253">
        <f t="shared" si="961"/>
        <v>-33934689.526862815</v>
      </c>
      <c r="S253">
        <f t="shared" si="962"/>
        <v>-339.34689526862815</v>
      </c>
      <c r="T253">
        <f t="shared" si="963"/>
        <v>-0.33934689526862816</v>
      </c>
    </row>
    <row r="254" spans="1:20" x14ac:dyDescent="0.25">
      <c r="A254" s="5">
        <v>44336</v>
      </c>
      <c r="B254">
        <v>17.576000000000001</v>
      </c>
      <c r="C254">
        <v>21.372</v>
      </c>
      <c r="D254">
        <v>16.234999999999999</v>
      </c>
      <c r="E254">
        <v>20.422999999999998</v>
      </c>
      <c r="F254">
        <v>273194.52299999999</v>
      </c>
      <c r="G254">
        <v>0</v>
      </c>
      <c r="L254" t="s">
        <v>8</v>
      </c>
      <c r="M254" t="s">
        <v>8</v>
      </c>
      <c r="N254" t="s">
        <v>8</v>
      </c>
      <c r="P254">
        <f t="shared" si="959"/>
        <v>0.63052365193692761</v>
      </c>
      <c r="Q254">
        <f t="shared" si="960"/>
        <v>172255.60833112695</v>
      </c>
      <c r="R254">
        <f t="shared" si="961"/>
        <v>-33822329.118985072</v>
      </c>
      <c r="S254">
        <f t="shared" si="962"/>
        <v>-338.22329118985073</v>
      </c>
      <c r="T254">
        <f t="shared" si="963"/>
        <v>-0.33822329118985073</v>
      </c>
    </row>
    <row r="255" spans="1:20" x14ac:dyDescent="0.25">
      <c r="A255" s="5">
        <v>44335</v>
      </c>
      <c r="B255">
        <v>27.824999999999999</v>
      </c>
      <c r="C255">
        <v>28.132999999999999</v>
      </c>
      <c r="D255">
        <v>15</v>
      </c>
      <c r="E255">
        <v>17.562999999999999</v>
      </c>
      <c r="F255">
        <v>549599.674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-0.6096855250133254</v>
      </c>
      <c r="Q255">
        <f t="shared" si="960"/>
        <v>-335082.96578984248</v>
      </c>
      <c r="R255">
        <f t="shared" si="961"/>
        <v>-33994584.727316201</v>
      </c>
      <c r="S255">
        <f t="shared" si="962"/>
        <v>-339.94584727316203</v>
      </c>
      <c r="T255">
        <f t="shared" si="963"/>
        <v>-0.33994584727316202</v>
      </c>
    </row>
    <row r="256" spans="1:20" x14ac:dyDescent="0.25">
      <c r="A256" s="5">
        <v>44334</v>
      </c>
      <c r="B256">
        <v>25.821000000000002</v>
      </c>
      <c r="C256">
        <v>32.82</v>
      </c>
      <c r="D256">
        <v>25.574999999999999</v>
      </c>
      <c r="E256">
        <v>27.835999999999999</v>
      </c>
      <c r="F256">
        <v>1508090.4180000001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-0.37584541062801963</v>
      </c>
      <c r="Q256">
        <f t="shared" si="960"/>
        <v>-566808.86241739173</v>
      </c>
      <c r="R256">
        <f t="shared" si="961"/>
        <v>-33659501.761526361</v>
      </c>
      <c r="S256">
        <f t="shared" si="962"/>
        <v>-336.5950176152636</v>
      </c>
      <c r="T256">
        <f t="shared" si="963"/>
        <v>-0.33659501761526361</v>
      </c>
    </row>
    <row r="257" spans="1:20" x14ac:dyDescent="0.25">
      <c r="A257" s="5">
        <v>44333</v>
      </c>
      <c r="B257">
        <v>28.803000000000001</v>
      </c>
      <c r="C257">
        <v>29.765000000000001</v>
      </c>
      <c r="D257">
        <v>25.140999999999998</v>
      </c>
      <c r="E257">
        <v>25.794</v>
      </c>
      <c r="F257">
        <v>859748.28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-0.71756055363321714</v>
      </c>
      <c r="Q257">
        <f t="shared" si="960"/>
        <v>-616921.45178200619</v>
      </c>
      <c r="R257">
        <f t="shared" si="961"/>
        <v>-33092692.899108969</v>
      </c>
      <c r="S257">
        <f t="shared" si="962"/>
        <v>-330.92692899108971</v>
      </c>
      <c r="T257">
        <f t="shared" si="963"/>
        <v>-0.33092692899108972</v>
      </c>
    </row>
    <row r="258" spans="1:20" x14ac:dyDescent="0.25">
      <c r="A258" s="5">
        <v>44332</v>
      </c>
      <c r="B258">
        <v>29.904</v>
      </c>
      <c r="C258">
        <v>31.172000000000001</v>
      </c>
      <c r="D258">
        <v>27.789000000000001</v>
      </c>
      <c r="E258">
        <v>28.806999999999999</v>
      </c>
      <c r="F258">
        <v>106485.958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-0.39816730712385612</v>
      </c>
      <c r="Q258">
        <f t="shared" si="960"/>
        <v>-42399.227143364042</v>
      </c>
      <c r="R258">
        <f t="shared" si="961"/>
        <v>-32475771.447326962</v>
      </c>
      <c r="S258">
        <f t="shared" si="962"/>
        <v>-324.75771447326963</v>
      </c>
      <c r="T258">
        <f t="shared" si="963"/>
        <v>-0.32475771447326962</v>
      </c>
    </row>
    <row r="259" spans="1:20" x14ac:dyDescent="0.25">
      <c r="A259" s="5">
        <v>44331</v>
      </c>
      <c r="B259">
        <v>31.277999999999999</v>
      </c>
      <c r="C259">
        <v>31.902999999999999</v>
      </c>
      <c r="D259">
        <v>29.581</v>
      </c>
      <c r="E259">
        <v>29.706</v>
      </c>
      <c r="F259">
        <v>157647.87899999999</v>
      </c>
      <c r="G259">
        <v>0</v>
      </c>
      <c r="L259" t="s">
        <v>7</v>
      </c>
      <c r="M259" t="s">
        <v>7</v>
      </c>
      <c r="N259" t="s">
        <v>8</v>
      </c>
      <c r="P259">
        <f t="shared" si="959"/>
        <v>-0.89233419465977604</v>
      </c>
      <c r="Q259">
        <f t="shared" si="960"/>
        <v>-140674.5931472868</v>
      </c>
      <c r="R259">
        <f t="shared" si="961"/>
        <v>-32433372.220183596</v>
      </c>
      <c r="S259">
        <f t="shared" si="962"/>
        <v>-324.33372220183594</v>
      </c>
      <c r="T259">
        <f t="shared" si="963"/>
        <v>-0.32433372220183593</v>
      </c>
    </row>
    <row r="260" spans="1:20" x14ac:dyDescent="0.25">
      <c r="A260" s="5">
        <v>44330</v>
      </c>
      <c r="B260">
        <v>29.631</v>
      </c>
      <c r="C260">
        <v>33.261000000000003</v>
      </c>
      <c r="D260">
        <v>28.2</v>
      </c>
      <c r="E260">
        <v>31.277999999999999</v>
      </c>
      <c r="F260">
        <v>1666250.5430000001</v>
      </c>
      <c r="G260">
        <v>0</v>
      </c>
      <c r="L260" t="s">
        <v>8</v>
      </c>
      <c r="M260" t="s">
        <v>7</v>
      </c>
      <c r="N260" t="s">
        <v>8</v>
      </c>
      <c r="P260">
        <f t="shared" si="959"/>
        <v>0.21636040308239371</v>
      </c>
      <c r="Q260">
        <f t="shared" si="960"/>
        <v>360510.63911973743</v>
      </c>
      <c r="R260">
        <f t="shared" si="961"/>
        <v>-32292697.627036311</v>
      </c>
      <c r="S260">
        <f t="shared" si="962"/>
        <v>-322.92697627036313</v>
      </c>
      <c r="T260">
        <f t="shared" si="963"/>
        <v>-0.32292697627036315</v>
      </c>
    </row>
    <row r="261" spans="1:20" x14ac:dyDescent="0.25">
      <c r="A261" s="5">
        <v>44329</v>
      </c>
      <c r="B261">
        <v>29.672000000000001</v>
      </c>
      <c r="C261">
        <v>30.603000000000002</v>
      </c>
      <c r="D261">
        <v>28.12</v>
      </c>
      <c r="E261">
        <v>29.535</v>
      </c>
      <c r="F261">
        <v>158591.962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0.13975030205396605</v>
      </c>
      <c r="Q261">
        <f t="shared" si="960"/>
        <v>22163.274592831105</v>
      </c>
      <c r="R261">
        <f t="shared" si="961"/>
        <v>-32653208.266156048</v>
      </c>
      <c r="S261">
        <f t="shared" si="962"/>
        <v>-326.53208266156048</v>
      </c>
      <c r="T261">
        <f t="shared" si="963"/>
        <v>-0.32653208266156047</v>
      </c>
    </row>
    <row r="262" spans="1:20" x14ac:dyDescent="0.25">
      <c r="A262" s="5">
        <v>44328</v>
      </c>
      <c r="B262">
        <v>32.912999999999997</v>
      </c>
      <c r="C262">
        <v>33.579000000000001</v>
      </c>
      <c r="D262">
        <v>29.135000000000002</v>
      </c>
      <c r="E262">
        <v>29.672999999999998</v>
      </c>
      <c r="F262">
        <v>126651.667</v>
      </c>
      <c r="G262">
        <v>0</v>
      </c>
      <c r="L262" t="s">
        <v>7</v>
      </c>
      <c r="M262" t="s">
        <v>7</v>
      </c>
      <c r="N262" t="s">
        <v>8</v>
      </c>
      <c r="P262">
        <f t="shared" ref="P262:P325" si="964">IF(C262=D262,0,((E262-D262)-(C262-E262))/(C262-D262))</f>
        <v>-0.75787578757875929</v>
      </c>
      <c r="Q262">
        <f t="shared" ref="Q262:Q325" si="965">F262*P262</f>
        <v>-95986.231875787751</v>
      </c>
      <c r="R262">
        <f t="shared" ref="R262:R325" si="966">R263+Q262</f>
        <v>-32675371.540748879</v>
      </c>
      <c r="S262">
        <f t="shared" ref="S262:S325" si="967">R262/100000</f>
        <v>-326.75371540748881</v>
      </c>
      <c r="T262">
        <f t="shared" ref="T262:T325" si="968">S262/1000</f>
        <v>-0.32675371540748882</v>
      </c>
    </row>
    <row r="263" spans="1:20" x14ac:dyDescent="0.25">
      <c r="A263" s="5">
        <v>44327</v>
      </c>
      <c r="B263">
        <v>31.158000000000001</v>
      </c>
      <c r="C263">
        <v>33.841999999999999</v>
      </c>
      <c r="D263">
        <v>29.768999999999998</v>
      </c>
      <c r="E263">
        <v>32.890999999999998</v>
      </c>
      <c r="F263">
        <v>197473.59099999999</v>
      </c>
      <c r="G263">
        <v>0</v>
      </c>
      <c r="L263" t="s">
        <v>8</v>
      </c>
      <c r="M263" t="s">
        <v>7</v>
      </c>
      <c r="N263" t="s">
        <v>8</v>
      </c>
      <c r="P263">
        <f t="shared" si="964"/>
        <v>0.53302234225386669</v>
      </c>
      <c r="Q263">
        <f t="shared" si="965"/>
        <v>105257.83600810208</v>
      </c>
      <c r="R263">
        <f t="shared" si="966"/>
        <v>-32579385.308873091</v>
      </c>
      <c r="S263">
        <f t="shared" si="967"/>
        <v>-325.79385308873088</v>
      </c>
      <c r="T263">
        <f t="shared" si="968"/>
        <v>-0.32579385308873088</v>
      </c>
    </row>
    <row r="264" spans="1:20" x14ac:dyDescent="0.25">
      <c r="A264" s="5">
        <v>44326</v>
      </c>
      <c r="B264">
        <v>34.241999999999997</v>
      </c>
      <c r="C264">
        <v>35.415999999999997</v>
      </c>
      <c r="D264">
        <v>30.111000000000001</v>
      </c>
      <c r="E264">
        <v>31.266999999999999</v>
      </c>
      <c r="F264">
        <v>107561.024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-0.56418473138548553</v>
      </c>
      <c r="Q264">
        <f t="shared" si="965"/>
        <v>-60684.287432987767</v>
      </c>
      <c r="R264">
        <f t="shared" si="966"/>
        <v>-32684643.144881193</v>
      </c>
      <c r="S264">
        <f t="shared" si="967"/>
        <v>-326.84643144881193</v>
      </c>
      <c r="T264">
        <f t="shared" si="968"/>
        <v>-0.32684643144881192</v>
      </c>
    </row>
    <row r="265" spans="1:20" x14ac:dyDescent="0.25">
      <c r="A265" s="5">
        <v>44325</v>
      </c>
      <c r="B265">
        <v>35.104999999999997</v>
      </c>
      <c r="C265">
        <v>35.909999999999997</v>
      </c>
      <c r="D265">
        <v>33.335999999999999</v>
      </c>
      <c r="E265">
        <v>34.241</v>
      </c>
      <c r="F265">
        <v>131605.81700000001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-0.29681429681429539</v>
      </c>
      <c r="Q265">
        <f t="shared" si="965"/>
        <v>-39062.488029525848</v>
      </c>
      <c r="R265">
        <f t="shared" si="966"/>
        <v>-32623958.857448205</v>
      </c>
      <c r="S265">
        <f t="shared" si="967"/>
        <v>-326.23958857448207</v>
      </c>
      <c r="T265">
        <f t="shared" si="968"/>
        <v>-0.3262395885744821</v>
      </c>
    </row>
    <row r="266" spans="1:20" x14ac:dyDescent="0.25">
      <c r="A266" s="5">
        <v>44324</v>
      </c>
      <c r="B266">
        <v>36.055</v>
      </c>
      <c r="C266">
        <v>36.729999999999997</v>
      </c>
      <c r="D266">
        <v>34.822000000000003</v>
      </c>
      <c r="E266">
        <v>35.070999999999998</v>
      </c>
      <c r="F266">
        <v>100366.432</v>
      </c>
      <c r="G266">
        <v>0</v>
      </c>
      <c r="L266" t="s">
        <v>7</v>
      </c>
      <c r="M266" t="s">
        <v>8</v>
      </c>
      <c r="N266" t="s">
        <v>8</v>
      </c>
      <c r="P266">
        <f t="shared" si="964"/>
        <v>-0.73899371069182807</v>
      </c>
      <c r="Q266">
        <f t="shared" si="965"/>
        <v>-74170.162012579036</v>
      </c>
      <c r="R266">
        <f t="shared" si="966"/>
        <v>-32584896.369418681</v>
      </c>
      <c r="S266">
        <f t="shared" si="967"/>
        <v>-325.84896369418681</v>
      </c>
      <c r="T266">
        <f t="shared" si="968"/>
        <v>-0.32584896369418681</v>
      </c>
    </row>
    <row r="267" spans="1:20" x14ac:dyDescent="0.25">
      <c r="A267" s="5">
        <v>44323</v>
      </c>
      <c r="B267">
        <v>37.182000000000002</v>
      </c>
      <c r="C267">
        <v>40.168999999999997</v>
      </c>
      <c r="D267">
        <v>34.881999999999998</v>
      </c>
      <c r="E267">
        <v>36.055</v>
      </c>
      <c r="F267">
        <v>226587.84700000001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-0.55627009646302172</v>
      </c>
      <c r="Q267">
        <f t="shared" si="965"/>
        <v>-126044.04350803842</v>
      </c>
      <c r="R267">
        <f t="shared" si="966"/>
        <v>-32510726.2074061</v>
      </c>
      <c r="S267">
        <f t="shared" si="967"/>
        <v>-325.107262074061</v>
      </c>
      <c r="T267">
        <f t="shared" si="968"/>
        <v>-0.32510726207406099</v>
      </c>
    </row>
    <row r="268" spans="1:20" x14ac:dyDescent="0.25">
      <c r="A268" s="5">
        <v>44322</v>
      </c>
      <c r="B268">
        <v>35.323</v>
      </c>
      <c r="C268">
        <v>39.200000000000003</v>
      </c>
      <c r="D268">
        <v>34.000999999999998</v>
      </c>
      <c r="E268">
        <v>37.179000000000002</v>
      </c>
      <c r="F268">
        <v>295897.13299999997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0.22254279669167193</v>
      </c>
      <c r="Q268">
        <f t="shared" si="965"/>
        <v>65849.775510867606</v>
      </c>
      <c r="R268">
        <f t="shared" si="966"/>
        <v>-32384682.163898062</v>
      </c>
      <c r="S268">
        <f t="shared" si="967"/>
        <v>-323.8468216389806</v>
      </c>
      <c r="T268">
        <f t="shared" si="968"/>
        <v>-0.3238468216389806</v>
      </c>
    </row>
    <row r="269" spans="1:20" x14ac:dyDescent="0.25">
      <c r="A269" s="5">
        <v>44321</v>
      </c>
      <c r="B269">
        <v>30.870999999999999</v>
      </c>
      <c r="C269">
        <v>35.5</v>
      </c>
      <c r="D269">
        <v>30.591999999999999</v>
      </c>
      <c r="E269">
        <v>35.353000000000002</v>
      </c>
      <c r="F269">
        <v>459677.52899999998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0.94009779951100314</v>
      </c>
      <c r="Q269">
        <f t="shared" si="965"/>
        <v>432141.83349755529</v>
      </c>
      <c r="R269">
        <f t="shared" si="966"/>
        <v>-32450531.939408928</v>
      </c>
      <c r="S269">
        <f t="shared" si="967"/>
        <v>-324.50531939408927</v>
      </c>
      <c r="T269">
        <f t="shared" si="968"/>
        <v>-0.32450531939408928</v>
      </c>
    </row>
    <row r="270" spans="1:20" x14ac:dyDescent="0.25">
      <c r="A270" s="5">
        <v>44320</v>
      </c>
      <c r="B270">
        <v>34.603999999999999</v>
      </c>
      <c r="C270">
        <v>36.911999999999999</v>
      </c>
      <c r="D270">
        <v>30.838000000000001</v>
      </c>
      <c r="E270">
        <v>30.838000000000001</v>
      </c>
      <c r="F270">
        <v>2699267.6519999998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-1</v>
      </c>
      <c r="Q270">
        <f t="shared" si="965"/>
        <v>-2699267.6519999998</v>
      </c>
      <c r="R270">
        <f t="shared" si="966"/>
        <v>-32882673.772906482</v>
      </c>
      <c r="S270">
        <f t="shared" si="967"/>
        <v>-328.8267377290648</v>
      </c>
      <c r="T270">
        <f t="shared" si="968"/>
        <v>-0.32882673772906479</v>
      </c>
    </row>
    <row r="271" spans="1:20" x14ac:dyDescent="0.25">
      <c r="A271" s="5">
        <v>44319</v>
      </c>
      <c r="B271">
        <v>33.564</v>
      </c>
      <c r="C271">
        <v>37.164000000000001</v>
      </c>
      <c r="D271">
        <v>32.277000000000001</v>
      </c>
      <c r="E271">
        <v>34.604999999999997</v>
      </c>
      <c r="F271">
        <v>2868675.273</v>
      </c>
      <c r="G271">
        <v>0</v>
      </c>
      <c r="L271" t="s">
        <v>7</v>
      </c>
      <c r="M271" t="s">
        <v>8</v>
      </c>
      <c r="N271" t="s">
        <v>8</v>
      </c>
      <c r="P271">
        <f t="shared" si="964"/>
        <v>-4.7268262737877785E-2</v>
      </c>
      <c r="Q271">
        <f t="shared" si="965"/>
        <v>-135597.29651381727</v>
      </c>
      <c r="R271">
        <f t="shared" si="966"/>
        <v>-30183406.120906483</v>
      </c>
      <c r="S271">
        <f t="shared" si="967"/>
        <v>-301.83406120906483</v>
      </c>
      <c r="T271">
        <f t="shared" si="968"/>
        <v>-0.30183406120906481</v>
      </c>
    </row>
    <row r="272" spans="1:20" x14ac:dyDescent="0.25">
      <c r="A272" s="5">
        <v>44318</v>
      </c>
      <c r="B272">
        <v>34.765999999999998</v>
      </c>
      <c r="C272">
        <v>34.783999999999999</v>
      </c>
      <c r="D272">
        <v>33.018999999999998</v>
      </c>
      <c r="E272">
        <v>33.581000000000003</v>
      </c>
      <c r="F272">
        <v>60811.622000000003</v>
      </c>
      <c r="G272">
        <v>0</v>
      </c>
      <c r="L272" t="s">
        <v>7</v>
      </c>
      <c r="M272" t="s">
        <v>8</v>
      </c>
      <c r="N272" t="s">
        <v>8</v>
      </c>
      <c r="P272">
        <f t="shared" si="964"/>
        <v>-0.36317280453257278</v>
      </c>
      <c r="Q272">
        <f t="shared" si="965"/>
        <v>-22085.127309914704</v>
      </c>
      <c r="R272">
        <f t="shared" si="966"/>
        <v>-30047808.824392665</v>
      </c>
      <c r="S272">
        <f t="shared" si="967"/>
        <v>-300.47808824392666</v>
      </c>
      <c r="T272">
        <f t="shared" si="968"/>
        <v>-0.30047808824392669</v>
      </c>
    </row>
    <row r="273" spans="1:20" x14ac:dyDescent="0.25">
      <c r="A273" s="5">
        <v>44317</v>
      </c>
      <c r="B273">
        <v>35.106999999999999</v>
      </c>
      <c r="C273">
        <v>35.667999999999999</v>
      </c>
      <c r="D273">
        <v>33.929000000000002</v>
      </c>
      <c r="E273">
        <v>34.75</v>
      </c>
      <c r="F273">
        <v>128435.64200000001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-5.5779183438758748E-2</v>
      </c>
      <c r="Q273">
        <f t="shared" si="965"/>
        <v>-7164.0352351927477</v>
      </c>
      <c r="R273">
        <f t="shared" si="966"/>
        <v>-30025723.69708275</v>
      </c>
      <c r="S273">
        <f t="shared" si="967"/>
        <v>-300.25723697082748</v>
      </c>
      <c r="T273">
        <f t="shared" si="968"/>
        <v>-0.30025723697082746</v>
      </c>
    </row>
    <row r="274" spans="1:20" x14ac:dyDescent="0.25">
      <c r="A274" s="5">
        <v>44316</v>
      </c>
      <c r="B274">
        <v>32.988999999999997</v>
      </c>
      <c r="C274">
        <v>35.479999999999997</v>
      </c>
      <c r="D274">
        <v>32.5</v>
      </c>
      <c r="E274">
        <v>35.109000000000002</v>
      </c>
      <c r="F274">
        <v>237615.23800000001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0.75100671140939901</v>
      </c>
      <c r="Q274">
        <f t="shared" si="965"/>
        <v>178450.63847114166</v>
      </c>
      <c r="R274">
        <f t="shared" si="966"/>
        <v>-30018559.661847558</v>
      </c>
      <c r="S274">
        <f t="shared" si="967"/>
        <v>-300.18559661847559</v>
      </c>
      <c r="T274">
        <f t="shared" si="968"/>
        <v>-0.3001855966184756</v>
      </c>
    </row>
    <row r="275" spans="1:20" x14ac:dyDescent="0.25">
      <c r="A275" s="5">
        <v>44315</v>
      </c>
      <c r="B275">
        <v>33.945</v>
      </c>
      <c r="C275">
        <v>34.838999999999999</v>
      </c>
      <c r="D275">
        <v>31.696999999999999</v>
      </c>
      <c r="E275">
        <v>32.99</v>
      </c>
      <c r="F275">
        <v>359260.69400000002</v>
      </c>
      <c r="G275">
        <v>0</v>
      </c>
      <c r="L275" t="s">
        <v>8</v>
      </c>
      <c r="M275" t="s">
        <v>7</v>
      </c>
      <c r="N275" t="s">
        <v>8</v>
      </c>
      <c r="P275">
        <f t="shared" si="964"/>
        <v>-0.17695735200509036</v>
      </c>
      <c r="Q275">
        <f t="shared" si="965"/>
        <v>-63573.821089751058</v>
      </c>
      <c r="R275">
        <f t="shared" si="966"/>
        <v>-30197010.300318699</v>
      </c>
      <c r="S275">
        <f t="shared" si="967"/>
        <v>-301.97010300318698</v>
      </c>
      <c r="T275">
        <f t="shared" si="968"/>
        <v>-0.301970103003187</v>
      </c>
    </row>
    <row r="276" spans="1:20" x14ac:dyDescent="0.25">
      <c r="A276" s="5">
        <v>44314</v>
      </c>
      <c r="B276">
        <v>33.334000000000003</v>
      </c>
      <c r="C276">
        <v>34.899000000000001</v>
      </c>
      <c r="D276">
        <v>30.411999999999999</v>
      </c>
      <c r="E276">
        <v>33.908999999999999</v>
      </c>
      <c r="F276">
        <v>206716.715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0.55872520615110244</v>
      </c>
      <c r="Q276">
        <f t="shared" si="965"/>
        <v>115497.83920325369</v>
      </c>
      <c r="R276">
        <f t="shared" si="966"/>
        <v>-30133436.479228947</v>
      </c>
      <c r="S276">
        <f t="shared" si="967"/>
        <v>-301.33436479228948</v>
      </c>
      <c r="T276">
        <f t="shared" si="968"/>
        <v>-0.30133436479228948</v>
      </c>
    </row>
    <row r="277" spans="1:20" x14ac:dyDescent="0.25">
      <c r="A277" s="5">
        <v>44313</v>
      </c>
      <c r="B277">
        <v>31.831</v>
      </c>
      <c r="C277">
        <v>35.9</v>
      </c>
      <c r="D277">
        <v>31.495999999999999</v>
      </c>
      <c r="E277">
        <v>33.292999999999999</v>
      </c>
      <c r="F277">
        <v>140838.435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-0.18392370572207056</v>
      </c>
      <c r="Q277">
        <f t="shared" si="965"/>
        <v>-25903.526873296963</v>
      </c>
      <c r="R277">
        <f t="shared" si="966"/>
        <v>-30248934.318432201</v>
      </c>
      <c r="S277">
        <f t="shared" si="967"/>
        <v>-302.48934318432202</v>
      </c>
      <c r="T277">
        <f t="shared" si="968"/>
        <v>-0.30248934318432202</v>
      </c>
    </row>
    <row r="278" spans="1:20" x14ac:dyDescent="0.25">
      <c r="A278" s="5">
        <v>44312</v>
      </c>
      <c r="B278">
        <v>27.08</v>
      </c>
      <c r="C278">
        <v>31.9</v>
      </c>
      <c r="D278">
        <v>26.638999999999999</v>
      </c>
      <c r="E278">
        <v>31.89</v>
      </c>
      <c r="F278">
        <v>266672.55499999999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0.9961984413609587</v>
      </c>
      <c r="Q278">
        <f t="shared" si="965"/>
        <v>265658.78364474454</v>
      </c>
      <c r="R278">
        <f t="shared" si="966"/>
        <v>-30223030.791558903</v>
      </c>
      <c r="S278">
        <f t="shared" si="967"/>
        <v>-302.23030791558904</v>
      </c>
      <c r="T278">
        <f t="shared" si="968"/>
        <v>-0.30223030791558902</v>
      </c>
    </row>
    <row r="279" spans="1:20" x14ac:dyDescent="0.25">
      <c r="A279" s="5">
        <v>44311</v>
      </c>
      <c r="B279">
        <v>29.094000000000001</v>
      </c>
      <c r="C279">
        <v>30.72</v>
      </c>
      <c r="D279">
        <v>25.276</v>
      </c>
      <c r="E279">
        <v>27.027999999999999</v>
      </c>
      <c r="F279">
        <v>213788.81899999999</v>
      </c>
      <c r="G279">
        <v>0</v>
      </c>
      <c r="L279" t="s">
        <v>7</v>
      </c>
      <c r="M279" t="s">
        <v>7</v>
      </c>
      <c r="N279" t="s">
        <v>7</v>
      </c>
      <c r="P279">
        <f t="shared" si="964"/>
        <v>-0.35635562086700984</v>
      </c>
      <c r="Q279">
        <f t="shared" si="965"/>
        <v>-76184.847329169788</v>
      </c>
      <c r="R279">
        <f t="shared" si="966"/>
        <v>-30488689.575203646</v>
      </c>
      <c r="S279">
        <f t="shared" si="967"/>
        <v>-304.88689575203648</v>
      </c>
      <c r="T279">
        <f t="shared" si="968"/>
        <v>-0.30488689575203648</v>
      </c>
    </row>
    <row r="280" spans="1:20" x14ac:dyDescent="0.25">
      <c r="A280" s="5">
        <v>44310</v>
      </c>
      <c r="B280">
        <v>31.254999999999999</v>
      </c>
      <c r="C280">
        <v>32.350999999999999</v>
      </c>
      <c r="D280">
        <v>28.678999999999998</v>
      </c>
      <c r="E280">
        <v>29.093</v>
      </c>
      <c r="F280">
        <v>187652.09400000001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-0.77450980392156787</v>
      </c>
      <c r="Q280">
        <f t="shared" si="965"/>
        <v>-145338.38652941163</v>
      </c>
      <c r="R280">
        <f t="shared" si="966"/>
        <v>-30412504.727874476</v>
      </c>
      <c r="S280">
        <f t="shared" si="967"/>
        <v>-304.12504727874477</v>
      </c>
      <c r="T280">
        <f t="shared" si="968"/>
        <v>-0.30412504727874479</v>
      </c>
    </row>
    <row r="281" spans="1:20" x14ac:dyDescent="0.25">
      <c r="A281" s="5">
        <v>44309</v>
      </c>
      <c r="B281">
        <v>33.328000000000003</v>
      </c>
      <c r="C281">
        <v>33.883000000000003</v>
      </c>
      <c r="D281">
        <v>25.5</v>
      </c>
      <c r="E281">
        <v>31.242000000000001</v>
      </c>
      <c r="F281">
        <v>465827.57199999999</v>
      </c>
      <c r="G281">
        <v>0</v>
      </c>
      <c r="L281" t="s">
        <v>7</v>
      </c>
      <c r="M281" t="s">
        <v>7</v>
      </c>
      <c r="N281" t="s">
        <v>7</v>
      </c>
      <c r="P281">
        <f t="shared" si="964"/>
        <v>0.36991530478349016</v>
      </c>
      <c r="Q281">
        <f t="shared" si="965"/>
        <v>172316.74827293321</v>
      </c>
      <c r="R281">
        <f t="shared" si="966"/>
        <v>-30267166.341345064</v>
      </c>
      <c r="S281">
        <f t="shared" si="967"/>
        <v>-302.67166341345063</v>
      </c>
      <c r="T281">
        <f t="shared" si="968"/>
        <v>-0.30267166341345064</v>
      </c>
    </row>
    <row r="282" spans="1:20" x14ac:dyDescent="0.25">
      <c r="A282" s="5">
        <v>44308</v>
      </c>
      <c r="B282">
        <v>38.314</v>
      </c>
      <c r="C282">
        <v>40.283000000000001</v>
      </c>
      <c r="D282">
        <v>33</v>
      </c>
      <c r="E282">
        <v>33.33</v>
      </c>
      <c r="F282">
        <v>1655010.2439999999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-0.9093780035699579</v>
      </c>
      <c r="Q282">
        <f t="shared" si="965"/>
        <v>-1505029.9115765488</v>
      </c>
      <c r="R282">
        <f t="shared" si="966"/>
        <v>-30439483.089617997</v>
      </c>
      <c r="S282">
        <f t="shared" si="967"/>
        <v>-304.39483089618</v>
      </c>
      <c r="T282">
        <f t="shared" si="968"/>
        <v>-0.30439483089618002</v>
      </c>
    </row>
    <row r="283" spans="1:20" x14ac:dyDescent="0.25">
      <c r="A283" s="5">
        <v>44307</v>
      </c>
      <c r="B283">
        <v>41.02</v>
      </c>
      <c r="C283">
        <v>42.442999999999998</v>
      </c>
      <c r="D283">
        <v>38.18</v>
      </c>
      <c r="E283">
        <v>38.234999999999999</v>
      </c>
      <c r="F283">
        <v>2715363.9130000002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-0.97419657518179703</v>
      </c>
      <c r="Q283">
        <f t="shared" si="965"/>
        <v>-2645298.2244168431</v>
      </c>
      <c r="R283">
        <f t="shared" si="966"/>
        <v>-28934453.178041447</v>
      </c>
      <c r="S283">
        <f t="shared" si="967"/>
        <v>-289.34453178041446</v>
      </c>
      <c r="T283">
        <f t="shared" si="968"/>
        <v>-0.28934453178041447</v>
      </c>
    </row>
    <row r="284" spans="1:20" x14ac:dyDescent="0.25">
      <c r="A284" s="5">
        <v>44306</v>
      </c>
      <c r="B284">
        <v>38.884</v>
      </c>
      <c r="C284">
        <v>42.295000000000002</v>
      </c>
      <c r="D284">
        <v>35.777999999999999</v>
      </c>
      <c r="E284">
        <v>40.878999999999998</v>
      </c>
      <c r="F284">
        <v>1585450.6640000001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0.56544422280190176</v>
      </c>
      <c r="Q284">
        <f t="shared" si="965"/>
        <v>896483.91849623912</v>
      </c>
      <c r="R284">
        <f t="shared" si="966"/>
        <v>-26289154.953624602</v>
      </c>
      <c r="S284">
        <f t="shared" si="967"/>
        <v>-262.89154953624603</v>
      </c>
      <c r="T284">
        <f t="shared" si="968"/>
        <v>-0.26289154953624605</v>
      </c>
    </row>
    <row r="285" spans="1:20" x14ac:dyDescent="0.25">
      <c r="A285" s="5">
        <v>44305</v>
      </c>
      <c r="B285">
        <v>43.469000000000001</v>
      </c>
      <c r="C285">
        <v>45.337000000000003</v>
      </c>
      <c r="D285">
        <v>37.716999999999999</v>
      </c>
      <c r="E285">
        <v>38.86</v>
      </c>
      <c r="F285">
        <v>1379836.4669999999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-0.7</v>
      </c>
      <c r="Q285">
        <f t="shared" si="965"/>
        <v>-965885.52689999994</v>
      </c>
      <c r="R285">
        <f t="shared" si="966"/>
        <v>-27185638.872120842</v>
      </c>
      <c r="S285">
        <f t="shared" si="967"/>
        <v>-271.85638872120842</v>
      </c>
      <c r="T285">
        <f t="shared" si="968"/>
        <v>-0.27185638872120843</v>
      </c>
    </row>
    <row r="286" spans="1:20" x14ac:dyDescent="0.25">
      <c r="A286" s="5">
        <v>44304</v>
      </c>
      <c r="B286">
        <v>47.781999999999996</v>
      </c>
      <c r="C286">
        <v>47.953000000000003</v>
      </c>
      <c r="D286">
        <v>40.4</v>
      </c>
      <c r="E286">
        <v>43.49</v>
      </c>
      <c r="F286">
        <v>374509.73</v>
      </c>
      <c r="G286">
        <v>0</v>
      </c>
      <c r="L286" t="s">
        <v>7</v>
      </c>
      <c r="M286" t="s">
        <v>7</v>
      </c>
      <c r="N286" t="s">
        <v>8</v>
      </c>
      <c r="P286">
        <f t="shared" si="964"/>
        <v>-0.18178207334833799</v>
      </c>
      <c r="Q286">
        <f t="shared" si="965"/>
        <v>-68079.155208526252</v>
      </c>
      <c r="R286">
        <f t="shared" si="966"/>
        <v>-26219753.345220841</v>
      </c>
      <c r="S286">
        <f t="shared" si="967"/>
        <v>-262.1975334522084</v>
      </c>
      <c r="T286">
        <f t="shared" si="968"/>
        <v>-0.26219753345220842</v>
      </c>
    </row>
    <row r="287" spans="1:20" x14ac:dyDescent="0.25">
      <c r="A287" s="5">
        <v>44303</v>
      </c>
      <c r="B287">
        <v>43.527000000000001</v>
      </c>
      <c r="C287">
        <v>50.283000000000001</v>
      </c>
      <c r="D287">
        <v>43.442999999999998</v>
      </c>
      <c r="E287">
        <v>47.668999999999997</v>
      </c>
      <c r="F287">
        <v>429093.35200000001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0.23567251461988215</v>
      </c>
      <c r="Q287">
        <f t="shared" si="965"/>
        <v>101125.50927251425</v>
      </c>
      <c r="R287">
        <f t="shared" si="966"/>
        <v>-26151674.190012313</v>
      </c>
      <c r="S287">
        <f t="shared" si="967"/>
        <v>-261.51674190012312</v>
      </c>
      <c r="T287">
        <f t="shared" si="968"/>
        <v>-0.26151674190012314</v>
      </c>
    </row>
    <row r="288" spans="1:20" x14ac:dyDescent="0.25">
      <c r="A288" s="5">
        <v>44302</v>
      </c>
      <c r="B288">
        <v>40.786999999999999</v>
      </c>
      <c r="C288">
        <v>45.3</v>
      </c>
      <c r="D288">
        <v>38.343000000000004</v>
      </c>
      <c r="E288">
        <v>43.46</v>
      </c>
      <c r="F288">
        <v>1143879.6869999999</v>
      </c>
      <c r="G288">
        <v>0</v>
      </c>
      <c r="L288" t="s">
        <v>7</v>
      </c>
      <c r="M288" t="s">
        <v>8</v>
      </c>
      <c r="N288" t="s">
        <v>7</v>
      </c>
      <c r="P288">
        <f t="shared" si="964"/>
        <v>0.47103636624982093</v>
      </c>
      <c r="Q288">
        <f t="shared" si="965"/>
        <v>538808.93119146244</v>
      </c>
      <c r="R288">
        <f t="shared" si="966"/>
        <v>-26252799.699284829</v>
      </c>
      <c r="S288">
        <f t="shared" si="967"/>
        <v>-262.52799699284827</v>
      </c>
      <c r="T288">
        <f t="shared" si="968"/>
        <v>-0.26252799699284829</v>
      </c>
    </row>
    <row r="289" spans="1:20" x14ac:dyDescent="0.25">
      <c r="A289" s="5">
        <v>44301</v>
      </c>
      <c r="B289">
        <v>41</v>
      </c>
      <c r="C289">
        <v>41.32</v>
      </c>
      <c r="D289">
        <v>40.082000000000001</v>
      </c>
      <c r="E289">
        <v>40.741</v>
      </c>
      <c r="F289">
        <v>1469630.2039999999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6.4620355411953406E-2</v>
      </c>
      <c r="Q289">
        <f t="shared" si="965"/>
        <v>94968.02610662159</v>
      </c>
      <c r="R289">
        <f t="shared" si="966"/>
        <v>-26791608.630476292</v>
      </c>
      <c r="S289">
        <f t="shared" si="967"/>
        <v>-267.91608630476293</v>
      </c>
      <c r="T289">
        <f t="shared" si="968"/>
        <v>-0.26791608630476293</v>
      </c>
    </row>
    <row r="290" spans="1:20" x14ac:dyDescent="0.25">
      <c r="A290" s="5">
        <v>44300</v>
      </c>
      <c r="B290">
        <v>40.875999999999998</v>
      </c>
      <c r="C290">
        <v>42.3</v>
      </c>
      <c r="D290">
        <v>39.677999999999997</v>
      </c>
      <c r="E290">
        <v>40.969000000000001</v>
      </c>
      <c r="F290">
        <v>2985095.26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-1.5255530129668972E-2</v>
      </c>
      <c r="Q290">
        <f t="shared" si="965"/>
        <v>-45539.210678862029</v>
      </c>
      <c r="R290">
        <f t="shared" si="966"/>
        <v>-26886576.656582914</v>
      </c>
      <c r="S290">
        <f t="shared" si="967"/>
        <v>-268.86576656582912</v>
      </c>
      <c r="T290">
        <f t="shared" si="968"/>
        <v>-0.26886576656582911</v>
      </c>
    </row>
    <row r="291" spans="1:20" x14ac:dyDescent="0.25">
      <c r="A291" s="5">
        <v>44299</v>
      </c>
      <c r="B291">
        <v>40.551000000000002</v>
      </c>
      <c r="C291">
        <v>42.7</v>
      </c>
      <c r="D291">
        <v>39.700000000000003</v>
      </c>
      <c r="E291">
        <v>40.905999999999999</v>
      </c>
      <c r="F291">
        <v>1815448.997</v>
      </c>
      <c r="G291">
        <v>0</v>
      </c>
      <c r="L291" t="s">
        <v>8</v>
      </c>
      <c r="M291" t="s">
        <v>7</v>
      </c>
      <c r="N291" t="s">
        <v>7</v>
      </c>
      <c r="P291">
        <f t="shared" si="964"/>
        <v>-0.1960000000000027</v>
      </c>
      <c r="Q291">
        <f t="shared" si="965"/>
        <v>-355828.00341200491</v>
      </c>
      <c r="R291">
        <f t="shared" si="966"/>
        <v>-26841037.445904054</v>
      </c>
      <c r="S291">
        <f t="shared" si="967"/>
        <v>-268.41037445904055</v>
      </c>
      <c r="T291">
        <f t="shared" si="968"/>
        <v>-0.26841037445904053</v>
      </c>
    </row>
    <row r="292" spans="1:20" x14ac:dyDescent="0.25">
      <c r="A292" s="5">
        <v>44298</v>
      </c>
      <c r="B292">
        <v>40.536999999999999</v>
      </c>
      <c r="C292">
        <v>42.807000000000002</v>
      </c>
      <c r="D292">
        <v>39.558</v>
      </c>
      <c r="E292">
        <v>40.487000000000002</v>
      </c>
      <c r="F292">
        <v>1872362.956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-0.42813173284087325</v>
      </c>
      <c r="Q292">
        <f t="shared" si="965"/>
        <v>-801617.99685933976</v>
      </c>
      <c r="R292">
        <f t="shared" si="966"/>
        <v>-26485209.442492049</v>
      </c>
      <c r="S292">
        <f t="shared" si="967"/>
        <v>-264.85209442492049</v>
      </c>
      <c r="T292">
        <f t="shared" si="968"/>
        <v>-0.26485209442492047</v>
      </c>
    </row>
    <row r="293" spans="1:20" x14ac:dyDescent="0.25">
      <c r="A293" s="5">
        <v>44297</v>
      </c>
      <c r="B293">
        <v>42.817999999999998</v>
      </c>
      <c r="C293">
        <v>43.363999999999997</v>
      </c>
      <c r="D293">
        <v>38.93</v>
      </c>
      <c r="E293">
        <v>40.539000000000001</v>
      </c>
      <c r="F293">
        <v>2420642.2620000001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-0.2742444745151093</v>
      </c>
      <c r="Q293">
        <f t="shared" si="965"/>
        <v>-663847.76513125561</v>
      </c>
      <c r="R293">
        <f t="shared" si="966"/>
        <v>-25683591.445632711</v>
      </c>
      <c r="S293">
        <f t="shared" si="967"/>
        <v>-256.83591445632709</v>
      </c>
      <c r="T293">
        <f t="shared" si="968"/>
        <v>-0.25683591445632709</v>
      </c>
    </row>
    <row r="294" spans="1:20" x14ac:dyDescent="0.25">
      <c r="A294" s="5">
        <v>44296</v>
      </c>
      <c r="B294">
        <v>39.86</v>
      </c>
      <c r="C294">
        <v>43.7</v>
      </c>
      <c r="D294">
        <v>38.889000000000003</v>
      </c>
      <c r="E294">
        <v>42.747999999999998</v>
      </c>
      <c r="F294">
        <v>1691397.5759999999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0.60424028268551011</v>
      </c>
      <c r="Q294">
        <f t="shared" si="965"/>
        <v>1022010.5494558265</v>
      </c>
      <c r="R294">
        <f t="shared" si="966"/>
        <v>-25019743.680501454</v>
      </c>
      <c r="S294">
        <f t="shared" si="967"/>
        <v>-250.19743680501455</v>
      </c>
      <c r="T294">
        <f t="shared" si="968"/>
        <v>-0.25019743680501455</v>
      </c>
    </row>
    <row r="295" spans="1:20" x14ac:dyDescent="0.25">
      <c r="A295" s="5">
        <v>44295</v>
      </c>
      <c r="B295">
        <v>38.365000000000002</v>
      </c>
      <c r="C295">
        <v>43.863999999999997</v>
      </c>
      <c r="D295">
        <v>38.124000000000002</v>
      </c>
      <c r="E295">
        <v>39.848999999999997</v>
      </c>
      <c r="F295">
        <v>1894707.8859999999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-0.39895470383275405</v>
      </c>
      <c r="Q295">
        <f t="shared" si="965"/>
        <v>-755902.62350871356</v>
      </c>
      <c r="R295">
        <f t="shared" si="966"/>
        <v>-26041754.229957279</v>
      </c>
      <c r="S295">
        <f t="shared" si="967"/>
        <v>-260.4175422995728</v>
      </c>
      <c r="T295">
        <f t="shared" si="968"/>
        <v>-0.26041754229957281</v>
      </c>
    </row>
    <row r="296" spans="1:20" x14ac:dyDescent="0.25">
      <c r="A296" s="5">
        <v>44294</v>
      </c>
      <c r="B296">
        <v>40.563000000000002</v>
      </c>
      <c r="C296">
        <v>41.947000000000003</v>
      </c>
      <c r="D296">
        <v>37.261000000000003</v>
      </c>
      <c r="E296">
        <v>38.378999999999998</v>
      </c>
      <c r="F296">
        <v>1686902.8770000001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-0.52283397353820105</v>
      </c>
      <c r="Q296">
        <f t="shared" si="965"/>
        <v>-881970.13415493327</v>
      </c>
      <c r="R296">
        <f t="shared" si="966"/>
        <v>-25285851.606448565</v>
      </c>
      <c r="S296">
        <f t="shared" si="967"/>
        <v>-252.85851606448566</v>
      </c>
      <c r="T296">
        <f t="shared" si="968"/>
        <v>-0.25285851606448567</v>
      </c>
    </row>
    <row r="297" spans="1:20" x14ac:dyDescent="0.25">
      <c r="A297" s="5">
        <v>44293</v>
      </c>
      <c r="B297">
        <v>42.929000000000002</v>
      </c>
      <c r="C297">
        <v>44.671999999999997</v>
      </c>
      <c r="D297">
        <v>39.643999999999998</v>
      </c>
      <c r="E297">
        <v>40.590000000000003</v>
      </c>
      <c r="F297">
        <v>1535367.6470000001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-0.62370723945902729</v>
      </c>
      <c r="Q297">
        <f t="shared" si="965"/>
        <v>-957619.91666507232</v>
      </c>
      <c r="R297">
        <f t="shared" si="966"/>
        <v>-24403881.47229363</v>
      </c>
      <c r="S297">
        <f t="shared" si="967"/>
        <v>-244.03881472293631</v>
      </c>
      <c r="T297">
        <f t="shared" si="968"/>
        <v>-0.24403881472293631</v>
      </c>
    </row>
    <row r="298" spans="1:20" x14ac:dyDescent="0.25">
      <c r="A298" s="5">
        <v>44292</v>
      </c>
      <c r="B298">
        <v>46.433999999999997</v>
      </c>
      <c r="C298">
        <v>50.917999999999999</v>
      </c>
      <c r="D298">
        <v>40.786999999999999</v>
      </c>
      <c r="E298">
        <v>42.857999999999997</v>
      </c>
      <c r="F298">
        <v>1733176.6939999999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-0.59115585825683592</v>
      </c>
      <c r="Q298">
        <f t="shared" si="965"/>
        <v>-1024577.5560523154</v>
      </c>
      <c r="R298">
        <f t="shared" si="966"/>
        <v>-23446261.555628557</v>
      </c>
      <c r="S298">
        <f t="shared" si="967"/>
        <v>-234.46261555628556</v>
      </c>
      <c r="T298">
        <f t="shared" si="968"/>
        <v>-0.23446261555628556</v>
      </c>
    </row>
    <row r="299" spans="1:20" x14ac:dyDescent="0.25">
      <c r="A299" s="5">
        <v>44291</v>
      </c>
      <c r="B299">
        <v>50.009</v>
      </c>
      <c r="C299">
        <v>54.56</v>
      </c>
      <c r="D299">
        <v>45.033999999999999</v>
      </c>
      <c r="E299">
        <v>46.48</v>
      </c>
      <c r="F299">
        <v>1916399.585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-0.69640982574008037</v>
      </c>
      <c r="Q299">
        <f t="shared" si="965"/>
        <v>-1334599.5010382123</v>
      </c>
      <c r="R299">
        <f t="shared" si="966"/>
        <v>-22421683.999576241</v>
      </c>
      <c r="S299">
        <f t="shared" si="967"/>
        <v>-224.2168399957624</v>
      </c>
      <c r="T299">
        <f t="shared" si="968"/>
        <v>-0.22421683999576239</v>
      </c>
    </row>
    <row r="300" spans="1:20" x14ac:dyDescent="0.25">
      <c r="A300" s="5">
        <v>44290</v>
      </c>
      <c r="B300">
        <v>39.072000000000003</v>
      </c>
      <c r="C300">
        <v>51</v>
      </c>
      <c r="D300">
        <v>37.594000000000001</v>
      </c>
      <c r="E300">
        <v>50.191000000000003</v>
      </c>
      <c r="F300">
        <v>490764.505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0.87930777263911719</v>
      </c>
      <c r="Q300">
        <f t="shared" si="965"/>
        <v>431533.0437818889</v>
      </c>
      <c r="R300">
        <f t="shared" si="966"/>
        <v>-21087084.498538028</v>
      </c>
      <c r="S300">
        <f t="shared" si="967"/>
        <v>-210.87084498538027</v>
      </c>
      <c r="T300">
        <f t="shared" si="968"/>
        <v>-0.21087084498538028</v>
      </c>
    </row>
    <row r="301" spans="1:20" x14ac:dyDescent="0.25">
      <c r="A301" s="5">
        <v>44289</v>
      </c>
      <c r="B301">
        <v>39.085000000000001</v>
      </c>
      <c r="C301">
        <v>43.698999999999998</v>
      </c>
      <c r="D301">
        <v>37.277999999999999</v>
      </c>
      <c r="E301">
        <v>39.198</v>
      </c>
      <c r="F301">
        <v>971784.89399999997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-0.4019623111664844</v>
      </c>
      <c r="Q301">
        <f t="shared" si="965"/>
        <v>-390620.90194891702</v>
      </c>
      <c r="R301">
        <f t="shared" si="966"/>
        <v>-21518617.542319916</v>
      </c>
      <c r="S301">
        <f t="shared" si="967"/>
        <v>-215.18617542319916</v>
      </c>
      <c r="T301">
        <f t="shared" si="968"/>
        <v>-0.21518617542319915</v>
      </c>
    </row>
    <row r="302" spans="1:20" x14ac:dyDescent="0.25">
      <c r="A302" s="5">
        <v>44288</v>
      </c>
      <c r="B302">
        <v>37.887</v>
      </c>
      <c r="C302">
        <v>42.773000000000003</v>
      </c>
      <c r="D302">
        <v>35.499000000000002</v>
      </c>
      <c r="E302">
        <v>39.183999999999997</v>
      </c>
      <c r="F302">
        <v>1629290.406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1.3197690404177814E-2</v>
      </c>
      <c r="Q302">
        <f t="shared" si="965"/>
        <v>21502.870356885174</v>
      </c>
      <c r="R302">
        <f t="shared" si="966"/>
        <v>-21127996.640370999</v>
      </c>
      <c r="S302">
        <f t="shared" si="967"/>
        <v>-211.27996640370998</v>
      </c>
      <c r="T302">
        <f t="shared" si="968"/>
        <v>-0.21127996640370997</v>
      </c>
    </row>
    <row r="303" spans="1:20" x14ac:dyDescent="0.25">
      <c r="A303" s="5">
        <v>44287</v>
      </c>
      <c r="B303">
        <v>36.752000000000002</v>
      </c>
      <c r="C303">
        <v>43.65</v>
      </c>
      <c r="D303">
        <v>32.555</v>
      </c>
      <c r="E303">
        <v>37.9</v>
      </c>
      <c r="F303">
        <v>1672332.183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-3.6502929247408847E-2</v>
      </c>
      <c r="Q303">
        <f t="shared" si="965"/>
        <v>-61045.023354213779</v>
      </c>
      <c r="R303">
        <f t="shared" si="966"/>
        <v>-21149499.510727882</v>
      </c>
      <c r="S303">
        <f t="shared" si="967"/>
        <v>-211.49499510727881</v>
      </c>
      <c r="T303">
        <f t="shared" si="968"/>
        <v>-0.21149499510727882</v>
      </c>
    </row>
    <row r="304" spans="1:20" x14ac:dyDescent="0.25">
      <c r="A304" s="5">
        <v>44286</v>
      </c>
      <c r="B304">
        <v>29.86</v>
      </c>
      <c r="C304">
        <v>39.5</v>
      </c>
      <c r="D304">
        <v>27.654</v>
      </c>
      <c r="E304">
        <v>36.78</v>
      </c>
      <c r="F304">
        <v>1685547.43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0.540773256795543</v>
      </c>
      <c r="Q304">
        <f t="shared" si="965"/>
        <v>911498.97320445755</v>
      </c>
      <c r="R304">
        <f t="shared" si="966"/>
        <v>-21088454.487373669</v>
      </c>
      <c r="S304">
        <f t="shared" si="967"/>
        <v>-210.8845448737367</v>
      </c>
      <c r="T304">
        <f t="shared" si="968"/>
        <v>-0.2108845448737367</v>
      </c>
    </row>
    <row r="305" spans="1:20" x14ac:dyDescent="0.25">
      <c r="A305" s="5">
        <v>44285</v>
      </c>
      <c r="B305">
        <v>29.175999999999998</v>
      </c>
      <c r="C305">
        <v>31</v>
      </c>
      <c r="D305">
        <v>26.446000000000002</v>
      </c>
      <c r="E305">
        <v>29.869</v>
      </c>
      <c r="F305">
        <v>968433.36199999996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0.50329380764163345</v>
      </c>
      <c r="Q305">
        <f t="shared" si="965"/>
        <v>487406.51420816837</v>
      </c>
      <c r="R305">
        <f t="shared" si="966"/>
        <v>-21999953.460578125</v>
      </c>
      <c r="S305">
        <f t="shared" si="967"/>
        <v>-219.99953460578124</v>
      </c>
      <c r="T305">
        <f t="shared" si="968"/>
        <v>-0.21999953460578123</v>
      </c>
    </row>
    <row r="306" spans="1:20" x14ac:dyDescent="0.25">
      <c r="A306" s="5">
        <v>44284</v>
      </c>
      <c r="B306">
        <v>26.756</v>
      </c>
      <c r="C306">
        <v>29.73</v>
      </c>
      <c r="D306">
        <v>25.789000000000001</v>
      </c>
      <c r="E306">
        <v>29.175999999999998</v>
      </c>
      <c r="F306">
        <v>685646.31900000002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0.71885308297386341</v>
      </c>
      <c r="Q306">
        <f t="shared" si="965"/>
        <v>492878.97024283104</v>
      </c>
      <c r="R306">
        <f t="shared" si="966"/>
        <v>-22487359.974786293</v>
      </c>
      <c r="S306">
        <f t="shared" si="967"/>
        <v>-224.87359974786293</v>
      </c>
      <c r="T306">
        <f t="shared" si="968"/>
        <v>-0.22487359974786292</v>
      </c>
    </row>
    <row r="307" spans="1:20" x14ac:dyDescent="0.25">
      <c r="A307" s="5">
        <v>44283</v>
      </c>
      <c r="B307">
        <v>27.588000000000001</v>
      </c>
      <c r="C307">
        <v>28.766999999999999</v>
      </c>
      <c r="D307">
        <v>26.181999999999999</v>
      </c>
      <c r="E307">
        <v>26.702999999999999</v>
      </c>
      <c r="F307">
        <v>171901.16899999999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-0.59690522243713684</v>
      </c>
      <c r="Q307">
        <f t="shared" si="965"/>
        <v>-102608.70551914885</v>
      </c>
      <c r="R307">
        <f t="shared" si="966"/>
        <v>-22980238.945029125</v>
      </c>
      <c r="S307">
        <f t="shared" si="967"/>
        <v>-229.80238945029126</v>
      </c>
      <c r="T307">
        <f t="shared" si="968"/>
        <v>-0.22980238945029124</v>
      </c>
    </row>
    <row r="308" spans="1:20" x14ac:dyDescent="0.25">
      <c r="A308" s="5">
        <v>44282</v>
      </c>
      <c r="B308">
        <v>28.175000000000001</v>
      </c>
      <c r="C308">
        <v>29.619</v>
      </c>
      <c r="D308">
        <v>27.035</v>
      </c>
      <c r="E308">
        <v>27.588000000000001</v>
      </c>
      <c r="F308">
        <v>226319.867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-0.57198142414860609</v>
      </c>
      <c r="Q308">
        <f t="shared" si="965"/>
        <v>-129450.75983978312</v>
      </c>
      <c r="R308">
        <f t="shared" si="966"/>
        <v>-22877630.239509977</v>
      </c>
      <c r="S308">
        <f t="shared" si="967"/>
        <v>-228.77630239509978</v>
      </c>
      <c r="T308">
        <f t="shared" si="968"/>
        <v>-0.22877630239509977</v>
      </c>
    </row>
    <row r="309" spans="1:20" x14ac:dyDescent="0.25">
      <c r="A309" s="5">
        <v>44281</v>
      </c>
      <c r="B309">
        <v>23.646999999999998</v>
      </c>
      <c r="C309">
        <v>28.177</v>
      </c>
      <c r="D309">
        <v>23.556999999999999</v>
      </c>
      <c r="E309">
        <v>28.177</v>
      </c>
      <c r="F309">
        <v>184590.234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1</v>
      </c>
      <c r="Q309">
        <f t="shared" si="965"/>
        <v>184590.234</v>
      </c>
      <c r="R309">
        <f t="shared" si="966"/>
        <v>-22748179.479670193</v>
      </c>
      <c r="S309">
        <f t="shared" si="967"/>
        <v>-227.48179479670193</v>
      </c>
      <c r="T309">
        <f t="shared" si="968"/>
        <v>-0.22748179479670194</v>
      </c>
    </row>
    <row r="310" spans="1:20" x14ac:dyDescent="0.25">
      <c r="A310" s="5">
        <v>44280</v>
      </c>
      <c r="B310">
        <v>24.285</v>
      </c>
      <c r="C310">
        <v>24.696000000000002</v>
      </c>
      <c r="D310">
        <v>22.347000000000001</v>
      </c>
      <c r="E310">
        <v>23.587</v>
      </c>
      <c r="F310">
        <v>300768.82199999999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5.5768412090249748E-2</v>
      </c>
      <c r="Q310">
        <f t="shared" si="965"/>
        <v>16773.399609194974</v>
      </c>
      <c r="R310">
        <f t="shared" si="966"/>
        <v>-22932769.713670194</v>
      </c>
      <c r="S310">
        <f t="shared" si="967"/>
        <v>-229.32769713670194</v>
      </c>
      <c r="T310">
        <f t="shared" si="968"/>
        <v>-0.22932769713670195</v>
      </c>
    </row>
    <row r="311" spans="1:20" x14ac:dyDescent="0.25">
      <c r="A311" s="5">
        <v>44279</v>
      </c>
      <c r="B311">
        <v>28.404</v>
      </c>
      <c r="C311">
        <v>29.917000000000002</v>
      </c>
      <c r="D311">
        <v>23.902999999999999</v>
      </c>
      <c r="E311">
        <v>24.356000000000002</v>
      </c>
      <c r="F311">
        <v>3018874.3119999999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-0.84935151313601509</v>
      </c>
      <c r="Q311">
        <f t="shared" si="965"/>
        <v>-2564085.4648646466</v>
      </c>
      <c r="R311">
        <f t="shared" si="966"/>
        <v>-22949543.113279387</v>
      </c>
      <c r="S311">
        <f t="shared" si="967"/>
        <v>-229.49543113279387</v>
      </c>
      <c r="T311">
        <f t="shared" si="968"/>
        <v>-0.22949543113279386</v>
      </c>
    </row>
    <row r="312" spans="1:20" x14ac:dyDescent="0.25">
      <c r="A312" s="5">
        <v>44278</v>
      </c>
      <c r="B312">
        <v>30.004000000000001</v>
      </c>
      <c r="C312">
        <v>32.331000000000003</v>
      </c>
      <c r="D312">
        <v>27.166</v>
      </c>
      <c r="E312">
        <v>28.408999999999999</v>
      </c>
      <c r="F312">
        <v>5561390.3660000004</v>
      </c>
      <c r="G312">
        <v>0</v>
      </c>
      <c r="L312" t="s">
        <v>7</v>
      </c>
      <c r="M312" t="s">
        <v>7</v>
      </c>
      <c r="N312" t="s">
        <v>8</v>
      </c>
      <c r="P312">
        <f t="shared" si="964"/>
        <v>-0.51868344627299212</v>
      </c>
      <c r="Q312">
        <f t="shared" si="965"/>
        <v>-2884601.1211062972</v>
      </c>
      <c r="R312">
        <f t="shared" si="966"/>
        <v>-20385457.648414742</v>
      </c>
      <c r="S312">
        <f t="shared" si="967"/>
        <v>-203.85457648414743</v>
      </c>
      <c r="T312">
        <f t="shared" si="968"/>
        <v>-0.20385457648414743</v>
      </c>
    </row>
    <row r="313" spans="1:20" x14ac:dyDescent="0.25">
      <c r="A313" s="5">
        <v>44277</v>
      </c>
      <c r="B313">
        <v>30.254999999999999</v>
      </c>
      <c r="C313">
        <v>35</v>
      </c>
      <c r="D313">
        <v>29.22</v>
      </c>
      <c r="E313">
        <v>30.004999999999999</v>
      </c>
      <c r="F313">
        <v>4623526.2539999997</v>
      </c>
      <c r="G313">
        <v>0</v>
      </c>
      <c r="L313" t="s">
        <v>8</v>
      </c>
      <c r="M313" t="s">
        <v>8</v>
      </c>
      <c r="N313" t="s">
        <v>8</v>
      </c>
      <c r="P313">
        <f t="shared" si="964"/>
        <v>-0.72837370242214539</v>
      </c>
      <c r="Q313">
        <f t="shared" si="965"/>
        <v>-3367654.9358719722</v>
      </c>
      <c r="R313">
        <f t="shared" si="966"/>
        <v>-17500856.527308445</v>
      </c>
      <c r="S313">
        <f t="shared" si="967"/>
        <v>-175.00856527308446</v>
      </c>
      <c r="T313">
        <f t="shared" si="968"/>
        <v>-0.17500856527308445</v>
      </c>
    </row>
    <row r="314" spans="1:20" x14ac:dyDescent="0.25">
      <c r="A314" s="5">
        <v>44276</v>
      </c>
      <c r="B314">
        <v>25.158999999999999</v>
      </c>
      <c r="C314">
        <v>32.776000000000003</v>
      </c>
      <c r="D314">
        <v>25.052</v>
      </c>
      <c r="E314">
        <v>30.266999999999999</v>
      </c>
      <c r="F314">
        <v>6139662.3200000003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0.3503366131538056</v>
      </c>
      <c r="Q314">
        <f t="shared" si="965"/>
        <v>2150948.5030968366</v>
      </c>
      <c r="R314">
        <f t="shared" si="966"/>
        <v>-14133201.591436472</v>
      </c>
      <c r="S314">
        <f t="shared" si="967"/>
        <v>-141.33201591436472</v>
      </c>
      <c r="T314">
        <f t="shared" si="968"/>
        <v>-0.14133201591436473</v>
      </c>
    </row>
    <row r="315" spans="1:20" x14ac:dyDescent="0.25">
      <c r="A315" s="5">
        <v>44275</v>
      </c>
      <c r="B315">
        <v>23.187999999999999</v>
      </c>
      <c r="C315">
        <v>27.370999999999999</v>
      </c>
      <c r="D315">
        <v>23.187999999999999</v>
      </c>
      <c r="E315">
        <v>25.198</v>
      </c>
      <c r="F315">
        <v>3774796.2850000001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-3.8967248386324815E-2</v>
      </c>
      <c r="Q315">
        <f t="shared" si="965"/>
        <v>-147093.42444537117</v>
      </c>
      <c r="R315">
        <f t="shared" si="966"/>
        <v>-16284150.094533307</v>
      </c>
      <c r="S315">
        <f t="shared" si="967"/>
        <v>-162.84150094533308</v>
      </c>
      <c r="T315">
        <f t="shared" si="968"/>
        <v>-0.16284150094533309</v>
      </c>
    </row>
    <row r="316" spans="1:20" x14ac:dyDescent="0.25">
      <c r="A316" s="5">
        <v>44274</v>
      </c>
      <c r="B316">
        <v>22.625</v>
      </c>
      <c r="C316">
        <v>25.443999999999999</v>
      </c>
      <c r="D316">
        <v>22.138999999999999</v>
      </c>
      <c r="E316">
        <v>23.181999999999999</v>
      </c>
      <c r="F316">
        <v>6278296.0369999995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-0.36883509833585515</v>
      </c>
      <c r="Q316">
        <f t="shared" si="965"/>
        <v>-2315655.9361885046</v>
      </c>
      <c r="R316">
        <f t="shared" si="966"/>
        <v>-16137056.670087935</v>
      </c>
      <c r="S316">
        <f t="shared" si="967"/>
        <v>-161.37056670087935</v>
      </c>
      <c r="T316">
        <f t="shared" si="968"/>
        <v>-0.16137056670087935</v>
      </c>
    </row>
    <row r="317" spans="1:20" x14ac:dyDescent="0.25">
      <c r="A317" s="5">
        <v>44273</v>
      </c>
      <c r="B317">
        <v>22.253</v>
      </c>
      <c r="C317">
        <v>24.036000000000001</v>
      </c>
      <c r="D317">
        <v>21.292000000000002</v>
      </c>
      <c r="E317">
        <v>22.616</v>
      </c>
      <c r="F317">
        <v>7247435.8109999998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-3.4985422740526108E-2</v>
      </c>
      <c r="Q317">
        <f t="shared" si="965"/>
        <v>-253554.60563266266</v>
      </c>
      <c r="R317">
        <f t="shared" si="966"/>
        <v>-13821400.733899431</v>
      </c>
      <c r="S317">
        <f t="shared" si="967"/>
        <v>-138.21400733899432</v>
      </c>
      <c r="T317">
        <f t="shared" si="968"/>
        <v>-0.13821400733899433</v>
      </c>
    </row>
    <row r="318" spans="1:20" x14ac:dyDescent="0.25">
      <c r="A318" s="5">
        <v>44272</v>
      </c>
      <c r="B318">
        <v>19.068999999999999</v>
      </c>
      <c r="C318">
        <v>22.51</v>
      </c>
      <c r="D318">
        <v>19.050999999999998</v>
      </c>
      <c r="E318">
        <v>22.253</v>
      </c>
      <c r="F318">
        <v>6681595.7439999999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0.85140213934663123</v>
      </c>
      <c r="Q318">
        <f t="shared" si="965"/>
        <v>5688724.9106909465</v>
      </c>
      <c r="R318">
        <f t="shared" si="966"/>
        <v>-13567846.128266769</v>
      </c>
      <c r="S318">
        <f t="shared" si="967"/>
        <v>-135.67846128266768</v>
      </c>
      <c r="T318">
        <f t="shared" si="968"/>
        <v>-0.1356784612826677</v>
      </c>
    </row>
    <row r="319" spans="1:20" x14ac:dyDescent="0.25">
      <c r="A319" s="5">
        <v>44271</v>
      </c>
      <c r="B319">
        <v>18.512</v>
      </c>
      <c r="C319">
        <v>20.891999999999999</v>
      </c>
      <c r="D319">
        <v>17.949000000000002</v>
      </c>
      <c r="E319">
        <v>19.065000000000001</v>
      </c>
      <c r="F319">
        <v>4685653.5789999999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-0.24159021406727796</v>
      </c>
      <c r="Q319">
        <f t="shared" si="965"/>
        <v>-1132008.0511957172</v>
      </c>
      <c r="R319">
        <f t="shared" si="966"/>
        <v>-19256571.038957715</v>
      </c>
      <c r="S319">
        <f t="shared" si="967"/>
        <v>-192.56571038957716</v>
      </c>
      <c r="T319">
        <f t="shared" si="968"/>
        <v>-0.19256571038957715</v>
      </c>
    </row>
    <row r="320" spans="1:20" x14ac:dyDescent="0.25">
      <c r="A320" s="5">
        <v>44270</v>
      </c>
      <c r="B320">
        <v>18.091000000000001</v>
      </c>
      <c r="C320">
        <v>20</v>
      </c>
      <c r="D320">
        <v>17.503</v>
      </c>
      <c r="E320">
        <v>18.475999999999999</v>
      </c>
      <c r="F320">
        <v>5724999.9440000001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-0.22066479775730954</v>
      </c>
      <c r="Q320">
        <f t="shared" si="965"/>
        <v>-1263305.9548033685</v>
      </c>
      <c r="R320">
        <f t="shared" si="966"/>
        <v>-18124562.987761997</v>
      </c>
      <c r="S320">
        <f t="shared" si="967"/>
        <v>-181.24562987761996</v>
      </c>
      <c r="T320">
        <f t="shared" si="968"/>
        <v>-0.18124562987761997</v>
      </c>
    </row>
    <row r="321" spans="1:20" x14ac:dyDescent="0.25">
      <c r="A321" s="5">
        <v>44269</v>
      </c>
      <c r="B321">
        <v>17.949000000000002</v>
      </c>
      <c r="C321">
        <v>18.855</v>
      </c>
      <c r="D321">
        <v>16.943999999999999</v>
      </c>
      <c r="E321">
        <v>18.091000000000001</v>
      </c>
      <c r="F321">
        <v>2302198.59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0.20041862899005883</v>
      </c>
      <c r="Q321">
        <f t="shared" si="965"/>
        <v>461403.48507064651</v>
      </c>
      <c r="R321">
        <f t="shared" si="966"/>
        <v>-16861257.032958627</v>
      </c>
      <c r="S321">
        <f t="shared" si="967"/>
        <v>-168.61257032958628</v>
      </c>
      <c r="T321">
        <f t="shared" si="968"/>
        <v>-0.16861257032958626</v>
      </c>
    </row>
    <row r="322" spans="1:20" x14ac:dyDescent="0.25">
      <c r="A322" s="5">
        <v>44268</v>
      </c>
      <c r="B322">
        <v>16.891999999999999</v>
      </c>
      <c r="C322">
        <v>18.600000000000001</v>
      </c>
      <c r="D322">
        <v>16.515000000000001</v>
      </c>
      <c r="E322">
        <v>17.949000000000002</v>
      </c>
      <c r="F322">
        <v>2669874.0950000002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0.3755395683453242</v>
      </c>
      <c r="Q322">
        <f t="shared" si="965"/>
        <v>1002643.3651726632</v>
      </c>
      <c r="R322">
        <f t="shared" si="966"/>
        <v>-17322660.518029273</v>
      </c>
      <c r="S322">
        <f t="shared" si="967"/>
        <v>-173.22660518029272</v>
      </c>
      <c r="T322">
        <f t="shared" si="968"/>
        <v>-0.17322660518029273</v>
      </c>
    </row>
    <row r="323" spans="1:20" x14ac:dyDescent="0.25">
      <c r="A323" s="5">
        <v>44267</v>
      </c>
      <c r="B323">
        <v>17.009</v>
      </c>
      <c r="C323">
        <v>18.398</v>
      </c>
      <c r="D323">
        <v>16.175999999999998</v>
      </c>
      <c r="E323">
        <v>16.891999999999999</v>
      </c>
      <c r="F323">
        <v>3431737.1910000001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-0.35553555355535493</v>
      </c>
      <c r="Q323">
        <f t="shared" si="965"/>
        <v>-1220104.5818586838</v>
      </c>
      <c r="R323">
        <f t="shared" si="966"/>
        <v>-18325303.883201934</v>
      </c>
      <c r="S323">
        <f t="shared" si="967"/>
        <v>-183.25303883201934</v>
      </c>
      <c r="T323">
        <f t="shared" si="968"/>
        <v>-0.18325303883201935</v>
      </c>
    </row>
    <row r="324" spans="1:20" x14ac:dyDescent="0.25">
      <c r="A324" s="5">
        <v>44266</v>
      </c>
      <c r="B324">
        <v>16.943999999999999</v>
      </c>
      <c r="C324">
        <v>18.042000000000002</v>
      </c>
      <c r="D324">
        <v>16.829999999999998</v>
      </c>
      <c r="E324">
        <v>17.001000000000001</v>
      </c>
      <c r="F324">
        <v>3325841.4909999999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-0.7178217821782138</v>
      </c>
      <c r="Q324">
        <f t="shared" si="965"/>
        <v>-2387361.4663118678</v>
      </c>
      <c r="R324">
        <f t="shared" si="966"/>
        <v>-17105199.301343251</v>
      </c>
      <c r="S324">
        <f t="shared" si="967"/>
        <v>-171.05199301343251</v>
      </c>
      <c r="T324">
        <f t="shared" si="968"/>
        <v>-0.17105199301343252</v>
      </c>
    </row>
    <row r="325" spans="1:20" x14ac:dyDescent="0.25">
      <c r="A325" s="5">
        <v>44265</v>
      </c>
      <c r="B325">
        <v>17.47</v>
      </c>
      <c r="C325">
        <v>18.407</v>
      </c>
      <c r="D325">
        <v>16.890999999999998</v>
      </c>
      <c r="E325">
        <v>16.97</v>
      </c>
      <c r="F325">
        <v>3173019.2220000001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-0.89577836411609424</v>
      </c>
      <c r="Q325">
        <f t="shared" si="965"/>
        <v>-2842321.9679920822</v>
      </c>
      <c r="R325">
        <f t="shared" si="966"/>
        <v>-14717837.835031383</v>
      </c>
      <c r="S325">
        <f t="shared" si="967"/>
        <v>-147.17837835031384</v>
      </c>
      <c r="T325">
        <f t="shared" si="968"/>
        <v>-0.14717837835031383</v>
      </c>
    </row>
    <row r="326" spans="1:20" x14ac:dyDescent="0.25">
      <c r="A326" s="5">
        <v>44264</v>
      </c>
      <c r="B326">
        <v>16.353000000000002</v>
      </c>
      <c r="C326">
        <v>17.920000000000002</v>
      </c>
      <c r="D326">
        <v>16.170000000000002</v>
      </c>
      <c r="E326">
        <v>17.489999999999998</v>
      </c>
      <c r="F326">
        <v>4450179.3289999999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0.50857142857142479</v>
      </c>
      <c r="Q326">
        <f t="shared" ref="Q326:Q389" si="970">F326*P326</f>
        <v>2263234.0587485544</v>
      </c>
      <c r="R326">
        <f t="shared" ref="R326:R389" si="971">R327+Q326</f>
        <v>-11875515.867039301</v>
      </c>
      <c r="S326">
        <f t="shared" ref="S326:S389" si="972">R326/100000</f>
        <v>-118.755158670393</v>
      </c>
      <c r="T326">
        <f t="shared" ref="T326:T389" si="973">S326/1000</f>
        <v>-0.118755158670393</v>
      </c>
    </row>
    <row r="327" spans="1:20" x14ac:dyDescent="0.25">
      <c r="A327" s="5">
        <v>44263</v>
      </c>
      <c r="B327">
        <v>16.212</v>
      </c>
      <c r="C327">
        <v>18.5</v>
      </c>
      <c r="D327">
        <v>15.787000000000001</v>
      </c>
      <c r="E327">
        <v>16.353000000000002</v>
      </c>
      <c r="F327">
        <v>5618428.6689999998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-0.58274972355326138</v>
      </c>
      <c r="Q327">
        <f t="shared" si="970"/>
        <v>-3274137.7536634682</v>
      </c>
      <c r="R327">
        <f t="shared" si="971"/>
        <v>-14138749.925787855</v>
      </c>
      <c r="S327">
        <f t="shared" si="972"/>
        <v>-141.38749925787855</v>
      </c>
      <c r="T327">
        <f t="shared" si="973"/>
        <v>-0.14138749925787855</v>
      </c>
    </row>
    <row r="328" spans="1:20" x14ac:dyDescent="0.25">
      <c r="A328" s="5">
        <v>44262</v>
      </c>
      <c r="B328">
        <v>15.723000000000001</v>
      </c>
      <c r="C328">
        <v>17.001000000000001</v>
      </c>
      <c r="D328">
        <v>15.561</v>
      </c>
      <c r="E328">
        <v>16.238</v>
      </c>
      <c r="F328">
        <v>3660193.6290000002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-5.9722222222223613E-2</v>
      </c>
      <c r="Q328">
        <f t="shared" si="970"/>
        <v>-218594.8972875051</v>
      </c>
      <c r="R328">
        <f t="shared" si="971"/>
        <v>-10864612.172124386</v>
      </c>
      <c r="S328">
        <f t="shared" si="972"/>
        <v>-108.64612172124386</v>
      </c>
      <c r="T328">
        <f t="shared" si="973"/>
        <v>-0.10864612172124385</v>
      </c>
    </row>
    <row r="329" spans="1:20" x14ac:dyDescent="0.25">
      <c r="A329" s="5">
        <v>44261</v>
      </c>
      <c r="B329">
        <v>15.448</v>
      </c>
      <c r="C329">
        <v>16.532</v>
      </c>
      <c r="D329">
        <v>15.118</v>
      </c>
      <c r="E329">
        <v>15.757999999999999</v>
      </c>
      <c r="F329">
        <v>2638578.9909999999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-9.476661951909629E-2</v>
      </c>
      <c r="Q329">
        <f t="shared" si="970"/>
        <v>-250049.21131117799</v>
      </c>
      <c r="R329">
        <f t="shared" si="971"/>
        <v>-10646017.274836881</v>
      </c>
      <c r="S329">
        <f t="shared" si="972"/>
        <v>-106.46017274836881</v>
      </c>
      <c r="T329">
        <f t="shared" si="973"/>
        <v>-0.1064601727483688</v>
      </c>
    </row>
    <row r="330" spans="1:20" x14ac:dyDescent="0.25">
      <c r="A330" s="5">
        <v>44260</v>
      </c>
      <c r="B330">
        <v>13.478</v>
      </c>
      <c r="C330">
        <v>16.527999999999999</v>
      </c>
      <c r="D330">
        <v>12.7</v>
      </c>
      <c r="E330">
        <v>15.428000000000001</v>
      </c>
      <c r="F330">
        <v>3531580.9440000001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0.42528735632184012</v>
      </c>
      <c r="Q330">
        <f t="shared" si="970"/>
        <v>1501936.7233103486</v>
      </c>
      <c r="R330">
        <f t="shared" si="971"/>
        <v>-10395968.063525703</v>
      </c>
      <c r="S330">
        <f t="shared" si="972"/>
        <v>-103.95968063525703</v>
      </c>
      <c r="T330">
        <f t="shared" si="973"/>
        <v>-0.10395968063525703</v>
      </c>
    </row>
    <row r="331" spans="1:20" x14ac:dyDescent="0.25">
      <c r="A331" s="5">
        <v>44259</v>
      </c>
      <c r="B331">
        <v>14.081</v>
      </c>
      <c r="C331">
        <v>14.5</v>
      </c>
      <c r="D331">
        <v>13.125999999999999</v>
      </c>
      <c r="E331">
        <v>13.491</v>
      </c>
      <c r="F331">
        <v>4353748.1610000003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-0.46870451237263455</v>
      </c>
      <c r="Q331">
        <f t="shared" si="970"/>
        <v>-2040621.4087947595</v>
      </c>
      <c r="R331">
        <f t="shared" si="971"/>
        <v>-11897904.78683605</v>
      </c>
      <c r="S331">
        <f t="shared" si="972"/>
        <v>-118.97904786836051</v>
      </c>
      <c r="T331">
        <f t="shared" si="973"/>
        <v>-0.11897904786836051</v>
      </c>
    </row>
    <row r="332" spans="1:20" x14ac:dyDescent="0.25">
      <c r="A332" s="5">
        <v>44258</v>
      </c>
      <c r="B332">
        <v>13.632</v>
      </c>
      <c r="C332">
        <v>14.85</v>
      </c>
      <c r="D332">
        <v>13.593999999999999</v>
      </c>
      <c r="E332">
        <v>14.102</v>
      </c>
      <c r="F332">
        <v>2940745.071</v>
      </c>
      <c r="G332">
        <v>0</v>
      </c>
      <c r="L332" t="s">
        <v>7</v>
      </c>
      <c r="M332" t="s">
        <v>8</v>
      </c>
      <c r="N332" t="s">
        <v>8</v>
      </c>
      <c r="P332">
        <f t="shared" si="969"/>
        <v>-0.19108280254776941</v>
      </c>
      <c r="Q332">
        <f t="shared" si="970"/>
        <v>-561925.80974521919</v>
      </c>
      <c r="R332">
        <f t="shared" si="971"/>
        <v>-9857283.3780412916</v>
      </c>
      <c r="S332">
        <f t="shared" si="972"/>
        <v>-98.572833780412921</v>
      </c>
      <c r="T332">
        <f t="shared" si="973"/>
        <v>-9.8572833780412927E-2</v>
      </c>
    </row>
    <row r="333" spans="1:20" x14ac:dyDescent="0.25">
      <c r="A333" s="5">
        <v>44257</v>
      </c>
      <c r="B333">
        <v>13.961</v>
      </c>
      <c r="C333">
        <v>14.98</v>
      </c>
      <c r="D333">
        <v>13.583</v>
      </c>
      <c r="E333">
        <v>13.632</v>
      </c>
      <c r="F333">
        <v>3138994.8470000001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-0.92984967788117467</v>
      </c>
      <c r="Q333">
        <f t="shared" si="970"/>
        <v>-2918793.3473536172</v>
      </c>
      <c r="R333">
        <f t="shared" si="971"/>
        <v>-9295357.568296073</v>
      </c>
      <c r="S333">
        <f t="shared" si="972"/>
        <v>-92.953575682960732</v>
      </c>
      <c r="T333">
        <f t="shared" si="973"/>
        <v>-9.2953575682960726E-2</v>
      </c>
    </row>
    <row r="334" spans="1:20" x14ac:dyDescent="0.25">
      <c r="A334" s="5">
        <v>44256</v>
      </c>
      <c r="B334">
        <v>12.749000000000001</v>
      </c>
      <c r="C334">
        <v>14.4</v>
      </c>
      <c r="D334">
        <v>12.292</v>
      </c>
      <c r="E334">
        <v>13.914999999999999</v>
      </c>
      <c r="F334">
        <v>2679986.9739999999</v>
      </c>
      <c r="G334">
        <v>0</v>
      </c>
      <c r="L334" t="s">
        <v>8</v>
      </c>
      <c r="M334" t="s">
        <v>7</v>
      </c>
      <c r="N334" t="s">
        <v>8</v>
      </c>
      <c r="P334">
        <f t="shared" si="969"/>
        <v>0.53984819734345246</v>
      </c>
      <c r="Q334">
        <f t="shared" si="970"/>
        <v>1446786.1368178339</v>
      </c>
      <c r="R334">
        <f t="shared" si="971"/>
        <v>-6376564.2209424563</v>
      </c>
      <c r="S334">
        <f t="shared" si="972"/>
        <v>-63.765642209424563</v>
      </c>
      <c r="T334">
        <f t="shared" si="973"/>
        <v>-6.3765642209424558E-2</v>
      </c>
    </row>
    <row r="335" spans="1:20" x14ac:dyDescent="0.25">
      <c r="A335" s="5">
        <v>44255</v>
      </c>
      <c r="B335">
        <v>13.581</v>
      </c>
      <c r="C335">
        <v>14.25</v>
      </c>
      <c r="D335">
        <v>12.175000000000001</v>
      </c>
      <c r="E335">
        <v>12.734</v>
      </c>
      <c r="F335">
        <v>2426930.4700000002</v>
      </c>
      <c r="G335">
        <v>0</v>
      </c>
      <c r="L335" t="s">
        <v>7</v>
      </c>
      <c r="M335" t="s">
        <v>7</v>
      </c>
      <c r="N335" t="s">
        <v>8</v>
      </c>
      <c r="P335">
        <f t="shared" si="969"/>
        <v>-0.46120481927710893</v>
      </c>
      <c r="Q335">
        <f t="shared" si="970"/>
        <v>-1119312.0288144592</v>
      </c>
      <c r="R335">
        <f t="shared" si="971"/>
        <v>-7823350.3577602897</v>
      </c>
      <c r="S335">
        <f t="shared" si="972"/>
        <v>-78.233503577602903</v>
      </c>
      <c r="T335">
        <f t="shared" si="973"/>
        <v>-7.8233503577602906E-2</v>
      </c>
    </row>
    <row r="336" spans="1:20" x14ac:dyDescent="0.25">
      <c r="A336" s="5">
        <v>44254</v>
      </c>
      <c r="B336">
        <v>13.465</v>
      </c>
      <c r="C336">
        <v>14.4</v>
      </c>
      <c r="D336">
        <v>13.275</v>
      </c>
      <c r="E336">
        <v>13.666</v>
      </c>
      <c r="F336">
        <v>1733032.084</v>
      </c>
      <c r="G336">
        <v>0</v>
      </c>
      <c r="L336" t="s">
        <v>8</v>
      </c>
      <c r="M336" t="s">
        <v>7</v>
      </c>
      <c r="N336" t="s">
        <v>8</v>
      </c>
      <c r="P336">
        <f t="shared" si="969"/>
        <v>-0.30488888888888888</v>
      </c>
      <c r="Q336">
        <f t="shared" si="970"/>
        <v>-528382.22649955552</v>
      </c>
      <c r="R336">
        <f t="shared" si="971"/>
        <v>-6704038.3289458305</v>
      </c>
      <c r="S336">
        <f t="shared" si="972"/>
        <v>-67.040383289458305</v>
      </c>
      <c r="T336">
        <f t="shared" si="973"/>
        <v>-6.70403832894583E-2</v>
      </c>
    </row>
    <row r="337" spans="1:20" x14ac:dyDescent="0.25">
      <c r="A337" s="5">
        <v>44253</v>
      </c>
      <c r="B337">
        <v>13.252000000000001</v>
      </c>
      <c r="C337">
        <v>14.52</v>
      </c>
      <c r="D337">
        <v>12.608000000000001</v>
      </c>
      <c r="E337">
        <v>13.464</v>
      </c>
      <c r="F337">
        <v>3703597.4559999998</v>
      </c>
      <c r="G337">
        <v>0</v>
      </c>
      <c r="L337" t="s">
        <v>7</v>
      </c>
      <c r="M337" t="s">
        <v>7</v>
      </c>
      <c r="N337" t="s">
        <v>8</v>
      </c>
      <c r="P337">
        <f t="shared" si="969"/>
        <v>-0.10460251046025072</v>
      </c>
      <c r="Q337">
        <f t="shared" si="970"/>
        <v>-387405.59163179796</v>
      </c>
      <c r="R337">
        <f t="shared" si="971"/>
        <v>-6175656.1024462748</v>
      </c>
      <c r="S337">
        <f t="shared" si="972"/>
        <v>-61.756561024462748</v>
      </c>
      <c r="T337">
        <f t="shared" si="973"/>
        <v>-6.1756561024462746E-2</v>
      </c>
    </row>
    <row r="338" spans="1:20" x14ac:dyDescent="0.25">
      <c r="A338" s="5">
        <v>44252</v>
      </c>
      <c r="B338">
        <v>13.632</v>
      </c>
      <c r="C338">
        <v>16.058</v>
      </c>
      <c r="D338">
        <v>12.99</v>
      </c>
      <c r="E338">
        <v>13.250999999999999</v>
      </c>
      <c r="F338">
        <v>3177552.7110000001</v>
      </c>
      <c r="G338">
        <v>0</v>
      </c>
      <c r="L338" t="s">
        <v>8</v>
      </c>
      <c r="M338" t="s">
        <v>8</v>
      </c>
      <c r="N338" t="s">
        <v>8</v>
      </c>
      <c r="P338">
        <f t="shared" si="969"/>
        <v>-0.82985658409387275</v>
      </c>
      <c r="Q338">
        <f t="shared" si="970"/>
        <v>-2636913.038528685</v>
      </c>
      <c r="R338">
        <f t="shared" si="971"/>
        <v>-5788250.5108144768</v>
      </c>
      <c r="S338">
        <f t="shared" si="972"/>
        <v>-57.88250510814477</v>
      </c>
      <c r="T338">
        <f t="shared" si="973"/>
        <v>-5.7882505108144772E-2</v>
      </c>
    </row>
    <row r="339" spans="1:20" x14ac:dyDescent="0.25">
      <c r="A339" s="5">
        <v>44251</v>
      </c>
      <c r="B339">
        <v>13.462</v>
      </c>
      <c r="C339">
        <v>15.162000000000001</v>
      </c>
      <c r="D339">
        <v>12.884</v>
      </c>
      <c r="E339">
        <v>13.617000000000001</v>
      </c>
      <c r="F339">
        <v>2736741.5920000002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-0.3564530289727828</v>
      </c>
      <c r="Q339">
        <f t="shared" si="970"/>
        <v>-975519.82998419576</v>
      </c>
      <c r="R339">
        <f t="shared" si="971"/>
        <v>-3151337.4722857922</v>
      </c>
      <c r="S339">
        <f t="shared" si="972"/>
        <v>-31.513374722857922</v>
      </c>
      <c r="T339">
        <f t="shared" si="973"/>
        <v>-3.1513374722857923E-2</v>
      </c>
    </row>
    <row r="340" spans="1:20" x14ac:dyDescent="0.25">
      <c r="A340" s="5">
        <v>44250</v>
      </c>
      <c r="B340">
        <v>17.28</v>
      </c>
      <c r="C340">
        <v>17.773</v>
      </c>
      <c r="D340">
        <v>11.246</v>
      </c>
      <c r="E340">
        <v>13.461</v>
      </c>
      <c r="F340">
        <v>2443222.165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-0.32128083346100811</v>
      </c>
      <c r="Q340">
        <f t="shared" si="970"/>
        <v>-784960.45350160869</v>
      </c>
      <c r="R340">
        <f t="shared" si="971"/>
        <v>-2175817.6423015962</v>
      </c>
      <c r="S340">
        <f t="shared" si="972"/>
        <v>-21.758176423015961</v>
      </c>
      <c r="T340">
        <f t="shared" si="973"/>
        <v>-2.175817642301596E-2</v>
      </c>
    </row>
    <row r="341" spans="1:20" x14ac:dyDescent="0.25">
      <c r="A341" s="5">
        <v>44249</v>
      </c>
      <c r="B341">
        <v>18.178999999999998</v>
      </c>
      <c r="C341">
        <v>19.2</v>
      </c>
      <c r="D341">
        <v>16</v>
      </c>
      <c r="E341">
        <v>17.295999999999999</v>
      </c>
      <c r="F341">
        <v>1145619.057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-0.19000000000000022</v>
      </c>
      <c r="Q341">
        <f t="shared" si="970"/>
        <v>-217667.62083000026</v>
      </c>
      <c r="R341">
        <f t="shared" si="971"/>
        <v>-1390857.1887999875</v>
      </c>
      <c r="S341">
        <f t="shared" si="972"/>
        <v>-13.908571887999875</v>
      </c>
      <c r="T341">
        <f t="shared" si="973"/>
        <v>-1.3908571887999875E-2</v>
      </c>
    </row>
    <row r="342" spans="1:20" x14ac:dyDescent="0.25">
      <c r="A342" s="5">
        <v>44248</v>
      </c>
      <c r="B342">
        <v>16.079000000000001</v>
      </c>
      <c r="C342">
        <v>19.526</v>
      </c>
      <c r="D342">
        <v>15.73</v>
      </c>
      <c r="E342">
        <v>18.178999999999998</v>
      </c>
      <c r="F342">
        <v>1053983.737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0.29030558482613195</v>
      </c>
      <c r="Q342">
        <f t="shared" si="970"/>
        <v>305977.36516701704</v>
      </c>
      <c r="R342">
        <f t="shared" si="971"/>
        <v>-1173189.5679699874</v>
      </c>
      <c r="S342">
        <f t="shared" si="972"/>
        <v>-11.731895679699875</v>
      </c>
      <c r="T342">
        <f t="shared" si="973"/>
        <v>-1.1731895679699875E-2</v>
      </c>
    </row>
    <row r="343" spans="1:20" x14ac:dyDescent="0.25">
      <c r="A343" s="5">
        <v>44247</v>
      </c>
      <c r="B343">
        <v>17.251999999999999</v>
      </c>
      <c r="C343">
        <v>18</v>
      </c>
      <c r="D343">
        <v>15.54</v>
      </c>
      <c r="E343">
        <v>16.138999999999999</v>
      </c>
      <c r="F343">
        <v>986151.71499999997</v>
      </c>
      <c r="G343">
        <v>0</v>
      </c>
      <c r="L343" t="s">
        <v>7</v>
      </c>
      <c r="M343" t="s">
        <v>8</v>
      </c>
      <c r="N343" t="s">
        <v>7</v>
      </c>
      <c r="P343">
        <f t="shared" si="969"/>
        <v>-0.51300813008130086</v>
      </c>
      <c r="Q343">
        <f t="shared" si="970"/>
        <v>-505903.84728861792</v>
      </c>
      <c r="R343">
        <f t="shared" si="971"/>
        <v>-1479166.9331370045</v>
      </c>
      <c r="S343">
        <f t="shared" si="972"/>
        <v>-14.791669331370045</v>
      </c>
      <c r="T343">
        <f t="shared" si="973"/>
        <v>-1.4791669331370045E-2</v>
      </c>
    </row>
    <row r="344" spans="1:20" x14ac:dyDescent="0.25">
      <c r="A344" s="5">
        <v>44246</v>
      </c>
      <c r="B344">
        <v>16.378</v>
      </c>
      <c r="C344">
        <v>18.2</v>
      </c>
      <c r="D344">
        <v>15.664</v>
      </c>
      <c r="E344">
        <v>17.225000000000001</v>
      </c>
      <c r="F344">
        <v>823718.80700000003</v>
      </c>
      <c r="G344">
        <v>0</v>
      </c>
      <c r="L344" t="s">
        <v>8</v>
      </c>
      <c r="M344" t="s">
        <v>8</v>
      </c>
      <c r="N344" t="s">
        <v>7</v>
      </c>
      <c r="P344">
        <f t="shared" si="969"/>
        <v>0.23107255520504888</v>
      </c>
      <c r="Q344">
        <f t="shared" si="970"/>
        <v>190338.8095039445</v>
      </c>
      <c r="R344">
        <f t="shared" si="971"/>
        <v>-973263.08584838652</v>
      </c>
      <c r="S344">
        <f t="shared" si="972"/>
        <v>-9.7326308584838657</v>
      </c>
      <c r="T344">
        <f t="shared" si="973"/>
        <v>-9.7326308584838664E-3</v>
      </c>
    </row>
    <row r="345" spans="1:20" x14ac:dyDescent="0.25">
      <c r="A345" s="5">
        <v>44245</v>
      </c>
      <c r="B345">
        <v>15.768000000000001</v>
      </c>
      <c r="C345">
        <v>16.98</v>
      </c>
      <c r="D345">
        <v>15.553000000000001</v>
      </c>
      <c r="E345">
        <v>16.343</v>
      </c>
      <c r="F345">
        <v>653123.33100000001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0.10721793973370619</v>
      </c>
      <c r="Q345">
        <f t="shared" si="970"/>
        <v>70026.537941835442</v>
      </c>
      <c r="R345">
        <f t="shared" si="971"/>
        <v>-1163601.895352331</v>
      </c>
      <c r="S345">
        <f t="shared" si="972"/>
        <v>-11.63601895352331</v>
      </c>
      <c r="T345">
        <f t="shared" si="973"/>
        <v>-1.163601895352331E-2</v>
      </c>
    </row>
    <row r="346" spans="1:20" x14ac:dyDescent="0.25">
      <c r="A346" s="5">
        <v>44244</v>
      </c>
      <c r="B346">
        <v>15.756</v>
      </c>
      <c r="C346">
        <v>16.366</v>
      </c>
      <c r="D346">
        <v>14.042999999999999</v>
      </c>
      <c r="E346">
        <v>15.73</v>
      </c>
      <c r="F346">
        <v>321879.06400000001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0.45243219974171406</v>
      </c>
      <c r="Q346">
        <f t="shared" si="970"/>
        <v>145628.45297632396</v>
      </c>
      <c r="R346">
        <f t="shared" si="971"/>
        <v>-1233628.4332941663</v>
      </c>
      <c r="S346">
        <f t="shared" si="972"/>
        <v>-12.336284332941663</v>
      </c>
      <c r="T346">
        <f t="shared" si="973"/>
        <v>-1.2336284332941663E-2</v>
      </c>
    </row>
    <row r="347" spans="1:20" x14ac:dyDescent="0.25">
      <c r="A347" s="5">
        <v>44243</v>
      </c>
      <c r="B347">
        <v>15.613</v>
      </c>
      <c r="C347">
        <v>17.55</v>
      </c>
      <c r="D347">
        <v>15.025</v>
      </c>
      <c r="E347">
        <v>15.835000000000001</v>
      </c>
      <c r="F347">
        <v>161814.56599999999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-0.35841584158415812</v>
      </c>
      <c r="Q347">
        <f t="shared" si="970"/>
        <v>-57996.903853465294</v>
      </c>
      <c r="R347">
        <f t="shared" si="971"/>
        <v>-1379256.8862704902</v>
      </c>
      <c r="S347">
        <f t="shared" si="972"/>
        <v>-13.792568862704902</v>
      </c>
      <c r="T347">
        <f t="shared" si="973"/>
        <v>-1.3792568862704902E-2</v>
      </c>
    </row>
    <row r="348" spans="1:20" x14ac:dyDescent="0.25">
      <c r="A348" s="5">
        <v>44242</v>
      </c>
      <c r="B348">
        <v>17.125</v>
      </c>
      <c r="C348">
        <v>17.401</v>
      </c>
      <c r="D348">
        <v>13.164</v>
      </c>
      <c r="E348">
        <v>15.617000000000001</v>
      </c>
      <c r="F348">
        <v>154890.08100000001</v>
      </c>
      <c r="G348">
        <v>0</v>
      </c>
      <c r="L348" t="s">
        <v>7</v>
      </c>
      <c r="M348" t="s">
        <v>7</v>
      </c>
      <c r="N348" t="s">
        <v>7</v>
      </c>
      <c r="P348">
        <f t="shared" si="969"/>
        <v>0.15789473684210578</v>
      </c>
      <c r="Q348">
        <f t="shared" si="970"/>
        <v>24456.32857894745</v>
      </c>
      <c r="R348">
        <f t="shared" si="971"/>
        <v>-1321259.9824170249</v>
      </c>
      <c r="S348">
        <f t="shared" si="972"/>
        <v>-13.212599824170249</v>
      </c>
      <c r="T348">
        <f t="shared" si="973"/>
        <v>-1.321259982417025E-2</v>
      </c>
    </row>
    <row r="349" spans="1:20" x14ac:dyDescent="0.25">
      <c r="A349" s="5">
        <v>44241</v>
      </c>
      <c r="B349">
        <v>17.338000000000001</v>
      </c>
      <c r="C349">
        <v>20.672000000000001</v>
      </c>
      <c r="D349">
        <v>16.552</v>
      </c>
      <c r="E349">
        <v>17.12</v>
      </c>
      <c r="F349">
        <v>268549.59100000001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-0.72427184466019356</v>
      </c>
      <c r="Q349">
        <f t="shared" si="970"/>
        <v>-194502.90765631053</v>
      </c>
      <c r="R349">
        <f t="shared" si="971"/>
        <v>-1345716.3109959722</v>
      </c>
      <c r="S349">
        <f t="shared" si="972"/>
        <v>-13.457163109959723</v>
      </c>
      <c r="T349">
        <f t="shared" si="973"/>
        <v>-1.3457163109959723E-2</v>
      </c>
    </row>
    <row r="350" spans="1:20" x14ac:dyDescent="0.25">
      <c r="A350" s="5">
        <v>44240</v>
      </c>
      <c r="B350">
        <v>16.966999999999999</v>
      </c>
      <c r="C350">
        <v>17.657</v>
      </c>
      <c r="D350">
        <v>16.631</v>
      </c>
      <c r="E350">
        <v>17.236999999999998</v>
      </c>
      <c r="F350">
        <v>124553.109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0.18128654970759886</v>
      </c>
      <c r="Q350">
        <f t="shared" si="970"/>
        <v>22579.803385964478</v>
      </c>
      <c r="R350">
        <f t="shared" si="971"/>
        <v>-1151213.4033396617</v>
      </c>
      <c r="S350">
        <f t="shared" si="972"/>
        <v>-11.512134033396617</v>
      </c>
      <c r="T350">
        <f t="shared" si="973"/>
        <v>-1.1512134033396617E-2</v>
      </c>
    </row>
    <row r="351" spans="1:20" x14ac:dyDescent="0.25">
      <c r="A351" s="5">
        <v>44239</v>
      </c>
      <c r="B351">
        <v>16.739000000000001</v>
      </c>
      <c r="C351">
        <v>17.600000000000001</v>
      </c>
      <c r="D351">
        <v>16.3</v>
      </c>
      <c r="E351">
        <v>16.87</v>
      </c>
      <c r="F351">
        <v>125362.44899999999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-0.12307692307692313</v>
      </c>
      <c r="Q351">
        <f t="shared" si="970"/>
        <v>-15429.224492307698</v>
      </c>
      <c r="R351">
        <f t="shared" si="971"/>
        <v>-1173793.2067256263</v>
      </c>
      <c r="S351">
        <f t="shared" si="972"/>
        <v>-11.737932067256262</v>
      </c>
      <c r="T351">
        <f t="shared" si="973"/>
        <v>-1.1737932067256261E-2</v>
      </c>
    </row>
    <row r="352" spans="1:20" x14ac:dyDescent="0.25">
      <c r="A352" s="5">
        <v>44238</v>
      </c>
      <c r="B352">
        <v>16.3</v>
      </c>
      <c r="C352">
        <v>16.899000000000001</v>
      </c>
      <c r="D352">
        <v>15.686999999999999</v>
      </c>
      <c r="E352">
        <v>16.736999999999998</v>
      </c>
      <c r="F352">
        <v>114609.788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0.73267326732672877</v>
      </c>
      <c r="Q352">
        <f t="shared" si="970"/>
        <v>83971.527841583709</v>
      </c>
      <c r="R352">
        <f t="shared" si="971"/>
        <v>-1158363.9822333185</v>
      </c>
      <c r="S352">
        <f t="shared" si="972"/>
        <v>-11.583639822333184</v>
      </c>
      <c r="T352">
        <f t="shared" si="973"/>
        <v>-1.1583639822333184E-2</v>
      </c>
    </row>
    <row r="353" spans="1:20" x14ac:dyDescent="0.25">
      <c r="A353" s="5">
        <v>44237</v>
      </c>
      <c r="B353">
        <v>16.448</v>
      </c>
      <c r="C353">
        <v>16.954000000000001</v>
      </c>
      <c r="D353">
        <v>15.444000000000001</v>
      </c>
      <c r="E353">
        <v>16.280999999999999</v>
      </c>
      <c r="F353">
        <v>176101.71900000001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0.10860927152317627</v>
      </c>
      <c r="Q353">
        <f t="shared" si="970"/>
        <v>19126.27941456909</v>
      </c>
      <c r="R353">
        <f t="shared" si="971"/>
        <v>-1242335.5100749021</v>
      </c>
      <c r="S353">
        <f t="shared" si="972"/>
        <v>-12.423355100749021</v>
      </c>
      <c r="T353">
        <f t="shared" si="973"/>
        <v>-1.2423355100749021E-2</v>
      </c>
    </row>
    <row r="354" spans="1:20" x14ac:dyDescent="0.25">
      <c r="A354" s="5">
        <v>44236</v>
      </c>
      <c r="B354">
        <v>15.018000000000001</v>
      </c>
      <c r="C354">
        <v>17.619</v>
      </c>
      <c r="D354">
        <v>14.334</v>
      </c>
      <c r="E354">
        <v>16.449000000000002</v>
      </c>
      <c r="F354">
        <v>1371875.817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0.28767123287671348</v>
      </c>
      <c r="Q354">
        <f t="shared" si="970"/>
        <v>394649.20763013855</v>
      </c>
      <c r="R354">
        <f t="shared" si="971"/>
        <v>-1261461.7894894711</v>
      </c>
      <c r="S354">
        <f t="shared" si="972"/>
        <v>-12.614617894894712</v>
      </c>
      <c r="T354">
        <f t="shared" si="973"/>
        <v>-1.2614617894894712E-2</v>
      </c>
    </row>
    <row r="355" spans="1:20" x14ac:dyDescent="0.25">
      <c r="A355" s="5">
        <v>44235</v>
      </c>
      <c r="B355">
        <v>12.079000000000001</v>
      </c>
      <c r="C355">
        <v>16.789000000000001</v>
      </c>
      <c r="D355">
        <v>12.029</v>
      </c>
      <c r="E355">
        <v>15.018000000000001</v>
      </c>
      <c r="F355">
        <v>2412973.0469999998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0.25588235294117639</v>
      </c>
      <c r="Q355">
        <f t="shared" si="970"/>
        <v>617437.22084999981</v>
      </c>
      <c r="R355">
        <f t="shared" si="971"/>
        <v>-1656110.9971196097</v>
      </c>
      <c r="S355">
        <f t="shared" si="972"/>
        <v>-16.561109971196096</v>
      </c>
      <c r="T355">
        <f t="shared" si="973"/>
        <v>-1.6561109971196097E-2</v>
      </c>
    </row>
    <row r="356" spans="1:20" x14ac:dyDescent="0.25">
      <c r="A356" s="5">
        <v>44234</v>
      </c>
      <c r="B356">
        <v>12.754</v>
      </c>
      <c r="C356">
        <v>13.98</v>
      </c>
      <c r="D356">
        <v>11.755000000000001</v>
      </c>
      <c r="E356">
        <v>12.081</v>
      </c>
      <c r="F356">
        <v>1316662.4890000001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-0.70696629213483253</v>
      </c>
      <c r="Q356">
        <f t="shared" si="970"/>
        <v>-930835.9978413498</v>
      </c>
      <c r="R356">
        <f t="shared" si="971"/>
        <v>-2273548.2179696094</v>
      </c>
      <c r="S356">
        <f t="shared" si="972"/>
        <v>-22.735482179696096</v>
      </c>
      <c r="T356">
        <f t="shared" si="973"/>
        <v>-2.2735482179696096E-2</v>
      </c>
    </row>
    <row r="357" spans="1:20" x14ac:dyDescent="0.25">
      <c r="A357" s="5">
        <v>44233</v>
      </c>
      <c r="B357">
        <v>12.034000000000001</v>
      </c>
      <c r="C357">
        <v>13.3</v>
      </c>
      <c r="D357">
        <v>11.2</v>
      </c>
      <c r="E357">
        <v>12.813000000000001</v>
      </c>
      <c r="F357">
        <v>960828.17099999997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0.53619047619047644</v>
      </c>
      <c r="Q357">
        <f t="shared" si="970"/>
        <v>515186.91454571451</v>
      </c>
      <c r="R357">
        <f t="shared" si="971"/>
        <v>-1342712.2201282596</v>
      </c>
      <c r="S357">
        <f t="shared" si="972"/>
        <v>-13.427122201282597</v>
      </c>
      <c r="T357">
        <f t="shared" si="973"/>
        <v>-1.3427122201282596E-2</v>
      </c>
    </row>
    <row r="358" spans="1:20" x14ac:dyDescent="0.25">
      <c r="A358" s="5">
        <v>44232</v>
      </c>
      <c r="B358">
        <v>11.215</v>
      </c>
      <c r="C358">
        <v>12.597</v>
      </c>
      <c r="D358">
        <v>10.8</v>
      </c>
      <c r="E358">
        <v>12.051</v>
      </c>
      <c r="F358">
        <v>1332685.858</v>
      </c>
      <c r="G358">
        <v>0</v>
      </c>
      <c r="L358" t="s">
        <v>7</v>
      </c>
      <c r="M358" t="s">
        <v>8</v>
      </c>
      <c r="N358" t="s">
        <v>7</v>
      </c>
      <c r="P358">
        <f t="shared" si="969"/>
        <v>0.3923205342237065</v>
      </c>
      <c r="Q358">
        <f t="shared" si="970"/>
        <v>522840.02776293864</v>
      </c>
      <c r="R358">
        <f t="shared" si="971"/>
        <v>-1857899.134673974</v>
      </c>
      <c r="S358">
        <f t="shared" si="972"/>
        <v>-18.578991346739741</v>
      </c>
      <c r="T358">
        <f t="shared" si="973"/>
        <v>-1.8578991346739741E-2</v>
      </c>
    </row>
    <row r="359" spans="1:20" x14ac:dyDescent="0.25">
      <c r="A359" s="5">
        <v>44231</v>
      </c>
      <c r="B359">
        <v>10.329000000000001</v>
      </c>
      <c r="C359">
        <v>12.445</v>
      </c>
      <c r="D359">
        <v>10.295</v>
      </c>
      <c r="E359">
        <v>11.215</v>
      </c>
      <c r="F359">
        <v>1238948.149</v>
      </c>
      <c r="G359">
        <v>0</v>
      </c>
      <c r="L359" t="s">
        <v>8</v>
      </c>
      <c r="M359" t="s">
        <v>8</v>
      </c>
      <c r="N359" t="s">
        <v>7</v>
      </c>
      <c r="P359">
        <f t="shared" si="969"/>
        <v>-0.14418604651162811</v>
      </c>
      <c r="Q359">
        <f t="shared" si="970"/>
        <v>-178639.03543720956</v>
      </c>
      <c r="R359">
        <f t="shared" si="971"/>
        <v>-2380739.1624369128</v>
      </c>
      <c r="S359">
        <f t="shared" si="972"/>
        <v>-23.807391624369128</v>
      </c>
      <c r="T359">
        <f t="shared" si="973"/>
        <v>-2.3807391624369127E-2</v>
      </c>
    </row>
    <row r="360" spans="1:20" x14ac:dyDescent="0.25">
      <c r="A360" s="5">
        <v>44230</v>
      </c>
      <c r="B360">
        <v>9.8550000000000004</v>
      </c>
      <c r="C360">
        <v>10.7</v>
      </c>
      <c r="D360">
        <v>9.4600000000000009</v>
      </c>
      <c r="E360">
        <v>10.295</v>
      </c>
      <c r="F360">
        <v>376423.73599999998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0.34677419354838729</v>
      </c>
      <c r="Q360">
        <f t="shared" si="970"/>
        <v>130534.03748387103</v>
      </c>
      <c r="R360">
        <f t="shared" si="971"/>
        <v>-2202100.1269997032</v>
      </c>
      <c r="S360">
        <f t="shared" si="972"/>
        <v>-22.021001269997033</v>
      </c>
      <c r="T360">
        <f t="shared" si="973"/>
        <v>-2.2021001269997034E-2</v>
      </c>
    </row>
    <row r="361" spans="1:20" x14ac:dyDescent="0.25">
      <c r="A361" s="5">
        <v>44229</v>
      </c>
      <c r="B361">
        <v>9.8800000000000008</v>
      </c>
      <c r="C361">
        <v>10.8</v>
      </c>
      <c r="D361">
        <v>9.4</v>
      </c>
      <c r="E361">
        <v>9.8539999999999992</v>
      </c>
      <c r="F361">
        <v>180840.77</v>
      </c>
      <c r="G361">
        <v>0</v>
      </c>
      <c r="L361" t="s">
        <v>8</v>
      </c>
      <c r="M361" t="s">
        <v>7</v>
      </c>
      <c r="N361" t="s">
        <v>7</v>
      </c>
      <c r="P361">
        <f t="shared" si="969"/>
        <v>-0.35142857142857326</v>
      </c>
      <c r="Q361">
        <f t="shared" si="970"/>
        <v>-63552.613457143183</v>
      </c>
      <c r="R361">
        <f t="shared" si="971"/>
        <v>-2332634.1644835742</v>
      </c>
      <c r="S361">
        <f t="shared" si="972"/>
        <v>-23.326341644835743</v>
      </c>
      <c r="T361">
        <f t="shared" si="973"/>
        <v>-2.3326341644835744E-2</v>
      </c>
    </row>
    <row r="362" spans="1:20" x14ac:dyDescent="0.25">
      <c r="A362" s="5">
        <v>44228</v>
      </c>
      <c r="B362">
        <v>9.7989999999999995</v>
      </c>
      <c r="C362">
        <v>10.579000000000001</v>
      </c>
      <c r="D362">
        <v>9.1</v>
      </c>
      <c r="E362">
        <v>9.8800000000000008</v>
      </c>
      <c r="F362">
        <v>202418.12599999999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5.4766734279919703E-2</v>
      </c>
      <c r="Q362">
        <f t="shared" si="970"/>
        <v>11085.779720081306</v>
      </c>
      <c r="R362">
        <f t="shared" si="971"/>
        <v>-2269081.5510264309</v>
      </c>
      <c r="S362">
        <f t="shared" si="972"/>
        <v>-22.690815510264308</v>
      </c>
      <c r="T362">
        <f t="shared" si="973"/>
        <v>-2.269081551026431E-2</v>
      </c>
    </row>
    <row r="363" spans="1:20" x14ac:dyDescent="0.25">
      <c r="A363" s="5">
        <v>44227</v>
      </c>
      <c r="B363">
        <v>9.8239999999999998</v>
      </c>
      <c r="C363">
        <v>10.99</v>
      </c>
      <c r="D363">
        <v>9.4469999999999992</v>
      </c>
      <c r="E363">
        <v>9.8450000000000006</v>
      </c>
      <c r="F363">
        <v>331246.821</v>
      </c>
      <c r="G363">
        <v>0</v>
      </c>
      <c r="L363" t="s">
        <v>7</v>
      </c>
      <c r="M363" t="s">
        <v>7</v>
      </c>
      <c r="N363" t="s">
        <v>7</v>
      </c>
      <c r="P363">
        <f t="shared" si="969"/>
        <v>-0.48412184057031599</v>
      </c>
      <c r="Q363">
        <f t="shared" si="970"/>
        <v>-160363.82066558598</v>
      </c>
      <c r="R363">
        <f t="shared" si="971"/>
        <v>-2280167.3307465124</v>
      </c>
      <c r="S363">
        <f t="shared" si="972"/>
        <v>-22.801673307465123</v>
      </c>
      <c r="T363">
        <f t="shared" si="973"/>
        <v>-2.2801673307465124E-2</v>
      </c>
    </row>
    <row r="364" spans="1:20" x14ac:dyDescent="0.25">
      <c r="A364" s="5">
        <v>44226</v>
      </c>
      <c r="B364">
        <v>9.7780000000000005</v>
      </c>
      <c r="C364">
        <v>15</v>
      </c>
      <c r="D364">
        <v>9.1850000000000005</v>
      </c>
      <c r="E364">
        <v>9.8490000000000002</v>
      </c>
      <c r="F364">
        <v>705543.45700000005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-0.7716251074806536</v>
      </c>
      <c r="Q364">
        <f t="shared" si="970"/>
        <v>-544415.04583989689</v>
      </c>
      <c r="R364">
        <f t="shared" si="971"/>
        <v>-2119803.5100809266</v>
      </c>
      <c r="S364">
        <f t="shared" si="972"/>
        <v>-21.198035100809268</v>
      </c>
      <c r="T364">
        <f t="shared" si="973"/>
        <v>-2.1198035100809268E-2</v>
      </c>
    </row>
    <row r="365" spans="1:20" x14ac:dyDescent="0.25">
      <c r="A365" s="5">
        <v>44225</v>
      </c>
      <c r="B365">
        <v>9.6370000000000005</v>
      </c>
      <c r="C365">
        <v>11</v>
      </c>
      <c r="D365">
        <v>8.7739999999999991</v>
      </c>
      <c r="E365">
        <v>9.7789999999999999</v>
      </c>
      <c r="F365">
        <v>215157.77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-9.7035040431266498E-2</v>
      </c>
      <c r="Q365">
        <f t="shared" si="970"/>
        <v>-20877.842911051135</v>
      </c>
      <c r="R365">
        <f t="shared" si="971"/>
        <v>-1575388.4642410297</v>
      </c>
      <c r="S365">
        <f t="shared" si="972"/>
        <v>-15.753884642410297</v>
      </c>
      <c r="T365">
        <f t="shared" si="973"/>
        <v>-1.5753884642410298E-2</v>
      </c>
    </row>
    <row r="366" spans="1:20" x14ac:dyDescent="0.25">
      <c r="A366" s="5">
        <v>44224</v>
      </c>
      <c r="B366">
        <v>8.6969999999999992</v>
      </c>
      <c r="C366">
        <v>10</v>
      </c>
      <c r="D366">
        <v>8.4749999999999996</v>
      </c>
      <c r="E366">
        <v>9.6240000000000006</v>
      </c>
      <c r="F366">
        <v>91567.942999999999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0.50688524590164019</v>
      </c>
      <c r="Q366">
        <f t="shared" si="970"/>
        <v>46414.439304262371</v>
      </c>
      <c r="R366">
        <f t="shared" si="971"/>
        <v>-1554510.6213299786</v>
      </c>
      <c r="S366">
        <f t="shared" si="972"/>
        <v>-15.545106213299785</v>
      </c>
      <c r="T366">
        <f t="shared" si="973"/>
        <v>-1.5545106213299785E-2</v>
      </c>
    </row>
    <row r="367" spans="1:20" x14ac:dyDescent="0.25">
      <c r="A367" s="5">
        <v>44223</v>
      </c>
      <c r="B367">
        <v>9.6750000000000007</v>
      </c>
      <c r="C367">
        <v>9.7230000000000008</v>
      </c>
      <c r="D367">
        <v>8.3369999999999997</v>
      </c>
      <c r="E367">
        <v>8.6419999999999995</v>
      </c>
      <c r="F367">
        <v>84099.210999999996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-0.55988455988456065</v>
      </c>
      <c r="Q367">
        <f t="shared" si="970"/>
        <v>-47085.849737373799</v>
      </c>
      <c r="R367">
        <f t="shared" si="971"/>
        <v>-1600925.060634241</v>
      </c>
      <c r="S367">
        <f t="shared" si="972"/>
        <v>-16.009250606342409</v>
      </c>
      <c r="T367">
        <f t="shared" si="973"/>
        <v>-1.6009250606342409E-2</v>
      </c>
    </row>
    <row r="368" spans="1:20" x14ac:dyDescent="0.25">
      <c r="A368" s="5">
        <v>44222</v>
      </c>
      <c r="B368">
        <v>9.4390000000000001</v>
      </c>
      <c r="C368">
        <v>11.1</v>
      </c>
      <c r="D368">
        <v>8.9</v>
      </c>
      <c r="E368">
        <v>9.6859999999999999</v>
      </c>
      <c r="F368">
        <v>204127.25200000001</v>
      </c>
      <c r="G368">
        <v>0</v>
      </c>
      <c r="L368" t="s">
        <v>7</v>
      </c>
      <c r="M368" t="s">
        <v>7</v>
      </c>
      <c r="N368" t="s">
        <v>8</v>
      </c>
      <c r="P368">
        <f t="shared" si="969"/>
        <v>-0.28545454545454557</v>
      </c>
      <c r="Q368">
        <f t="shared" si="970"/>
        <v>-58269.051934545481</v>
      </c>
      <c r="R368">
        <f t="shared" si="971"/>
        <v>-1553839.2108968671</v>
      </c>
      <c r="S368">
        <f t="shared" si="972"/>
        <v>-15.538392108968671</v>
      </c>
      <c r="T368">
        <f t="shared" si="973"/>
        <v>-1.5538392108968671E-2</v>
      </c>
    </row>
    <row r="369" spans="1:20" x14ac:dyDescent="0.25">
      <c r="A369" s="5">
        <v>44221</v>
      </c>
      <c r="B369">
        <v>8.6110000000000007</v>
      </c>
      <c r="C369">
        <v>11.7</v>
      </c>
      <c r="D369">
        <v>8.4960000000000004</v>
      </c>
      <c r="E369">
        <v>9.4749999999999996</v>
      </c>
      <c r="F369">
        <v>839337.88699999999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-0.38888888888888917</v>
      </c>
      <c r="Q369">
        <f t="shared" si="970"/>
        <v>-326409.17827777803</v>
      </c>
      <c r="R369">
        <f t="shared" si="971"/>
        <v>-1495570.1589623217</v>
      </c>
      <c r="S369">
        <f t="shared" si="972"/>
        <v>-14.955701589623217</v>
      </c>
      <c r="T369">
        <f t="shared" si="973"/>
        <v>-1.4955701589623217E-2</v>
      </c>
    </row>
    <row r="370" spans="1:20" x14ac:dyDescent="0.25">
      <c r="A370" s="5">
        <v>44220</v>
      </c>
      <c r="B370">
        <v>7.8460000000000001</v>
      </c>
      <c r="C370">
        <v>8.89</v>
      </c>
      <c r="D370">
        <v>7.7060000000000004</v>
      </c>
      <c r="E370">
        <v>8.6120000000000001</v>
      </c>
      <c r="F370">
        <v>153778.696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0.53040540540540471</v>
      </c>
      <c r="Q370">
        <f t="shared" si="970"/>
        <v>81565.051594594479</v>
      </c>
      <c r="R370">
        <f t="shared" si="971"/>
        <v>-1169160.9806845437</v>
      </c>
      <c r="S370">
        <f t="shared" si="972"/>
        <v>-11.691609806845438</v>
      </c>
      <c r="T370">
        <f t="shared" si="973"/>
        <v>-1.1691609806845438E-2</v>
      </c>
    </row>
    <row r="371" spans="1:20" x14ac:dyDescent="0.25">
      <c r="A371" s="5">
        <v>44219</v>
      </c>
      <c r="B371">
        <v>7.6420000000000003</v>
      </c>
      <c r="C371">
        <v>7.9349999999999996</v>
      </c>
      <c r="D371">
        <v>7.4029999999999996</v>
      </c>
      <c r="E371">
        <v>7.8470000000000004</v>
      </c>
      <c r="F371">
        <v>43828.451999999997</v>
      </c>
      <c r="G371">
        <v>0</v>
      </c>
      <c r="L371" t="s">
        <v>8</v>
      </c>
      <c r="M371" t="s">
        <v>7</v>
      </c>
      <c r="N371" t="s">
        <v>8</v>
      </c>
      <c r="P371">
        <f t="shared" si="969"/>
        <v>0.66917293233083008</v>
      </c>
      <c r="Q371">
        <f t="shared" si="970"/>
        <v>29328.813744361032</v>
      </c>
      <c r="R371">
        <f t="shared" si="971"/>
        <v>-1250726.0322791382</v>
      </c>
      <c r="S371">
        <f t="shared" si="972"/>
        <v>-12.507260322791382</v>
      </c>
      <c r="T371">
        <f t="shared" si="973"/>
        <v>-1.2507260322791381E-2</v>
      </c>
    </row>
    <row r="372" spans="1:20" x14ac:dyDescent="0.25">
      <c r="A372" s="5">
        <v>44218</v>
      </c>
      <c r="B372">
        <v>7.5650000000000004</v>
      </c>
      <c r="C372">
        <v>8.2750000000000004</v>
      </c>
      <c r="D372">
        <v>7.1</v>
      </c>
      <c r="E372">
        <v>7.7030000000000003</v>
      </c>
      <c r="F372">
        <v>39991.714999999997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2.6382978723404737E-2</v>
      </c>
      <c r="Q372">
        <f t="shared" si="970"/>
        <v>1055.100565957466</v>
      </c>
      <c r="R372">
        <f t="shared" si="971"/>
        <v>-1280054.8460234993</v>
      </c>
      <c r="S372">
        <f t="shared" si="972"/>
        <v>-12.800548460234992</v>
      </c>
      <c r="T372">
        <f t="shared" si="973"/>
        <v>-1.2800548460234993E-2</v>
      </c>
    </row>
    <row r="373" spans="1:20" x14ac:dyDescent="0.25">
      <c r="A373" s="5">
        <v>44217</v>
      </c>
      <c r="B373">
        <v>8.15</v>
      </c>
      <c r="C373">
        <v>8.2430000000000003</v>
      </c>
      <c r="D373">
        <v>7.335</v>
      </c>
      <c r="E373">
        <v>7.6230000000000002</v>
      </c>
      <c r="F373">
        <v>51500.788</v>
      </c>
      <c r="G373">
        <v>0</v>
      </c>
      <c r="L373" t="s">
        <v>7</v>
      </c>
      <c r="M373" t="s">
        <v>7</v>
      </c>
      <c r="N373" t="s">
        <v>8</v>
      </c>
      <c r="P373">
        <f t="shared" si="969"/>
        <v>-0.36563876651982347</v>
      </c>
      <c r="Q373">
        <f t="shared" si="970"/>
        <v>-18830.684599118926</v>
      </c>
      <c r="R373">
        <f t="shared" si="971"/>
        <v>-1281109.9465894566</v>
      </c>
      <c r="S373">
        <f t="shared" si="972"/>
        <v>-12.811099465894566</v>
      </c>
      <c r="T373">
        <f t="shared" si="973"/>
        <v>-1.2811099465894565E-2</v>
      </c>
    </row>
    <row r="374" spans="1:20" x14ac:dyDescent="0.25">
      <c r="A374" s="5">
        <v>44216</v>
      </c>
      <c r="B374">
        <v>8.1300000000000008</v>
      </c>
      <c r="C374">
        <v>8.2140000000000004</v>
      </c>
      <c r="D374">
        <v>7.399</v>
      </c>
      <c r="E374">
        <v>8.1170000000000009</v>
      </c>
      <c r="F374">
        <v>69288.752999999997</v>
      </c>
      <c r="G374">
        <v>0</v>
      </c>
      <c r="L374" t="s">
        <v>7</v>
      </c>
      <c r="M374" t="s">
        <v>7</v>
      </c>
      <c r="N374" t="s">
        <v>8</v>
      </c>
      <c r="P374">
        <f t="shared" si="969"/>
        <v>0.76196319018405034</v>
      </c>
      <c r="Q374">
        <f t="shared" si="970"/>
        <v>52795.479279754683</v>
      </c>
      <c r="R374">
        <f t="shared" si="971"/>
        <v>-1262279.2619903376</v>
      </c>
      <c r="S374">
        <f t="shared" si="972"/>
        <v>-12.622792619903377</v>
      </c>
      <c r="T374">
        <f t="shared" si="973"/>
        <v>-1.2622792619903378E-2</v>
      </c>
    </row>
    <row r="375" spans="1:20" x14ac:dyDescent="0.25">
      <c r="A375" s="5">
        <v>44215</v>
      </c>
      <c r="B375">
        <v>8.8889999999999993</v>
      </c>
      <c r="C375">
        <v>8.8940000000000001</v>
      </c>
      <c r="D375">
        <v>8.0609999999999999</v>
      </c>
      <c r="E375">
        <v>8.141</v>
      </c>
      <c r="F375">
        <v>87687.048999999999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-0.80792316926770691</v>
      </c>
      <c r="Q375">
        <f t="shared" si="970"/>
        <v>-70844.398531812709</v>
      </c>
      <c r="R375">
        <f t="shared" si="971"/>
        <v>-1315074.7412700923</v>
      </c>
      <c r="S375">
        <f t="shared" si="972"/>
        <v>-13.150747412700923</v>
      </c>
      <c r="T375">
        <f t="shared" si="973"/>
        <v>-1.3150747412700923E-2</v>
      </c>
    </row>
    <row r="376" spans="1:20" x14ac:dyDescent="0.25">
      <c r="A376" s="5">
        <v>44214</v>
      </c>
      <c r="B376">
        <v>8.2119999999999997</v>
      </c>
      <c r="C376">
        <v>9.484</v>
      </c>
      <c r="D376">
        <v>7.8090000000000002</v>
      </c>
      <c r="E376">
        <v>8.8580000000000005</v>
      </c>
      <c r="F376">
        <v>202003.46299999999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0.25253731343283642</v>
      </c>
      <c r="Q376">
        <f t="shared" si="970"/>
        <v>51013.411850149372</v>
      </c>
      <c r="R376">
        <f t="shared" si="971"/>
        <v>-1244230.3427382796</v>
      </c>
      <c r="S376">
        <f t="shared" si="972"/>
        <v>-12.442303427382797</v>
      </c>
      <c r="T376">
        <f t="shared" si="973"/>
        <v>-1.2442303427382796E-2</v>
      </c>
    </row>
    <row r="377" spans="1:20" x14ac:dyDescent="0.25">
      <c r="A377" s="5">
        <v>44213</v>
      </c>
      <c r="B377">
        <v>7.8659999999999997</v>
      </c>
      <c r="C377">
        <v>8.5</v>
      </c>
      <c r="D377">
        <v>7.3310000000000004</v>
      </c>
      <c r="E377">
        <v>8.2119999999999997</v>
      </c>
      <c r="F377">
        <v>155735.91699999999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0.50727117194183002</v>
      </c>
      <c r="Q377">
        <f t="shared" si="970"/>
        <v>79000.341130025568</v>
      </c>
      <c r="R377">
        <f t="shared" si="971"/>
        <v>-1295243.7545884289</v>
      </c>
      <c r="S377">
        <f t="shared" si="972"/>
        <v>-12.952437545884289</v>
      </c>
      <c r="T377">
        <f t="shared" si="973"/>
        <v>-1.2952437545884288E-2</v>
      </c>
    </row>
    <row r="378" spans="1:20" x14ac:dyDescent="0.25">
      <c r="A378" s="5">
        <v>44212</v>
      </c>
      <c r="B378">
        <v>7.1740000000000004</v>
      </c>
      <c r="C378">
        <v>8.2289999999999992</v>
      </c>
      <c r="D378">
        <v>7</v>
      </c>
      <c r="E378">
        <v>7.8789999999999996</v>
      </c>
      <c r="F378">
        <v>92122.505000000005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0.43043124491456491</v>
      </c>
      <c r="Q378">
        <f t="shared" si="970"/>
        <v>39652.404511798231</v>
      </c>
      <c r="R378">
        <f t="shared" si="971"/>
        <v>-1374244.0957184543</v>
      </c>
      <c r="S378">
        <f t="shared" si="972"/>
        <v>-13.742440957184543</v>
      </c>
      <c r="T378">
        <f t="shared" si="973"/>
        <v>-1.3742440957184543E-2</v>
      </c>
    </row>
    <row r="379" spans="1:20" x14ac:dyDescent="0.25">
      <c r="A379" s="5">
        <v>44211</v>
      </c>
      <c r="B379">
        <v>6.6710000000000003</v>
      </c>
      <c r="C379">
        <v>7.5</v>
      </c>
      <c r="D379">
        <v>6.4009999999999998</v>
      </c>
      <c r="E379">
        <v>7.13</v>
      </c>
      <c r="F379">
        <v>109723.109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0.32666060054595081</v>
      </c>
      <c r="Q379">
        <f t="shared" si="970"/>
        <v>35842.216679708821</v>
      </c>
      <c r="R379">
        <f t="shared" si="971"/>
        <v>-1413896.5002302525</v>
      </c>
      <c r="S379">
        <f t="shared" si="972"/>
        <v>-14.138965002302525</v>
      </c>
      <c r="T379">
        <f t="shared" si="973"/>
        <v>-1.4138965002302524E-2</v>
      </c>
    </row>
    <row r="380" spans="1:20" x14ac:dyDescent="0.25">
      <c r="A380" s="5">
        <v>44210</v>
      </c>
      <c r="B380">
        <v>6.8920000000000003</v>
      </c>
      <c r="C380">
        <v>7.75</v>
      </c>
      <c r="D380">
        <v>6.5010000000000003</v>
      </c>
      <c r="E380">
        <v>6.673</v>
      </c>
      <c r="F380">
        <v>65747.856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-0.72457966373098515</v>
      </c>
      <c r="Q380">
        <f t="shared" si="970"/>
        <v>-47639.559391513234</v>
      </c>
      <c r="R380">
        <f t="shared" si="971"/>
        <v>-1449738.7169099613</v>
      </c>
      <c r="S380">
        <f t="shared" si="972"/>
        <v>-14.497387169099612</v>
      </c>
      <c r="T380">
        <f t="shared" si="973"/>
        <v>-1.4497387169099612E-2</v>
      </c>
    </row>
    <row r="381" spans="1:20" x14ac:dyDescent="0.25">
      <c r="A381" s="5">
        <v>44209</v>
      </c>
      <c r="B381">
        <v>6.42</v>
      </c>
      <c r="C381">
        <v>7.1820000000000004</v>
      </c>
      <c r="D381">
        <v>6.2229999999999999</v>
      </c>
      <c r="E381">
        <v>6.8570000000000002</v>
      </c>
      <c r="F381">
        <v>104313.31200000001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0.32221063607924921</v>
      </c>
      <c r="Q381">
        <f t="shared" si="970"/>
        <v>33610.858611053183</v>
      </c>
      <c r="R381">
        <f t="shared" si="971"/>
        <v>-1402099.1575184481</v>
      </c>
      <c r="S381">
        <f t="shared" si="972"/>
        <v>-14.02099157518448</v>
      </c>
      <c r="T381">
        <f t="shared" si="973"/>
        <v>-1.402099157518448E-2</v>
      </c>
    </row>
    <row r="382" spans="1:20" x14ac:dyDescent="0.25">
      <c r="A382" s="5">
        <v>44208</v>
      </c>
      <c r="B382">
        <v>6.41</v>
      </c>
      <c r="C382">
        <v>6.8129999999999997</v>
      </c>
      <c r="D382">
        <v>6.2329999999999997</v>
      </c>
      <c r="E382">
        <v>6.42</v>
      </c>
      <c r="F382">
        <v>53538.358999999997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-0.35517241379310255</v>
      </c>
      <c r="Q382">
        <f t="shared" si="970"/>
        <v>-19015.348196551673</v>
      </c>
      <c r="R382">
        <f t="shared" si="971"/>
        <v>-1435710.0161295012</v>
      </c>
      <c r="S382">
        <f t="shared" si="972"/>
        <v>-14.357100161295012</v>
      </c>
      <c r="T382">
        <f t="shared" si="973"/>
        <v>-1.4357100161295011E-2</v>
      </c>
    </row>
    <row r="383" spans="1:20" x14ac:dyDescent="0.25">
      <c r="A383" s="5">
        <v>44207</v>
      </c>
      <c r="B383">
        <v>7.657</v>
      </c>
      <c r="C383">
        <v>7.6890000000000001</v>
      </c>
      <c r="D383">
        <v>5.6269999999999998</v>
      </c>
      <c r="E383">
        <v>6.4349999999999996</v>
      </c>
      <c r="F383">
        <v>100652.855</v>
      </c>
      <c r="G383">
        <v>0</v>
      </c>
      <c r="L383" t="s">
        <v>7</v>
      </c>
      <c r="M383" t="s">
        <v>7</v>
      </c>
      <c r="N383" t="s">
        <v>7</v>
      </c>
      <c r="P383">
        <f t="shared" si="969"/>
        <v>-0.21629485935984508</v>
      </c>
      <c r="Q383">
        <f t="shared" si="970"/>
        <v>-21770.695116391878</v>
      </c>
      <c r="R383">
        <f t="shared" si="971"/>
        <v>-1416694.6679329495</v>
      </c>
      <c r="S383">
        <f t="shared" si="972"/>
        <v>-14.166946679329495</v>
      </c>
      <c r="T383">
        <f t="shared" si="973"/>
        <v>-1.4166946679329495E-2</v>
      </c>
    </row>
    <row r="384" spans="1:20" x14ac:dyDescent="0.25">
      <c r="A384" s="5">
        <v>44206</v>
      </c>
      <c r="B384">
        <v>7.5960000000000001</v>
      </c>
      <c r="C384">
        <v>8.1890000000000001</v>
      </c>
      <c r="D384">
        <v>7.25</v>
      </c>
      <c r="E384">
        <v>7.7249999999999996</v>
      </c>
      <c r="F384">
        <v>93381.254000000001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1.1714589989349555E-2</v>
      </c>
      <c r="Q384">
        <f t="shared" si="970"/>
        <v>1093.9231033013082</v>
      </c>
      <c r="R384">
        <f t="shared" si="971"/>
        <v>-1394923.9728165576</v>
      </c>
      <c r="S384">
        <f t="shared" si="972"/>
        <v>-13.949239728165576</v>
      </c>
      <c r="T384">
        <f t="shared" si="973"/>
        <v>-1.3949239728165577E-2</v>
      </c>
    </row>
    <row r="385" spans="1:20" x14ac:dyDescent="0.25">
      <c r="A385" s="5">
        <v>44205</v>
      </c>
      <c r="B385">
        <v>7.1050000000000004</v>
      </c>
      <c r="C385">
        <v>7.7</v>
      </c>
      <c r="D385">
        <v>7.0110000000000001</v>
      </c>
      <c r="E385">
        <v>7.5759999999999996</v>
      </c>
      <c r="F385">
        <v>106259.253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0.64005805515239322</v>
      </c>
      <c r="Q385">
        <f t="shared" si="970"/>
        <v>68012.090817126096</v>
      </c>
      <c r="R385">
        <f t="shared" si="971"/>
        <v>-1396017.8959198589</v>
      </c>
      <c r="S385">
        <f t="shared" si="972"/>
        <v>-13.96017895919859</v>
      </c>
      <c r="T385">
        <f t="shared" si="973"/>
        <v>-1.3960178959198591E-2</v>
      </c>
    </row>
    <row r="386" spans="1:20" x14ac:dyDescent="0.25">
      <c r="A386" s="5">
        <v>44204</v>
      </c>
      <c r="B386">
        <v>6.92</v>
      </c>
      <c r="C386">
        <v>7.2990000000000004</v>
      </c>
      <c r="D386">
        <v>6.37</v>
      </c>
      <c r="E386">
        <v>7.13</v>
      </c>
      <c r="F386">
        <v>69069.971000000005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0.63616792249730802</v>
      </c>
      <c r="Q386">
        <f t="shared" si="970"/>
        <v>43940.099958019317</v>
      </c>
      <c r="R386">
        <f t="shared" si="971"/>
        <v>-1464029.9867369849</v>
      </c>
      <c r="S386">
        <f t="shared" si="972"/>
        <v>-14.640299867369849</v>
      </c>
      <c r="T386">
        <f t="shared" si="973"/>
        <v>-1.464029986736985E-2</v>
      </c>
    </row>
    <row r="387" spans="1:20" x14ac:dyDescent="0.25">
      <c r="A387" s="5">
        <v>44203</v>
      </c>
      <c r="B387">
        <v>6.5659999999999998</v>
      </c>
      <c r="C387">
        <v>7.6710000000000003</v>
      </c>
      <c r="D387">
        <v>6.4660000000000002</v>
      </c>
      <c r="E387">
        <v>6.8760000000000003</v>
      </c>
      <c r="F387">
        <v>171673.13399999999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-0.31950207468879649</v>
      </c>
      <c r="Q387">
        <f t="shared" si="970"/>
        <v>-54849.922481327761</v>
      </c>
      <c r="R387">
        <f t="shared" si="971"/>
        <v>-1507970.0866950043</v>
      </c>
      <c r="S387">
        <f t="shared" si="972"/>
        <v>-15.079700866950043</v>
      </c>
      <c r="T387">
        <f t="shared" si="973"/>
        <v>-1.5079700866950043E-2</v>
      </c>
    </row>
    <row r="388" spans="1:20" x14ac:dyDescent="0.25">
      <c r="A388" s="5">
        <v>44202</v>
      </c>
      <c r="B388">
        <v>6.2649999999999997</v>
      </c>
      <c r="C388">
        <v>7</v>
      </c>
      <c r="D388">
        <v>6.06</v>
      </c>
      <c r="E388">
        <v>6.5460000000000003</v>
      </c>
      <c r="F388">
        <v>98887.993000000002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3.404255319149032E-2</v>
      </c>
      <c r="Q388">
        <f t="shared" si="970"/>
        <v>3366.3997617022223</v>
      </c>
      <c r="R388">
        <f t="shared" si="971"/>
        <v>-1453120.1642136765</v>
      </c>
      <c r="S388">
        <f t="shared" si="972"/>
        <v>-14.531201642136764</v>
      </c>
      <c r="T388">
        <f t="shared" si="973"/>
        <v>-1.4531201642136764E-2</v>
      </c>
    </row>
    <row r="389" spans="1:20" x14ac:dyDescent="0.25">
      <c r="A389" s="5">
        <v>44201</v>
      </c>
      <c r="B389">
        <v>6.6639999999999997</v>
      </c>
      <c r="C389">
        <v>6.867</v>
      </c>
      <c r="D389">
        <v>6</v>
      </c>
      <c r="E389">
        <v>6.234</v>
      </c>
      <c r="F389">
        <v>102022.296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-0.46020761245674741</v>
      </c>
      <c r="Q389">
        <f t="shared" si="970"/>
        <v>-46951.437259515573</v>
      </c>
      <c r="R389">
        <f t="shared" si="971"/>
        <v>-1456486.5639753786</v>
      </c>
      <c r="S389">
        <f t="shared" si="972"/>
        <v>-14.564865639753787</v>
      </c>
      <c r="T389">
        <f t="shared" si="973"/>
        <v>-1.4564865639753786E-2</v>
      </c>
    </row>
    <row r="390" spans="1:20" x14ac:dyDescent="0.25">
      <c r="A390" s="5">
        <v>44200</v>
      </c>
      <c r="B390">
        <v>6.7990000000000004</v>
      </c>
      <c r="C390">
        <v>7.25</v>
      </c>
      <c r="D390">
        <v>5.9</v>
      </c>
      <c r="E390">
        <v>6.6660000000000004</v>
      </c>
      <c r="F390">
        <v>82532.297000000006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0.13481481481481514</v>
      </c>
      <c r="Q390">
        <f t="shared" ref="Q390:Q453" si="975">F390*P390</f>
        <v>11126.576336296324</v>
      </c>
      <c r="R390">
        <f t="shared" ref="R390:R453" si="976">R391+Q390</f>
        <v>-1409535.1267158631</v>
      </c>
      <c r="S390">
        <f t="shared" ref="S390:S453" si="977">R390/100000</f>
        <v>-14.095351267158632</v>
      </c>
      <c r="T390">
        <f t="shared" ref="T390:T453" si="978">S390/1000</f>
        <v>-1.4095351267158633E-2</v>
      </c>
    </row>
    <row r="391" spans="1:20" x14ac:dyDescent="0.25">
      <c r="A391" s="5">
        <v>44199</v>
      </c>
      <c r="B391">
        <v>6.29</v>
      </c>
      <c r="C391">
        <v>6.8869999999999996</v>
      </c>
      <c r="D391">
        <v>6.1219999999999999</v>
      </c>
      <c r="E391">
        <v>6.7629999999999999</v>
      </c>
      <c r="F391">
        <v>75230.013000000006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0.675816993464053</v>
      </c>
      <c r="Q391">
        <f t="shared" si="975"/>
        <v>50841.721203921625</v>
      </c>
      <c r="R391">
        <f t="shared" si="976"/>
        <v>-1420661.7030521594</v>
      </c>
      <c r="S391">
        <f t="shared" si="977"/>
        <v>-14.206617030521594</v>
      </c>
      <c r="T391">
        <f t="shared" si="978"/>
        <v>-1.4206617030521593E-2</v>
      </c>
    </row>
    <row r="392" spans="1:20" x14ac:dyDescent="0.25">
      <c r="A392" s="5">
        <v>44198</v>
      </c>
      <c r="B392">
        <v>6.1020000000000003</v>
      </c>
      <c r="C392">
        <v>6.5</v>
      </c>
      <c r="D392">
        <v>5.9749999999999996</v>
      </c>
      <c r="E392">
        <v>6.2679999999999998</v>
      </c>
      <c r="F392">
        <v>57713.209000000003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0.116190476190476</v>
      </c>
      <c r="Q392">
        <f t="shared" si="975"/>
        <v>6705.7252361904657</v>
      </c>
      <c r="R392">
        <f t="shared" si="976"/>
        <v>-1471503.424256081</v>
      </c>
      <c r="S392">
        <f t="shared" si="977"/>
        <v>-14.71503424256081</v>
      </c>
      <c r="T392">
        <f t="shared" si="978"/>
        <v>-1.471503424256081E-2</v>
      </c>
    </row>
    <row r="393" spans="1:20" x14ac:dyDescent="0.25">
      <c r="A393" s="5">
        <v>44197</v>
      </c>
      <c r="B393">
        <v>6.4560000000000004</v>
      </c>
      <c r="C393">
        <v>6.7309999999999999</v>
      </c>
      <c r="D393">
        <v>5.9930000000000003</v>
      </c>
      <c r="E393">
        <v>6.1280000000000001</v>
      </c>
      <c r="F393">
        <v>52408.921000000002</v>
      </c>
      <c r="G393">
        <v>0</v>
      </c>
      <c r="L393" t="s">
        <v>7</v>
      </c>
      <c r="M393" t="s">
        <v>8</v>
      </c>
      <c r="N393" t="s">
        <v>8</v>
      </c>
      <c r="P393">
        <f t="shared" si="974"/>
        <v>-0.63414634146341498</v>
      </c>
      <c r="Q393">
        <f t="shared" si="975"/>
        <v>-33234.925512195143</v>
      </c>
      <c r="R393">
        <f t="shared" si="976"/>
        <v>-1478209.1494922715</v>
      </c>
      <c r="S393">
        <f t="shared" si="977"/>
        <v>-14.782091494922716</v>
      </c>
      <c r="T393">
        <f t="shared" si="978"/>
        <v>-1.4782091494922716E-2</v>
      </c>
    </row>
    <row r="394" spans="1:20" x14ac:dyDescent="0.25">
      <c r="A394" s="5">
        <v>44196</v>
      </c>
      <c r="B394">
        <v>6.0839999999999996</v>
      </c>
      <c r="C394">
        <v>6.8479999999999999</v>
      </c>
      <c r="D394">
        <v>5.75</v>
      </c>
      <c r="E394">
        <v>6.5049999999999999</v>
      </c>
      <c r="F394">
        <v>95690.623999999996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0.37522768670309653</v>
      </c>
      <c r="Q394">
        <f t="shared" si="975"/>
        <v>35905.771482695811</v>
      </c>
      <c r="R394">
        <f t="shared" si="976"/>
        <v>-1444974.2239800764</v>
      </c>
      <c r="S394">
        <f t="shared" si="977"/>
        <v>-14.449742239800765</v>
      </c>
      <c r="T394">
        <f t="shared" si="978"/>
        <v>-1.4449742239800764E-2</v>
      </c>
    </row>
    <row r="395" spans="1:20" x14ac:dyDescent="0.25">
      <c r="A395" s="5">
        <v>44195</v>
      </c>
      <c r="B395">
        <v>6.1980000000000004</v>
      </c>
      <c r="C395">
        <v>6.2530000000000001</v>
      </c>
      <c r="D395">
        <v>5.9219999999999997</v>
      </c>
      <c r="E395">
        <v>6.0579999999999998</v>
      </c>
      <c r="F395">
        <v>19627.433000000001</v>
      </c>
      <c r="G395">
        <v>0</v>
      </c>
      <c r="L395" t="s">
        <v>8</v>
      </c>
      <c r="M395" t="s">
        <v>7</v>
      </c>
      <c r="N395" t="s">
        <v>8</v>
      </c>
      <c r="P395">
        <f t="shared" si="974"/>
        <v>-0.17824773413897307</v>
      </c>
      <c r="Q395">
        <f t="shared" si="975"/>
        <v>-3498.545459214507</v>
      </c>
      <c r="R395">
        <f t="shared" si="976"/>
        <v>-1480879.9954627722</v>
      </c>
      <c r="S395">
        <f t="shared" si="977"/>
        <v>-14.808799954627721</v>
      </c>
      <c r="T395">
        <f t="shared" si="978"/>
        <v>-1.4808799954627722E-2</v>
      </c>
    </row>
    <row r="396" spans="1:20" x14ac:dyDescent="0.25">
      <c r="A396" s="5">
        <v>44194</v>
      </c>
      <c r="B396">
        <v>6.476</v>
      </c>
      <c r="C396">
        <v>6.5339999999999998</v>
      </c>
      <c r="D396">
        <v>5.7430000000000003</v>
      </c>
      <c r="E396">
        <v>6.1920000000000002</v>
      </c>
      <c r="F396">
        <v>36361.726000000002</v>
      </c>
      <c r="G396">
        <v>0</v>
      </c>
      <c r="L396" t="s">
        <v>7</v>
      </c>
      <c r="M396" t="s">
        <v>7</v>
      </c>
      <c r="N396" t="s">
        <v>8</v>
      </c>
      <c r="P396">
        <f t="shared" si="974"/>
        <v>0.13527180783817988</v>
      </c>
      <c r="Q396">
        <f t="shared" si="975"/>
        <v>4918.7164121365495</v>
      </c>
      <c r="R396">
        <f t="shared" si="976"/>
        <v>-1477381.4500035576</v>
      </c>
      <c r="S396">
        <f t="shared" si="977"/>
        <v>-14.773814500035575</v>
      </c>
      <c r="T396">
        <f t="shared" si="978"/>
        <v>-1.4773814500035575E-2</v>
      </c>
    </row>
    <row r="397" spans="1:20" x14ac:dyDescent="0.25">
      <c r="A397" s="5">
        <v>44193</v>
      </c>
      <c r="B397">
        <v>6.3339999999999996</v>
      </c>
      <c r="C397">
        <v>6.774</v>
      </c>
      <c r="D397">
        <v>6.3330000000000002</v>
      </c>
      <c r="E397">
        <v>6.4489999999999998</v>
      </c>
      <c r="F397">
        <v>49907.235999999997</v>
      </c>
      <c r="G397">
        <v>0</v>
      </c>
      <c r="L397" t="s">
        <v>8</v>
      </c>
      <c r="M397" t="s">
        <v>7</v>
      </c>
      <c r="N397" t="s">
        <v>8</v>
      </c>
      <c r="P397">
        <f t="shared" si="974"/>
        <v>-0.47392290249433244</v>
      </c>
      <c r="Q397">
        <f t="shared" si="975"/>
        <v>-23652.182140589637</v>
      </c>
      <c r="R397">
        <f t="shared" si="976"/>
        <v>-1482300.1664156942</v>
      </c>
      <c r="S397">
        <f t="shared" si="977"/>
        <v>-14.823001664156942</v>
      </c>
      <c r="T397">
        <f t="shared" si="978"/>
        <v>-1.4823001664156942E-2</v>
      </c>
    </row>
    <row r="398" spans="1:20" x14ac:dyDescent="0.25">
      <c r="A398" s="5">
        <v>44192</v>
      </c>
      <c r="B398">
        <v>6.6630000000000003</v>
      </c>
      <c r="C398">
        <v>7.0220000000000002</v>
      </c>
      <c r="D398">
        <v>6.2</v>
      </c>
      <c r="E398">
        <v>6.4290000000000003</v>
      </c>
      <c r="F398">
        <v>79246.540999999997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-0.44282238442822364</v>
      </c>
      <c r="Q398">
        <f t="shared" si="975"/>
        <v>-35092.142243308983</v>
      </c>
      <c r="R398">
        <f t="shared" si="976"/>
        <v>-1458647.9842751045</v>
      </c>
      <c r="S398">
        <f t="shared" si="977"/>
        <v>-14.586479842751045</v>
      </c>
      <c r="T398">
        <f t="shared" si="978"/>
        <v>-1.4586479842751045E-2</v>
      </c>
    </row>
    <row r="399" spans="1:20" x14ac:dyDescent="0.25">
      <c r="A399" s="5">
        <v>44191</v>
      </c>
      <c r="B399">
        <v>7.0880000000000001</v>
      </c>
      <c r="C399">
        <v>7.1219999999999999</v>
      </c>
      <c r="D399">
        <v>6.44</v>
      </c>
      <c r="E399">
        <v>6.67</v>
      </c>
      <c r="F399">
        <v>143826.38800000001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-0.32551319648093929</v>
      </c>
      <c r="Q399">
        <f t="shared" si="975"/>
        <v>-46817.387296187808</v>
      </c>
      <c r="R399">
        <f t="shared" si="976"/>
        <v>-1423555.8420317955</v>
      </c>
      <c r="S399">
        <f t="shared" si="977"/>
        <v>-14.235558420317956</v>
      </c>
      <c r="T399">
        <f t="shared" si="978"/>
        <v>-1.4235558420317956E-2</v>
      </c>
    </row>
    <row r="400" spans="1:20" x14ac:dyDescent="0.25">
      <c r="A400" s="5">
        <v>44190</v>
      </c>
      <c r="B400">
        <v>7.2439999999999998</v>
      </c>
      <c r="C400">
        <v>7.5359999999999996</v>
      </c>
      <c r="D400">
        <v>6.8529999999999998</v>
      </c>
      <c r="E400">
        <v>7.0960000000000001</v>
      </c>
      <c r="F400">
        <v>24905.083999999999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-0.28843338213762698</v>
      </c>
      <c r="Q400">
        <f t="shared" si="975"/>
        <v>-7183.4576105416991</v>
      </c>
      <c r="R400">
        <f t="shared" si="976"/>
        <v>-1376738.4547356078</v>
      </c>
      <c r="S400">
        <f t="shared" si="977"/>
        <v>-13.767384547356079</v>
      </c>
      <c r="T400">
        <f t="shared" si="978"/>
        <v>-1.3767384547356078E-2</v>
      </c>
    </row>
    <row r="401" spans="1:20" x14ac:dyDescent="0.25">
      <c r="A401" s="5">
        <v>44189</v>
      </c>
      <c r="B401">
        <v>6.2839999999999998</v>
      </c>
      <c r="C401">
        <v>7.5</v>
      </c>
      <c r="D401">
        <v>6.1680000000000001</v>
      </c>
      <c r="E401">
        <v>7.1680000000000001</v>
      </c>
      <c r="F401">
        <v>35186.300999999999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0.50150150150150163</v>
      </c>
      <c r="Q401">
        <f t="shared" si="975"/>
        <v>17645.982783783787</v>
      </c>
      <c r="R401">
        <f t="shared" si="976"/>
        <v>-1369554.9971250661</v>
      </c>
      <c r="S401">
        <f t="shared" si="977"/>
        <v>-13.695549971250662</v>
      </c>
      <c r="T401">
        <f t="shared" si="978"/>
        <v>-1.3695549971250661E-2</v>
      </c>
    </row>
    <row r="402" spans="1:20" x14ac:dyDescent="0.25">
      <c r="A402" s="5">
        <v>44188</v>
      </c>
      <c r="B402">
        <v>8.375</v>
      </c>
      <c r="C402">
        <v>8.3870000000000005</v>
      </c>
      <c r="D402">
        <v>5.3440000000000003</v>
      </c>
      <c r="E402">
        <v>6.29</v>
      </c>
      <c r="F402">
        <v>107477.49400000001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-0.37824515280972743</v>
      </c>
      <c r="Q402">
        <f t="shared" si="975"/>
        <v>-40652.841141636563</v>
      </c>
      <c r="R402">
        <f t="shared" si="976"/>
        <v>-1387200.9799088498</v>
      </c>
      <c r="S402">
        <f t="shared" si="977"/>
        <v>-13.872009799088499</v>
      </c>
      <c r="T402">
        <f t="shared" si="978"/>
        <v>-1.3872009799088498E-2</v>
      </c>
    </row>
    <row r="403" spans="1:20" x14ac:dyDescent="0.25">
      <c r="A403" s="5">
        <v>44187</v>
      </c>
      <c r="B403">
        <v>8.8330000000000002</v>
      </c>
      <c r="C403">
        <v>8.8450000000000006</v>
      </c>
      <c r="D403">
        <v>8</v>
      </c>
      <c r="E403">
        <v>8.391</v>
      </c>
      <c r="F403">
        <v>39636.311999999998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-7.4556213017752143E-2</v>
      </c>
      <c r="Q403">
        <f t="shared" si="975"/>
        <v>-2955.1333207100852</v>
      </c>
      <c r="R403">
        <f t="shared" si="976"/>
        <v>-1346548.1387672133</v>
      </c>
      <c r="S403">
        <f t="shared" si="977"/>
        <v>-13.465481387672133</v>
      </c>
      <c r="T403">
        <f t="shared" si="978"/>
        <v>-1.3465481387672134E-2</v>
      </c>
    </row>
    <row r="404" spans="1:20" x14ac:dyDescent="0.25">
      <c r="A404" s="5">
        <v>44186</v>
      </c>
      <c r="B404">
        <v>9.1609999999999996</v>
      </c>
      <c r="C404">
        <v>9.3309999999999995</v>
      </c>
      <c r="D404">
        <v>8.5</v>
      </c>
      <c r="E404">
        <v>8.8480000000000008</v>
      </c>
      <c r="F404">
        <v>38756.510999999999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-0.16245487364620709</v>
      </c>
      <c r="Q404">
        <f t="shared" si="975"/>
        <v>-6296.1840974728348</v>
      </c>
      <c r="R404">
        <f t="shared" si="976"/>
        <v>-1343593.0054465032</v>
      </c>
      <c r="S404">
        <f t="shared" si="977"/>
        <v>-13.435930054465032</v>
      </c>
      <c r="T404">
        <f t="shared" si="978"/>
        <v>-1.3435930054465032E-2</v>
      </c>
    </row>
    <row r="405" spans="1:20" x14ac:dyDescent="0.25">
      <c r="A405" s="5">
        <v>44185</v>
      </c>
      <c r="B405">
        <v>9.1430000000000007</v>
      </c>
      <c r="C405">
        <v>9.3650000000000002</v>
      </c>
      <c r="D405">
        <v>8.9179999999999993</v>
      </c>
      <c r="E405">
        <v>9.1479999999999997</v>
      </c>
      <c r="F405">
        <v>34703.114999999998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2.9082774049216716E-2</v>
      </c>
      <c r="Q405">
        <f t="shared" si="975"/>
        <v>1009.2628523489833</v>
      </c>
      <c r="R405">
        <f t="shared" si="976"/>
        <v>-1337296.8213490304</v>
      </c>
      <c r="S405">
        <f t="shared" si="977"/>
        <v>-13.372968213490303</v>
      </c>
      <c r="T405">
        <f t="shared" si="978"/>
        <v>-1.3372968213490303E-2</v>
      </c>
    </row>
    <row r="406" spans="1:20" x14ac:dyDescent="0.25">
      <c r="A406" s="5">
        <v>44184</v>
      </c>
      <c r="B406">
        <v>9.0990000000000002</v>
      </c>
      <c r="C406">
        <v>9.2989999999999995</v>
      </c>
      <c r="D406">
        <v>9.0030000000000001</v>
      </c>
      <c r="E406">
        <v>9.1430000000000007</v>
      </c>
      <c r="F406">
        <v>29688.096000000001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-5.4054054054048215E-2</v>
      </c>
      <c r="Q406">
        <f t="shared" si="975"/>
        <v>-1604.7619459457726</v>
      </c>
      <c r="R406">
        <f t="shared" si="976"/>
        <v>-1338306.0842013794</v>
      </c>
      <c r="S406">
        <f t="shared" si="977"/>
        <v>-13.383060842013794</v>
      </c>
      <c r="T406">
        <f t="shared" si="978"/>
        <v>-1.3383060842013794E-2</v>
      </c>
    </row>
    <row r="407" spans="1:20" x14ac:dyDescent="0.25">
      <c r="A407" s="5">
        <v>44183</v>
      </c>
      <c r="B407">
        <v>9.1259999999999994</v>
      </c>
      <c r="C407">
        <v>9.3019999999999996</v>
      </c>
      <c r="D407">
        <v>8.923</v>
      </c>
      <c r="E407">
        <v>9.0760000000000005</v>
      </c>
      <c r="F407">
        <v>40061.281999999999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-0.19261213720316281</v>
      </c>
      <c r="Q407">
        <f t="shared" si="975"/>
        <v>-7716.289145118596</v>
      </c>
      <c r="R407">
        <f t="shared" si="976"/>
        <v>-1336701.3222554338</v>
      </c>
      <c r="S407">
        <f t="shared" si="977"/>
        <v>-13.367013222554338</v>
      </c>
      <c r="T407">
        <f t="shared" si="978"/>
        <v>-1.3367013222554338E-2</v>
      </c>
    </row>
    <row r="408" spans="1:20" x14ac:dyDescent="0.25">
      <c r="A408" s="5">
        <v>44182</v>
      </c>
      <c r="B408">
        <v>9.4420000000000002</v>
      </c>
      <c r="C408">
        <v>9.8970000000000002</v>
      </c>
      <c r="D408">
        <v>9</v>
      </c>
      <c r="E408">
        <v>9.1189999999999998</v>
      </c>
      <c r="F408">
        <v>59966.807999999997</v>
      </c>
      <c r="G408">
        <v>0</v>
      </c>
      <c r="L408" t="s">
        <v>8</v>
      </c>
      <c r="M408" t="s">
        <v>7</v>
      </c>
      <c r="N408" t="s">
        <v>7</v>
      </c>
      <c r="P408">
        <f t="shared" si="974"/>
        <v>-0.73467112597547435</v>
      </c>
      <c r="Q408">
        <f t="shared" si="975"/>
        <v>-44055.882354515081</v>
      </c>
      <c r="R408">
        <f t="shared" si="976"/>
        <v>-1328985.0331103152</v>
      </c>
      <c r="S408">
        <f t="shared" si="977"/>
        <v>-13.289850331103152</v>
      </c>
      <c r="T408">
        <f t="shared" si="978"/>
        <v>-1.3289850331103151E-2</v>
      </c>
    </row>
    <row r="409" spans="1:20" x14ac:dyDescent="0.25">
      <c r="A409" s="5">
        <v>44181</v>
      </c>
      <c r="B409">
        <v>9.0890000000000004</v>
      </c>
      <c r="C409">
        <v>9.6270000000000007</v>
      </c>
      <c r="D409">
        <v>8.9309999999999992</v>
      </c>
      <c r="E409">
        <v>9.4420000000000002</v>
      </c>
      <c r="F409">
        <v>55183.281000000003</v>
      </c>
      <c r="G409">
        <v>0</v>
      </c>
      <c r="L409" t="s">
        <v>8</v>
      </c>
      <c r="M409" t="s">
        <v>7</v>
      </c>
      <c r="N409" t="s">
        <v>7</v>
      </c>
      <c r="P409">
        <f t="shared" si="974"/>
        <v>0.46839080459770088</v>
      </c>
      <c r="Q409">
        <f t="shared" si="975"/>
        <v>25847.341387931021</v>
      </c>
      <c r="R409">
        <f t="shared" si="976"/>
        <v>-1284929.1507558001</v>
      </c>
      <c r="S409">
        <f t="shared" si="977"/>
        <v>-12.849291507558</v>
      </c>
      <c r="T409">
        <f t="shared" si="978"/>
        <v>-1.2849291507558E-2</v>
      </c>
    </row>
    <row r="410" spans="1:20" x14ac:dyDescent="0.25">
      <c r="A410" s="5">
        <v>44180</v>
      </c>
      <c r="B410">
        <v>9.3000000000000007</v>
      </c>
      <c r="C410">
        <v>9.468</v>
      </c>
      <c r="D410">
        <v>8.9809999999999999</v>
      </c>
      <c r="E410">
        <v>9.0869999999999997</v>
      </c>
      <c r="F410">
        <v>28013.174999999999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-0.56468172484599655</v>
      </c>
      <c r="Q410">
        <f t="shared" si="975"/>
        <v>-15818.527977412748</v>
      </c>
      <c r="R410">
        <f t="shared" si="976"/>
        <v>-1310776.4921437311</v>
      </c>
      <c r="S410">
        <f t="shared" si="977"/>
        <v>-13.107764921437312</v>
      </c>
      <c r="T410">
        <f t="shared" si="978"/>
        <v>-1.3107764921437311E-2</v>
      </c>
    </row>
    <row r="411" spans="1:20" x14ac:dyDescent="0.25">
      <c r="A411" s="5">
        <v>44179</v>
      </c>
      <c r="B411">
        <v>9.4879999999999995</v>
      </c>
      <c r="C411">
        <v>9.5079999999999991</v>
      </c>
      <c r="D411">
        <v>9.1150000000000002</v>
      </c>
      <c r="E411">
        <v>9.3179999999999996</v>
      </c>
      <c r="F411">
        <v>27247.31</v>
      </c>
      <c r="G411">
        <v>0</v>
      </c>
      <c r="L411" t="s">
        <v>8</v>
      </c>
      <c r="M411" t="s">
        <v>7</v>
      </c>
      <c r="N411" t="s">
        <v>7</v>
      </c>
      <c r="P411">
        <f t="shared" si="974"/>
        <v>3.307888040712452E-2</v>
      </c>
      <c r="Q411">
        <f t="shared" si="975"/>
        <v>901.310508905848</v>
      </c>
      <c r="R411">
        <f t="shared" si="976"/>
        <v>-1294957.9641663183</v>
      </c>
      <c r="S411">
        <f t="shared" si="977"/>
        <v>-12.949579641663183</v>
      </c>
      <c r="T411">
        <f t="shared" si="978"/>
        <v>-1.2949579641663184E-2</v>
      </c>
    </row>
    <row r="412" spans="1:20" x14ac:dyDescent="0.25">
      <c r="A412" s="5">
        <v>44178</v>
      </c>
      <c r="B412">
        <v>9.2759999999999998</v>
      </c>
      <c r="C412">
        <v>9.75</v>
      </c>
      <c r="D412">
        <v>9.1359999999999992</v>
      </c>
      <c r="E412">
        <v>9.4879999999999995</v>
      </c>
      <c r="F412">
        <v>34885.036999999997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0.14657980456026018</v>
      </c>
      <c r="Q412">
        <f t="shared" si="975"/>
        <v>5113.4419055374447</v>
      </c>
      <c r="R412">
        <f t="shared" si="976"/>
        <v>-1295859.2746752242</v>
      </c>
      <c r="S412">
        <f t="shared" si="977"/>
        <v>-12.958592746752242</v>
      </c>
      <c r="T412">
        <f t="shared" si="978"/>
        <v>-1.2958592746752241E-2</v>
      </c>
    </row>
    <row r="413" spans="1:20" x14ac:dyDescent="0.25">
      <c r="A413" s="5">
        <v>44177</v>
      </c>
      <c r="B413">
        <v>9.0129999999999999</v>
      </c>
      <c r="C413">
        <v>9.3610000000000007</v>
      </c>
      <c r="D413">
        <v>8.9649999999999999</v>
      </c>
      <c r="E413">
        <v>9.2279999999999998</v>
      </c>
      <c r="F413">
        <v>28926.936000000002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0.32828282828282512</v>
      </c>
      <c r="Q413">
        <f t="shared" si="975"/>
        <v>9496.2163636362729</v>
      </c>
      <c r="R413">
        <f t="shared" si="976"/>
        <v>-1300972.7165807616</v>
      </c>
      <c r="S413">
        <f t="shared" si="977"/>
        <v>-13.009727165807616</v>
      </c>
      <c r="T413">
        <f t="shared" si="978"/>
        <v>-1.3009727165807616E-2</v>
      </c>
    </row>
    <row r="414" spans="1:20" x14ac:dyDescent="0.25">
      <c r="A414" s="5">
        <v>44176</v>
      </c>
      <c r="B414">
        <v>9.1419999999999995</v>
      </c>
      <c r="C414">
        <v>9.1859999999999999</v>
      </c>
      <c r="D414">
        <v>8.6910000000000007</v>
      </c>
      <c r="E414">
        <v>9.0459999999999994</v>
      </c>
      <c r="F414">
        <v>34720.133000000002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0.43434343434343115</v>
      </c>
      <c r="Q414">
        <f t="shared" si="975"/>
        <v>15080.461808080698</v>
      </c>
      <c r="R414">
        <f t="shared" si="976"/>
        <v>-1310468.9329443979</v>
      </c>
      <c r="S414">
        <f t="shared" si="977"/>
        <v>-13.104689329443978</v>
      </c>
      <c r="T414">
        <f t="shared" si="978"/>
        <v>-1.3104689329443978E-2</v>
      </c>
    </row>
    <row r="415" spans="1:20" x14ac:dyDescent="0.25">
      <c r="A415" s="5">
        <v>44175</v>
      </c>
      <c r="B415">
        <v>9.7029999999999994</v>
      </c>
      <c r="C415">
        <v>9.7029999999999994</v>
      </c>
      <c r="D415">
        <v>9.0229999999999997</v>
      </c>
      <c r="E415">
        <v>9.1549999999999994</v>
      </c>
      <c r="F415">
        <v>37110.171999999999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-0.61176470588235377</v>
      </c>
      <c r="Q415">
        <f t="shared" si="975"/>
        <v>-22702.69345882356</v>
      </c>
      <c r="R415">
        <f t="shared" si="976"/>
        <v>-1325549.3947524787</v>
      </c>
      <c r="S415">
        <f t="shared" si="977"/>
        <v>-13.255493947524787</v>
      </c>
      <c r="T415">
        <f t="shared" si="978"/>
        <v>-1.3255493947524786E-2</v>
      </c>
    </row>
    <row r="416" spans="1:20" x14ac:dyDescent="0.25">
      <c r="A416" s="5">
        <v>44174</v>
      </c>
      <c r="B416">
        <v>9.2560000000000002</v>
      </c>
      <c r="C416">
        <v>9.8780000000000001</v>
      </c>
      <c r="D416">
        <v>8.7609999999999992</v>
      </c>
      <c r="E416">
        <v>9.7029999999999994</v>
      </c>
      <c r="F416">
        <v>63196.114999999998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0.68666069829901422</v>
      </c>
      <c r="Q416">
        <f t="shared" si="975"/>
        <v>43394.288455684808</v>
      </c>
      <c r="R416">
        <f t="shared" si="976"/>
        <v>-1302846.7012936552</v>
      </c>
      <c r="S416">
        <f t="shared" si="977"/>
        <v>-13.028467012936552</v>
      </c>
      <c r="T416">
        <f t="shared" si="978"/>
        <v>-1.3028467012936553E-2</v>
      </c>
    </row>
    <row r="417" spans="1:20" x14ac:dyDescent="0.25">
      <c r="A417" s="5">
        <v>44173</v>
      </c>
      <c r="B417">
        <v>10.132999999999999</v>
      </c>
      <c r="C417">
        <v>10.848000000000001</v>
      </c>
      <c r="D417">
        <v>9.202</v>
      </c>
      <c r="E417">
        <v>9.2560000000000002</v>
      </c>
      <c r="F417">
        <v>94227.032000000007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-0.93438639125151857</v>
      </c>
      <c r="Q417">
        <f t="shared" si="975"/>
        <v>-88044.45638882136</v>
      </c>
      <c r="R417">
        <f t="shared" si="976"/>
        <v>-1346240.9897493401</v>
      </c>
      <c r="S417">
        <f t="shared" si="977"/>
        <v>-13.462409897493401</v>
      </c>
      <c r="T417">
        <f t="shared" si="978"/>
        <v>-1.3462409897493401E-2</v>
      </c>
    </row>
    <row r="418" spans="1:20" x14ac:dyDescent="0.25">
      <c r="A418" s="5">
        <v>44172</v>
      </c>
      <c r="B418">
        <v>10.951000000000001</v>
      </c>
      <c r="C418">
        <v>10.951000000000001</v>
      </c>
      <c r="D418">
        <v>10.019</v>
      </c>
      <c r="E418">
        <v>10.176</v>
      </c>
      <c r="F418">
        <v>72822.372000000003</v>
      </c>
      <c r="G418">
        <v>0</v>
      </c>
      <c r="L418" t="s">
        <v>7</v>
      </c>
      <c r="M418" t="s">
        <v>8</v>
      </c>
      <c r="N418" t="s">
        <v>7</v>
      </c>
      <c r="P418">
        <f t="shared" si="974"/>
        <v>-0.66309012875536488</v>
      </c>
      <c r="Q418">
        <f t="shared" si="975"/>
        <v>-48287.796025751079</v>
      </c>
      <c r="R418">
        <f t="shared" si="976"/>
        <v>-1258196.5333605187</v>
      </c>
      <c r="S418">
        <f t="shared" si="977"/>
        <v>-12.581965333605188</v>
      </c>
      <c r="T418">
        <f t="shared" si="978"/>
        <v>-1.2581965333605187E-2</v>
      </c>
    </row>
    <row r="419" spans="1:20" x14ac:dyDescent="0.25">
      <c r="A419" s="5">
        <v>44171</v>
      </c>
      <c r="B419">
        <v>10.316000000000001</v>
      </c>
      <c r="C419">
        <v>11.026999999999999</v>
      </c>
      <c r="D419">
        <v>9.9700000000000006</v>
      </c>
      <c r="E419">
        <v>10.946</v>
      </c>
      <c r="F419">
        <v>53896.432999999997</v>
      </c>
      <c r="G419">
        <v>0</v>
      </c>
      <c r="L419" t="s">
        <v>8</v>
      </c>
      <c r="M419" t="s">
        <v>8</v>
      </c>
      <c r="N419" t="s">
        <v>7</v>
      </c>
      <c r="P419">
        <f t="shared" si="974"/>
        <v>0.84673604541154279</v>
      </c>
      <c r="Q419">
        <f t="shared" si="975"/>
        <v>45636.052540208169</v>
      </c>
      <c r="R419">
        <f t="shared" si="976"/>
        <v>-1209908.7373347676</v>
      </c>
      <c r="S419">
        <f t="shared" si="977"/>
        <v>-12.099087373347675</v>
      </c>
      <c r="T419">
        <f t="shared" si="978"/>
        <v>-1.2099087373347675E-2</v>
      </c>
    </row>
    <row r="420" spans="1:20" x14ac:dyDescent="0.25">
      <c r="A420" s="5">
        <v>44170</v>
      </c>
      <c r="B420">
        <v>9.5850000000000009</v>
      </c>
      <c r="C420">
        <v>10.33</v>
      </c>
      <c r="D420">
        <v>9.4789999999999992</v>
      </c>
      <c r="E420">
        <v>10.33</v>
      </c>
      <c r="F420">
        <v>34265.182999999997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1</v>
      </c>
      <c r="Q420">
        <f t="shared" si="975"/>
        <v>34265.182999999997</v>
      </c>
      <c r="R420">
        <f t="shared" si="976"/>
        <v>-1255544.7898749758</v>
      </c>
      <c r="S420">
        <f t="shared" si="977"/>
        <v>-12.555447898749758</v>
      </c>
      <c r="T420">
        <f t="shared" si="978"/>
        <v>-1.2555447898749758E-2</v>
      </c>
    </row>
    <row r="421" spans="1:20" x14ac:dyDescent="0.25">
      <c r="A421" s="5">
        <v>44169</v>
      </c>
      <c r="B421">
        <v>11.1</v>
      </c>
      <c r="C421">
        <v>11.209</v>
      </c>
      <c r="D421">
        <v>9.4260000000000002</v>
      </c>
      <c r="E421">
        <v>9.5850000000000009</v>
      </c>
      <c r="F421">
        <v>118298.27800000001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-0.82164890633763232</v>
      </c>
      <c r="Q421">
        <f t="shared" si="975"/>
        <v>-97199.650740325189</v>
      </c>
      <c r="R421">
        <f t="shared" si="976"/>
        <v>-1289809.9728749758</v>
      </c>
      <c r="S421">
        <f t="shared" si="977"/>
        <v>-12.898099728749758</v>
      </c>
      <c r="T421">
        <f t="shared" si="978"/>
        <v>-1.2898099728749758E-2</v>
      </c>
    </row>
    <row r="422" spans="1:20" x14ac:dyDescent="0.25">
      <c r="A422" s="5">
        <v>44168</v>
      </c>
      <c r="B422">
        <v>11.582000000000001</v>
      </c>
      <c r="C422">
        <v>11.965</v>
      </c>
      <c r="D422">
        <v>10.874000000000001</v>
      </c>
      <c r="E422">
        <v>11.144</v>
      </c>
      <c r="F422">
        <v>77011.471999999994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-0.50504124656278693</v>
      </c>
      <c r="Q422">
        <f t="shared" si="975"/>
        <v>-38893.969818515157</v>
      </c>
      <c r="R422">
        <f t="shared" si="976"/>
        <v>-1192610.3221346505</v>
      </c>
      <c r="S422">
        <f t="shared" si="977"/>
        <v>-11.926103221346505</v>
      </c>
      <c r="T422">
        <f t="shared" si="978"/>
        <v>-1.1926103221346506E-2</v>
      </c>
    </row>
    <row r="423" spans="1:20" x14ac:dyDescent="0.25">
      <c r="A423" s="5">
        <v>44167</v>
      </c>
      <c r="B423">
        <v>10.878</v>
      </c>
      <c r="C423">
        <v>11.712999999999999</v>
      </c>
      <c r="D423">
        <v>10.31</v>
      </c>
      <c r="E423">
        <v>11.582000000000001</v>
      </c>
      <c r="F423">
        <v>79417.767000000007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0.81325730577334487</v>
      </c>
      <c r="Q423">
        <f t="shared" si="975"/>
        <v>64587.079220955267</v>
      </c>
      <c r="R423">
        <f t="shared" si="976"/>
        <v>-1153716.3523161353</v>
      </c>
      <c r="S423">
        <f t="shared" si="977"/>
        <v>-11.537163523161354</v>
      </c>
      <c r="T423">
        <f t="shared" si="978"/>
        <v>-1.1537163523161354E-2</v>
      </c>
    </row>
    <row r="424" spans="1:20" x14ac:dyDescent="0.25">
      <c r="A424" s="5">
        <v>44166</v>
      </c>
      <c r="B424">
        <v>10.327</v>
      </c>
      <c r="C424">
        <v>14</v>
      </c>
      <c r="D424">
        <v>10.167</v>
      </c>
      <c r="E424">
        <v>10.948</v>
      </c>
      <c r="F424">
        <v>397980.95199999999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-0.59248630315679596</v>
      </c>
      <c r="Q424">
        <f t="shared" si="975"/>
        <v>-235798.26297730225</v>
      </c>
      <c r="R424">
        <f t="shared" si="976"/>
        <v>-1218303.4315370906</v>
      </c>
      <c r="S424">
        <f t="shared" si="977"/>
        <v>-12.183034315370906</v>
      </c>
      <c r="T424">
        <f t="shared" si="978"/>
        <v>-1.2183034315370905E-2</v>
      </c>
    </row>
    <row r="425" spans="1:20" x14ac:dyDescent="0.25">
      <c r="A425" s="5">
        <v>44165</v>
      </c>
      <c r="B425">
        <v>9.782</v>
      </c>
      <c r="C425">
        <v>10.574</v>
      </c>
      <c r="D425">
        <v>9.6809999999999992</v>
      </c>
      <c r="E425">
        <v>10.257999999999999</v>
      </c>
      <c r="F425">
        <v>46977.468999999997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0.29227323628219376</v>
      </c>
      <c r="Q425">
        <f t="shared" si="975"/>
        <v>13730.256896976432</v>
      </c>
      <c r="R425">
        <f t="shared" si="976"/>
        <v>-982505.16855978838</v>
      </c>
      <c r="S425">
        <f t="shared" si="977"/>
        <v>-9.8250516855978844</v>
      </c>
      <c r="T425">
        <f t="shared" si="978"/>
        <v>-9.8250516855978836E-3</v>
      </c>
    </row>
    <row r="426" spans="1:20" x14ac:dyDescent="0.25">
      <c r="A426" s="5">
        <v>44164</v>
      </c>
      <c r="B426">
        <v>9.9169999999999998</v>
      </c>
      <c r="C426">
        <v>10.098000000000001</v>
      </c>
      <c r="D426">
        <v>9.5920000000000005</v>
      </c>
      <c r="E426">
        <v>9.782</v>
      </c>
      <c r="F426">
        <v>14138.232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-0.24901185770751219</v>
      </c>
      <c r="Q426">
        <f t="shared" si="975"/>
        <v>-3520.5874150197956</v>
      </c>
      <c r="R426">
        <f t="shared" si="976"/>
        <v>-996235.42545676476</v>
      </c>
      <c r="S426">
        <f t="shared" si="977"/>
        <v>-9.9623542545676482</v>
      </c>
      <c r="T426">
        <f t="shared" si="978"/>
        <v>-9.9623542545676479E-3</v>
      </c>
    </row>
    <row r="427" spans="1:20" x14ac:dyDescent="0.25">
      <c r="A427" s="5">
        <v>44163</v>
      </c>
      <c r="B427">
        <v>9.5990000000000002</v>
      </c>
      <c r="C427">
        <v>10.199999999999999</v>
      </c>
      <c r="D427">
        <v>9.3000000000000007</v>
      </c>
      <c r="E427">
        <v>9.9339999999999993</v>
      </c>
      <c r="F427">
        <v>11223.532999999999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0.40888888888888791</v>
      </c>
      <c r="Q427">
        <f t="shared" si="975"/>
        <v>4589.1779377777666</v>
      </c>
      <c r="R427">
        <f t="shared" si="976"/>
        <v>-992714.83804174501</v>
      </c>
      <c r="S427">
        <f t="shared" si="977"/>
        <v>-9.9271483804174494</v>
      </c>
      <c r="T427">
        <f t="shared" si="978"/>
        <v>-9.9271483804174495E-3</v>
      </c>
    </row>
    <row r="428" spans="1:20" x14ac:dyDescent="0.25">
      <c r="A428" s="5">
        <v>44162</v>
      </c>
      <c r="B428">
        <v>9.3840000000000003</v>
      </c>
      <c r="C428">
        <v>10.022</v>
      </c>
      <c r="D428">
        <v>9.1</v>
      </c>
      <c r="E428">
        <v>9.5640000000000001</v>
      </c>
      <c r="F428">
        <v>38603.400999999998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6.5075921908896136E-3</v>
      </c>
      <c r="Q428">
        <f t="shared" si="975"/>
        <v>251.2151908893803</v>
      </c>
      <c r="R428">
        <f t="shared" si="976"/>
        <v>-997304.01597952272</v>
      </c>
      <c r="S428">
        <f t="shared" si="977"/>
        <v>-9.973040159795227</v>
      </c>
      <c r="T428">
        <f t="shared" si="978"/>
        <v>-9.9730401597952264E-3</v>
      </c>
    </row>
    <row r="429" spans="1:20" x14ac:dyDescent="0.25">
      <c r="A429" s="5">
        <v>44161</v>
      </c>
      <c r="B429">
        <v>10.753</v>
      </c>
      <c r="C429">
        <v>11.103999999999999</v>
      </c>
      <c r="D429">
        <v>8.5820000000000007</v>
      </c>
      <c r="E429">
        <v>9.42</v>
      </c>
      <c r="F429">
        <v>97782.376000000004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-0.33544805709754189</v>
      </c>
      <c r="Q429">
        <f t="shared" si="975"/>
        <v>-32800.90804758131</v>
      </c>
      <c r="R429">
        <f t="shared" si="976"/>
        <v>-997555.23117041215</v>
      </c>
      <c r="S429">
        <f t="shared" si="977"/>
        <v>-9.9755523117041207</v>
      </c>
      <c r="T429">
        <f t="shared" si="978"/>
        <v>-9.9755523117041212E-3</v>
      </c>
    </row>
    <row r="430" spans="1:20" x14ac:dyDescent="0.25">
      <c r="A430" s="5">
        <v>44160</v>
      </c>
      <c r="B430">
        <v>11.951000000000001</v>
      </c>
      <c r="C430">
        <v>12.603</v>
      </c>
      <c r="D430">
        <v>10.4</v>
      </c>
      <c r="E430">
        <v>10.8</v>
      </c>
      <c r="F430">
        <v>90394.873999999996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-0.63685882886972267</v>
      </c>
      <c r="Q430">
        <f t="shared" si="975"/>
        <v>-57568.773591466139</v>
      </c>
      <c r="R430">
        <f t="shared" si="976"/>
        <v>-964754.32312283083</v>
      </c>
      <c r="S430">
        <f t="shared" si="977"/>
        <v>-9.6475432312283083</v>
      </c>
      <c r="T430">
        <f t="shared" si="978"/>
        <v>-9.6475432312283088E-3</v>
      </c>
    </row>
    <row r="431" spans="1:20" x14ac:dyDescent="0.25">
      <c r="A431" s="5">
        <v>44159</v>
      </c>
      <c r="B431">
        <v>11.381</v>
      </c>
      <c r="C431">
        <v>13.547000000000001</v>
      </c>
      <c r="D431">
        <v>10.955</v>
      </c>
      <c r="E431">
        <v>11.9</v>
      </c>
      <c r="F431">
        <v>120692.66099999999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-0.27083333333333326</v>
      </c>
      <c r="Q431">
        <f t="shared" si="975"/>
        <v>-32687.59568749999</v>
      </c>
      <c r="R431">
        <f t="shared" si="976"/>
        <v>-907185.5495313647</v>
      </c>
      <c r="S431">
        <f t="shared" si="977"/>
        <v>-9.0718554953136472</v>
      </c>
      <c r="T431">
        <f t="shared" si="978"/>
        <v>-9.0718554953136479E-3</v>
      </c>
    </row>
    <row r="432" spans="1:20" x14ac:dyDescent="0.25">
      <c r="A432" s="5">
        <v>44158</v>
      </c>
      <c r="B432">
        <v>10.337999999999999</v>
      </c>
      <c r="C432">
        <v>12.381</v>
      </c>
      <c r="D432">
        <v>10.134</v>
      </c>
      <c r="E432">
        <v>11.276</v>
      </c>
      <c r="F432">
        <v>99117.566000000006</v>
      </c>
      <c r="G432">
        <v>0</v>
      </c>
      <c r="L432" t="s">
        <v>8</v>
      </c>
      <c r="M432" t="s">
        <v>8</v>
      </c>
      <c r="N432" t="s">
        <v>8</v>
      </c>
      <c r="P432">
        <f t="shared" si="974"/>
        <v>1.6466399643969308E-2</v>
      </c>
      <c r="Q432">
        <f t="shared" si="975"/>
        <v>1632.1094534935046</v>
      </c>
      <c r="R432">
        <f t="shared" si="976"/>
        <v>-874497.95384386473</v>
      </c>
      <c r="S432">
        <f t="shared" si="977"/>
        <v>-8.7449795384386473</v>
      </c>
      <c r="T432">
        <f t="shared" si="978"/>
        <v>-8.7449795384386478E-3</v>
      </c>
    </row>
    <row r="433" spans="1:20" x14ac:dyDescent="0.25">
      <c r="A433" s="5">
        <v>44157</v>
      </c>
      <c r="B433">
        <v>11.209</v>
      </c>
      <c r="C433">
        <v>11.385999999999999</v>
      </c>
      <c r="D433">
        <v>9.9510000000000005</v>
      </c>
      <c r="E433">
        <v>10.307</v>
      </c>
      <c r="F433">
        <v>61765.142999999996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-0.50383275261324012</v>
      </c>
      <c r="Q433">
        <f t="shared" si="975"/>
        <v>-31119.302013240398</v>
      </c>
      <c r="R433">
        <f t="shared" si="976"/>
        <v>-876130.06329735823</v>
      </c>
      <c r="S433">
        <f t="shared" si="977"/>
        <v>-8.7613006329735814</v>
      </c>
      <c r="T433">
        <f t="shared" si="978"/>
        <v>-8.7613006329735812E-3</v>
      </c>
    </row>
    <row r="434" spans="1:20" x14ac:dyDescent="0.25">
      <c r="A434" s="5">
        <v>44156</v>
      </c>
      <c r="B434">
        <v>10.577</v>
      </c>
      <c r="C434">
        <v>11.474</v>
      </c>
      <c r="D434">
        <v>10.026</v>
      </c>
      <c r="E434">
        <v>11.186</v>
      </c>
      <c r="F434">
        <v>63477.696000000004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0.60220994475138101</v>
      </c>
      <c r="Q434">
        <f t="shared" si="975"/>
        <v>38226.899801104963</v>
      </c>
      <c r="R434">
        <f t="shared" si="976"/>
        <v>-845010.76128411782</v>
      </c>
      <c r="S434">
        <f t="shared" si="977"/>
        <v>-8.4501076128411778</v>
      </c>
      <c r="T434">
        <f t="shared" si="978"/>
        <v>-8.4501076128411772E-3</v>
      </c>
    </row>
    <row r="435" spans="1:20" x14ac:dyDescent="0.25">
      <c r="A435" s="5">
        <v>44155</v>
      </c>
      <c r="B435">
        <v>10.228999999999999</v>
      </c>
      <c r="C435">
        <v>11.385999999999999</v>
      </c>
      <c r="D435">
        <v>10.1</v>
      </c>
      <c r="E435">
        <v>10.542999999999999</v>
      </c>
      <c r="F435">
        <v>82643.482999999993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-0.31104199066874066</v>
      </c>
      <c r="Q435">
        <f t="shared" si="975"/>
        <v>-25705.593468118226</v>
      </c>
      <c r="R435">
        <f t="shared" si="976"/>
        <v>-883237.66108522273</v>
      </c>
      <c r="S435">
        <f t="shared" si="977"/>
        <v>-8.8323766108522275</v>
      </c>
      <c r="T435">
        <f t="shared" si="978"/>
        <v>-8.8323766108522276E-3</v>
      </c>
    </row>
    <row r="436" spans="1:20" x14ac:dyDescent="0.25">
      <c r="A436" s="5">
        <v>44154</v>
      </c>
      <c r="B436">
        <v>9.7899999999999991</v>
      </c>
      <c r="C436">
        <v>10.882</v>
      </c>
      <c r="D436">
        <v>9.25</v>
      </c>
      <c r="E436">
        <v>10.228</v>
      </c>
      <c r="F436">
        <v>103109.02099999999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0.19852941176470582</v>
      </c>
      <c r="Q436">
        <f t="shared" si="975"/>
        <v>20470.173286764697</v>
      </c>
      <c r="R436">
        <f t="shared" si="976"/>
        <v>-857532.06761710451</v>
      </c>
      <c r="S436">
        <f t="shared" si="977"/>
        <v>-8.5753206761710459</v>
      </c>
      <c r="T436">
        <f t="shared" si="978"/>
        <v>-8.5753206761710454E-3</v>
      </c>
    </row>
    <row r="437" spans="1:20" x14ac:dyDescent="0.25">
      <c r="A437" s="5">
        <v>44153</v>
      </c>
      <c r="B437">
        <v>9.8469999999999995</v>
      </c>
      <c r="C437">
        <v>10.15</v>
      </c>
      <c r="D437">
        <v>8.9139999999999997</v>
      </c>
      <c r="E437">
        <v>9.7349999999999994</v>
      </c>
      <c r="F437">
        <v>52763.529000000002</v>
      </c>
      <c r="G437">
        <v>0</v>
      </c>
      <c r="L437" t="s">
        <v>7</v>
      </c>
      <c r="M437" t="s">
        <v>7</v>
      </c>
      <c r="N437" t="s">
        <v>8</v>
      </c>
      <c r="P437">
        <f t="shared" si="974"/>
        <v>0.32847896440129337</v>
      </c>
      <c r="Q437">
        <f t="shared" si="975"/>
        <v>17331.709364077611</v>
      </c>
      <c r="R437">
        <f t="shared" si="976"/>
        <v>-878002.24090386915</v>
      </c>
      <c r="S437">
        <f t="shared" si="977"/>
        <v>-8.7800224090386916</v>
      </c>
      <c r="T437">
        <f t="shared" si="978"/>
        <v>-8.780022409038692E-3</v>
      </c>
    </row>
    <row r="438" spans="1:20" x14ac:dyDescent="0.25">
      <c r="A438" s="5">
        <v>44152</v>
      </c>
      <c r="B438">
        <v>9.16</v>
      </c>
      <c r="C438">
        <v>10.19</v>
      </c>
      <c r="D438">
        <v>9.1329999999999991</v>
      </c>
      <c r="E438">
        <v>9.8469999999999995</v>
      </c>
      <c r="F438">
        <v>44850.936000000002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0.350993377483444</v>
      </c>
      <c r="Q438">
        <f t="shared" si="975"/>
        <v>15742.381509933788</v>
      </c>
      <c r="R438">
        <f t="shared" si="976"/>
        <v>-895333.95026794681</v>
      </c>
      <c r="S438">
        <f t="shared" si="977"/>
        <v>-8.9533395026794675</v>
      </c>
      <c r="T438">
        <f t="shared" si="978"/>
        <v>-8.9533395026794669E-3</v>
      </c>
    </row>
    <row r="439" spans="1:20" x14ac:dyDescent="0.25">
      <c r="A439" s="5">
        <v>44151</v>
      </c>
      <c r="B439">
        <v>10.202</v>
      </c>
      <c r="C439">
        <v>10.3</v>
      </c>
      <c r="D439">
        <v>9.1010000000000009</v>
      </c>
      <c r="E439">
        <v>9.16</v>
      </c>
      <c r="F439">
        <v>107441.88099999999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-0.90158465387823306</v>
      </c>
      <c r="Q439">
        <f t="shared" si="975"/>
        <v>-96867.951093411306</v>
      </c>
      <c r="R439">
        <f t="shared" si="976"/>
        <v>-911076.33177788055</v>
      </c>
      <c r="S439">
        <f t="shared" si="977"/>
        <v>-9.1107633177788063</v>
      </c>
      <c r="T439">
        <f t="shared" si="978"/>
        <v>-9.1107633177788059E-3</v>
      </c>
    </row>
    <row r="440" spans="1:20" x14ac:dyDescent="0.25">
      <c r="A440" s="5">
        <v>44150</v>
      </c>
      <c r="B440">
        <v>7.9189999999999996</v>
      </c>
      <c r="C440">
        <v>11.695</v>
      </c>
      <c r="D440">
        <v>7.8959999999999999</v>
      </c>
      <c r="E440">
        <v>10.202</v>
      </c>
      <c r="F440">
        <v>297474.88099999999</v>
      </c>
      <c r="G440">
        <v>0</v>
      </c>
      <c r="L440" t="s">
        <v>8</v>
      </c>
      <c r="M440" t="s">
        <v>8</v>
      </c>
      <c r="N440" t="s">
        <v>8</v>
      </c>
      <c r="P440">
        <f t="shared" si="974"/>
        <v>0.21400368518031052</v>
      </c>
      <c r="Q440">
        <f t="shared" si="975"/>
        <v>63660.720782574332</v>
      </c>
      <c r="R440">
        <f t="shared" si="976"/>
        <v>-814208.38068446924</v>
      </c>
      <c r="S440">
        <f t="shared" si="977"/>
        <v>-8.1420838068446919</v>
      </c>
      <c r="T440">
        <f t="shared" si="978"/>
        <v>-8.1420838068446914E-3</v>
      </c>
    </row>
    <row r="441" spans="1:20" x14ac:dyDescent="0.25">
      <c r="A441" s="5">
        <v>44149</v>
      </c>
      <c r="B441">
        <v>7.673</v>
      </c>
      <c r="C441">
        <v>8.0939999999999994</v>
      </c>
      <c r="D441">
        <v>7.6609999999999996</v>
      </c>
      <c r="E441">
        <v>7.8769999999999998</v>
      </c>
      <c r="F441">
        <v>22844.891</v>
      </c>
      <c r="G441">
        <v>0</v>
      </c>
      <c r="L441" t="s">
        <v>8</v>
      </c>
      <c r="M441" t="s">
        <v>7</v>
      </c>
      <c r="N441" t="s">
        <v>7</v>
      </c>
      <c r="P441">
        <f t="shared" si="974"/>
        <v>-2.3094688221696217E-3</v>
      </c>
      <c r="Q441">
        <f t="shared" si="975"/>
        <v>-52.759563510363392</v>
      </c>
      <c r="R441">
        <f t="shared" si="976"/>
        <v>-877869.10146704363</v>
      </c>
      <c r="S441">
        <f t="shared" si="977"/>
        <v>-8.7786910146704358</v>
      </c>
      <c r="T441">
        <f t="shared" si="978"/>
        <v>-8.7786910146704349E-3</v>
      </c>
    </row>
    <row r="442" spans="1:20" x14ac:dyDescent="0.25">
      <c r="A442" s="5">
        <v>44148</v>
      </c>
      <c r="B442">
        <v>7.7160000000000002</v>
      </c>
      <c r="C442">
        <v>7.7830000000000004</v>
      </c>
      <c r="D442">
        <v>7.4450000000000003</v>
      </c>
      <c r="E442">
        <v>7.6790000000000003</v>
      </c>
      <c r="F442">
        <v>31957.108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0.38461538461538419</v>
      </c>
      <c r="Q442">
        <f t="shared" si="975"/>
        <v>12291.195384615372</v>
      </c>
      <c r="R442">
        <f t="shared" si="976"/>
        <v>-877816.34190353332</v>
      </c>
      <c r="S442">
        <f t="shared" si="977"/>
        <v>-8.7781634190353337</v>
      </c>
      <c r="T442">
        <f t="shared" si="978"/>
        <v>-8.7781634190353345E-3</v>
      </c>
    </row>
    <row r="443" spans="1:20" x14ac:dyDescent="0.25">
      <c r="A443" s="5">
        <v>44147</v>
      </c>
      <c r="B443">
        <v>8.0449999999999999</v>
      </c>
      <c r="C443">
        <v>8.1199999999999992</v>
      </c>
      <c r="D443">
        <v>7.6840000000000002</v>
      </c>
      <c r="E443">
        <v>7.7160000000000002</v>
      </c>
      <c r="F443">
        <v>46713.036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-0.85321100917431147</v>
      </c>
      <c r="Q443">
        <f t="shared" si="975"/>
        <v>-39856.076587155942</v>
      </c>
      <c r="R443">
        <f t="shared" si="976"/>
        <v>-890107.53728814865</v>
      </c>
      <c r="S443">
        <f t="shared" si="977"/>
        <v>-8.9010753728814862</v>
      </c>
      <c r="T443">
        <f t="shared" si="978"/>
        <v>-8.9010753728814857E-3</v>
      </c>
    </row>
    <row r="444" spans="1:20" x14ac:dyDescent="0.25">
      <c r="A444" s="5">
        <v>44146</v>
      </c>
      <c r="B444">
        <v>7.8840000000000003</v>
      </c>
      <c r="C444">
        <v>8.4510000000000005</v>
      </c>
      <c r="D444">
        <v>7.8840000000000003</v>
      </c>
      <c r="E444">
        <v>8.0120000000000005</v>
      </c>
      <c r="F444">
        <v>44663.998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-0.54850088183421486</v>
      </c>
      <c r="Q444">
        <f t="shared" si="975"/>
        <v>-24498.242289241607</v>
      </c>
      <c r="R444">
        <f t="shared" si="976"/>
        <v>-850251.46070099273</v>
      </c>
      <c r="S444">
        <f t="shared" si="977"/>
        <v>-8.5025146070099265</v>
      </c>
      <c r="T444">
        <f t="shared" si="978"/>
        <v>-8.5025146070099259E-3</v>
      </c>
    </row>
    <row r="445" spans="1:20" x14ac:dyDescent="0.25">
      <c r="A445" s="5">
        <v>44145</v>
      </c>
      <c r="B445">
        <v>7.8310000000000004</v>
      </c>
      <c r="C445">
        <v>8.0399999999999991</v>
      </c>
      <c r="D445">
        <v>7.742</v>
      </c>
      <c r="E445">
        <v>7.8170000000000002</v>
      </c>
      <c r="F445">
        <v>10947.074000000001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-0.49664429530201082</v>
      </c>
      <c r="Q445">
        <f t="shared" si="975"/>
        <v>-5436.8018523489654</v>
      </c>
      <c r="R445">
        <f t="shared" si="976"/>
        <v>-825753.21841175109</v>
      </c>
      <c r="S445">
        <f t="shared" si="977"/>
        <v>-8.2575321841175118</v>
      </c>
      <c r="T445">
        <f t="shared" si="978"/>
        <v>-8.2575321841175126E-3</v>
      </c>
    </row>
    <row r="446" spans="1:20" x14ac:dyDescent="0.25">
      <c r="A446" s="5">
        <v>44144</v>
      </c>
      <c r="B446">
        <v>8.0920000000000005</v>
      </c>
      <c r="C446">
        <v>8.1110000000000007</v>
      </c>
      <c r="D446">
        <v>7.7210000000000001</v>
      </c>
      <c r="E446">
        <v>7.8460000000000001</v>
      </c>
      <c r="F446">
        <v>9986.7160000000003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-0.35897435897435992</v>
      </c>
      <c r="Q446">
        <f t="shared" si="975"/>
        <v>-3584.9749743589841</v>
      </c>
      <c r="R446">
        <f t="shared" si="976"/>
        <v>-820316.41655940213</v>
      </c>
      <c r="S446">
        <f t="shared" si="977"/>
        <v>-8.2031641655940213</v>
      </c>
      <c r="T446">
        <f t="shared" si="978"/>
        <v>-8.2031641655940218E-3</v>
      </c>
    </row>
    <row r="447" spans="1:20" x14ac:dyDescent="0.25">
      <c r="A447" s="5">
        <v>44143</v>
      </c>
      <c r="B447">
        <v>7.9829999999999997</v>
      </c>
      <c r="C447">
        <v>8.1999999999999993</v>
      </c>
      <c r="D447">
        <v>7.92</v>
      </c>
      <c r="E447">
        <v>8.0779999999999994</v>
      </c>
      <c r="F447">
        <v>8407.7459999999992</v>
      </c>
      <c r="G447">
        <v>0</v>
      </c>
      <c r="L447" t="s">
        <v>7</v>
      </c>
      <c r="M447" t="s">
        <v>8</v>
      </c>
      <c r="N447" t="s">
        <v>7</v>
      </c>
      <c r="P447">
        <f t="shared" si="974"/>
        <v>0.12857142857142739</v>
      </c>
      <c r="Q447">
        <f t="shared" si="975"/>
        <v>1080.9959142857042</v>
      </c>
      <c r="R447">
        <f t="shared" si="976"/>
        <v>-816731.4415850431</v>
      </c>
      <c r="S447">
        <f t="shared" si="977"/>
        <v>-8.1673144158504307</v>
      </c>
      <c r="T447">
        <f t="shared" si="978"/>
        <v>-8.1673144158504307E-3</v>
      </c>
    </row>
    <row r="448" spans="1:20" x14ac:dyDescent="0.25">
      <c r="A448" s="5">
        <v>44142</v>
      </c>
      <c r="B448">
        <v>8.3230000000000004</v>
      </c>
      <c r="C448">
        <v>9.0410000000000004</v>
      </c>
      <c r="D448">
        <v>7.89</v>
      </c>
      <c r="E448">
        <v>7.9809999999999999</v>
      </c>
      <c r="F448">
        <v>22719.754000000001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-0.84187662901824478</v>
      </c>
      <c r="Q448">
        <f t="shared" si="975"/>
        <v>-19127.229909643782</v>
      </c>
      <c r="R448">
        <f t="shared" si="976"/>
        <v>-817812.43749932875</v>
      </c>
      <c r="S448">
        <f t="shared" si="977"/>
        <v>-8.1781243749932884</v>
      </c>
      <c r="T448">
        <f t="shared" si="978"/>
        <v>-8.1781243749932883E-3</v>
      </c>
    </row>
    <row r="449" spans="1:20" x14ac:dyDescent="0.25">
      <c r="A449" s="5">
        <v>44141</v>
      </c>
      <c r="B449">
        <v>7.63</v>
      </c>
      <c r="C449">
        <v>8.5690000000000008</v>
      </c>
      <c r="D449">
        <v>7.59</v>
      </c>
      <c r="E449">
        <v>8.3000000000000007</v>
      </c>
      <c r="F449">
        <v>31698.651999999998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0.45045965270684402</v>
      </c>
      <c r="Q449">
        <f t="shared" si="975"/>
        <v>14278.963771195105</v>
      </c>
      <c r="R449">
        <f t="shared" si="976"/>
        <v>-798685.20758968499</v>
      </c>
      <c r="S449">
        <f t="shared" si="977"/>
        <v>-7.9868520758968495</v>
      </c>
      <c r="T449">
        <f t="shared" si="978"/>
        <v>-7.9868520758968487E-3</v>
      </c>
    </row>
    <row r="450" spans="1:20" x14ac:dyDescent="0.25">
      <c r="A450" s="5">
        <v>44140</v>
      </c>
      <c r="B450">
        <v>7.5940000000000003</v>
      </c>
      <c r="C450">
        <v>7.7960000000000003</v>
      </c>
      <c r="D450">
        <v>7.3849999999999998</v>
      </c>
      <c r="E450">
        <v>7.5890000000000004</v>
      </c>
      <c r="F450">
        <v>21733.034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-7.2992700729908079E-3</v>
      </c>
      <c r="Q450">
        <f t="shared" si="975"/>
        <v>-158.63528467149172</v>
      </c>
      <c r="R450">
        <f t="shared" si="976"/>
        <v>-812964.17136088014</v>
      </c>
      <c r="S450">
        <f t="shared" si="977"/>
        <v>-8.1296417136088017</v>
      </c>
      <c r="T450">
        <f t="shared" si="978"/>
        <v>-8.1296417136088022E-3</v>
      </c>
    </row>
    <row r="451" spans="1:20" x14ac:dyDescent="0.25">
      <c r="A451" s="5">
        <v>44139</v>
      </c>
      <c r="B451">
        <v>7.7539999999999996</v>
      </c>
      <c r="C451">
        <v>7.7549999999999999</v>
      </c>
      <c r="D451">
        <v>7.43</v>
      </c>
      <c r="E451">
        <v>7.593</v>
      </c>
      <c r="F451">
        <v>13348.087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3.076923076924103E-3</v>
      </c>
      <c r="Q451">
        <f t="shared" si="975"/>
        <v>41.071036923090617</v>
      </c>
      <c r="R451">
        <f t="shared" si="976"/>
        <v>-812805.53607620869</v>
      </c>
      <c r="S451">
        <f t="shared" si="977"/>
        <v>-8.1280553607620867</v>
      </c>
      <c r="T451">
        <f t="shared" si="978"/>
        <v>-8.1280553607620872E-3</v>
      </c>
    </row>
    <row r="452" spans="1:20" x14ac:dyDescent="0.25">
      <c r="A452" s="5">
        <v>44138</v>
      </c>
      <c r="B452">
        <v>7.7610000000000001</v>
      </c>
      <c r="C452">
        <v>7.8849999999999998</v>
      </c>
      <c r="D452">
        <v>7.04</v>
      </c>
      <c r="E452">
        <v>7.694</v>
      </c>
      <c r="F452">
        <v>37393.800000000003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0.54792899408284046</v>
      </c>
      <c r="Q452">
        <f t="shared" si="975"/>
        <v>20489.147218934922</v>
      </c>
      <c r="R452">
        <f t="shared" si="976"/>
        <v>-812846.60711313179</v>
      </c>
      <c r="S452">
        <f t="shared" si="977"/>
        <v>-8.1284660711313172</v>
      </c>
      <c r="T452">
        <f t="shared" si="978"/>
        <v>-8.128466071131317E-3</v>
      </c>
    </row>
    <row r="453" spans="1:20" x14ac:dyDescent="0.25">
      <c r="A453" s="5">
        <v>44137</v>
      </c>
      <c r="B453">
        <v>9.2070000000000007</v>
      </c>
      <c r="C453">
        <v>9.3460000000000001</v>
      </c>
      <c r="D453">
        <v>7.7089999999999996</v>
      </c>
      <c r="E453">
        <v>7.758</v>
      </c>
      <c r="F453">
        <v>20548.162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-0.94013439218081818</v>
      </c>
      <c r="Q453">
        <f t="shared" si="975"/>
        <v>-19318.033792302984</v>
      </c>
      <c r="R453">
        <f t="shared" si="976"/>
        <v>-833335.75433206675</v>
      </c>
      <c r="S453">
        <f t="shared" si="977"/>
        <v>-8.3333575433206679</v>
      </c>
      <c r="T453">
        <f t="shared" si="978"/>
        <v>-8.3333575433206675E-3</v>
      </c>
    </row>
    <row r="454" spans="1:20" x14ac:dyDescent="0.25">
      <c r="A454" s="5">
        <v>44136</v>
      </c>
      <c r="B454">
        <v>9.0030000000000001</v>
      </c>
      <c r="C454">
        <v>9.6379999999999999</v>
      </c>
      <c r="D454">
        <v>8.5519999999999996</v>
      </c>
      <c r="E454">
        <v>9.2010000000000005</v>
      </c>
      <c r="F454">
        <v>17279.137999999999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0.1952117863720087</v>
      </c>
      <c r="Q454">
        <f t="shared" ref="Q454:Q517" si="980">F454*P454</f>
        <v>3373.0913959484574</v>
      </c>
      <c r="R454">
        <f t="shared" ref="R454:R517" si="981">R455+Q454</f>
        <v>-814017.7205397638</v>
      </c>
      <c r="S454">
        <f t="shared" ref="S454:S517" si="982">R454/100000</f>
        <v>-8.140177205397638</v>
      </c>
      <c r="T454">
        <f t="shared" ref="T454:T517" si="983">S454/1000</f>
        <v>-8.1401772053976383E-3</v>
      </c>
    </row>
    <row r="455" spans="1:20" x14ac:dyDescent="0.25">
      <c r="A455" s="5">
        <v>44135</v>
      </c>
      <c r="B455">
        <v>9.282</v>
      </c>
      <c r="C455">
        <v>9.4990000000000006</v>
      </c>
      <c r="D455">
        <v>8.923</v>
      </c>
      <c r="E455">
        <v>8.9250000000000007</v>
      </c>
      <c r="F455">
        <v>20797.576000000001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-0.99305555555555325</v>
      </c>
      <c r="Q455">
        <f t="shared" si="980"/>
        <v>-20653.148388888843</v>
      </c>
      <c r="R455">
        <f t="shared" si="981"/>
        <v>-817390.81193571223</v>
      </c>
      <c r="S455">
        <f t="shared" si="982"/>
        <v>-8.1739081193571224</v>
      </c>
      <c r="T455">
        <f t="shared" si="983"/>
        <v>-8.173908119357122E-3</v>
      </c>
    </row>
    <row r="456" spans="1:20" x14ac:dyDescent="0.25">
      <c r="A456" s="5">
        <v>44134</v>
      </c>
      <c r="B456">
        <v>10.138</v>
      </c>
      <c r="C456">
        <v>10.151</v>
      </c>
      <c r="D456">
        <v>9.2260000000000009</v>
      </c>
      <c r="E456">
        <v>9.3149999999999995</v>
      </c>
      <c r="F456">
        <v>27953.795999999998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-0.80756756756757031</v>
      </c>
      <c r="Q456">
        <f t="shared" si="980"/>
        <v>-22574.579040000077</v>
      </c>
      <c r="R456">
        <f t="shared" si="981"/>
        <v>-796737.66354682343</v>
      </c>
      <c r="S456">
        <f t="shared" si="982"/>
        <v>-7.9673766354682343</v>
      </c>
      <c r="T456">
        <f t="shared" si="983"/>
        <v>-7.9673766354682336E-3</v>
      </c>
    </row>
    <row r="457" spans="1:20" x14ac:dyDescent="0.25">
      <c r="A457" s="5">
        <v>44133</v>
      </c>
      <c r="B457">
        <v>10.551</v>
      </c>
      <c r="C457">
        <v>10.736000000000001</v>
      </c>
      <c r="D457">
        <v>10.1</v>
      </c>
      <c r="E457">
        <v>10.138</v>
      </c>
      <c r="F457">
        <v>25146.51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-0.88050314465408741</v>
      </c>
      <c r="Q457">
        <f t="shared" si="980"/>
        <v>-22141.581132075455</v>
      </c>
      <c r="R457">
        <f t="shared" si="981"/>
        <v>-774163.08450682333</v>
      </c>
      <c r="S457">
        <f t="shared" si="982"/>
        <v>-7.741630845068233</v>
      </c>
      <c r="T457">
        <f t="shared" si="983"/>
        <v>-7.7416308450682326E-3</v>
      </c>
    </row>
    <row r="458" spans="1:20" x14ac:dyDescent="0.25">
      <c r="A458" s="5">
        <v>44132</v>
      </c>
      <c r="B458">
        <v>10.919</v>
      </c>
      <c r="C458">
        <v>11.169</v>
      </c>
      <c r="D458">
        <v>10.457000000000001</v>
      </c>
      <c r="E458">
        <v>10.544</v>
      </c>
      <c r="F458">
        <v>10851.450999999999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-0.75561797752809057</v>
      </c>
      <c r="Q458">
        <f t="shared" si="980"/>
        <v>-8199.5514578651746</v>
      </c>
      <c r="R458">
        <f t="shared" si="981"/>
        <v>-752021.50337474793</v>
      </c>
      <c r="S458">
        <f t="shared" si="982"/>
        <v>-7.5202150337474789</v>
      </c>
      <c r="T458">
        <f t="shared" si="983"/>
        <v>-7.520215033747479E-3</v>
      </c>
    </row>
    <row r="459" spans="1:20" x14ac:dyDescent="0.25">
      <c r="A459" s="5">
        <v>44131</v>
      </c>
      <c r="B459">
        <v>11.105</v>
      </c>
      <c r="C459">
        <v>11.307</v>
      </c>
      <c r="D459">
        <v>10.86</v>
      </c>
      <c r="E459">
        <v>10.95</v>
      </c>
      <c r="F459">
        <v>32243.988000000001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-0.59731543624161221</v>
      </c>
      <c r="Q459">
        <f t="shared" si="980"/>
        <v>-19259.831758389311</v>
      </c>
      <c r="R459">
        <f t="shared" si="981"/>
        <v>-743821.95191688277</v>
      </c>
      <c r="S459">
        <f t="shared" si="982"/>
        <v>-7.4382195191688281</v>
      </c>
      <c r="T459">
        <f t="shared" si="983"/>
        <v>-7.438219519168828E-3</v>
      </c>
    </row>
    <row r="460" spans="1:20" x14ac:dyDescent="0.25">
      <c r="A460" s="5">
        <v>44130</v>
      </c>
      <c r="B460">
        <v>10.833</v>
      </c>
      <c r="C460">
        <v>11.555</v>
      </c>
      <c r="D460">
        <v>10.817</v>
      </c>
      <c r="E460">
        <v>11.118</v>
      </c>
      <c r="F460">
        <v>32902.057000000001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-0.18428184281842727</v>
      </c>
      <c r="Q460">
        <f t="shared" si="980"/>
        <v>-6063.2516964769347</v>
      </c>
      <c r="R460">
        <f t="shared" si="981"/>
        <v>-724562.1201584934</v>
      </c>
      <c r="S460">
        <f t="shared" si="982"/>
        <v>-7.2456212015849344</v>
      </c>
      <c r="T460">
        <f t="shared" si="983"/>
        <v>-7.2456212015849343E-3</v>
      </c>
    </row>
    <row r="461" spans="1:20" x14ac:dyDescent="0.25">
      <c r="A461" s="5">
        <v>44129</v>
      </c>
      <c r="B461">
        <v>10.754</v>
      </c>
      <c r="C461">
        <v>11.552</v>
      </c>
      <c r="D461">
        <v>10.65</v>
      </c>
      <c r="E461">
        <v>10.817</v>
      </c>
      <c r="F461">
        <v>70090.567999999999</v>
      </c>
      <c r="G461">
        <v>0</v>
      </c>
      <c r="L461" t="s">
        <v>8</v>
      </c>
      <c r="M461" t="s">
        <v>7</v>
      </c>
      <c r="N461" t="s">
        <v>7</v>
      </c>
      <c r="P461">
        <f t="shared" si="979"/>
        <v>-0.62971175166297133</v>
      </c>
      <c r="Q461">
        <f t="shared" si="980"/>
        <v>-44136.854350332607</v>
      </c>
      <c r="R461">
        <f t="shared" si="981"/>
        <v>-718498.86846201646</v>
      </c>
      <c r="S461">
        <f t="shared" si="982"/>
        <v>-7.1849886846201647</v>
      </c>
      <c r="T461">
        <f t="shared" si="983"/>
        <v>-7.184988684620165E-3</v>
      </c>
    </row>
    <row r="462" spans="1:20" x14ac:dyDescent="0.25">
      <c r="A462" s="5">
        <v>44128</v>
      </c>
      <c r="B462">
        <v>10.210000000000001</v>
      </c>
      <c r="C462">
        <v>10.753</v>
      </c>
      <c r="D462">
        <v>10.052</v>
      </c>
      <c r="E462">
        <v>10.753</v>
      </c>
      <c r="F462">
        <v>22362.312000000002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1</v>
      </c>
      <c r="Q462">
        <f t="shared" si="980"/>
        <v>22362.312000000002</v>
      </c>
      <c r="R462">
        <f t="shared" si="981"/>
        <v>-674362.01411168382</v>
      </c>
      <c r="S462">
        <f t="shared" si="982"/>
        <v>-6.7436201411168382</v>
      </c>
      <c r="T462">
        <f t="shared" si="983"/>
        <v>-6.7436201411168383E-3</v>
      </c>
    </row>
    <row r="463" spans="1:20" x14ac:dyDescent="0.25">
      <c r="A463" s="5">
        <v>44127</v>
      </c>
      <c r="B463">
        <v>10.893000000000001</v>
      </c>
      <c r="C463">
        <v>10.893000000000001</v>
      </c>
      <c r="D463">
        <v>10.1</v>
      </c>
      <c r="E463">
        <v>10.211</v>
      </c>
      <c r="F463">
        <v>42456.536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-0.72005044136191554</v>
      </c>
      <c r="Q463">
        <f t="shared" si="980"/>
        <v>-30570.847485498056</v>
      </c>
      <c r="R463">
        <f t="shared" si="981"/>
        <v>-696724.32611168385</v>
      </c>
      <c r="S463">
        <f t="shared" si="982"/>
        <v>-6.9672432611168382</v>
      </c>
      <c r="T463">
        <f t="shared" si="983"/>
        <v>-6.9672432611168379E-3</v>
      </c>
    </row>
    <row r="464" spans="1:20" x14ac:dyDescent="0.25">
      <c r="A464" s="5">
        <v>44126</v>
      </c>
      <c r="B464">
        <v>10.747</v>
      </c>
      <c r="C464">
        <v>11.425000000000001</v>
      </c>
      <c r="D464">
        <v>10.747</v>
      </c>
      <c r="E464">
        <v>10.862</v>
      </c>
      <c r="F464">
        <v>28020.784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-0.66076696165191717</v>
      </c>
      <c r="Q464">
        <f t="shared" si="980"/>
        <v>-18515.208306784654</v>
      </c>
      <c r="R464">
        <f t="shared" si="981"/>
        <v>-666153.4786261858</v>
      </c>
      <c r="S464">
        <f t="shared" si="982"/>
        <v>-6.6615347862618579</v>
      </c>
      <c r="T464">
        <f t="shared" si="983"/>
        <v>-6.6615347862618579E-3</v>
      </c>
    </row>
    <row r="465" spans="1:20" x14ac:dyDescent="0.25">
      <c r="A465" s="5">
        <v>44125</v>
      </c>
      <c r="B465">
        <v>10.654999999999999</v>
      </c>
      <c r="C465">
        <v>11.253</v>
      </c>
      <c r="D465">
        <v>10.627000000000001</v>
      </c>
      <c r="E465">
        <v>10.766999999999999</v>
      </c>
      <c r="F465">
        <v>35478.254000000001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-0.55271565495208019</v>
      </c>
      <c r="Q465">
        <f t="shared" si="980"/>
        <v>-19609.386396166261</v>
      </c>
      <c r="R465">
        <f t="shared" si="981"/>
        <v>-647638.27031940117</v>
      </c>
      <c r="S465">
        <f t="shared" si="982"/>
        <v>-6.4763827031940115</v>
      </c>
      <c r="T465">
        <f t="shared" si="983"/>
        <v>-6.4763827031940118E-3</v>
      </c>
    </row>
    <row r="466" spans="1:20" x14ac:dyDescent="0.25">
      <c r="A466" s="5">
        <v>44124</v>
      </c>
      <c r="B466">
        <v>11.76</v>
      </c>
      <c r="C466">
        <v>13.23</v>
      </c>
      <c r="D466">
        <v>10.481999999999999</v>
      </c>
      <c r="E466">
        <v>10.651999999999999</v>
      </c>
      <c r="F466">
        <v>158327.90900000001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-0.8762736535662301</v>
      </c>
      <c r="Q466">
        <f t="shared" si="980"/>
        <v>-138738.5752809316</v>
      </c>
      <c r="R466">
        <f t="shared" si="981"/>
        <v>-628028.88392323488</v>
      </c>
      <c r="S466">
        <f t="shared" si="982"/>
        <v>-6.280288839232349</v>
      </c>
      <c r="T466">
        <f t="shared" si="983"/>
        <v>-6.2802888392323487E-3</v>
      </c>
    </row>
    <row r="467" spans="1:20" x14ac:dyDescent="0.25">
      <c r="A467" s="5">
        <v>44123</v>
      </c>
      <c r="B467">
        <v>12.401</v>
      </c>
      <c r="C467">
        <v>12.586</v>
      </c>
      <c r="D467">
        <v>11.752000000000001</v>
      </c>
      <c r="E467">
        <v>11.804</v>
      </c>
      <c r="F467">
        <v>45480.56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-0.87529976019184741</v>
      </c>
      <c r="Q467">
        <f t="shared" si="980"/>
        <v>-39809.123261390923</v>
      </c>
      <c r="R467">
        <f t="shared" si="981"/>
        <v>-489290.30864230322</v>
      </c>
      <c r="S467">
        <f t="shared" si="982"/>
        <v>-4.8929030864230318</v>
      </c>
      <c r="T467">
        <f t="shared" si="983"/>
        <v>-4.8929030864230316E-3</v>
      </c>
    </row>
    <row r="468" spans="1:20" x14ac:dyDescent="0.25">
      <c r="A468" s="5">
        <v>44122</v>
      </c>
      <c r="B468">
        <v>13.005000000000001</v>
      </c>
      <c r="C468">
        <v>13.75</v>
      </c>
      <c r="D468">
        <v>12.375</v>
      </c>
      <c r="E468">
        <v>12.401999999999999</v>
      </c>
      <c r="F468">
        <v>49778.088000000003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-0.96072727272727387</v>
      </c>
      <c r="Q468">
        <f t="shared" si="980"/>
        <v>-47823.166725818242</v>
      </c>
      <c r="R468">
        <f t="shared" si="981"/>
        <v>-449481.18538091227</v>
      </c>
      <c r="S468">
        <f t="shared" si="982"/>
        <v>-4.4948118538091224</v>
      </c>
      <c r="T468">
        <f t="shared" si="983"/>
        <v>-4.4948118538091228E-3</v>
      </c>
    </row>
    <row r="469" spans="1:20" x14ac:dyDescent="0.25">
      <c r="A469" s="5">
        <v>44121</v>
      </c>
      <c r="B469">
        <v>13.263999999999999</v>
      </c>
      <c r="C469">
        <v>14.393000000000001</v>
      </c>
      <c r="D469">
        <v>13.005000000000001</v>
      </c>
      <c r="E469">
        <v>13.005000000000001</v>
      </c>
      <c r="F469">
        <v>23018.15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-1</v>
      </c>
      <c r="Q469">
        <f t="shared" si="980"/>
        <v>-23018.15</v>
      </c>
      <c r="R469">
        <f t="shared" si="981"/>
        <v>-401658.01865509403</v>
      </c>
      <c r="S469">
        <f t="shared" si="982"/>
        <v>-4.0165801865509403</v>
      </c>
      <c r="T469">
        <f t="shared" si="983"/>
        <v>-4.0165801865509401E-3</v>
      </c>
    </row>
    <row r="470" spans="1:20" x14ac:dyDescent="0.25">
      <c r="A470" s="5">
        <v>44120</v>
      </c>
      <c r="B470">
        <v>13.932</v>
      </c>
      <c r="C470">
        <v>16</v>
      </c>
      <c r="D470">
        <v>13.148</v>
      </c>
      <c r="E470">
        <v>13.379</v>
      </c>
      <c r="F470">
        <v>28271.856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-0.83800841514726521</v>
      </c>
      <c r="Q470">
        <f t="shared" si="980"/>
        <v>-23692.053239831701</v>
      </c>
      <c r="R470">
        <f t="shared" si="981"/>
        <v>-378639.868655094</v>
      </c>
      <c r="S470">
        <f t="shared" si="982"/>
        <v>-3.7863986865509403</v>
      </c>
      <c r="T470">
        <f t="shared" si="983"/>
        <v>-3.7863986865509401E-3</v>
      </c>
    </row>
    <row r="471" spans="1:20" x14ac:dyDescent="0.25">
      <c r="A471" s="5">
        <v>44119</v>
      </c>
      <c r="B471">
        <v>14.271000000000001</v>
      </c>
      <c r="C471">
        <v>14.271000000000001</v>
      </c>
      <c r="D471">
        <v>13.834</v>
      </c>
      <c r="E471">
        <v>13.946999999999999</v>
      </c>
      <c r="F471">
        <v>16158.039000000001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-0.48283752860412243</v>
      </c>
      <c r="Q471">
        <f t="shared" si="980"/>
        <v>-7801.7076178490261</v>
      </c>
      <c r="R471">
        <f t="shared" si="981"/>
        <v>-354947.8154152623</v>
      </c>
      <c r="S471">
        <f t="shared" si="982"/>
        <v>-3.5494781541526232</v>
      </c>
      <c r="T471">
        <f t="shared" si="983"/>
        <v>-3.5494781541526234E-3</v>
      </c>
    </row>
    <row r="472" spans="1:20" x14ac:dyDescent="0.25">
      <c r="A472" s="5">
        <v>44118</v>
      </c>
      <c r="B472">
        <v>14.178000000000001</v>
      </c>
      <c r="C472">
        <v>16</v>
      </c>
      <c r="D472">
        <v>13.744</v>
      </c>
      <c r="E472">
        <v>14.271000000000001</v>
      </c>
      <c r="F472">
        <v>32786.614000000001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-0.5328014184397154</v>
      </c>
      <c r="Q472">
        <f t="shared" si="980"/>
        <v>-17468.754445035433</v>
      </c>
      <c r="R472">
        <f t="shared" si="981"/>
        <v>-347146.10779741325</v>
      </c>
      <c r="S472">
        <f t="shared" si="982"/>
        <v>-3.4714610779741326</v>
      </c>
      <c r="T472">
        <f t="shared" si="983"/>
        <v>-3.4714610779741327E-3</v>
      </c>
    </row>
    <row r="473" spans="1:20" x14ac:dyDescent="0.25">
      <c r="A473" s="5">
        <v>44117</v>
      </c>
      <c r="B473">
        <v>15.007</v>
      </c>
      <c r="C473">
        <v>15.159000000000001</v>
      </c>
      <c r="D473">
        <v>14.09</v>
      </c>
      <c r="E473">
        <v>14.2</v>
      </c>
      <c r="F473">
        <v>34085.281999999999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-0.79420018709074025</v>
      </c>
      <c r="Q473">
        <f t="shared" si="980"/>
        <v>-27070.537341440642</v>
      </c>
      <c r="R473">
        <f t="shared" si="981"/>
        <v>-329677.35335237783</v>
      </c>
      <c r="S473">
        <f t="shared" si="982"/>
        <v>-3.2967735335237784</v>
      </c>
      <c r="T473">
        <f t="shared" si="983"/>
        <v>-3.2967735335237783E-3</v>
      </c>
    </row>
    <row r="474" spans="1:20" x14ac:dyDescent="0.25">
      <c r="A474" s="5">
        <v>44116</v>
      </c>
      <c r="B474">
        <v>13.941000000000001</v>
      </c>
      <c r="C474">
        <v>15.744</v>
      </c>
      <c r="D474">
        <v>13.343999999999999</v>
      </c>
      <c r="E474">
        <v>15.009</v>
      </c>
      <c r="F474">
        <v>64124.006999999998</v>
      </c>
      <c r="G474">
        <v>0</v>
      </c>
      <c r="L474" t="s">
        <v>8</v>
      </c>
      <c r="M474" t="s">
        <v>7</v>
      </c>
      <c r="N474" t="s">
        <v>7</v>
      </c>
      <c r="P474">
        <f t="shared" si="979"/>
        <v>0.38750000000000057</v>
      </c>
      <c r="Q474">
        <f t="shared" si="980"/>
        <v>24848.052712500037</v>
      </c>
      <c r="R474">
        <f t="shared" si="981"/>
        <v>-302606.81601093721</v>
      </c>
      <c r="S474">
        <f t="shared" si="982"/>
        <v>-3.026068160109372</v>
      </c>
      <c r="T474">
        <f t="shared" si="983"/>
        <v>-3.0260681601093718E-3</v>
      </c>
    </row>
    <row r="475" spans="1:20" x14ac:dyDescent="0.25">
      <c r="A475" s="5">
        <v>44115</v>
      </c>
      <c r="B475">
        <v>13.74</v>
      </c>
      <c r="C475">
        <v>14.1</v>
      </c>
      <c r="D475">
        <v>13.348000000000001</v>
      </c>
      <c r="E475">
        <v>13.911</v>
      </c>
      <c r="F475">
        <v>32750.493999999999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0.49734042553191399</v>
      </c>
      <c r="Q475">
        <f t="shared" si="980"/>
        <v>16288.144622340395</v>
      </c>
      <c r="R475">
        <f t="shared" si="981"/>
        <v>-327454.86872343725</v>
      </c>
      <c r="S475">
        <f t="shared" si="982"/>
        <v>-3.2745486872343723</v>
      </c>
      <c r="T475">
        <f t="shared" si="983"/>
        <v>-3.2745486872343722E-3</v>
      </c>
    </row>
    <row r="476" spans="1:20" x14ac:dyDescent="0.25">
      <c r="A476" s="5">
        <v>44114</v>
      </c>
      <c r="B476">
        <v>14.369</v>
      </c>
      <c r="C476">
        <v>14.878</v>
      </c>
      <c r="D476">
        <v>13.659000000000001</v>
      </c>
      <c r="E476">
        <v>13.731</v>
      </c>
      <c r="F476">
        <v>32810.228000000003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-0.88187038556193731</v>
      </c>
      <c r="Q476">
        <f t="shared" si="980"/>
        <v>-28934.368416735073</v>
      </c>
      <c r="R476">
        <f t="shared" si="981"/>
        <v>-343743.01334577764</v>
      </c>
      <c r="S476">
        <f t="shared" si="982"/>
        <v>-3.4374301334577764</v>
      </c>
      <c r="T476">
        <f t="shared" si="983"/>
        <v>-3.4374301334577765E-3</v>
      </c>
    </row>
    <row r="477" spans="1:20" x14ac:dyDescent="0.25">
      <c r="A477" s="5">
        <v>44113</v>
      </c>
      <c r="B477">
        <v>14.396000000000001</v>
      </c>
      <c r="C477">
        <v>14.792999999999999</v>
      </c>
      <c r="D477">
        <v>14.161</v>
      </c>
      <c r="E477">
        <v>14.411</v>
      </c>
      <c r="F477">
        <v>27946.222000000002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-0.20886075949367047</v>
      </c>
      <c r="Q477">
        <f t="shared" si="980"/>
        <v>-5836.8691518987225</v>
      </c>
      <c r="R477">
        <f t="shared" si="981"/>
        <v>-314808.64492904255</v>
      </c>
      <c r="S477">
        <f t="shared" si="982"/>
        <v>-3.1480864492904255</v>
      </c>
      <c r="T477">
        <f t="shared" si="983"/>
        <v>-3.1480864492904256E-3</v>
      </c>
    </row>
    <row r="478" spans="1:20" x14ac:dyDescent="0.25">
      <c r="A478" s="5">
        <v>44112</v>
      </c>
      <c r="B478">
        <v>14.79</v>
      </c>
      <c r="C478">
        <v>14.85</v>
      </c>
      <c r="D478">
        <v>13.821</v>
      </c>
      <c r="E478">
        <v>14.4</v>
      </c>
      <c r="F478">
        <v>59507.735000000001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0.12536443148688178</v>
      </c>
      <c r="Q478">
        <f t="shared" si="980"/>
        <v>7460.1533673470176</v>
      </c>
      <c r="R478">
        <f t="shared" si="981"/>
        <v>-308971.77577714383</v>
      </c>
      <c r="S478">
        <f t="shared" si="982"/>
        <v>-3.0897177577714383</v>
      </c>
      <c r="T478">
        <f t="shared" si="983"/>
        <v>-3.0897177577714381E-3</v>
      </c>
    </row>
    <row r="479" spans="1:20" x14ac:dyDescent="0.25">
      <c r="A479" s="5">
        <v>44111</v>
      </c>
      <c r="B479">
        <v>14.742000000000001</v>
      </c>
      <c r="C479">
        <v>14.95</v>
      </c>
      <c r="D479">
        <v>14.315</v>
      </c>
      <c r="E479">
        <v>14.773</v>
      </c>
      <c r="F479">
        <v>22220.135999999999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0.44251968503937117</v>
      </c>
      <c r="Q479">
        <f t="shared" si="980"/>
        <v>9832.8475842519929</v>
      </c>
      <c r="R479">
        <f t="shared" si="981"/>
        <v>-316431.92914449086</v>
      </c>
      <c r="S479">
        <f t="shared" si="982"/>
        <v>-3.1643192914449085</v>
      </c>
      <c r="T479">
        <f t="shared" si="983"/>
        <v>-3.1643192914449086E-3</v>
      </c>
    </row>
    <row r="480" spans="1:20" x14ac:dyDescent="0.25">
      <c r="A480" s="5">
        <v>44110</v>
      </c>
      <c r="B480">
        <v>15.789</v>
      </c>
      <c r="C480">
        <v>15.914999999999999</v>
      </c>
      <c r="D480">
        <v>14.61</v>
      </c>
      <c r="E480">
        <v>14.772</v>
      </c>
      <c r="F480">
        <v>22697.454000000002</v>
      </c>
      <c r="G480">
        <v>0</v>
      </c>
      <c r="L480" t="s">
        <v>7</v>
      </c>
      <c r="M480" t="s">
        <v>7</v>
      </c>
      <c r="N480" t="s">
        <v>7</v>
      </c>
      <c r="P480">
        <f t="shared" si="979"/>
        <v>-0.75172413793103321</v>
      </c>
      <c r="Q480">
        <f t="shared" si="980"/>
        <v>-17062.224041379282</v>
      </c>
      <c r="R480">
        <f t="shared" si="981"/>
        <v>-326264.77672874287</v>
      </c>
      <c r="S480">
        <f t="shared" si="982"/>
        <v>-3.2626477672874286</v>
      </c>
      <c r="T480">
        <f t="shared" si="983"/>
        <v>-3.2626477672874285E-3</v>
      </c>
    </row>
    <row r="481" spans="1:20" x14ac:dyDescent="0.25">
      <c r="A481" s="5">
        <v>44109</v>
      </c>
      <c r="B481">
        <v>15.811</v>
      </c>
      <c r="C481">
        <v>15.978999999999999</v>
      </c>
      <c r="D481">
        <v>15.438000000000001</v>
      </c>
      <c r="E481">
        <v>15.788</v>
      </c>
      <c r="F481">
        <v>13734.793</v>
      </c>
      <c r="G481">
        <v>0</v>
      </c>
      <c r="L481" t="s">
        <v>7</v>
      </c>
      <c r="M481" t="s">
        <v>8</v>
      </c>
      <c r="N481" t="s">
        <v>7</v>
      </c>
      <c r="P481">
        <f t="shared" si="979"/>
        <v>0.2939001848428856</v>
      </c>
      <c r="Q481">
        <f t="shared" si="980"/>
        <v>4036.6582014787714</v>
      </c>
      <c r="R481">
        <f t="shared" si="981"/>
        <v>-309202.55268736358</v>
      </c>
      <c r="S481">
        <f t="shared" si="982"/>
        <v>-3.0920255268736359</v>
      </c>
      <c r="T481">
        <f t="shared" si="983"/>
        <v>-3.0920255268736358E-3</v>
      </c>
    </row>
    <row r="482" spans="1:20" x14ac:dyDescent="0.25">
      <c r="A482" s="5">
        <v>44108</v>
      </c>
      <c r="B482">
        <v>16.02</v>
      </c>
      <c r="C482">
        <v>16.388999999999999</v>
      </c>
      <c r="D482">
        <v>15.368</v>
      </c>
      <c r="E482">
        <v>15.807</v>
      </c>
      <c r="F482">
        <v>35784.576000000001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-0.14005876591576791</v>
      </c>
      <c r="Q482">
        <f t="shared" si="980"/>
        <v>-5011.9435533790065</v>
      </c>
      <c r="R482">
        <f t="shared" si="981"/>
        <v>-313239.21088884235</v>
      </c>
      <c r="S482">
        <f t="shared" si="982"/>
        <v>-3.1323921088884235</v>
      </c>
      <c r="T482">
        <f t="shared" si="983"/>
        <v>-3.1323921088884234E-3</v>
      </c>
    </row>
    <row r="483" spans="1:20" x14ac:dyDescent="0.25">
      <c r="A483" s="5">
        <v>44107</v>
      </c>
      <c r="B483">
        <v>15.654999999999999</v>
      </c>
      <c r="C483">
        <v>17</v>
      </c>
      <c r="D483">
        <v>15.55</v>
      </c>
      <c r="E483">
        <v>16.03</v>
      </c>
      <c r="F483">
        <v>48515.892999999996</v>
      </c>
      <c r="G483">
        <v>0</v>
      </c>
      <c r="L483" t="s">
        <v>8</v>
      </c>
      <c r="M483" t="s">
        <v>8</v>
      </c>
      <c r="N483" t="s">
        <v>7</v>
      </c>
      <c r="P483">
        <f t="shared" si="979"/>
        <v>-0.33793103448275769</v>
      </c>
      <c r="Q483">
        <f t="shared" si="980"/>
        <v>-16395.025910344782</v>
      </c>
      <c r="R483">
        <f t="shared" si="981"/>
        <v>-308227.26733546337</v>
      </c>
      <c r="S483">
        <f t="shared" si="982"/>
        <v>-3.082272673354634</v>
      </c>
      <c r="T483">
        <f t="shared" si="983"/>
        <v>-3.0822726733546338E-3</v>
      </c>
    </row>
    <row r="484" spans="1:20" x14ac:dyDescent="0.25">
      <c r="A484" s="5">
        <v>44106</v>
      </c>
      <c r="B484">
        <v>16.245999999999999</v>
      </c>
      <c r="C484">
        <v>16.5</v>
      </c>
      <c r="D484">
        <v>14.412000000000001</v>
      </c>
      <c r="E484">
        <v>15.785</v>
      </c>
      <c r="F484">
        <v>79517.751999999993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0.31513409961685812</v>
      </c>
      <c r="Q484">
        <f t="shared" si="980"/>
        <v>25058.755180076616</v>
      </c>
      <c r="R484">
        <f t="shared" si="981"/>
        <v>-291832.24142511858</v>
      </c>
      <c r="S484">
        <f t="shared" si="982"/>
        <v>-2.9183224142511857</v>
      </c>
      <c r="T484">
        <f t="shared" si="983"/>
        <v>-2.9183224142511855E-3</v>
      </c>
    </row>
    <row r="485" spans="1:20" x14ac:dyDescent="0.25">
      <c r="A485" s="5">
        <v>44105</v>
      </c>
      <c r="B485">
        <v>18.23</v>
      </c>
      <c r="C485">
        <v>18.748999999999999</v>
      </c>
      <c r="D485">
        <v>15.733000000000001</v>
      </c>
      <c r="E485">
        <v>16.248000000000001</v>
      </c>
      <c r="F485">
        <v>116382.789</v>
      </c>
      <c r="G485">
        <v>0</v>
      </c>
      <c r="L485" t="s">
        <v>7</v>
      </c>
      <c r="M485" t="s">
        <v>7</v>
      </c>
      <c r="N485" t="s">
        <v>8</v>
      </c>
      <c r="P485">
        <f t="shared" si="979"/>
        <v>-0.65848806366047685</v>
      </c>
      <c r="Q485">
        <f t="shared" si="980"/>
        <v>-76636.677372015853</v>
      </c>
      <c r="R485">
        <f t="shared" si="981"/>
        <v>-316890.99660519522</v>
      </c>
      <c r="S485">
        <f t="shared" si="982"/>
        <v>-3.1689099660519524</v>
      </c>
      <c r="T485">
        <f t="shared" si="983"/>
        <v>-3.1689099660519525E-3</v>
      </c>
    </row>
    <row r="486" spans="1:20" x14ac:dyDescent="0.25">
      <c r="A486" s="5">
        <v>44104</v>
      </c>
      <c r="B486">
        <v>15.802</v>
      </c>
      <c r="C486">
        <v>19.5</v>
      </c>
      <c r="D486">
        <v>15.504</v>
      </c>
      <c r="E486">
        <v>18.318000000000001</v>
      </c>
      <c r="F486">
        <v>154885.133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0.4084084084084092</v>
      </c>
      <c r="Q486">
        <f t="shared" si="980"/>
        <v>63256.390654654781</v>
      </c>
      <c r="R486">
        <f t="shared" si="981"/>
        <v>-240254.31923317938</v>
      </c>
      <c r="S486">
        <f t="shared" si="982"/>
        <v>-2.4025431923317937</v>
      </c>
      <c r="T486">
        <f t="shared" si="983"/>
        <v>-2.4025431923317938E-3</v>
      </c>
    </row>
    <row r="487" spans="1:20" x14ac:dyDescent="0.25">
      <c r="A487" s="5">
        <v>44103</v>
      </c>
      <c r="B487">
        <v>14.487</v>
      </c>
      <c r="C487">
        <v>16.242000000000001</v>
      </c>
      <c r="D487">
        <v>13.981</v>
      </c>
      <c r="E487">
        <v>15.871</v>
      </c>
      <c r="F487">
        <v>131896.49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0.67182662538699667</v>
      </c>
      <c r="Q487">
        <f t="shared" si="980"/>
        <v>88611.573777089739</v>
      </c>
      <c r="R487">
        <f t="shared" si="981"/>
        <v>-303510.70988783415</v>
      </c>
      <c r="S487">
        <f t="shared" si="982"/>
        <v>-3.0351070988783415</v>
      </c>
      <c r="T487">
        <f t="shared" si="983"/>
        <v>-3.0351070988783417E-3</v>
      </c>
    </row>
    <row r="488" spans="1:20" x14ac:dyDescent="0.25">
      <c r="A488" s="5">
        <v>44102</v>
      </c>
      <c r="B488">
        <v>14.625999999999999</v>
      </c>
      <c r="C488">
        <v>16.600999999999999</v>
      </c>
      <c r="D488">
        <v>14.246</v>
      </c>
      <c r="E488">
        <v>14.489000000000001</v>
      </c>
      <c r="F488">
        <v>136644.666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-0.79363057324840725</v>
      </c>
      <c r="Q488">
        <f t="shared" si="980"/>
        <v>-108445.38460891714</v>
      </c>
      <c r="R488">
        <f t="shared" si="981"/>
        <v>-392122.28366492386</v>
      </c>
      <c r="S488">
        <f t="shared" si="982"/>
        <v>-3.9212228366492385</v>
      </c>
      <c r="T488">
        <f t="shared" si="983"/>
        <v>-3.9212228366492389E-3</v>
      </c>
    </row>
    <row r="489" spans="1:20" x14ac:dyDescent="0.25">
      <c r="A489" s="5">
        <v>44101</v>
      </c>
      <c r="B489">
        <v>16.199000000000002</v>
      </c>
      <c r="C489">
        <v>16.382000000000001</v>
      </c>
      <c r="D489">
        <v>14.315</v>
      </c>
      <c r="E489">
        <v>14.678000000000001</v>
      </c>
      <c r="F489">
        <v>38031.394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-0.64876632801161005</v>
      </c>
      <c r="Q489">
        <f t="shared" si="980"/>
        <v>-24673.487834542779</v>
      </c>
      <c r="R489">
        <f t="shared" si="981"/>
        <v>-283676.89905600675</v>
      </c>
      <c r="S489">
        <f t="shared" si="982"/>
        <v>-2.8367689905600675</v>
      </c>
      <c r="T489">
        <f t="shared" si="983"/>
        <v>-2.8367689905600675E-3</v>
      </c>
    </row>
    <row r="490" spans="1:20" x14ac:dyDescent="0.25">
      <c r="A490" s="5">
        <v>44100</v>
      </c>
      <c r="B490">
        <v>16.695</v>
      </c>
      <c r="C490">
        <v>18.3</v>
      </c>
      <c r="D490">
        <v>16</v>
      </c>
      <c r="E490">
        <v>16.170000000000002</v>
      </c>
      <c r="F490">
        <v>28195.08</v>
      </c>
      <c r="G490">
        <v>0</v>
      </c>
      <c r="L490" t="s">
        <v>8</v>
      </c>
      <c r="M490" t="s">
        <v>7</v>
      </c>
      <c r="N490" t="s">
        <v>8</v>
      </c>
      <c r="P490">
        <f t="shared" si="979"/>
        <v>-0.85217391304347678</v>
      </c>
      <c r="Q490">
        <f t="shared" si="980"/>
        <v>-24027.111652173873</v>
      </c>
      <c r="R490">
        <f t="shared" si="981"/>
        <v>-259003.41122146399</v>
      </c>
      <c r="S490">
        <f t="shared" si="982"/>
        <v>-2.59003411221464</v>
      </c>
      <c r="T490">
        <f t="shared" si="983"/>
        <v>-2.5900341122146401E-3</v>
      </c>
    </row>
    <row r="491" spans="1:20" x14ac:dyDescent="0.25">
      <c r="A491" s="5">
        <v>44099</v>
      </c>
      <c r="B491">
        <v>16.934000000000001</v>
      </c>
      <c r="C491">
        <v>17.407</v>
      </c>
      <c r="D491">
        <v>16.170999999999999</v>
      </c>
      <c r="E491">
        <v>16.634</v>
      </c>
      <c r="F491">
        <v>34545.286999999997</v>
      </c>
      <c r="G491">
        <v>0</v>
      </c>
      <c r="L491" t="s">
        <v>8</v>
      </c>
      <c r="M491" t="s">
        <v>7</v>
      </c>
      <c r="N491" t="s">
        <v>8</v>
      </c>
      <c r="P491">
        <f t="shared" si="979"/>
        <v>-0.25080906148867199</v>
      </c>
      <c r="Q491">
        <f t="shared" si="980"/>
        <v>-8664.2710113268204</v>
      </c>
      <c r="R491">
        <f t="shared" si="981"/>
        <v>-234976.2995692901</v>
      </c>
      <c r="S491">
        <f t="shared" si="982"/>
        <v>-2.3497629956929011</v>
      </c>
      <c r="T491">
        <f t="shared" si="983"/>
        <v>-2.349762995692901E-3</v>
      </c>
    </row>
    <row r="492" spans="1:20" x14ac:dyDescent="0.25">
      <c r="A492" s="5">
        <v>44098</v>
      </c>
      <c r="B492">
        <v>16.687000000000001</v>
      </c>
      <c r="C492">
        <v>17.5</v>
      </c>
      <c r="D492">
        <v>16.204999999999998</v>
      </c>
      <c r="E492">
        <v>16.925000000000001</v>
      </c>
      <c r="F492">
        <v>33702.052000000003</v>
      </c>
      <c r="G492">
        <v>0</v>
      </c>
      <c r="L492" t="s">
        <v>7</v>
      </c>
      <c r="M492" t="s">
        <v>7</v>
      </c>
      <c r="N492" t="s">
        <v>8</v>
      </c>
      <c r="P492">
        <f t="shared" si="979"/>
        <v>0.11196911196911423</v>
      </c>
      <c r="Q492">
        <f t="shared" si="980"/>
        <v>3773.5888339769103</v>
      </c>
      <c r="R492">
        <f t="shared" si="981"/>
        <v>-226312.02855796329</v>
      </c>
      <c r="S492">
        <f t="shared" si="982"/>
        <v>-2.2631202855796331</v>
      </c>
      <c r="T492">
        <f t="shared" si="983"/>
        <v>-2.2631202855796333E-3</v>
      </c>
    </row>
    <row r="493" spans="1:20" x14ac:dyDescent="0.25">
      <c r="A493" s="5">
        <v>44097</v>
      </c>
      <c r="B493">
        <v>17.939</v>
      </c>
      <c r="C493">
        <v>18.347999999999999</v>
      </c>
      <c r="D493">
        <v>16.579999999999998</v>
      </c>
      <c r="E493">
        <v>16.579999999999998</v>
      </c>
      <c r="F493">
        <v>53153.548000000003</v>
      </c>
      <c r="G493">
        <v>0</v>
      </c>
      <c r="L493" t="s">
        <v>7</v>
      </c>
      <c r="M493" t="s">
        <v>7</v>
      </c>
      <c r="N493" t="s">
        <v>8</v>
      </c>
      <c r="P493">
        <f t="shared" si="979"/>
        <v>-1</v>
      </c>
      <c r="Q493">
        <f t="shared" si="980"/>
        <v>-53153.548000000003</v>
      </c>
      <c r="R493">
        <f t="shared" si="981"/>
        <v>-230085.61739194021</v>
      </c>
      <c r="S493">
        <f t="shared" si="982"/>
        <v>-2.300856173919402</v>
      </c>
      <c r="T493">
        <f t="shared" si="983"/>
        <v>-2.3008561739194019E-3</v>
      </c>
    </row>
    <row r="494" spans="1:20" x14ac:dyDescent="0.25">
      <c r="A494" s="5">
        <v>44096</v>
      </c>
      <c r="B494">
        <v>19.355</v>
      </c>
      <c r="C494">
        <v>19.738</v>
      </c>
      <c r="D494">
        <v>17.454000000000001</v>
      </c>
      <c r="E494">
        <v>17.939</v>
      </c>
      <c r="F494">
        <v>86180.566999999995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-0.57530647985989525</v>
      </c>
      <c r="Q494">
        <f t="shared" si="980"/>
        <v>-49580.238633099849</v>
      </c>
      <c r="R494">
        <f t="shared" si="981"/>
        <v>-176932.0693919402</v>
      </c>
      <c r="S494">
        <f t="shared" si="982"/>
        <v>-1.7693206939194019</v>
      </c>
      <c r="T494">
        <f t="shared" si="983"/>
        <v>-1.769320693919402E-3</v>
      </c>
    </row>
    <row r="495" spans="1:20" x14ac:dyDescent="0.25">
      <c r="A495" s="5">
        <v>44095</v>
      </c>
      <c r="B495">
        <v>20.76</v>
      </c>
      <c r="C495">
        <v>24.288</v>
      </c>
      <c r="D495">
        <v>18.010000000000002</v>
      </c>
      <c r="E495">
        <v>19.327000000000002</v>
      </c>
      <c r="F495">
        <v>219405.81599999999</v>
      </c>
      <c r="G495">
        <v>0</v>
      </c>
      <c r="P495">
        <f t="shared" si="979"/>
        <v>-0.58043963045555891</v>
      </c>
      <c r="Q495">
        <f t="shared" si="980"/>
        <v>-127351.83075884035</v>
      </c>
      <c r="R495">
        <f t="shared" si="981"/>
        <v>-127351.83075884035</v>
      </c>
      <c r="S495">
        <f t="shared" si="982"/>
        <v>-1.2735183075884036</v>
      </c>
      <c r="T495">
        <f t="shared" si="983"/>
        <v>-1.2735183075884035E-3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IF801" sqref="IF80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$A$800</v>
      </c>
      <c r="D111" s="1" t="str">
        <f>ADDRESS(C121-1,D121,1,1)</f>
        <v>$IF$800</v>
      </c>
      <c r="E111"/>
    </row>
    <row r="112" spans="1:5" x14ac:dyDescent="0.25">
      <c r="A112" s="7">
        <v>12164.144957890772</v>
      </c>
      <c r="C112" s="1" t="str">
        <f>ADDRESS(C121,1,1,1)</f>
        <v>$A$801</v>
      </c>
      <c r="D112" s="1" t="str">
        <f>ADDRESS(C121,D121-1,1,1)</f>
        <v>$IE$801</v>
      </c>
      <c r="E112"/>
    </row>
    <row r="113" spans="1:5" x14ac:dyDescent="0.25">
      <c r="A113" s="7">
        <v>11925.63231165762</v>
      </c>
      <c r="C113" s="1" t="str">
        <f>ADDRESS(C121+1,1,1,1)</f>
        <v>$A$802</v>
      </c>
      <c r="D113" s="1" t="str">
        <f>ADDRESS(C121-1,D121+1,1,1)</f>
        <v>$IG$800</v>
      </c>
    </row>
    <row r="114" spans="1:5" x14ac:dyDescent="0.25">
      <c r="A114" s="7">
        <v>11691.796383978059</v>
      </c>
      <c r="C114" s="1" t="str">
        <f>ADDRESS(C121,D121,1,1)</f>
        <v>$IF$801</v>
      </c>
      <c r="D114" s="1" t="str">
        <f>ADDRESS(C121+1,D121+1,1,1)</f>
        <v>$IG$802</v>
      </c>
    </row>
    <row r="115" spans="1:5" x14ac:dyDescent="0.25">
      <c r="A115" s="7">
        <v>11462.545474488292</v>
      </c>
      <c r="C115" s="1" t="str">
        <f>ADDRESS(C121+1,D121,1,1)</f>
        <v>$IF$802</v>
      </c>
    </row>
    <row r="116" spans="1:5" x14ac:dyDescent="0.25">
      <c r="A116" s="7">
        <v>11237.789680870874</v>
      </c>
      <c r="C116" s="1">
        <f>C117-1</f>
        <v>800</v>
      </c>
    </row>
    <row r="117" spans="1:5" x14ac:dyDescent="0.25">
      <c r="A117" s="7">
        <v>11017.440863598895</v>
      </c>
      <c r="C117" s="1">
        <f>C121</f>
        <v>801</v>
      </c>
      <c r="D117" s="1">
        <f>D121</f>
        <v>240</v>
      </c>
    </row>
    <row r="118" spans="1:5" x14ac:dyDescent="0.25">
      <c r="A118" s="7">
        <v>10801.412611371465</v>
      </c>
      <c r="C118" s="1">
        <f>C117+1</f>
        <v>802</v>
      </c>
      <c r="D118" s="1">
        <f>D117+1</f>
        <v>241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801</v>
      </c>
      <c r="D121" s="19">
        <v>240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R801</v>
      </c>
      <c r="D123" s="1" t="str">
        <f>"C"&amp;D121</f>
        <v>C240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1.4439868656306743E-2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132" x14ac:dyDescent="0.25">
      <c r="A385" s="7">
        <v>54.605287232808607</v>
      </c>
      <c r="B385"/>
      <c r="C385"/>
      <c r="D385"/>
      <c r="E385"/>
    </row>
    <row r="386" spans="1:132" x14ac:dyDescent="0.25">
      <c r="A386" s="7">
        <v>53.534595326282947</v>
      </c>
      <c r="B386"/>
      <c r="C386"/>
      <c r="D386"/>
      <c r="E386"/>
      <c r="CS386" s="27" t="s">
        <v>8</v>
      </c>
    </row>
    <row r="387" spans="1:132" x14ac:dyDescent="0.25">
      <c r="A387" s="7">
        <v>52.484897378708773</v>
      </c>
      <c r="B387"/>
      <c r="C387"/>
      <c r="D387"/>
      <c r="E387"/>
      <c r="CS387" s="27" t="s">
        <v>8</v>
      </c>
      <c r="CT387" s="27" t="s">
        <v>7</v>
      </c>
    </row>
    <row r="388" spans="1:132" x14ac:dyDescent="0.25">
      <c r="A388" s="7">
        <v>51.455781743832127</v>
      </c>
      <c r="B388"/>
      <c r="C388"/>
      <c r="D388"/>
      <c r="E388"/>
      <c r="CS388" s="27" t="s">
        <v>8</v>
      </c>
      <c r="CT388" s="27" t="s">
        <v>7</v>
      </c>
    </row>
    <row r="389" spans="1:132" x14ac:dyDescent="0.25">
      <c r="A389" s="7">
        <v>50.446844846894244</v>
      </c>
      <c r="B389"/>
      <c r="C389"/>
      <c r="D389"/>
      <c r="E389"/>
      <c r="CS389" s="27" t="s">
        <v>8</v>
      </c>
      <c r="CT389" s="27" t="s">
        <v>7</v>
      </c>
    </row>
    <row r="390" spans="1:132" x14ac:dyDescent="0.25">
      <c r="A390" s="7">
        <v>49.457691026366902</v>
      </c>
      <c r="B390"/>
      <c r="C390"/>
      <c r="D390"/>
      <c r="E390"/>
      <c r="CS390" s="27" t="s">
        <v>8</v>
      </c>
      <c r="CT390" s="27" t="s">
        <v>7</v>
      </c>
      <c r="DA390" s="27" t="s">
        <v>8</v>
      </c>
    </row>
    <row r="391" spans="1:132" x14ac:dyDescent="0.25">
      <c r="A391" s="7">
        <v>48.487932378791079</v>
      </c>
      <c r="B391"/>
      <c r="C391"/>
      <c r="D391"/>
      <c r="E391"/>
      <c r="CS391" s="27" t="s">
        <v>8</v>
      </c>
      <c r="CT391" s="27" t="s">
        <v>7</v>
      </c>
      <c r="DA391" s="27" t="s">
        <v>8</v>
      </c>
      <c r="DB391" s="27" t="s">
        <v>7</v>
      </c>
    </row>
    <row r="392" spans="1:132" x14ac:dyDescent="0.25">
      <c r="A392" s="7">
        <v>47.537188606657921</v>
      </c>
      <c r="B392"/>
      <c r="C392"/>
      <c r="D392"/>
      <c r="E392"/>
      <c r="CS392" s="27" t="s">
        <v>8</v>
      </c>
      <c r="CT392" s="27" t="s">
        <v>7</v>
      </c>
      <c r="DA392" s="27" t="s">
        <v>8</v>
      </c>
      <c r="DB392" s="27" t="s">
        <v>7</v>
      </c>
    </row>
    <row r="393" spans="1:132" x14ac:dyDescent="0.25">
      <c r="A393" s="7">
        <v>46.605086869272469</v>
      </c>
      <c r="B393"/>
      <c r="C393"/>
      <c r="D393"/>
      <c r="E393"/>
      <c r="CS393" s="27" t="s">
        <v>8</v>
      </c>
      <c r="CT393" s="27" t="s">
        <v>7</v>
      </c>
      <c r="DA393" s="27" t="s">
        <v>8</v>
      </c>
      <c r="DB393" s="27" t="s">
        <v>7</v>
      </c>
    </row>
    <row r="394" spans="1:132" x14ac:dyDescent="0.25">
      <c r="A394" s="7">
        <v>45.691261636541633</v>
      </c>
      <c r="B394"/>
      <c r="C394"/>
      <c r="D394"/>
      <c r="E394"/>
      <c r="CS394" s="27" t="s">
        <v>8</v>
      </c>
      <c r="CT394" s="27" t="s">
        <v>7</v>
      </c>
      <c r="DA394" s="27" t="s">
        <v>8</v>
      </c>
      <c r="DB394" s="27" t="s">
        <v>7</v>
      </c>
    </row>
    <row r="395" spans="1:132" x14ac:dyDescent="0.25">
      <c r="A395" s="7">
        <v>44.795354545629053</v>
      </c>
      <c r="B395"/>
      <c r="C395"/>
      <c r="D395"/>
      <c r="E395"/>
      <c r="CS395" s="27" t="s">
        <v>8</v>
      </c>
      <c r="CT395" s="27" t="s">
        <v>7</v>
      </c>
      <c r="DA395" s="27" t="s">
        <v>8</v>
      </c>
      <c r="DB395" s="27" t="s">
        <v>7</v>
      </c>
    </row>
    <row r="396" spans="1:132" x14ac:dyDescent="0.25">
      <c r="A396" s="7">
        <v>43.917014260420636</v>
      </c>
      <c r="B396"/>
      <c r="C396"/>
      <c r="D396"/>
      <c r="E396"/>
      <c r="CS396" s="27" t="s">
        <v>8</v>
      </c>
      <c r="CT396" s="27" t="s">
        <v>7</v>
      </c>
      <c r="DA396" s="27" t="s">
        <v>8</v>
      </c>
      <c r="DB396" s="27" t="s">
        <v>7</v>
      </c>
      <c r="EA396" s="27" t="s">
        <v>8</v>
      </c>
    </row>
    <row r="397" spans="1:132" x14ac:dyDescent="0.25">
      <c r="A397" s="7">
        <v>43.055896333745721</v>
      </c>
      <c r="B397"/>
      <c r="C397"/>
      <c r="D397"/>
      <c r="E397"/>
      <c r="CQ397" s="27" t="s">
        <v>8</v>
      </c>
      <c r="CS397" s="27" t="s">
        <v>8</v>
      </c>
      <c r="CT397" s="27" t="s">
        <v>7</v>
      </c>
      <c r="CU397" s="27" t="s">
        <v>8</v>
      </c>
      <c r="CW397" s="27" t="s">
        <v>8</v>
      </c>
      <c r="DA397" s="27" t="s">
        <v>8</v>
      </c>
      <c r="DB397" s="27" t="s">
        <v>7</v>
      </c>
      <c r="EA397" s="27" t="s">
        <v>8</v>
      </c>
      <c r="EB397" s="27" t="s">
        <v>7</v>
      </c>
    </row>
    <row r="398" spans="1:132" x14ac:dyDescent="0.25">
      <c r="A398" s="7">
        <v>42.211663072299729</v>
      </c>
      <c r="B398"/>
      <c r="C398"/>
      <c r="D398"/>
      <c r="E398"/>
      <c r="CQ398" s="27" t="s">
        <v>8</v>
      </c>
      <c r="CR398" s="27" t="s">
        <v>7</v>
      </c>
      <c r="CS398" s="27" t="s">
        <v>8</v>
      </c>
      <c r="CT398" s="27" t="s">
        <v>7</v>
      </c>
      <c r="CU398" s="27" t="s">
        <v>8</v>
      </c>
      <c r="CV398" s="27" t="s">
        <v>7</v>
      </c>
      <c r="CW398" s="27" t="s">
        <v>8</v>
      </c>
      <c r="CX398" s="27" t="s">
        <v>7</v>
      </c>
      <c r="CY398" s="27" t="s">
        <v>8</v>
      </c>
      <c r="DA398" s="27" t="s">
        <v>8</v>
      </c>
      <c r="DB398" s="27" t="s">
        <v>7</v>
      </c>
      <c r="DC398" s="27" t="s">
        <v>8</v>
      </c>
      <c r="EA398" s="27" t="s">
        <v>8</v>
      </c>
      <c r="EB398" s="27" t="s">
        <v>7</v>
      </c>
    </row>
    <row r="399" spans="1:132" x14ac:dyDescent="0.25">
      <c r="A399" s="7">
        <v>41.383983404215421</v>
      </c>
      <c r="B399"/>
      <c r="C399"/>
      <c r="D399"/>
      <c r="E399"/>
      <c r="CQ399" s="27" t="s">
        <v>8</v>
      </c>
      <c r="CR399" s="27" t="s">
        <v>7</v>
      </c>
      <c r="CS399" s="27" t="s">
        <v>8</v>
      </c>
      <c r="CT399" s="27" t="s">
        <v>7</v>
      </c>
      <c r="CU399" s="27" t="s">
        <v>8</v>
      </c>
      <c r="CV399" s="27" t="s">
        <v>7</v>
      </c>
      <c r="CW399" s="27" t="s">
        <v>8</v>
      </c>
      <c r="CX399" s="27" t="s">
        <v>7</v>
      </c>
      <c r="CY399" s="27" t="s">
        <v>8</v>
      </c>
      <c r="CZ399" s="27" t="s">
        <v>7</v>
      </c>
      <c r="DA399" s="27" t="s">
        <v>8</v>
      </c>
      <c r="DB399" s="27" t="s">
        <v>7</v>
      </c>
      <c r="DC399" s="27" t="s">
        <v>8</v>
      </c>
      <c r="DD399" s="27" t="s">
        <v>7</v>
      </c>
      <c r="EA399" s="27" t="s">
        <v>8</v>
      </c>
      <c r="EB399" s="27" t="s">
        <v>7</v>
      </c>
    </row>
    <row r="400" spans="1:132" x14ac:dyDescent="0.25">
      <c r="A400" s="7">
        <v>40.572532749230803</v>
      </c>
      <c r="B400"/>
      <c r="C400"/>
      <c r="D400"/>
      <c r="E400"/>
      <c r="CQ400" s="27" t="s">
        <v>8</v>
      </c>
      <c r="CR400" s="27" t="s">
        <v>7</v>
      </c>
      <c r="CS400" s="27" t="s">
        <v>8</v>
      </c>
      <c r="CT400" s="27" t="s">
        <v>7</v>
      </c>
      <c r="CU400" s="27" t="s">
        <v>8</v>
      </c>
      <c r="CV400" s="27" t="s">
        <v>7</v>
      </c>
      <c r="CW400" s="27" t="s">
        <v>8</v>
      </c>
      <c r="CX400" s="27" t="s">
        <v>7</v>
      </c>
      <c r="CY400" s="27" t="s">
        <v>8</v>
      </c>
      <c r="CZ400" s="27" t="s">
        <v>7</v>
      </c>
      <c r="DA400" s="27" t="s">
        <v>8</v>
      </c>
      <c r="DB400" s="27" t="s">
        <v>7</v>
      </c>
      <c r="DC400" s="27" t="s">
        <v>8</v>
      </c>
      <c r="DD400" s="27" t="s">
        <v>7</v>
      </c>
      <c r="EA400" s="27" t="s">
        <v>8</v>
      </c>
      <c r="EB400" s="27" t="s">
        <v>7</v>
      </c>
    </row>
    <row r="401" spans="1:133" x14ac:dyDescent="0.25">
      <c r="A401" s="7">
        <v>39.776992891402749</v>
      </c>
      <c r="B401"/>
      <c r="C401"/>
      <c r="D401"/>
      <c r="E401"/>
      <c r="CQ401" s="27" t="s">
        <v>8</v>
      </c>
      <c r="CR401" s="27" t="s">
        <v>7</v>
      </c>
      <c r="CS401" s="27" t="s">
        <v>8</v>
      </c>
      <c r="CT401" s="27" t="s">
        <v>7</v>
      </c>
      <c r="CU401" s="27" t="s">
        <v>8</v>
      </c>
      <c r="CV401" s="27" t="s">
        <v>7</v>
      </c>
      <c r="CW401" s="27" t="s">
        <v>8</v>
      </c>
      <c r="CX401" s="27" t="s">
        <v>7</v>
      </c>
      <c r="CZ401" s="27" t="s">
        <v>7</v>
      </c>
      <c r="DA401" s="27" t="s">
        <v>8</v>
      </c>
      <c r="DB401" s="27" t="s">
        <v>7</v>
      </c>
      <c r="DC401" s="27" t="s">
        <v>8</v>
      </c>
      <c r="DD401" s="27" t="s">
        <v>7</v>
      </c>
      <c r="DK401" s="27" t="s">
        <v>8</v>
      </c>
      <c r="EA401" s="27" t="s">
        <v>8</v>
      </c>
      <c r="EB401" s="27" t="s">
        <v>7</v>
      </c>
    </row>
    <row r="402" spans="1:133" x14ac:dyDescent="0.25">
      <c r="A402" s="7">
        <v>38.997051854316418</v>
      </c>
      <c r="B402"/>
      <c r="C402"/>
      <c r="D402"/>
      <c r="E402"/>
      <c r="CQ402" s="27" t="s">
        <v>8</v>
      </c>
      <c r="CR402" s="27" t="s">
        <v>7</v>
      </c>
      <c r="CS402" s="27" t="s">
        <v>8</v>
      </c>
      <c r="CT402" s="27" t="s">
        <v>7</v>
      </c>
      <c r="CU402" s="27" t="s">
        <v>8</v>
      </c>
      <c r="CV402" s="27" t="s">
        <v>7</v>
      </c>
      <c r="CZ402" s="27" t="s">
        <v>7</v>
      </c>
      <c r="DB402" s="27" t="s">
        <v>7</v>
      </c>
      <c r="DC402" s="27" t="s">
        <v>8</v>
      </c>
      <c r="DD402" s="27" t="s">
        <v>7</v>
      </c>
      <c r="DK402" s="27" t="s">
        <v>8</v>
      </c>
      <c r="DL402" s="27" t="s">
        <v>7</v>
      </c>
      <c r="EA402" s="27" t="s">
        <v>8</v>
      </c>
      <c r="EB402" s="27" t="s">
        <v>7</v>
      </c>
    </row>
    <row r="403" spans="1:133" x14ac:dyDescent="0.25">
      <c r="A403" s="7">
        <v>38.232403778741585</v>
      </c>
      <c r="B403"/>
      <c r="C403"/>
      <c r="D403"/>
      <c r="E403"/>
      <c r="CQ403" s="27" t="s">
        <v>8</v>
      </c>
      <c r="CR403" s="27" t="s">
        <v>7</v>
      </c>
      <c r="CS403" s="27" t="s">
        <v>8</v>
      </c>
      <c r="CT403" s="27" t="s">
        <v>7</v>
      </c>
      <c r="CU403" s="27" t="s">
        <v>8</v>
      </c>
      <c r="DB403" s="27" t="s">
        <v>7</v>
      </c>
      <c r="DC403" s="27" t="s">
        <v>8</v>
      </c>
      <c r="DD403" s="27" t="s">
        <v>7</v>
      </c>
      <c r="DK403" s="27" t="s">
        <v>8</v>
      </c>
      <c r="DL403" s="27" t="s">
        <v>7</v>
      </c>
      <c r="EA403" s="27" t="s">
        <v>8</v>
      </c>
      <c r="EB403" s="27" t="s">
        <v>7</v>
      </c>
    </row>
    <row r="404" spans="1:133" x14ac:dyDescent="0.25">
      <c r="A404" s="7">
        <v>37.48274880268783</v>
      </c>
      <c r="B404"/>
      <c r="C404"/>
      <c r="D404"/>
      <c r="E404"/>
      <c r="CQ404" s="27" t="s">
        <v>8</v>
      </c>
      <c r="CR404" s="27" t="s">
        <v>7</v>
      </c>
      <c r="CS404" s="27" t="s">
        <v>8</v>
      </c>
      <c r="CT404" s="27" t="s">
        <v>7</v>
      </c>
      <c r="DB404" s="27" t="s">
        <v>7</v>
      </c>
      <c r="DC404" s="27" t="s">
        <v>8</v>
      </c>
      <c r="DD404" s="27" t="s">
        <v>7</v>
      </c>
      <c r="DK404" s="27" t="s">
        <v>8</v>
      </c>
      <c r="DL404" s="27" t="s">
        <v>7</v>
      </c>
      <c r="EA404" s="27" t="s">
        <v>8</v>
      </c>
      <c r="EB404" s="27" t="s">
        <v>7</v>
      </c>
    </row>
    <row r="405" spans="1:133" x14ac:dyDescent="0.25">
      <c r="A405" s="7">
        <v>36.747792943811596</v>
      </c>
      <c r="B405"/>
      <c r="C405"/>
      <c r="D405"/>
      <c r="E405"/>
      <c r="CQ405" s="27" t="s">
        <v>8</v>
      </c>
      <c r="CR405" s="27" t="s">
        <v>7</v>
      </c>
      <c r="CS405" s="27" t="s">
        <v>8</v>
      </c>
      <c r="DB405" s="27" t="s">
        <v>7</v>
      </c>
      <c r="DC405" s="27" t="s">
        <v>8</v>
      </c>
      <c r="DD405" s="27" t="s">
        <v>7</v>
      </c>
      <c r="DK405" s="27" t="s">
        <v>8</v>
      </c>
      <c r="DL405" s="27" t="s">
        <v>7</v>
      </c>
      <c r="EA405" s="27" t="s">
        <v>8</v>
      </c>
      <c r="EB405" s="27" t="s">
        <v>7</v>
      </c>
    </row>
    <row r="406" spans="1:133" x14ac:dyDescent="0.25">
      <c r="A406" s="7">
        <v>36.027247984129012</v>
      </c>
      <c r="B406"/>
      <c r="C406"/>
      <c r="D406"/>
      <c r="E406"/>
      <c r="CQ406" s="27" t="s">
        <v>8</v>
      </c>
      <c r="CR406" s="27" t="s">
        <v>7</v>
      </c>
      <c r="DB406" s="27" t="s">
        <v>7</v>
      </c>
      <c r="DD406" s="27" t="s">
        <v>7</v>
      </c>
      <c r="DK406" s="27" t="s">
        <v>8</v>
      </c>
      <c r="DL406" s="27" t="s">
        <v>7</v>
      </c>
      <c r="EA406" s="27" t="s">
        <v>8</v>
      </c>
      <c r="EB406" s="27" t="s">
        <v>7</v>
      </c>
    </row>
    <row r="407" spans="1:133" x14ac:dyDescent="0.25">
      <c r="A407" s="7">
        <v>35.320831356989224</v>
      </c>
      <c r="B407"/>
      <c r="C407"/>
      <c r="D407"/>
      <c r="E407"/>
      <c r="CQ407" s="27" t="s">
        <v>8</v>
      </c>
      <c r="DD407" s="27" t="s">
        <v>7</v>
      </c>
      <c r="DG407" s="27" t="s">
        <v>8</v>
      </c>
      <c r="DI407" s="27" t="s">
        <v>8</v>
      </c>
      <c r="DK407" s="27" t="s">
        <v>8</v>
      </c>
      <c r="DL407" s="27" t="s">
        <v>7</v>
      </c>
      <c r="EA407" s="27" t="s">
        <v>8</v>
      </c>
      <c r="EB407" s="27" t="s">
        <v>7</v>
      </c>
    </row>
    <row r="408" spans="1:133" x14ac:dyDescent="0.25">
      <c r="A408" s="7">
        <v>34.628266036263945</v>
      </c>
      <c r="B408"/>
      <c r="C408"/>
      <c r="D408"/>
      <c r="E408"/>
      <c r="CM408" s="27" t="s">
        <v>8</v>
      </c>
      <c r="CQ408" s="27" t="s">
        <v>8</v>
      </c>
      <c r="DD408" s="27" t="s">
        <v>7</v>
      </c>
      <c r="DG408" s="27" t="s">
        <v>8</v>
      </c>
      <c r="DH408" s="27" t="s">
        <v>7</v>
      </c>
      <c r="DI408" s="27" t="s">
        <v>8</v>
      </c>
      <c r="DJ408" s="27" t="s">
        <v>7</v>
      </c>
      <c r="DK408" s="27" t="s">
        <v>8</v>
      </c>
      <c r="DL408" s="27" t="s">
        <v>7</v>
      </c>
      <c r="EA408" s="27" t="s">
        <v>8</v>
      </c>
      <c r="EB408" s="27" t="s">
        <v>7</v>
      </c>
    </row>
    <row r="409" spans="1:133" x14ac:dyDescent="0.25">
      <c r="A409" s="7">
        <v>33.949280427709752</v>
      </c>
      <c r="B409"/>
      <c r="C409"/>
      <c r="D409"/>
      <c r="E409"/>
      <c r="CM409" s="27" t="s">
        <v>8</v>
      </c>
      <c r="CN409" s="27" t="s">
        <v>7</v>
      </c>
      <c r="CQ409" s="27" t="s">
        <v>8</v>
      </c>
      <c r="DD409" s="27" t="s">
        <v>7</v>
      </c>
      <c r="DG409" s="27" t="s">
        <v>8</v>
      </c>
      <c r="DH409" s="27" t="s">
        <v>7</v>
      </c>
      <c r="DI409" s="27" t="s">
        <v>8</v>
      </c>
      <c r="DJ409" s="27" t="s">
        <v>7</v>
      </c>
      <c r="DK409" s="27" t="s">
        <v>8</v>
      </c>
      <c r="DL409" s="27" t="s">
        <v>7</v>
      </c>
      <c r="EA409" s="27" t="s">
        <v>8</v>
      </c>
      <c r="EB409" s="27" t="s">
        <v>7</v>
      </c>
    </row>
    <row r="410" spans="1:133" x14ac:dyDescent="0.25">
      <c r="A410" s="7">
        <v>33.28360826246054</v>
      </c>
      <c r="B410"/>
      <c r="C410"/>
      <c r="D410"/>
      <c r="E410"/>
      <c r="CM410" s="27" t="s">
        <v>8</v>
      </c>
      <c r="CN410" s="27" t="s">
        <v>7</v>
      </c>
      <c r="CQ410" s="27" t="s">
        <v>8</v>
      </c>
      <c r="DD410" s="27" t="s">
        <v>7</v>
      </c>
      <c r="DG410" s="27" t="s">
        <v>8</v>
      </c>
      <c r="DH410" s="27" t="s">
        <v>7</v>
      </c>
      <c r="DI410" s="27" t="s">
        <v>8</v>
      </c>
      <c r="DJ410" s="27" t="s">
        <v>7</v>
      </c>
      <c r="DK410" s="27" t="s">
        <v>8</v>
      </c>
      <c r="DL410" s="27" t="s">
        <v>7</v>
      </c>
      <c r="DM410" s="27" t="s">
        <v>8</v>
      </c>
      <c r="EA410" s="27" t="s">
        <v>8</v>
      </c>
      <c r="EB410" s="27" t="s">
        <v>7</v>
      </c>
    </row>
    <row r="411" spans="1:133" x14ac:dyDescent="0.25">
      <c r="A411" s="7">
        <v>32.630988492608374</v>
      </c>
      <c r="B411"/>
      <c r="C411"/>
      <c r="D411"/>
      <c r="E411"/>
      <c r="CM411" s="27" t="s">
        <v>8</v>
      </c>
      <c r="CN411" s="27" t="s">
        <v>7</v>
      </c>
      <c r="CQ411" s="27" t="s">
        <v>8</v>
      </c>
      <c r="DD411" s="27" t="s">
        <v>7</v>
      </c>
      <c r="DG411" s="27" t="s">
        <v>8</v>
      </c>
      <c r="DH411" s="27" t="s">
        <v>7</v>
      </c>
      <c r="DI411" s="27" t="s">
        <v>8</v>
      </c>
      <c r="DJ411" s="27" t="s">
        <v>7</v>
      </c>
      <c r="DK411" s="27" t="s">
        <v>8</v>
      </c>
      <c r="DL411" s="27" t="s">
        <v>7</v>
      </c>
      <c r="DM411" s="27" t="s">
        <v>8</v>
      </c>
      <c r="DN411" s="27" t="s">
        <v>7</v>
      </c>
      <c r="DO411" s="27" t="s">
        <v>8</v>
      </c>
      <c r="DQ411" s="27" t="s">
        <v>8</v>
      </c>
      <c r="EA411" s="27" t="s">
        <v>8</v>
      </c>
      <c r="EB411" s="27" t="s">
        <v>7</v>
      </c>
    </row>
    <row r="412" spans="1:133" x14ac:dyDescent="0.25">
      <c r="A412" s="7">
        <v>31.99116518883174</v>
      </c>
      <c r="B412"/>
      <c r="C412"/>
      <c r="D412"/>
      <c r="E412"/>
      <c r="CM412" s="27" t="s">
        <v>8</v>
      </c>
      <c r="CN412" s="27" t="s">
        <v>7</v>
      </c>
      <c r="CQ412" s="27" t="s">
        <v>8</v>
      </c>
      <c r="DD412" s="27" t="s">
        <v>7</v>
      </c>
      <c r="DE412" s="27" t="s">
        <v>8</v>
      </c>
      <c r="DG412" s="27" t="s">
        <v>8</v>
      </c>
      <c r="DH412" s="27" t="s">
        <v>7</v>
      </c>
      <c r="DI412" s="27" t="s">
        <v>8</v>
      </c>
      <c r="DJ412" s="27" t="s">
        <v>7</v>
      </c>
      <c r="DK412" s="27" t="s">
        <v>8</v>
      </c>
      <c r="DL412" s="27" t="s">
        <v>7</v>
      </c>
      <c r="DM412" s="27" t="s">
        <v>8</v>
      </c>
      <c r="DN412" s="27" t="s">
        <v>7</v>
      </c>
      <c r="DO412" s="27" t="s">
        <v>8</v>
      </c>
      <c r="DP412" s="27" t="s">
        <v>7</v>
      </c>
      <c r="DQ412" s="27" t="s">
        <v>8</v>
      </c>
      <c r="DR412" s="27" t="s">
        <v>7</v>
      </c>
      <c r="DU412" s="27" t="s">
        <v>8</v>
      </c>
      <c r="DY412" s="27" t="s">
        <v>8</v>
      </c>
      <c r="EA412" s="27" t="s">
        <v>8</v>
      </c>
      <c r="EB412" s="27" t="s">
        <v>7</v>
      </c>
    </row>
    <row r="413" spans="1:133" x14ac:dyDescent="0.25">
      <c r="A413" s="7">
        <v>31.363887440031117</v>
      </c>
      <c r="B413"/>
      <c r="C413"/>
      <c r="D413"/>
      <c r="E413"/>
      <c r="CM413" s="27" t="s">
        <v>8</v>
      </c>
      <c r="CN413" s="27" t="s">
        <v>7</v>
      </c>
      <c r="CQ413" s="27" t="s">
        <v>8</v>
      </c>
      <c r="DD413" s="27" t="s">
        <v>7</v>
      </c>
      <c r="DE413" s="27" t="s">
        <v>8</v>
      </c>
      <c r="DF413" s="27" t="s">
        <v>7</v>
      </c>
      <c r="DG413" s="27" t="s">
        <v>8</v>
      </c>
      <c r="DH413" s="27" t="s">
        <v>7</v>
      </c>
      <c r="DI413" s="27" t="s">
        <v>8</v>
      </c>
      <c r="DJ413" s="27" t="s">
        <v>7</v>
      </c>
      <c r="DK413" s="27" t="s">
        <v>8</v>
      </c>
      <c r="DL413" s="27" t="s">
        <v>7</v>
      </c>
      <c r="DM413" s="27" t="s">
        <v>8</v>
      </c>
      <c r="DN413" s="27" t="s">
        <v>7</v>
      </c>
      <c r="DO413" s="27" t="s">
        <v>8</v>
      </c>
      <c r="DP413" s="27" t="s">
        <v>7</v>
      </c>
      <c r="DQ413" s="27" t="s">
        <v>8</v>
      </c>
      <c r="DR413" s="27" t="s">
        <v>7</v>
      </c>
      <c r="DU413" s="27" t="s">
        <v>8</v>
      </c>
      <c r="DV413" s="27" t="s">
        <v>7</v>
      </c>
      <c r="DY413" s="27" t="s">
        <v>8</v>
      </c>
      <c r="DZ413" s="27" t="s">
        <v>7</v>
      </c>
      <c r="EA413" s="27" t="s">
        <v>8</v>
      </c>
      <c r="EB413" s="27" t="s">
        <v>7</v>
      </c>
    </row>
    <row r="414" spans="1:133" x14ac:dyDescent="0.25">
      <c r="A414" s="7">
        <v>30.748909254932467</v>
      </c>
      <c r="B414"/>
      <c r="C414"/>
      <c r="D414"/>
      <c r="E414"/>
      <c r="CM414" s="27" t="s">
        <v>8</v>
      </c>
      <c r="CN414" s="27" t="s">
        <v>7</v>
      </c>
      <c r="CQ414" s="27" t="s">
        <v>8</v>
      </c>
      <c r="DD414" s="27" t="s">
        <v>7</v>
      </c>
      <c r="DE414" s="27" t="s">
        <v>8</v>
      </c>
      <c r="DF414" s="27" t="s">
        <v>7</v>
      </c>
      <c r="DG414" s="27" t="s">
        <v>8</v>
      </c>
      <c r="DH414" s="27" t="s">
        <v>7</v>
      </c>
      <c r="DJ414" s="27" t="s">
        <v>7</v>
      </c>
      <c r="DL414" s="27" t="s">
        <v>7</v>
      </c>
      <c r="DM414" s="27" t="s">
        <v>8</v>
      </c>
      <c r="DN414" s="27" t="s">
        <v>7</v>
      </c>
      <c r="DO414" s="27" t="s">
        <v>8</v>
      </c>
      <c r="DP414" s="27" t="s">
        <v>7</v>
      </c>
      <c r="DQ414" s="27" t="s">
        <v>8</v>
      </c>
      <c r="DR414" s="27" t="s">
        <v>7</v>
      </c>
      <c r="DU414" s="27" t="s">
        <v>8</v>
      </c>
      <c r="DV414" s="27" t="s">
        <v>7</v>
      </c>
      <c r="DW414" s="27" t="s">
        <v>8</v>
      </c>
      <c r="DY414" s="27" t="s">
        <v>8</v>
      </c>
      <c r="DZ414" s="27" t="s">
        <v>7</v>
      </c>
      <c r="EA414" s="27" t="s">
        <v>8</v>
      </c>
      <c r="EB414" s="27" t="s">
        <v>7</v>
      </c>
    </row>
    <row r="415" spans="1:133" x14ac:dyDescent="0.25">
      <c r="A415" s="7">
        <v>30.145989465620065</v>
      </c>
      <c r="B415"/>
      <c r="C415"/>
      <c r="D415"/>
      <c r="E415"/>
      <c r="CM415" s="27" t="s">
        <v>8</v>
      </c>
      <c r="CN415" s="27" t="s">
        <v>7</v>
      </c>
      <c r="CQ415" s="27" t="s">
        <v>8</v>
      </c>
      <c r="DD415" s="27" t="s">
        <v>7</v>
      </c>
      <c r="DE415" s="27" t="s">
        <v>8</v>
      </c>
      <c r="DF415" s="27" t="s">
        <v>7</v>
      </c>
      <c r="DG415" s="27" t="s">
        <v>8</v>
      </c>
      <c r="DL415" s="27" t="s">
        <v>7</v>
      </c>
      <c r="DN415" s="27" t="s">
        <v>7</v>
      </c>
      <c r="DO415" s="27" t="s">
        <v>8</v>
      </c>
      <c r="DP415" s="27" t="s">
        <v>7</v>
      </c>
      <c r="DQ415" s="27" t="s">
        <v>8</v>
      </c>
      <c r="DR415" s="27" t="s">
        <v>7</v>
      </c>
      <c r="DU415" s="27" t="s">
        <v>8</v>
      </c>
      <c r="DV415" s="27" t="s">
        <v>7</v>
      </c>
      <c r="DW415" s="27" t="s">
        <v>8</v>
      </c>
      <c r="DX415" s="27" t="s">
        <v>7</v>
      </c>
      <c r="DY415" s="27" t="s">
        <v>8</v>
      </c>
      <c r="DZ415" s="27" t="s">
        <v>7</v>
      </c>
      <c r="EA415" s="27" t="s">
        <v>8</v>
      </c>
      <c r="EB415" s="27" t="s">
        <v>7</v>
      </c>
    </row>
    <row r="416" spans="1:133" x14ac:dyDescent="0.25">
      <c r="A416" s="7">
        <v>29.55489163296085</v>
      </c>
      <c r="B416"/>
      <c r="C416"/>
      <c r="D416"/>
      <c r="E416"/>
      <c r="CM416" s="27" t="s">
        <v>8</v>
      </c>
      <c r="CN416" s="27" t="s">
        <v>7</v>
      </c>
      <c r="CO416" s="27" t="s">
        <v>8</v>
      </c>
      <c r="CQ416" s="27" t="s">
        <v>8</v>
      </c>
      <c r="DD416" s="27" t="s">
        <v>7</v>
      </c>
      <c r="DE416" s="27" t="s">
        <v>8</v>
      </c>
      <c r="DF416" s="27" t="s">
        <v>7</v>
      </c>
      <c r="DG416" s="27" t="s">
        <v>8</v>
      </c>
      <c r="DN416" s="27" t="s">
        <v>7</v>
      </c>
      <c r="DO416" s="27" t="s">
        <v>8</v>
      </c>
      <c r="DP416" s="27" t="s">
        <v>7</v>
      </c>
      <c r="DQ416" s="27" t="s">
        <v>8</v>
      </c>
      <c r="DR416" s="27" t="s">
        <v>7</v>
      </c>
      <c r="DU416" s="27" t="s">
        <v>8</v>
      </c>
      <c r="DV416" s="27" t="s">
        <v>7</v>
      </c>
      <c r="DW416" s="27" t="s">
        <v>8</v>
      </c>
      <c r="DX416" s="27" t="s">
        <v>7</v>
      </c>
      <c r="DY416" s="27" t="s">
        <v>8</v>
      </c>
      <c r="DZ416" s="27" t="s">
        <v>7</v>
      </c>
      <c r="EA416" s="27" t="s">
        <v>8</v>
      </c>
      <c r="EB416" s="27" t="s">
        <v>7</v>
      </c>
      <c r="EC416" s="27" t="s">
        <v>8</v>
      </c>
    </row>
    <row r="417" spans="1:136" x14ac:dyDescent="0.25">
      <c r="A417" s="7">
        <v>28.975383953883185</v>
      </c>
      <c r="B417"/>
      <c r="C417"/>
      <c r="D417"/>
      <c r="E417"/>
      <c r="CM417" s="27" t="s">
        <v>8</v>
      </c>
      <c r="CN417" s="27" t="s">
        <v>7</v>
      </c>
      <c r="CO417" s="27" t="s">
        <v>8</v>
      </c>
      <c r="CP417" s="27" t="s">
        <v>7</v>
      </c>
      <c r="CQ417" s="27" t="s">
        <v>8</v>
      </c>
      <c r="DD417" s="27" t="s">
        <v>7</v>
      </c>
      <c r="DE417" s="27" t="s">
        <v>8</v>
      </c>
      <c r="DF417" s="27" t="s">
        <v>7</v>
      </c>
      <c r="DG417" s="27" t="s">
        <v>8</v>
      </c>
      <c r="DN417" s="27" t="s">
        <v>7</v>
      </c>
      <c r="DO417" s="27" t="s">
        <v>8</v>
      </c>
      <c r="DP417" s="27" t="s">
        <v>7</v>
      </c>
      <c r="DQ417" s="27" t="s">
        <v>8</v>
      </c>
      <c r="DR417" s="27" t="s">
        <v>7</v>
      </c>
      <c r="DU417" s="27" t="s">
        <v>8</v>
      </c>
      <c r="DV417" s="27" t="s">
        <v>7</v>
      </c>
      <c r="DW417" s="27" t="s">
        <v>8</v>
      </c>
      <c r="DX417" s="27" t="s">
        <v>7</v>
      </c>
      <c r="DY417" s="27" t="s">
        <v>8</v>
      </c>
      <c r="DZ417" s="27" t="s">
        <v>7</v>
      </c>
      <c r="EA417" s="27" t="s">
        <v>8</v>
      </c>
      <c r="EB417" s="27" t="s">
        <v>7</v>
      </c>
      <c r="EC417" s="27" t="s">
        <v>8</v>
      </c>
      <c r="ED417" s="27" t="s">
        <v>7</v>
      </c>
    </row>
    <row r="418" spans="1:136" x14ac:dyDescent="0.25">
      <c r="A418" s="7">
        <v>28.407239170473709</v>
      </c>
      <c r="B418"/>
      <c r="C418"/>
      <c r="D418"/>
      <c r="E418"/>
      <c r="CM418" s="27" t="s">
        <v>8</v>
      </c>
      <c r="CN418" s="27" t="s">
        <v>7</v>
      </c>
      <c r="CO418" s="27" t="s">
        <v>8</v>
      </c>
      <c r="CP418" s="27" t="s">
        <v>7</v>
      </c>
      <c r="CQ418" s="27" t="s">
        <v>8</v>
      </c>
      <c r="DD418" s="27" t="s">
        <v>7</v>
      </c>
      <c r="DE418" s="27" t="s">
        <v>8</v>
      </c>
      <c r="DF418" s="27" t="s">
        <v>7</v>
      </c>
      <c r="DG418" s="27" t="s">
        <v>8</v>
      </c>
      <c r="DN418" s="27" t="s">
        <v>7</v>
      </c>
      <c r="DP418" s="27" t="s">
        <v>7</v>
      </c>
      <c r="DQ418" s="27" t="s">
        <v>8</v>
      </c>
      <c r="DR418" s="27" t="s">
        <v>7</v>
      </c>
      <c r="DU418" s="27" t="s">
        <v>8</v>
      </c>
      <c r="DV418" s="27" t="s">
        <v>7</v>
      </c>
      <c r="DW418" s="27" t="s">
        <v>8</v>
      </c>
      <c r="DX418" s="27" t="s">
        <v>7</v>
      </c>
      <c r="DY418" s="27" t="s">
        <v>8</v>
      </c>
      <c r="DZ418" s="27" t="s">
        <v>7</v>
      </c>
      <c r="EA418" s="27" t="s">
        <v>8</v>
      </c>
      <c r="EB418" s="27" t="s">
        <v>7</v>
      </c>
      <c r="EC418" s="27" t="s">
        <v>8</v>
      </c>
      <c r="ED418" s="27" t="s">
        <v>7</v>
      </c>
    </row>
    <row r="419" spans="1:136" x14ac:dyDescent="0.25">
      <c r="A419" s="7">
        <v>27.850234480856578</v>
      </c>
      <c r="B419"/>
      <c r="C419"/>
      <c r="D419"/>
      <c r="E419"/>
      <c r="CM419" s="27" t="s">
        <v>8</v>
      </c>
      <c r="CN419" s="27" t="s">
        <v>7</v>
      </c>
      <c r="CO419" s="27" t="s">
        <v>8</v>
      </c>
      <c r="CP419" s="27" t="s">
        <v>7</v>
      </c>
      <c r="CQ419" s="27" t="s">
        <v>8</v>
      </c>
      <c r="DD419" s="27" t="s">
        <v>7</v>
      </c>
      <c r="DE419" s="27" t="s">
        <v>8</v>
      </c>
      <c r="DF419" s="27" t="s">
        <v>7</v>
      </c>
      <c r="DG419" s="27" t="s">
        <v>8</v>
      </c>
      <c r="DP419" s="27" t="s">
        <v>7</v>
      </c>
      <c r="DQ419" s="27" t="s">
        <v>8</v>
      </c>
      <c r="DR419" s="27" t="s">
        <v>7</v>
      </c>
      <c r="DU419" s="27" t="s">
        <v>8</v>
      </c>
      <c r="DV419" s="27" t="s">
        <v>7</v>
      </c>
      <c r="DW419" s="27" t="s">
        <v>8</v>
      </c>
      <c r="DX419" s="27" t="s">
        <v>7</v>
      </c>
      <c r="DY419" s="27" t="s">
        <v>8</v>
      </c>
      <c r="DZ419" s="27" t="s">
        <v>7</v>
      </c>
      <c r="EA419" s="27" t="s">
        <v>8</v>
      </c>
      <c r="EB419" s="27" t="s">
        <v>7</v>
      </c>
      <c r="EC419" s="27" t="s">
        <v>8</v>
      </c>
      <c r="ED419" s="27" t="s">
        <v>7</v>
      </c>
      <c r="EE419" s="27" t="s">
        <v>8</v>
      </c>
    </row>
    <row r="420" spans="1:136" x14ac:dyDescent="0.25">
      <c r="A420" s="7">
        <v>27.304151451820175</v>
      </c>
      <c r="B420"/>
      <c r="C420"/>
      <c r="D420"/>
      <c r="E420"/>
      <c r="CM420" s="27" t="s">
        <v>8</v>
      </c>
      <c r="CN420" s="27" t="s">
        <v>7</v>
      </c>
      <c r="CO420" s="27" t="s">
        <v>8</v>
      </c>
      <c r="CP420" s="27" t="s">
        <v>7</v>
      </c>
      <c r="CQ420" s="27" t="s">
        <v>8</v>
      </c>
      <c r="DD420" s="27" t="s">
        <v>7</v>
      </c>
      <c r="DE420" s="27" t="s">
        <v>8</v>
      </c>
      <c r="DF420" s="27" t="s">
        <v>7</v>
      </c>
      <c r="DG420" s="27" t="s">
        <v>8</v>
      </c>
      <c r="DP420" s="27" t="s">
        <v>7</v>
      </c>
      <c r="DQ420" s="27" t="s">
        <v>8</v>
      </c>
      <c r="DR420" s="27" t="s">
        <v>7</v>
      </c>
      <c r="DU420" s="27" t="s">
        <v>8</v>
      </c>
      <c r="DV420" s="27" t="s">
        <v>7</v>
      </c>
      <c r="DW420" s="27" t="s">
        <v>8</v>
      </c>
      <c r="DX420" s="27" t="s">
        <v>7</v>
      </c>
      <c r="DY420" s="27" t="s">
        <v>8</v>
      </c>
      <c r="DZ420" s="27" t="s">
        <v>7</v>
      </c>
      <c r="EB420" s="27" t="s">
        <v>7</v>
      </c>
      <c r="EC420" s="27" t="s">
        <v>8</v>
      </c>
      <c r="ED420" s="27" t="s">
        <v>7</v>
      </c>
      <c r="EE420" s="27" t="s">
        <v>8</v>
      </c>
      <c r="EF420" s="27" t="s">
        <v>7</v>
      </c>
    </row>
    <row r="421" spans="1:136" x14ac:dyDescent="0.25">
      <c r="A421" s="7">
        <v>26.768775933157034</v>
      </c>
      <c r="B421"/>
      <c r="C421"/>
      <c r="D421"/>
      <c r="E421"/>
      <c r="CM421" s="27" t="s">
        <v>8</v>
      </c>
      <c r="CN421" s="27" t="s">
        <v>7</v>
      </c>
      <c r="CO421" s="27" t="s">
        <v>8</v>
      </c>
      <c r="CP421" s="27" t="s">
        <v>7</v>
      </c>
      <c r="CQ421" s="27" t="s">
        <v>8</v>
      </c>
      <c r="DD421" s="27" t="s">
        <v>7</v>
      </c>
      <c r="DE421" s="27" t="s">
        <v>8</v>
      </c>
      <c r="DF421" s="27" t="s">
        <v>7</v>
      </c>
      <c r="DG421" s="27" t="s">
        <v>8</v>
      </c>
      <c r="DP421" s="27" t="s">
        <v>7</v>
      </c>
      <c r="DQ421" s="27" t="s">
        <v>8</v>
      </c>
      <c r="DR421" s="27" t="s">
        <v>7</v>
      </c>
      <c r="DU421" s="27" t="s">
        <v>8</v>
      </c>
      <c r="DV421" s="27" t="s">
        <v>7</v>
      </c>
      <c r="DW421" s="27" t="s">
        <v>8</v>
      </c>
      <c r="DX421" s="27" t="s">
        <v>7</v>
      </c>
      <c r="DY421" s="27" t="s">
        <v>8</v>
      </c>
      <c r="EB421" s="27" t="s">
        <v>7</v>
      </c>
      <c r="EC421" s="27" t="s">
        <v>8</v>
      </c>
      <c r="ED421" s="27" t="s">
        <v>7</v>
      </c>
      <c r="EE421" s="27" t="s">
        <v>8</v>
      </c>
      <c r="EF421" s="27" t="s">
        <v>7</v>
      </c>
    </row>
    <row r="422" spans="1:136" x14ac:dyDescent="0.25">
      <c r="A422" s="7">
        <v>26.243897973683367</v>
      </c>
      <c r="B422"/>
      <c r="C422"/>
      <c r="D422"/>
      <c r="E422"/>
      <c r="CM422" s="27" t="s">
        <v>8</v>
      </c>
      <c r="CN422" s="27" t="s">
        <v>7</v>
      </c>
      <c r="CO422" s="27" t="s">
        <v>8</v>
      </c>
      <c r="CP422" s="27" t="s">
        <v>7</v>
      </c>
      <c r="DD422" s="27" t="s">
        <v>7</v>
      </c>
      <c r="DE422" s="27" t="s">
        <v>8</v>
      </c>
      <c r="DF422" s="27" t="s">
        <v>7</v>
      </c>
      <c r="DG422" s="27" t="s">
        <v>8</v>
      </c>
      <c r="DP422" s="27" t="s">
        <v>7</v>
      </c>
      <c r="DQ422" s="27" t="s">
        <v>8</v>
      </c>
      <c r="DR422" s="27" t="s">
        <v>7</v>
      </c>
      <c r="DU422" s="27" t="s">
        <v>8</v>
      </c>
      <c r="DV422" s="27" t="s">
        <v>7</v>
      </c>
      <c r="DW422" s="27" t="s">
        <v>8</v>
      </c>
      <c r="DX422" s="27" t="s">
        <v>7</v>
      </c>
      <c r="DY422" s="27" t="s">
        <v>8</v>
      </c>
      <c r="EB422" s="27" t="s">
        <v>7</v>
      </c>
      <c r="EC422" s="27" t="s">
        <v>8</v>
      </c>
      <c r="ED422" s="27" t="s">
        <v>7</v>
      </c>
      <c r="EE422" s="27" t="s">
        <v>8</v>
      </c>
      <c r="EF422" s="27" t="s">
        <v>7</v>
      </c>
    </row>
    <row r="423" spans="1:136" x14ac:dyDescent="0.25">
      <c r="A423" s="7">
        <v>25.729311738905263</v>
      </c>
      <c r="B423"/>
      <c r="C423"/>
      <c r="D423"/>
      <c r="E423"/>
      <c r="CM423" s="27" t="s">
        <v>8</v>
      </c>
      <c r="CN423" s="27" t="s">
        <v>7</v>
      </c>
      <c r="CO423" s="27" t="s">
        <v>8</v>
      </c>
      <c r="DD423" s="27" t="s">
        <v>7</v>
      </c>
      <c r="DF423" s="27" t="s">
        <v>7</v>
      </c>
      <c r="DP423" s="27" t="s">
        <v>7</v>
      </c>
      <c r="DQ423" s="27" t="s">
        <v>8</v>
      </c>
      <c r="DR423" s="27" t="s">
        <v>7</v>
      </c>
      <c r="DU423" s="27" t="s">
        <v>8</v>
      </c>
      <c r="DV423" s="27" t="s">
        <v>7</v>
      </c>
      <c r="DW423" s="27" t="s">
        <v>8</v>
      </c>
      <c r="DX423" s="27" t="s">
        <v>7</v>
      </c>
      <c r="DY423" s="27" t="s">
        <v>8</v>
      </c>
      <c r="EB423" s="27" t="s">
        <v>7</v>
      </c>
      <c r="EC423" s="27" t="s">
        <v>8</v>
      </c>
      <c r="ED423" s="27" t="s">
        <v>7</v>
      </c>
      <c r="EE423" s="27" t="s">
        <v>8</v>
      </c>
      <c r="EF423" s="27" t="s">
        <v>7</v>
      </c>
    </row>
    <row r="424" spans="1:136" x14ac:dyDescent="0.25">
      <c r="A424" s="7">
        <v>25.224815430299277</v>
      </c>
      <c r="B424"/>
      <c r="C424"/>
      <c r="D424"/>
      <c r="E424"/>
      <c r="CM424" s="27" t="s">
        <v>8</v>
      </c>
      <c r="CN424" s="27" t="s">
        <v>7</v>
      </c>
      <c r="CO424" s="27" t="s">
        <v>8</v>
      </c>
      <c r="DP424" s="27" t="s">
        <v>7</v>
      </c>
      <c r="DR424" s="27" t="s">
        <v>7</v>
      </c>
      <c r="DU424" s="27" t="s">
        <v>8</v>
      </c>
      <c r="DV424" s="27" t="s">
        <v>7</v>
      </c>
      <c r="DW424" s="27" t="s">
        <v>8</v>
      </c>
      <c r="DX424" s="27" t="s">
        <v>7</v>
      </c>
      <c r="DY424" s="27" t="s">
        <v>8</v>
      </c>
      <c r="EB424" s="27" t="s">
        <v>7</v>
      </c>
      <c r="EC424" s="27" t="s">
        <v>8</v>
      </c>
      <c r="ED424" s="27" t="s">
        <v>7</v>
      </c>
      <c r="EE424" s="27" t="s">
        <v>8</v>
      </c>
      <c r="EF424" s="27" t="s">
        <v>7</v>
      </c>
    </row>
    <row r="425" spans="1:136" x14ac:dyDescent="0.25">
      <c r="A425" s="7">
        <v>24.73021120617576</v>
      </c>
      <c r="B425"/>
      <c r="C425"/>
      <c r="D425"/>
      <c r="E425"/>
      <c r="CM425" s="27" t="s">
        <v>8</v>
      </c>
      <c r="CN425" s="27" t="s">
        <v>7</v>
      </c>
      <c r="CO425" s="27" t="s">
        <v>8</v>
      </c>
      <c r="DR425" s="27" t="s">
        <v>7</v>
      </c>
      <c r="DU425" s="27" t="s">
        <v>8</v>
      </c>
      <c r="DV425" s="27" t="s">
        <v>7</v>
      </c>
      <c r="DX425" s="27" t="s">
        <v>7</v>
      </c>
      <c r="DY425" s="27" t="s">
        <v>8</v>
      </c>
      <c r="EB425" s="27" t="s">
        <v>7</v>
      </c>
      <c r="EC425" s="27" t="s">
        <v>8</v>
      </c>
      <c r="ED425" s="27" t="s">
        <v>7</v>
      </c>
      <c r="EE425" s="27" t="s">
        <v>8</v>
      </c>
      <c r="EF425" s="27" t="s">
        <v>7</v>
      </c>
    </row>
    <row r="426" spans="1:136" x14ac:dyDescent="0.25">
      <c r="A426" s="7">
        <v>24.24530510409388</v>
      </c>
      <c r="B426"/>
      <c r="C426"/>
      <c r="D426"/>
      <c r="E426"/>
      <c r="CM426" s="27" t="s">
        <v>8</v>
      </c>
      <c r="CN426" s="27" t="s">
        <v>7</v>
      </c>
      <c r="CO426" s="27" t="s">
        <v>8</v>
      </c>
      <c r="DR426" s="27" t="s">
        <v>7</v>
      </c>
      <c r="DU426" s="27" t="s">
        <v>8</v>
      </c>
      <c r="DX426" s="27" t="s">
        <v>7</v>
      </c>
      <c r="DY426" s="27" t="s">
        <v>8</v>
      </c>
      <c r="EB426" s="27" t="s">
        <v>7</v>
      </c>
      <c r="EC426" s="27" t="s">
        <v>8</v>
      </c>
      <c r="ED426" s="27" t="s">
        <v>7</v>
      </c>
      <c r="EE426" s="27" t="s">
        <v>8</v>
      </c>
      <c r="EF426" s="27" t="s">
        <v>7</v>
      </c>
    </row>
    <row r="427" spans="1:136" x14ac:dyDescent="0.25">
      <c r="A427" s="7">
        <v>23.769906964797922</v>
      </c>
      <c r="B427"/>
      <c r="C427"/>
      <c r="D427"/>
      <c r="E427"/>
      <c r="CM427" s="27" t="s">
        <v>8</v>
      </c>
      <c r="CN427" s="27" t="s">
        <v>7</v>
      </c>
      <c r="CO427" s="27" t="s">
        <v>8</v>
      </c>
      <c r="DR427" s="27" t="s">
        <v>7</v>
      </c>
      <c r="DU427" s="27" t="s">
        <v>8</v>
      </c>
      <c r="DX427" s="27" t="s">
        <v>7</v>
      </c>
      <c r="DY427" s="27" t="s">
        <v>8</v>
      </c>
      <c r="EB427" s="27" t="s">
        <v>7</v>
      </c>
      <c r="ED427" s="27" t="s">
        <v>7</v>
      </c>
      <c r="EE427" s="27" t="s">
        <v>8</v>
      </c>
      <c r="EF427" s="27" t="s">
        <v>7</v>
      </c>
    </row>
    <row r="428" spans="1:136" x14ac:dyDescent="0.25">
      <c r="A428" s="7">
        <v>23.303830357645023</v>
      </c>
      <c r="B428"/>
      <c r="C428"/>
      <c r="D428"/>
      <c r="E428"/>
      <c r="CM428" s="27" t="s">
        <v>8</v>
      </c>
      <c r="CN428" s="27" t="s">
        <v>7</v>
      </c>
      <c r="CO428" s="27" t="s">
        <v>8</v>
      </c>
      <c r="DR428" s="27" t="s">
        <v>7</v>
      </c>
      <c r="DU428" s="27" t="s">
        <v>8</v>
      </c>
      <c r="DX428" s="27" t="s">
        <v>7</v>
      </c>
      <c r="ED428" s="27" t="s">
        <v>7</v>
      </c>
      <c r="EE428" s="27" t="s">
        <v>8</v>
      </c>
      <c r="EF428" s="27" t="s">
        <v>7</v>
      </c>
    </row>
    <row r="429" spans="1:136" x14ac:dyDescent="0.25">
      <c r="A429" s="7">
        <v>22.84689250749512</v>
      </c>
      <c r="B429"/>
      <c r="C429"/>
      <c r="D429"/>
      <c r="E429"/>
      <c r="CM429" s="27" t="s">
        <v>8</v>
      </c>
      <c r="CN429" s="27" t="s">
        <v>7</v>
      </c>
      <c r="CO429" s="27" t="s">
        <v>8</v>
      </c>
      <c r="DR429" s="27" t="s">
        <v>7</v>
      </c>
      <c r="DU429" s="27" t="s">
        <v>8</v>
      </c>
      <c r="ED429" s="27" t="s">
        <v>7</v>
      </c>
      <c r="EF429" s="27" t="s">
        <v>7</v>
      </c>
    </row>
    <row r="430" spans="1:136" x14ac:dyDescent="0.25">
      <c r="A430" s="7">
        <v>22.398914223034431</v>
      </c>
      <c r="B430"/>
      <c r="C430"/>
      <c r="D430"/>
      <c r="E430"/>
      <c r="CM430" s="27" t="s">
        <v>8</v>
      </c>
      <c r="CN430" s="27" t="s">
        <v>7</v>
      </c>
      <c r="DR430" s="27" t="s">
        <v>7</v>
      </c>
      <c r="DU430" s="27" t="s">
        <v>8</v>
      </c>
      <c r="EF430" s="27" t="s">
        <v>7</v>
      </c>
    </row>
    <row r="431" spans="1:136" x14ac:dyDescent="0.25">
      <c r="A431" s="7">
        <v>21.959719826504344</v>
      </c>
      <c r="B431"/>
      <c r="C431"/>
      <c r="D431"/>
      <c r="E431"/>
      <c r="CM431" s="27" t="s">
        <v>8</v>
      </c>
      <c r="DR431" s="27" t="s">
        <v>7</v>
      </c>
      <c r="DU431" s="27" t="s">
        <v>8</v>
      </c>
      <c r="EF431" s="27" t="s">
        <v>7</v>
      </c>
    </row>
    <row r="432" spans="1:136" x14ac:dyDescent="0.25">
      <c r="A432" s="7">
        <v>21.52913708480818</v>
      </c>
      <c r="B432"/>
      <c r="C432"/>
      <c r="D432"/>
      <c r="E432"/>
      <c r="CM432" s="27" t="s">
        <v>8</v>
      </c>
      <c r="DR432" s="27" t="s">
        <v>7</v>
      </c>
      <c r="DS432" s="27" t="s">
        <v>8</v>
      </c>
      <c r="DU432" s="27" t="s">
        <v>8</v>
      </c>
      <c r="EF432" s="27" t="s">
        <v>7</v>
      </c>
    </row>
    <row r="433" spans="1:136" x14ac:dyDescent="0.25">
      <c r="A433" s="7">
        <v>21.106997141968804</v>
      </c>
      <c r="B433"/>
      <c r="C433"/>
      <c r="D433"/>
      <c r="E433"/>
      <c r="CM433" s="27" t="s">
        <v>8</v>
      </c>
      <c r="DR433" s="27" t="s">
        <v>7</v>
      </c>
      <c r="DS433" s="27" t="s">
        <v>8</v>
      </c>
      <c r="DT433" s="27" t="s">
        <v>7</v>
      </c>
      <c r="DU433" s="27" t="s">
        <v>8</v>
      </c>
      <c r="EF433" s="27" t="s">
        <v>7</v>
      </c>
    </row>
    <row r="434" spans="1:136" x14ac:dyDescent="0.25">
      <c r="A434" s="7">
        <v>20.693134452910591</v>
      </c>
      <c r="B434"/>
      <c r="C434"/>
      <c r="D434"/>
      <c r="E434"/>
      <c r="CM434" s="27" t="s">
        <v>8</v>
      </c>
      <c r="DR434" s="27" t="s">
        <v>7</v>
      </c>
      <c r="DS434" s="27" t="s">
        <v>8</v>
      </c>
      <c r="DT434" s="27" t="s">
        <v>7</v>
      </c>
      <c r="DU434" s="27" t="s">
        <v>8</v>
      </c>
      <c r="EF434" s="27" t="s">
        <v>7</v>
      </c>
    </row>
    <row r="435" spans="1:136" x14ac:dyDescent="0.25">
      <c r="A435" s="7">
        <v>20.287386718539796</v>
      </c>
      <c r="B435"/>
      <c r="C435"/>
      <c r="D435"/>
      <c r="E435"/>
      <c r="BU435" s="27" t="s">
        <v>8</v>
      </c>
      <c r="CM435" s="27" t="s">
        <v>8</v>
      </c>
      <c r="DR435" s="27" t="s">
        <v>7</v>
      </c>
      <c r="DS435" s="27" t="s">
        <v>8</v>
      </c>
      <c r="DT435" s="27" t="s">
        <v>7</v>
      </c>
      <c r="DU435" s="27" t="s">
        <v>8</v>
      </c>
      <c r="EF435" s="27" t="s">
        <v>7</v>
      </c>
    </row>
    <row r="436" spans="1:136" x14ac:dyDescent="0.25">
      <c r="A436" s="7">
        <v>19.889594822097838</v>
      </c>
      <c r="B436"/>
      <c r="C436"/>
      <c r="D436"/>
      <c r="E436"/>
      <c r="BU436" s="27" t="s">
        <v>8</v>
      </c>
      <c r="BV436" s="27" t="s">
        <v>7</v>
      </c>
      <c r="CM436" s="27" t="s">
        <v>8</v>
      </c>
      <c r="DR436" s="27" t="s">
        <v>7</v>
      </c>
      <c r="DS436" s="27" t="s">
        <v>8</v>
      </c>
      <c r="DT436" s="27" t="s">
        <v>7</v>
      </c>
      <c r="DU436" s="27" t="s">
        <v>8</v>
      </c>
      <c r="EF436" s="27" t="s">
        <v>7</v>
      </c>
    </row>
    <row r="437" spans="1:136" x14ac:dyDescent="0.25">
      <c r="A437" s="7">
        <v>19.499602766762585</v>
      </c>
      <c r="B437"/>
      <c r="C437"/>
      <c r="D437"/>
      <c r="E437" t="s">
        <v>8</v>
      </c>
      <c r="K437" s="27" t="s">
        <v>8</v>
      </c>
      <c r="BU437" s="27" t="s">
        <v>8</v>
      </c>
      <c r="BV437" s="27" t="s">
        <v>7</v>
      </c>
      <c r="CA437" s="27" t="s">
        <v>8</v>
      </c>
      <c r="CM437" s="27" t="s">
        <v>8</v>
      </c>
      <c r="DR437" s="27" t="s">
        <v>7</v>
      </c>
      <c r="DS437" s="27" t="s">
        <v>8</v>
      </c>
      <c r="DT437" s="27" t="s">
        <v>7</v>
      </c>
      <c r="DU437" s="27" t="s">
        <v>8</v>
      </c>
      <c r="EF437" s="27" t="s">
        <v>7</v>
      </c>
    </row>
    <row r="438" spans="1:136" x14ac:dyDescent="0.25">
      <c r="A438" s="7">
        <v>19.117257614473122</v>
      </c>
      <c r="B438"/>
      <c r="C438"/>
      <c r="D438"/>
      <c r="E438" t="s">
        <v>8</v>
      </c>
      <c r="F438" s="27" t="s">
        <v>7</v>
      </c>
      <c r="K438" s="27" t="s">
        <v>8</v>
      </c>
      <c r="L438" s="27" t="s">
        <v>7</v>
      </c>
      <c r="BU438" s="27" t="s">
        <v>8</v>
      </c>
      <c r="BV438" s="27" t="s">
        <v>7</v>
      </c>
      <c r="CA438" s="27" t="s">
        <v>8</v>
      </c>
      <c r="CB438" s="27" t="s">
        <v>7</v>
      </c>
      <c r="CM438" s="27" t="s">
        <v>8</v>
      </c>
      <c r="DR438" s="27" t="s">
        <v>7</v>
      </c>
      <c r="DS438" s="27" t="s">
        <v>8</v>
      </c>
      <c r="DT438" s="27" t="s">
        <v>7</v>
      </c>
      <c r="DU438" s="27" t="s">
        <v>8</v>
      </c>
      <c r="EF438" s="27" t="s">
        <v>7</v>
      </c>
    </row>
    <row r="439" spans="1:136" x14ac:dyDescent="0.25">
      <c r="A439" s="7">
        <v>18.74240942595404</v>
      </c>
      <c r="B439"/>
      <c r="C439"/>
      <c r="D439"/>
      <c r="E439" t="s">
        <v>8</v>
      </c>
      <c r="F439" s="27" t="s">
        <v>7</v>
      </c>
      <c r="K439" s="27" t="s">
        <v>8</v>
      </c>
      <c r="L439" s="27" t="s">
        <v>7</v>
      </c>
      <c r="BU439" s="27" t="s">
        <v>8</v>
      </c>
      <c r="BV439" s="27" t="s">
        <v>7</v>
      </c>
      <c r="CA439" s="27" t="s">
        <v>8</v>
      </c>
      <c r="CB439" s="27" t="s">
        <v>7</v>
      </c>
      <c r="CM439" s="27" t="s">
        <v>8</v>
      </c>
      <c r="DR439" s="27" t="s">
        <v>7</v>
      </c>
      <c r="DS439" s="27" t="s">
        <v>8</v>
      </c>
      <c r="DT439" s="27" t="s">
        <v>7</v>
      </c>
      <c r="DU439" s="27" t="s">
        <v>8</v>
      </c>
      <c r="EF439" s="27" t="s">
        <v>7</v>
      </c>
    </row>
    <row r="440" spans="1:136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K440" s="27" t="s">
        <v>8</v>
      </c>
      <c r="L440" s="27" t="s">
        <v>7</v>
      </c>
      <c r="BU440" s="27" t="s">
        <v>8</v>
      </c>
      <c r="BV440" s="27" t="s">
        <v>7</v>
      </c>
      <c r="CA440" s="27" t="s">
        <v>8</v>
      </c>
      <c r="CB440" s="27" t="s">
        <v>7</v>
      </c>
      <c r="CI440" s="27" t="s">
        <v>8</v>
      </c>
      <c r="CK440" s="27" t="s">
        <v>8</v>
      </c>
      <c r="CM440" s="27" t="s">
        <v>8</v>
      </c>
      <c r="DR440" s="27" t="s">
        <v>7</v>
      </c>
      <c r="DS440" s="27" t="s">
        <v>8</v>
      </c>
      <c r="DT440" s="27" t="s">
        <v>7</v>
      </c>
      <c r="DU440" s="27" t="s">
        <v>8</v>
      </c>
      <c r="EF440" s="27" t="s">
        <v>7</v>
      </c>
    </row>
    <row r="441" spans="1:136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G441" s="27" t="s">
        <v>8</v>
      </c>
      <c r="K441" s="27" t="s">
        <v>8</v>
      </c>
      <c r="L441" s="27" t="s">
        <v>7</v>
      </c>
      <c r="BU441" s="27" t="s">
        <v>8</v>
      </c>
      <c r="BV441" s="27" t="s">
        <v>7</v>
      </c>
      <c r="BY441" s="27" t="s">
        <v>8</v>
      </c>
      <c r="CA441" s="27" t="s">
        <v>8</v>
      </c>
      <c r="CB441" s="27" t="s">
        <v>7</v>
      </c>
      <c r="CI441" s="27" t="s">
        <v>8</v>
      </c>
      <c r="CJ441" s="27" t="s">
        <v>7</v>
      </c>
      <c r="CK441" s="27" t="s">
        <v>8</v>
      </c>
      <c r="CL441" s="27" t="s">
        <v>7</v>
      </c>
      <c r="CM441" s="27" t="s">
        <v>8</v>
      </c>
      <c r="DR441" s="27" t="s">
        <v>7</v>
      </c>
      <c r="DS441" s="27" t="s">
        <v>8</v>
      </c>
      <c r="DT441" s="27" t="s">
        <v>7</v>
      </c>
      <c r="DU441" s="27" t="s">
        <v>8</v>
      </c>
      <c r="EF441" s="27" t="s">
        <v>7</v>
      </c>
    </row>
    <row r="442" spans="1:136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G442" s="27" t="s">
        <v>8</v>
      </c>
      <c r="H442" s="27" t="s">
        <v>7</v>
      </c>
      <c r="K442" s="27" t="s">
        <v>8</v>
      </c>
      <c r="L442" s="27" t="s">
        <v>7</v>
      </c>
      <c r="BU442" s="27" t="s">
        <v>8</v>
      </c>
      <c r="BV442" s="27" t="s">
        <v>7</v>
      </c>
      <c r="BY442" s="27" t="s">
        <v>8</v>
      </c>
      <c r="BZ442" s="27" t="s">
        <v>7</v>
      </c>
      <c r="CA442" s="27" t="s">
        <v>8</v>
      </c>
      <c r="CB442" s="27" t="s">
        <v>7</v>
      </c>
      <c r="CI442" s="27" t="s">
        <v>8</v>
      </c>
      <c r="CJ442" s="27" t="s">
        <v>7</v>
      </c>
      <c r="CK442" s="27" t="s">
        <v>8</v>
      </c>
      <c r="CL442" s="27" t="s">
        <v>7</v>
      </c>
      <c r="CM442" s="27" t="s">
        <v>8</v>
      </c>
      <c r="DR442" s="27" t="s">
        <v>7</v>
      </c>
      <c r="DS442" s="27" t="s">
        <v>8</v>
      </c>
      <c r="DT442" s="27" t="s">
        <v>7</v>
      </c>
      <c r="DU442" s="27" t="s">
        <v>8</v>
      </c>
      <c r="EF442" s="27" t="s">
        <v>7</v>
      </c>
    </row>
    <row r="443" spans="1:136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G443" s="27" t="s">
        <v>8</v>
      </c>
      <c r="H443" s="27" t="s">
        <v>7</v>
      </c>
      <c r="K443" s="27" t="s">
        <v>8</v>
      </c>
      <c r="L443" s="27" t="s">
        <v>7</v>
      </c>
      <c r="BS443" s="27" t="s">
        <v>8</v>
      </c>
      <c r="BU443" s="27" t="s">
        <v>8</v>
      </c>
      <c r="BV443" s="27" t="s">
        <v>7</v>
      </c>
      <c r="BW443" s="27" t="s">
        <v>8</v>
      </c>
      <c r="BY443" s="27" t="s">
        <v>8</v>
      </c>
      <c r="BZ443" s="27" t="s">
        <v>7</v>
      </c>
      <c r="CA443" s="27" t="s">
        <v>8</v>
      </c>
      <c r="CB443" s="27" t="s">
        <v>7</v>
      </c>
      <c r="CI443" s="27" t="s">
        <v>8</v>
      </c>
      <c r="CJ443" s="27" t="s">
        <v>7</v>
      </c>
      <c r="CK443" s="27" t="s">
        <v>8</v>
      </c>
      <c r="CL443" s="27" t="s">
        <v>7</v>
      </c>
      <c r="CM443" s="27" t="s">
        <v>8</v>
      </c>
      <c r="DR443" s="27" t="s">
        <v>7</v>
      </c>
      <c r="DS443" s="27" t="s">
        <v>8</v>
      </c>
      <c r="DT443" s="27" t="s">
        <v>7</v>
      </c>
      <c r="DU443" s="27" t="s">
        <v>8</v>
      </c>
      <c r="EF443" s="27" t="s">
        <v>7</v>
      </c>
    </row>
    <row r="444" spans="1:136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G444" s="27" t="s">
        <v>8</v>
      </c>
      <c r="H444" s="27" t="s">
        <v>7</v>
      </c>
      <c r="K444" s="27" t="s">
        <v>8</v>
      </c>
      <c r="L444" s="27" t="s">
        <v>7</v>
      </c>
      <c r="M444" s="27" t="s">
        <v>8</v>
      </c>
      <c r="BS444" s="27" t="s">
        <v>8</v>
      </c>
      <c r="BT444" s="27" t="s">
        <v>7</v>
      </c>
      <c r="BU444" s="27" t="s">
        <v>8</v>
      </c>
      <c r="BV444" s="27" t="s">
        <v>7</v>
      </c>
      <c r="BW444" s="27" t="s">
        <v>8</v>
      </c>
      <c r="BX444" s="27" t="s">
        <v>7</v>
      </c>
      <c r="BY444" s="27" t="s">
        <v>8</v>
      </c>
      <c r="BZ444" s="27" t="s">
        <v>7</v>
      </c>
      <c r="CA444" s="27" t="s">
        <v>8</v>
      </c>
      <c r="CB444" s="27" t="s">
        <v>7</v>
      </c>
      <c r="CI444" s="27" t="s">
        <v>8</v>
      </c>
      <c r="CJ444" s="27" t="s">
        <v>7</v>
      </c>
      <c r="CK444" s="27" t="s">
        <v>8</v>
      </c>
      <c r="CL444" s="27" t="s">
        <v>7</v>
      </c>
      <c r="CM444" s="27" t="s">
        <v>8</v>
      </c>
      <c r="DR444" s="27" t="s">
        <v>7</v>
      </c>
      <c r="DS444" s="27" t="s">
        <v>8</v>
      </c>
      <c r="DT444" s="27" t="s">
        <v>7</v>
      </c>
      <c r="DU444" s="27" t="s">
        <v>8</v>
      </c>
      <c r="EF444" s="27" t="s">
        <v>7</v>
      </c>
    </row>
    <row r="445" spans="1:136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G445" s="27" t="s">
        <v>8</v>
      </c>
      <c r="H445" s="27" t="s">
        <v>7</v>
      </c>
      <c r="K445" s="27" t="s">
        <v>8</v>
      </c>
      <c r="L445" s="27" t="s">
        <v>7</v>
      </c>
      <c r="M445" s="27" t="s">
        <v>8</v>
      </c>
      <c r="N445" s="27" t="s">
        <v>7</v>
      </c>
      <c r="BS445" s="27" t="s">
        <v>8</v>
      </c>
      <c r="BT445" s="27" t="s">
        <v>7</v>
      </c>
      <c r="BU445" s="27" t="s">
        <v>8</v>
      </c>
      <c r="BV445" s="27" t="s">
        <v>7</v>
      </c>
      <c r="BW445" s="27" t="s">
        <v>8</v>
      </c>
      <c r="BX445" s="27" t="s">
        <v>7</v>
      </c>
      <c r="BY445" s="27" t="s">
        <v>8</v>
      </c>
      <c r="BZ445" s="27" t="s">
        <v>7</v>
      </c>
      <c r="CA445" s="27" t="s">
        <v>8</v>
      </c>
      <c r="CB445" s="27" t="s">
        <v>7</v>
      </c>
      <c r="CI445" s="27" t="s">
        <v>8</v>
      </c>
      <c r="CJ445" s="27" t="s">
        <v>7</v>
      </c>
      <c r="CK445" s="27" t="s">
        <v>8</v>
      </c>
      <c r="CL445" s="27" t="s">
        <v>7</v>
      </c>
      <c r="CM445" s="27" t="s">
        <v>8</v>
      </c>
      <c r="DR445" s="27" t="s">
        <v>7</v>
      </c>
      <c r="DS445" s="27" t="s">
        <v>8</v>
      </c>
      <c r="DT445" s="27" t="s">
        <v>7</v>
      </c>
      <c r="DU445" s="27" t="s">
        <v>8</v>
      </c>
      <c r="EF445" s="27" t="s">
        <v>7</v>
      </c>
    </row>
    <row r="446" spans="1:136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H446" s="27" t="s">
        <v>7</v>
      </c>
      <c r="I446" s="27" t="s">
        <v>8</v>
      </c>
      <c r="K446" s="27" t="s">
        <v>8</v>
      </c>
      <c r="L446" s="27" t="s">
        <v>7</v>
      </c>
      <c r="M446" s="27" t="s">
        <v>8</v>
      </c>
      <c r="N446" s="27" t="s">
        <v>7</v>
      </c>
      <c r="BS446" s="27" t="s">
        <v>8</v>
      </c>
      <c r="BT446" s="27" t="s">
        <v>7</v>
      </c>
      <c r="BU446" s="27" t="s">
        <v>8</v>
      </c>
      <c r="BV446" s="27" t="s">
        <v>7</v>
      </c>
      <c r="BW446" s="27" t="s">
        <v>8</v>
      </c>
      <c r="BX446" s="27" t="s">
        <v>7</v>
      </c>
      <c r="BY446" s="27" t="s">
        <v>8</v>
      </c>
      <c r="BZ446" s="27" t="s">
        <v>7</v>
      </c>
      <c r="CA446" s="27" t="s">
        <v>8</v>
      </c>
      <c r="CB446" s="27" t="s">
        <v>7</v>
      </c>
      <c r="CI446" s="27" t="s">
        <v>8</v>
      </c>
      <c r="CJ446" s="27" t="s">
        <v>7</v>
      </c>
      <c r="CL446" s="27" t="s">
        <v>7</v>
      </c>
      <c r="DR446" s="27" t="s">
        <v>7</v>
      </c>
      <c r="DS446" s="27" t="s">
        <v>8</v>
      </c>
      <c r="DT446" s="27" t="s">
        <v>7</v>
      </c>
      <c r="DU446" s="27" t="s">
        <v>8</v>
      </c>
      <c r="EF446" s="27" t="s">
        <v>7</v>
      </c>
    </row>
    <row r="447" spans="1:136" x14ac:dyDescent="0.25">
      <c r="A447" s="7">
        <v>15.996465977954561</v>
      </c>
      <c r="B447"/>
      <c r="C447"/>
      <c r="D447"/>
      <c r="E447" t="s">
        <v>8</v>
      </c>
      <c r="H447" s="27" t="s">
        <v>7</v>
      </c>
      <c r="I447" s="27" t="s">
        <v>8</v>
      </c>
      <c r="J447" s="27" t="s">
        <v>7</v>
      </c>
      <c r="K447" s="27" t="s">
        <v>8</v>
      </c>
      <c r="L447" s="27" t="s">
        <v>7</v>
      </c>
      <c r="M447" s="27" t="s">
        <v>8</v>
      </c>
      <c r="N447" s="27" t="s">
        <v>7</v>
      </c>
      <c r="BS447" s="27" t="s">
        <v>8</v>
      </c>
      <c r="BT447" s="27" t="s">
        <v>7</v>
      </c>
      <c r="BU447" s="27" t="s">
        <v>8</v>
      </c>
      <c r="BV447" s="27" t="s">
        <v>7</v>
      </c>
      <c r="BW447" s="27" t="s">
        <v>8</v>
      </c>
      <c r="BX447" s="27" t="s">
        <v>7</v>
      </c>
      <c r="BY447" s="27" t="s">
        <v>8</v>
      </c>
      <c r="BZ447" s="27" t="s">
        <v>7</v>
      </c>
      <c r="CA447" s="27" t="s">
        <v>8</v>
      </c>
      <c r="CB447" s="27" t="s">
        <v>7</v>
      </c>
      <c r="CC447" s="27" t="s">
        <v>8</v>
      </c>
      <c r="CI447" s="27" t="s">
        <v>8</v>
      </c>
      <c r="DR447" s="27" t="s">
        <v>7</v>
      </c>
      <c r="DS447" s="27" t="s">
        <v>8</v>
      </c>
      <c r="DT447" s="27" t="s">
        <v>7</v>
      </c>
      <c r="DU447" s="27" t="s">
        <v>8</v>
      </c>
      <c r="EF447" s="27" t="s">
        <v>7</v>
      </c>
    </row>
    <row r="448" spans="1:136" x14ac:dyDescent="0.25">
      <c r="A448" s="7">
        <v>15.682809782308393</v>
      </c>
      <c r="B448"/>
      <c r="C448"/>
      <c r="D448"/>
      <c r="E448" t="s">
        <v>8</v>
      </c>
      <c r="H448" s="27" t="s">
        <v>7</v>
      </c>
      <c r="I448" s="27" t="s">
        <v>8</v>
      </c>
      <c r="J448" s="27" t="s">
        <v>7</v>
      </c>
      <c r="K448" s="27" t="s">
        <v>8</v>
      </c>
      <c r="L448" s="27" t="s">
        <v>7</v>
      </c>
      <c r="M448" s="27" t="s">
        <v>8</v>
      </c>
      <c r="N448" s="27" t="s">
        <v>7</v>
      </c>
      <c r="Q448" s="27" t="s">
        <v>8</v>
      </c>
      <c r="BS448" s="27" t="s">
        <v>8</v>
      </c>
      <c r="BT448" s="27" t="s">
        <v>7</v>
      </c>
      <c r="BV448" s="27" t="s">
        <v>7</v>
      </c>
      <c r="BW448" s="27" t="s">
        <v>8</v>
      </c>
      <c r="BX448" s="27" t="s">
        <v>7</v>
      </c>
      <c r="BY448" s="27" t="s">
        <v>8</v>
      </c>
      <c r="BZ448" s="27" t="s">
        <v>7</v>
      </c>
      <c r="CB448" s="27" t="s">
        <v>7</v>
      </c>
      <c r="CC448" s="27" t="s">
        <v>8</v>
      </c>
      <c r="CD448" s="27" t="s">
        <v>7</v>
      </c>
      <c r="CI448" s="27" t="s">
        <v>8</v>
      </c>
      <c r="DR448" s="27" t="s">
        <v>7</v>
      </c>
      <c r="DS448" s="27" t="s">
        <v>8</v>
      </c>
      <c r="DT448" s="27" t="s">
        <v>7</v>
      </c>
      <c r="DU448" s="27" t="s">
        <v>8</v>
      </c>
      <c r="EF448" s="27" t="s">
        <v>7</v>
      </c>
    </row>
    <row r="449" spans="1:136" x14ac:dyDescent="0.25">
      <c r="A449" s="7">
        <v>15.375303708145482</v>
      </c>
      <c r="B449"/>
      <c r="C449"/>
      <c r="D449"/>
      <c r="E449" t="s">
        <v>8</v>
      </c>
      <c r="H449" s="27" t="s">
        <v>7</v>
      </c>
      <c r="I449" s="27" t="s">
        <v>8</v>
      </c>
      <c r="J449" s="27" t="s">
        <v>7</v>
      </c>
      <c r="K449" s="27" t="s">
        <v>8</v>
      </c>
      <c r="L449" s="27" t="s">
        <v>7</v>
      </c>
      <c r="M449" s="27" t="s">
        <v>8</v>
      </c>
      <c r="N449" s="27" t="s">
        <v>7</v>
      </c>
      <c r="Q449" s="27" t="s">
        <v>8</v>
      </c>
      <c r="R449" s="27" t="s">
        <v>7</v>
      </c>
      <c r="BS449" s="27" t="s">
        <v>8</v>
      </c>
      <c r="BV449" s="27" t="s">
        <v>7</v>
      </c>
      <c r="BW449" s="27" t="s">
        <v>8</v>
      </c>
      <c r="BX449" s="27" t="s">
        <v>7</v>
      </c>
      <c r="BY449" s="27" t="s">
        <v>8</v>
      </c>
      <c r="CB449" s="27" t="s">
        <v>7</v>
      </c>
      <c r="CC449" s="27" t="s">
        <v>8</v>
      </c>
      <c r="CD449" s="27" t="s">
        <v>7</v>
      </c>
      <c r="CI449" s="27" t="s">
        <v>8</v>
      </c>
      <c r="DR449" s="27" t="s">
        <v>7</v>
      </c>
      <c r="DS449" s="27" t="s">
        <v>8</v>
      </c>
      <c r="DT449" s="27" t="s">
        <v>7</v>
      </c>
      <c r="DU449" s="27" t="s">
        <v>8</v>
      </c>
      <c r="EF449" s="27" t="s">
        <v>7</v>
      </c>
    </row>
    <row r="450" spans="1:136" x14ac:dyDescent="0.25">
      <c r="A450" s="7">
        <v>15.073827164848511</v>
      </c>
      <c r="B450"/>
      <c r="C450"/>
      <c r="D450"/>
      <c r="E450" t="s">
        <v>8</v>
      </c>
      <c r="H450" s="27" t="s">
        <v>7</v>
      </c>
      <c r="I450" s="27" t="s">
        <v>8</v>
      </c>
      <c r="J450" s="27" t="s">
        <v>7</v>
      </c>
      <c r="K450" s="27" t="s">
        <v>8</v>
      </c>
      <c r="L450" s="27" t="s">
        <v>7</v>
      </c>
      <c r="M450" s="27" t="s">
        <v>8</v>
      </c>
      <c r="N450" s="27" t="s">
        <v>7</v>
      </c>
      <c r="Q450" s="27" t="s">
        <v>8</v>
      </c>
      <c r="R450" s="27" t="s">
        <v>7</v>
      </c>
      <c r="BS450" s="27" t="s">
        <v>8</v>
      </c>
      <c r="BV450" s="27" t="s">
        <v>7</v>
      </c>
      <c r="BW450" s="27" t="s">
        <v>8</v>
      </c>
      <c r="BX450" s="27" t="s">
        <v>7</v>
      </c>
      <c r="BY450" s="27" t="s">
        <v>8</v>
      </c>
      <c r="CB450" s="27" t="s">
        <v>7</v>
      </c>
      <c r="CC450" s="27" t="s">
        <v>8</v>
      </c>
      <c r="CD450" s="27" t="s">
        <v>7</v>
      </c>
      <c r="CI450" s="27" t="s">
        <v>8</v>
      </c>
      <c r="DR450" s="27" t="s">
        <v>7</v>
      </c>
      <c r="DT450" s="27" t="s">
        <v>7</v>
      </c>
      <c r="DU450" s="27" t="s">
        <v>8</v>
      </c>
      <c r="EF450" s="27" t="s">
        <v>7</v>
      </c>
    </row>
    <row r="451" spans="1:136" x14ac:dyDescent="0.25">
      <c r="A451" s="7">
        <v>14.77826192632207</v>
      </c>
      <c r="B451"/>
      <c r="C451"/>
      <c r="D451"/>
      <c r="E451" t="s">
        <v>8</v>
      </c>
      <c r="H451" s="27" t="s">
        <v>7</v>
      </c>
      <c r="I451" s="27" t="s">
        <v>8</v>
      </c>
      <c r="J451" s="27" t="s">
        <v>7</v>
      </c>
      <c r="K451" s="27" t="s">
        <v>8</v>
      </c>
      <c r="L451" s="27" t="s">
        <v>7</v>
      </c>
      <c r="M451" s="27" t="s">
        <v>8</v>
      </c>
      <c r="N451" s="27" t="s">
        <v>7</v>
      </c>
      <c r="O451" s="27" t="s">
        <v>8</v>
      </c>
      <c r="Q451" s="27" t="s">
        <v>8</v>
      </c>
      <c r="R451" s="27" t="s">
        <v>7</v>
      </c>
      <c r="BM451" s="27" t="s">
        <v>8</v>
      </c>
      <c r="BS451" s="27" t="s">
        <v>8</v>
      </c>
      <c r="BV451" s="27" t="s">
        <v>7</v>
      </c>
      <c r="BW451" s="27" t="s">
        <v>8</v>
      </c>
      <c r="BX451" s="27" t="s">
        <v>7</v>
      </c>
      <c r="BY451" s="27" t="s">
        <v>8</v>
      </c>
      <c r="CB451" s="27" t="s">
        <v>7</v>
      </c>
      <c r="CC451" s="27" t="s">
        <v>8</v>
      </c>
      <c r="CD451" s="27" t="s">
        <v>7</v>
      </c>
      <c r="CG451" s="27" t="s">
        <v>8</v>
      </c>
      <c r="CI451" s="27" t="s">
        <v>8</v>
      </c>
      <c r="DT451" s="27" t="s">
        <v>7</v>
      </c>
      <c r="DU451" s="27" t="s">
        <v>8</v>
      </c>
      <c r="EF451" s="27" t="s">
        <v>7</v>
      </c>
    </row>
    <row r="452" spans="1:136" x14ac:dyDescent="0.25">
      <c r="A452" s="7">
        <v>14.488492084629481</v>
      </c>
      <c r="B452"/>
      <c r="C452"/>
      <c r="D452"/>
      <c r="E452" t="s">
        <v>8</v>
      </c>
      <c r="H452" s="27" t="s">
        <v>7</v>
      </c>
      <c r="J452" s="27" t="s">
        <v>7</v>
      </c>
      <c r="K452" s="27" t="s">
        <v>8</v>
      </c>
      <c r="L452" s="27" t="s">
        <v>7</v>
      </c>
      <c r="N452" s="27" t="s">
        <v>7</v>
      </c>
      <c r="O452" s="27" t="s">
        <v>8</v>
      </c>
      <c r="P452" s="27" t="s">
        <v>7</v>
      </c>
      <c r="Q452" s="27" t="s">
        <v>8</v>
      </c>
      <c r="R452" s="27" t="s">
        <v>7</v>
      </c>
      <c r="BM452" s="27" t="s">
        <v>8</v>
      </c>
      <c r="BN452" s="27" t="s">
        <v>7</v>
      </c>
      <c r="BS452" s="27" t="s">
        <v>8</v>
      </c>
      <c r="BV452" s="27" t="s">
        <v>7</v>
      </c>
      <c r="BW452" s="27" t="s">
        <v>8</v>
      </c>
      <c r="BX452" s="27" t="s">
        <v>7</v>
      </c>
      <c r="BY452" s="27" t="s">
        <v>8</v>
      </c>
      <c r="CB452" s="27" t="s">
        <v>7</v>
      </c>
      <c r="CC452" s="27" t="s">
        <v>8</v>
      </c>
      <c r="CD452" s="27" t="s">
        <v>7</v>
      </c>
      <c r="CG452" s="27" t="s">
        <v>8</v>
      </c>
      <c r="CH452" s="27" t="s">
        <v>7</v>
      </c>
      <c r="CI452" s="27" t="s">
        <v>8</v>
      </c>
      <c r="DT452" s="27" t="s">
        <v>7</v>
      </c>
      <c r="EF452" s="27" t="s">
        <v>7</v>
      </c>
    </row>
    <row r="453" spans="1:136" x14ac:dyDescent="0.25">
      <c r="A453" s="7">
        <v>14.204404004538707</v>
      </c>
      <c r="B453"/>
      <c r="C453"/>
      <c r="D453"/>
      <c r="E453" t="s">
        <v>8</v>
      </c>
      <c r="J453" s="27" t="s">
        <v>7</v>
      </c>
      <c r="N453" s="27" t="s">
        <v>7</v>
      </c>
      <c r="O453" s="27" t="s">
        <v>8</v>
      </c>
      <c r="P453" s="27" t="s">
        <v>7</v>
      </c>
      <c r="Q453" s="27" t="s">
        <v>8</v>
      </c>
      <c r="R453" s="27" t="s">
        <v>7</v>
      </c>
      <c r="BM453" s="27" t="s">
        <v>8</v>
      </c>
      <c r="BN453" s="27" t="s">
        <v>7</v>
      </c>
      <c r="BS453" s="27" t="s">
        <v>8</v>
      </c>
      <c r="BV453" s="27" t="s">
        <v>7</v>
      </c>
      <c r="BW453" s="27" t="s">
        <v>8</v>
      </c>
      <c r="BX453" s="27" t="s">
        <v>7</v>
      </c>
      <c r="CB453" s="27" t="s">
        <v>7</v>
      </c>
      <c r="CC453" s="27" t="s">
        <v>8</v>
      </c>
      <c r="CD453" s="27" t="s">
        <v>7</v>
      </c>
      <c r="CE453" s="27" t="s">
        <v>8</v>
      </c>
      <c r="CG453" s="27" t="s">
        <v>8</v>
      </c>
      <c r="CH453" s="27" t="s">
        <v>7</v>
      </c>
      <c r="CI453" s="27" t="s">
        <v>8</v>
      </c>
      <c r="EF453" s="27" t="s">
        <v>7</v>
      </c>
    </row>
    <row r="454" spans="1:136" x14ac:dyDescent="0.25">
      <c r="A454" s="7">
        <v>13.925886278959517</v>
      </c>
      <c r="B454"/>
      <c r="C454"/>
      <c r="D454"/>
      <c r="E454" t="s">
        <v>8</v>
      </c>
      <c r="N454" s="27" t="s">
        <v>7</v>
      </c>
      <c r="P454" s="27" t="s">
        <v>7</v>
      </c>
      <c r="Q454" s="27" t="s">
        <v>8</v>
      </c>
      <c r="R454" s="27" t="s">
        <v>7</v>
      </c>
      <c r="AI454" s="27" t="s">
        <v>8</v>
      </c>
      <c r="BM454" s="27" t="s">
        <v>8</v>
      </c>
      <c r="BN454" s="27" t="s">
        <v>7</v>
      </c>
      <c r="BS454" s="27" t="s">
        <v>8</v>
      </c>
      <c r="BV454" s="27" t="s">
        <v>7</v>
      </c>
      <c r="BW454" s="27" t="s">
        <v>8</v>
      </c>
      <c r="CB454" s="27" t="s">
        <v>7</v>
      </c>
      <c r="CC454" s="27" t="s">
        <v>8</v>
      </c>
      <c r="CD454" s="27" t="s">
        <v>7</v>
      </c>
      <c r="CE454" s="27" t="s">
        <v>8</v>
      </c>
      <c r="CF454" s="27" t="s">
        <v>7</v>
      </c>
      <c r="CG454" s="27" t="s">
        <v>8</v>
      </c>
      <c r="CH454" s="27" t="s">
        <v>7</v>
      </c>
      <c r="CI454" s="27" t="s">
        <v>8</v>
      </c>
      <c r="EF454" s="27" t="s">
        <v>7</v>
      </c>
    </row>
    <row r="455" spans="1:136" x14ac:dyDescent="0.25">
      <c r="A455" s="7">
        <v>13.652829685254428</v>
      </c>
      <c r="B455"/>
      <c r="C455"/>
      <c r="D455"/>
      <c r="E455" t="s">
        <v>8</v>
      </c>
      <c r="P455" s="27" t="s">
        <v>7</v>
      </c>
      <c r="Q455" s="27" t="s">
        <v>8</v>
      </c>
      <c r="R455" s="27" t="s">
        <v>7</v>
      </c>
      <c r="AI455" s="27" t="s">
        <v>8</v>
      </c>
      <c r="AJ455" s="27" t="s">
        <v>7</v>
      </c>
      <c r="BM455" s="27" t="s">
        <v>8</v>
      </c>
      <c r="BN455" s="27" t="s">
        <v>7</v>
      </c>
      <c r="BS455" s="27" t="s">
        <v>8</v>
      </c>
      <c r="BV455" s="27" t="s">
        <v>7</v>
      </c>
      <c r="BW455" s="27" t="s">
        <v>8</v>
      </c>
      <c r="CB455" s="27" t="s">
        <v>7</v>
      </c>
      <c r="CC455" s="27" t="s">
        <v>8</v>
      </c>
      <c r="CD455" s="27" t="s">
        <v>7</v>
      </c>
      <c r="CE455" s="27" t="s">
        <v>8</v>
      </c>
      <c r="CF455" s="27" t="s">
        <v>7</v>
      </c>
      <c r="CG455" s="27" t="s">
        <v>8</v>
      </c>
      <c r="CH455" s="27" t="s">
        <v>7</v>
      </c>
      <c r="CI455" s="27" t="s">
        <v>8</v>
      </c>
      <c r="EF455" s="27" t="s">
        <v>7</v>
      </c>
    </row>
    <row r="456" spans="1:136" x14ac:dyDescent="0.25">
      <c r="A456" s="7">
        <v>13.385127142406303</v>
      </c>
      <c r="B456"/>
      <c r="C456"/>
      <c r="D456"/>
      <c r="E456" t="s">
        <v>8</v>
      </c>
      <c r="P456" s="27" t="s">
        <v>7</v>
      </c>
      <c r="R456" s="27" t="s">
        <v>7</v>
      </c>
      <c r="AG456" s="27" t="s">
        <v>8</v>
      </c>
      <c r="AI456" s="27" t="s">
        <v>8</v>
      </c>
      <c r="AJ456" s="27" t="s">
        <v>7</v>
      </c>
      <c r="BM456" s="27" t="s">
        <v>8</v>
      </c>
      <c r="BN456" s="27" t="s">
        <v>7</v>
      </c>
      <c r="BS456" s="27" t="s">
        <v>8</v>
      </c>
      <c r="BV456" s="27" t="s">
        <v>7</v>
      </c>
      <c r="CB456" s="27" t="s">
        <v>7</v>
      </c>
      <c r="CC456" s="27" t="s">
        <v>8</v>
      </c>
      <c r="CD456" s="27" t="s">
        <v>7</v>
      </c>
      <c r="CE456" s="27" t="s">
        <v>8</v>
      </c>
      <c r="CF456" s="27" t="s">
        <v>7</v>
      </c>
      <c r="CG456" s="27" t="s">
        <v>8</v>
      </c>
      <c r="CH456" s="27" t="s">
        <v>7</v>
      </c>
      <c r="CI456" s="27" t="s">
        <v>8</v>
      </c>
      <c r="EF456" s="27" t="s">
        <v>7</v>
      </c>
    </row>
    <row r="457" spans="1:136" x14ac:dyDescent="0.25">
      <c r="A457" s="7">
        <v>13.122673669025787</v>
      </c>
      <c r="B457"/>
      <c r="C457"/>
      <c r="D457"/>
      <c r="E457" t="s">
        <v>8</v>
      </c>
      <c r="R457" s="27" t="s">
        <v>7</v>
      </c>
      <c r="AG457" s="27" t="s">
        <v>8</v>
      </c>
      <c r="AH457" s="27" t="s">
        <v>7</v>
      </c>
      <c r="AI457" s="27" t="s">
        <v>8</v>
      </c>
      <c r="AJ457" s="27" t="s">
        <v>7</v>
      </c>
      <c r="BM457" s="27" t="s">
        <v>8</v>
      </c>
      <c r="BN457" s="27" t="s">
        <v>7</v>
      </c>
      <c r="BS457" s="27" t="s">
        <v>8</v>
      </c>
      <c r="CB457" s="27" t="s">
        <v>7</v>
      </c>
      <c r="CC457" s="27" t="s">
        <v>8</v>
      </c>
      <c r="CD457" s="27" t="s">
        <v>7</v>
      </c>
      <c r="CE457" s="27" t="s">
        <v>8</v>
      </c>
      <c r="CF457" s="27" t="s">
        <v>7</v>
      </c>
      <c r="CG457" s="27" t="s">
        <v>8</v>
      </c>
      <c r="CH457" s="27" t="s">
        <v>7</v>
      </c>
      <c r="CI457" s="27" t="s">
        <v>8</v>
      </c>
      <c r="EF457" s="27" t="s">
        <v>7</v>
      </c>
    </row>
    <row r="458" spans="1:136" x14ac:dyDescent="0.25">
      <c r="A458" s="7">
        <v>12.865366342182144</v>
      </c>
      <c r="B458"/>
      <c r="C458"/>
      <c r="D458"/>
      <c r="E458" t="s">
        <v>8</v>
      </c>
      <c r="R458" s="27" t="s">
        <v>7</v>
      </c>
      <c r="AG458" s="27" t="s">
        <v>8</v>
      </c>
      <c r="AH458" s="27" t="s">
        <v>7</v>
      </c>
      <c r="AI458" s="27" t="s">
        <v>8</v>
      </c>
      <c r="AJ458" s="27" t="s">
        <v>7</v>
      </c>
      <c r="BM458" s="27" t="s">
        <v>8</v>
      </c>
      <c r="BN458" s="27" t="s">
        <v>7</v>
      </c>
      <c r="BS458" s="27" t="s">
        <v>8</v>
      </c>
      <c r="CB458" s="27" t="s">
        <v>7</v>
      </c>
      <c r="CC458" s="27" t="s">
        <v>8</v>
      </c>
      <c r="CD458" s="27" t="s">
        <v>7</v>
      </c>
      <c r="CE458" s="27" t="s">
        <v>8</v>
      </c>
      <c r="CF458" s="27" t="s">
        <v>7</v>
      </c>
      <c r="CG458" s="27" t="s">
        <v>8</v>
      </c>
      <c r="CH458" s="27" t="s">
        <v>7</v>
      </c>
      <c r="EF458" s="27" t="s">
        <v>7</v>
      </c>
    </row>
    <row r="459" spans="1:136" x14ac:dyDescent="0.25">
      <c r="A459" s="7">
        <v>12.613104257041318</v>
      </c>
      <c r="B459"/>
      <c r="C459"/>
      <c r="D459"/>
      <c r="E459" t="s">
        <v>8</v>
      </c>
      <c r="R459" s="27" t="s">
        <v>7</v>
      </c>
      <c r="AG459" s="27" t="s">
        <v>8</v>
      </c>
      <c r="AH459" s="27" t="s">
        <v>7</v>
      </c>
      <c r="AI459" s="27" t="s">
        <v>8</v>
      </c>
      <c r="AJ459" s="27" t="s">
        <v>7</v>
      </c>
      <c r="BM459" s="27" t="s">
        <v>8</v>
      </c>
      <c r="BN459" s="27" t="s">
        <v>7</v>
      </c>
      <c r="BS459" s="27" t="s">
        <v>8</v>
      </c>
      <c r="CB459" s="27" t="s">
        <v>7</v>
      </c>
      <c r="CC459" s="27" t="s">
        <v>8</v>
      </c>
      <c r="CD459" s="27" t="s">
        <v>7</v>
      </c>
      <c r="CF459" s="27" t="s">
        <v>7</v>
      </c>
      <c r="CG459" s="27" t="s">
        <v>8</v>
      </c>
      <c r="EF459" s="27" t="s">
        <v>7</v>
      </c>
    </row>
    <row r="460" spans="1:136" x14ac:dyDescent="0.25">
      <c r="A460" s="7">
        <v>12.36578848729541</v>
      </c>
      <c r="B460"/>
      <c r="C460"/>
      <c r="D460"/>
      <c r="E460" t="s">
        <v>8</v>
      </c>
      <c r="R460" s="27" t="s">
        <v>7</v>
      </c>
      <c r="AG460" s="27" t="s">
        <v>8</v>
      </c>
      <c r="AH460" s="27" t="s">
        <v>7</v>
      </c>
      <c r="AI460" s="27" t="s">
        <v>8</v>
      </c>
      <c r="AJ460" s="27" t="s">
        <v>7</v>
      </c>
      <c r="BM460" s="27" t="s">
        <v>8</v>
      </c>
      <c r="BN460" s="27" t="s">
        <v>7</v>
      </c>
      <c r="BQ460" s="27" t="s">
        <v>8</v>
      </c>
      <c r="BS460" s="27" t="s">
        <v>8</v>
      </c>
      <c r="CB460" s="27" t="s">
        <v>7</v>
      </c>
      <c r="CC460" s="27" t="s">
        <v>8</v>
      </c>
      <c r="CF460" s="27" t="s">
        <v>7</v>
      </c>
      <c r="EF460" s="27" t="s">
        <v>7</v>
      </c>
    </row>
    <row r="461" spans="1:136" x14ac:dyDescent="0.25">
      <c r="A461" s="7">
        <v>12.123322046368049</v>
      </c>
      <c r="B461"/>
      <c r="C461"/>
      <c r="D461"/>
      <c r="E461" t="s">
        <v>8</v>
      </c>
      <c r="R461" s="27" t="s">
        <v>7</v>
      </c>
      <c r="AG461" s="27" t="s">
        <v>8</v>
      </c>
      <c r="AH461" s="27" t="s">
        <v>7</v>
      </c>
      <c r="AI461" s="27" t="s">
        <v>8</v>
      </c>
      <c r="AJ461" s="27" t="s">
        <v>7</v>
      </c>
      <c r="BM461" s="27" t="s">
        <v>8</v>
      </c>
      <c r="BN461" s="27" t="s">
        <v>7</v>
      </c>
      <c r="BQ461" s="27" t="s">
        <v>8</v>
      </c>
      <c r="BR461" s="27" t="s">
        <v>7</v>
      </c>
      <c r="BS461" s="27" t="s">
        <v>8</v>
      </c>
      <c r="CB461" s="27" t="s">
        <v>7</v>
      </c>
      <c r="CC461" s="27" t="s">
        <v>8</v>
      </c>
      <c r="EF461" s="27" t="s">
        <v>7</v>
      </c>
    </row>
    <row r="462" spans="1:136" x14ac:dyDescent="0.25">
      <c r="A462" s="7">
        <v>11.88560984938044</v>
      </c>
      <c r="B462"/>
      <c r="C462"/>
      <c r="D462"/>
      <c r="E462" t="s">
        <v>8</v>
      </c>
      <c r="R462" s="27" t="s">
        <v>7</v>
      </c>
      <c r="AG462" s="27" t="s">
        <v>8</v>
      </c>
      <c r="AH462" s="27" t="s">
        <v>7</v>
      </c>
      <c r="AI462" s="27" t="s">
        <v>8</v>
      </c>
      <c r="AJ462" s="27" t="s">
        <v>7</v>
      </c>
      <c r="AK462" s="27" t="s">
        <v>8</v>
      </c>
      <c r="BM462" s="27" t="s">
        <v>8</v>
      </c>
      <c r="BN462" s="27" t="s">
        <v>7</v>
      </c>
      <c r="BQ462" s="27" t="s">
        <v>8</v>
      </c>
      <c r="BR462" s="27" t="s">
        <v>7</v>
      </c>
      <c r="BS462" s="27" t="s">
        <v>8</v>
      </c>
      <c r="CB462" s="27" t="s">
        <v>7</v>
      </c>
      <c r="CC462" s="27" t="s">
        <v>8</v>
      </c>
      <c r="EF462" s="27" t="s">
        <v>7</v>
      </c>
    </row>
    <row r="463" spans="1:136" x14ac:dyDescent="0.25">
      <c r="A463" s="7">
        <v>11.652558675863176</v>
      </c>
      <c r="B463"/>
      <c r="C463"/>
      <c r="D463"/>
      <c r="E463" t="s">
        <v>8</v>
      </c>
      <c r="R463" s="27" t="s">
        <v>7</v>
      </c>
      <c r="AA463" s="27" t="s">
        <v>8</v>
      </c>
      <c r="AG463" s="27" t="s">
        <v>8</v>
      </c>
      <c r="AH463" s="27" t="s">
        <v>7</v>
      </c>
      <c r="AI463" s="27" t="s">
        <v>8</v>
      </c>
      <c r="AJ463" s="27" t="s">
        <v>7</v>
      </c>
      <c r="AK463" s="27" t="s">
        <v>8</v>
      </c>
      <c r="AL463" s="27" t="s">
        <v>7</v>
      </c>
      <c r="BK463" s="27" t="s">
        <v>8</v>
      </c>
      <c r="BM463" s="27" t="s">
        <v>8</v>
      </c>
      <c r="BN463" s="27" t="s">
        <v>7</v>
      </c>
      <c r="BQ463" s="27" t="s">
        <v>8</v>
      </c>
      <c r="BR463" s="27" t="s">
        <v>7</v>
      </c>
      <c r="BS463" s="27" t="s">
        <v>8</v>
      </c>
      <c r="CB463" s="27" t="s">
        <v>7</v>
      </c>
      <c r="CC463" s="27" t="s">
        <v>8</v>
      </c>
      <c r="EF463" s="27" t="s">
        <v>7</v>
      </c>
    </row>
    <row r="464" spans="1:136" x14ac:dyDescent="0.25">
      <c r="A464" s="7">
        <v>11.424077133199193</v>
      </c>
      <c r="B464"/>
      <c r="C464"/>
      <c r="D464"/>
      <c r="E464" t="s">
        <v>8</v>
      </c>
      <c r="R464" s="27" t="s">
        <v>7</v>
      </c>
      <c r="S464" s="27" t="s">
        <v>8</v>
      </c>
      <c r="U464" s="27" t="s">
        <v>8</v>
      </c>
      <c r="AA464" s="27" t="s">
        <v>8</v>
      </c>
      <c r="AB464" s="27" t="s">
        <v>7</v>
      </c>
      <c r="AE464" s="27" t="s">
        <v>8</v>
      </c>
      <c r="AG464" s="27" t="s">
        <v>8</v>
      </c>
      <c r="AH464" s="27" t="s">
        <v>7</v>
      </c>
      <c r="AI464" s="27" t="s">
        <v>8</v>
      </c>
      <c r="AJ464" s="27" t="s">
        <v>7</v>
      </c>
      <c r="AK464" s="27" t="s">
        <v>8</v>
      </c>
      <c r="AL464" s="27" t="s">
        <v>7</v>
      </c>
      <c r="BK464" s="27" t="s">
        <v>8</v>
      </c>
      <c r="BL464" s="27" t="s">
        <v>7</v>
      </c>
      <c r="BM464" s="27" t="s">
        <v>8</v>
      </c>
      <c r="BN464" s="27" t="s">
        <v>7</v>
      </c>
      <c r="BQ464" s="27" t="s">
        <v>8</v>
      </c>
      <c r="BR464" s="27" t="s">
        <v>7</v>
      </c>
      <c r="BS464" s="27" t="s">
        <v>8</v>
      </c>
      <c r="CB464" s="27" t="s">
        <v>7</v>
      </c>
      <c r="EF464" s="27" t="s">
        <v>7</v>
      </c>
    </row>
    <row r="465" spans="1:136" x14ac:dyDescent="0.25">
      <c r="A465" s="7">
        <v>11.200075620783522</v>
      </c>
      <c r="B465"/>
      <c r="C465"/>
      <c r="D465"/>
      <c r="E465" t="s">
        <v>8</v>
      </c>
      <c r="R465" s="27" t="s">
        <v>7</v>
      </c>
      <c r="S465" s="27" t="s">
        <v>8</v>
      </c>
      <c r="T465" s="27" t="s">
        <v>7</v>
      </c>
      <c r="U465" s="27" t="s">
        <v>8</v>
      </c>
      <c r="V465" s="27" t="s">
        <v>7</v>
      </c>
      <c r="AA465" s="27" t="s">
        <v>8</v>
      </c>
      <c r="AB465" s="27" t="s">
        <v>7</v>
      </c>
      <c r="AE465" s="27" t="s">
        <v>8</v>
      </c>
      <c r="AF465" s="27" t="s">
        <v>7</v>
      </c>
      <c r="AG465" s="27" t="s">
        <v>8</v>
      </c>
      <c r="AH465" s="27" t="s">
        <v>7</v>
      </c>
      <c r="AI465" s="27" t="s">
        <v>8</v>
      </c>
      <c r="AJ465" s="27" t="s">
        <v>7</v>
      </c>
      <c r="AK465" s="27" t="s">
        <v>8</v>
      </c>
      <c r="AL465" s="27" t="s">
        <v>7</v>
      </c>
      <c r="BK465" s="27" t="s">
        <v>8</v>
      </c>
      <c r="BL465" s="27" t="s">
        <v>7</v>
      </c>
      <c r="BM465" s="27" t="s">
        <v>8</v>
      </c>
      <c r="BN465" s="27" t="s">
        <v>7</v>
      </c>
      <c r="BQ465" s="27" t="s">
        <v>8</v>
      </c>
      <c r="BR465" s="27" t="s">
        <v>7</v>
      </c>
      <c r="BS465" s="27" t="s">
        <v>8</v>
      </c>
      <c r="EF465" s="27" t="s">
        <v>7</v>
      </c>
    </row>
    <row r="466" spans="1:136" x14ac:dyDescent="0.25">
      <c r="A466" s="7">
        <v>10.980466294885806</v>
      </c>
      <c r="B466"/>
      <c r="C466"/>
      <c r="D466"/>
      <c r="E466" t="s">
        <v>8</v>
      </c>
      <c r="R466" s="27" t="s">
        <v>7</v>
      </c>
      <c r="S466" s="27" t="s">
        <v>8</v>
      </c>
      <c r="T466" s="27" t="s">
        <v>7</v>
      </c>
      <c r="U466" s="27" t="s">
        <v>8</v>
      </c>
      <c r="V466" s="27" t="s">
        <v>7</v>
      </c>
      <c r="AA466" s="27" t="s">
        <v>8</v>
      </c>
      <c r="AB466" s="27" t="s">
        <v>7</v>
      </c>
      <c r="AE466" s="27" t="s">
        <v>8</v>
      </c>
      <c r="AF466" s="27" t="s">
        <v>7</v>
      </c>
      <c r="AG466" s="27" t="s">
        <v>8</v>
      </c>
      <c r="AH466" s="27" t="s">
        <v>7</v>
      </c>
      <c r="AI466" s="27" t="s">
        <v>8</v>
      </c>
      <c r="AJ466" s="27" t="s">
        <v>7</v>
      </c>
      <c r="AK466" s="27" t="s">
        <v>8</v>
      </c>
      <c r="AL466" s="27" t="s">
        <v>7</v>
      </c>
      <c r="AM466" s="27" t="s">
        <v>8</v>
      </c>
      <c r="BK466" s="27" t="s">
        <v>8</v>
      </c>
      <c r="BL466" s="27" t="s">
        <v>7</v>
      </c>
      <c r="BM466" s="27" t="s">
        <v>8</v>
      </c>
      <c r="BN466" s="27" t="s">
        <v>7</v>
      </c>
      <c r="BQ466" s="27" t="s">
        <v>8</v>
      </c>
      <c r="BR466" s="27" t="s">
        <v>7</v>
      </c>
      <c r="EF466" s="27" t="s">
        <v>7</v>
      </c>
    </row>
    <row r="467" spans="1:136" x14ac:dyDescent="0.25">
      <c r="A467" s="7">
        <v>10.765163034201771</v>
      </c>
      <c r="B467"/>
      <c r="C467"/>
      <c r="D467"/>
      <c r="E467" t="s">
        <v>8</v>
      </c>
      <c r="R467" s="27" t="s">
        <v>7</v>
      </c>
      <c r="S467" s="27" t="s">
        <v>8</v>
      </c>
      <c r="T467" s="27" t="s">
        <v>7</v>
      </c>
      <c r="U467" s="27" t="s">
        <v>8</v>
      </c>
      <c r="V467" s="27" t="s">
        <v>7</v>
      </c>
      <c r="AA467" s="27" t="s">
        <v>8</v>
      </c>
      <c r="AB467" s="27" t="s">
        <v>7</v>
      </c>
      <c r="AE467" s="27" t="s">
        <v>8</v>
      </c>
      <c r="AF467" s="27" t="s">
        <v>7</v>
      </c>
      <c r="AG467" s="27" t="s">
        <v>8</v>
      </c>
      <c r="AH467" s="27" t="s">
        <v>7</v>
      </c>
      <c r="AI467" s="27" t="s">
        <v>8</v>
      </c>
      <c r="AJ467" s="27" t="s">
        <v>7</v>
      </c>
      <c r="AK467" s="27" t="s">
        <v>8</v>
      </c>
      <c r="AL467" s="27" t="s">
        <v>7</v>
      </c>
      <c r="AM467" s="27" t="s">
        <v>8</v>
      </c>
      <c r="AN467" s="27" t="s">
        <v>7</v>
      </c>
      <c r="BK467" s="27" t="s">
        <v>8</v>
      </c>
      <c r="BL467" s="27" t="s">
        <v>7</v>
      </c>
      <c r="BM467" s="27" t="s">
        <v>8</v>
      </c>
      <c r="BN467" s="27" t="s">
        <v>7</v>
      </c>
      <c r="BO467" s="27" t="s">
        <v>8</v>
      </c>
      <c r="BQ467" s="27" t="s">
        <v>8</v>
      </c>
      <c r="EF467" s="27" t="s">
        <v>7</v>
      </c>
    </row>
    <row r="468" spans="1:136" x14ac:dyDescent="0.25">
      <c r="A468" s="7">
        <v>10.554081406080169</v>
      </c>
      <c r="B468"/>
      <c r="C468"/>
      <c r="D468"/>
      <c r="E468" t="s">
        <v>8</v>
      </c>
      <c r="R468" s="27" t="s">
        <v>7</v>
      </c>
      <c r="T468" s="27" t="s">
        <v>7</v>
      </c>
      <c r="U468" s="27" t="s">
        <v>8</v>
      </c>
      <c r="V468" s="27" t="s">
        <v>7</v>
      </c>
      <c r="AA468" s="27" t="s">
        <v>8</v>
      </c>
      <c r="AB468" s="27" t="s">
        <v>7</v>
      </c>
      <c r="AE468" s="27" t="s">
        <v>8</v>
      </c>
      <c r="AF468" s="27" t="s">
        <v>7</v>
      </c>
      <c r="AG468" s="27" t="s">
        <v>8</v>
      </c>
      <c r="AH468" s="27" t="s">
        <v>7</v>
      </c>
      <c r="AI468" s="27" t="s">
        <v>8</v>
      </c>
      <c r="AJ468" s="27" t="s">
        <v>7</v>
      </c>
      <c r="AK468" s="27" t="s">
        <v>8</v>
      </c>
      <c r="AL468" s="27" t="s">
        <v>7</v>
      </c>
      <c r="AM468" s="27" t="s">
        <v>8</v>
      </c>
      <c r="AN468" s="27" t="s">
        <v>7</v>
      </c>
      <c r="BK468" s="27" t="s">
        <v>8</v>
      </c>
      <c r="BL468" s="27" t="s">
        <v>7</v>
      </c>
      <c r="BM468" s="27" t="s">
        <v>8</v>
      </c>
      <c r="BN468" s="27" t="s">
        <v>7</v>
      </c>
      <c r="BO468" s="27" t="s">
        <v>8</v>
      </c>
      <c r="BP468" s="27" t="s">
        <v>7</v>
      </c>
      <c r="BQ468" s="27" t="s">
        <v>8</v>
      </c>
      <c r="EF468" s="27" t="s">
        <v>7</v>
      </c>
    </row>
    <row r="469" spans="1:136" x14ac:dyDescent="0.25">
      <c r="A469" s="7">
        <v>10.34713863341193</v>
      </c>
      <c r="B469"/>
      <c r="C469"/>
      <c r="D469"/>
      <c r="E469" t="s">
        <v>8</v>
      </c>
      <c r="T469" s="27" t="s">
        <v>7</v>
      </c>
      <c r="U469" s="27" t="s">
        <v>8</v>
      </c>
      <c r="V469" s="27" t="s">
        <v>7</v>
      </c>
      <c r="AA469" s="27" t="s">
        <v>8</v>
      </c>
      <c r="AB469" s="27" t="s">
        <v>7</v>
      </c>
      <c r="AE469" s="27" t="s">
        <v>8</v>
      </c>
      <c r="AF469" s="27" t="s">
        <v>7</v>
      </c>
      <c r="AG469" s="27" t="s">
        <v>8</v>
      </c>
      <c r="AH469" s="27" t="s">
        <v>7</v>
      </c>
      <c r="AI469" s="27" t="s">
        <v>8</v>
      </c>
      <c r="AJ469" s="27" t="s">
        <v>7</v>
      </c>
      <c r="AL469" s="27" t="s">
        <v>7</v>
      </c>
      <c r="AM469" s="27" t="s">
        <v>8</v>
      </c>
      <c r="AN469" s="27" t="s">
        <v>7</v>
      </c>
      <c r="BK469" s="27" t="s">
        <v>8</v>
      </c>
      <c r="BL469" s="27" t="s">
        <v>7</v>
      </c>
      <c r="BM469" s="27" t="s">
        <v>8</v>
      </c>
      <c r="BN469" s="27" t="s">
        <v>7</v>
      </c>
      <c r="BO469" s="27" t="s">
        <v>8</v>
      </c>
      <c r="BP469" s="27" t="s">
        <v>7</v>
      </c>
      <c r="BQ469" s="27" t="s">
        <v>8</v>
      </c>
      <c r="EF469" s="27" t="s">
        <v>7</v>
      </c>
    </row>
    <row r="470" spans="1:136" x14ac:dyDescent="0.25">
      <c r="A470" s="7">
        <v>10.14425356216856</v>
      </c>
      <c r="B470"/>
      <c r="C470"/>
      <c r="D470"/>
      <c r="E470" t="s">
        <v>8</v>
      </c>
      <c r="T470" s="27" t="s">
        <v>7</v>
      </c>
      <c r="V470" s="27" t="s">
        <v>7</v>
      </c>
      <c r="AA470" s="27" t="s">
        <v>8</v>
      </c>
      <c r="AB470" s="27" t="s">
        <v>7</v>
      </c>
      <c r="AC470" s="27" t="s">
        <v>8</v>
      </c>
      <c r="AE470" s="27" t="s">
        <v>8</v>
      </c>
      <c r="AF470" s="27" t="s">
        <v>7</v>
      </c>
      <c r="AH470" s="27" t="s">
        <v>7</v>
      </c>
      <c r="AI470" s="27" t="s">
        <v>8</v>
      </c>
      <c r="AL470" s="27" t="s">
        <v>7</v>
      </c>
      <c r="AM470" s="27" t="s">
        <v>8</v>
      </c>
      <c r="AN470" s="27" t="s">
        <v>7</v>
      </c>
      <c r="BK470" s="27" t="s">
        <v>8</v>
      </c>
      <c r="BL470" s="27" t="s">
        <v>7</v>
      </c>
      <c r="BM470" s="27" t="s">
        <v>8</v>
      </c>
      <c r="BN470" s="27" t="s">
        <v>7</v>
      </c>
      <c r="BO470" s="27" t="s">
        <v>8</v>
      </c>
      <c r="BP470" s="27" t="s">
        <v>7</v>
      </c>
      <c r="BQ470" s="27" t="s">
        <v>8</v>
      </c>
      <c r="EF470" s="27" t="s">
        <v>7</v>
      </c>
    </row>
    <row r="471" spans="1:136" x14ac:dyDescent="0.25">
      <c r="A471" s="7">
        <v>9.9453466295770188</v>
      </c>
      <c r="B471"/>
      <c r="C471"/>
      <c r="D471"/>
      <c r="E471" t="s">
        <v>8</v>
      </c>
      <c r="V471" s="27" t="s">
        <v>7</v>
      </c>
      <c r="AA471" s="27" t="s">
        <v>8</v>
      </c>
      <c r="AB471" s="27" t="s">
        <v>7</v>
      </c>
      <c r="AC471" s="27" t="s">
        <v>8</v>
      </c>
      <c r="AD471" s="27" t="s">
        <v>7</v>
      </c>
      <c r="AE471" s="27" t="s">
        <v>8</v>
      </c>
      <c r="AH471" s="27" t="s">
        <v>7</v>
      </c>
      <c r="AI471" s="27" t="s">
        <v>8</v>
      </c>
      <c r="AL471" s="27" t="s">
        <v>7</v>
      </c>
      <c r="AM471" s="27" t="s">
        <v>8</v>
      </c>
      <c r="AN471" s="27" t="s">
        <v>7</v>
      </c>
      <c r="BK471" s="27" t="s">
        <v>8</v>
      </c>
      <c r="BL471" s="27" t="s">
        <v>7</v>
      </c>
      <c r="BM471" s="27" t="s">
        <v>8</v>
      </c>
      <c r="BN471" s="27" t="s">
        <v>7</v>
      </c>
      <c r="BO471" s="27" t="s">
        <v>8</v>
      </c>
      <c r="BP471" s="27" t="s">
        <v>7</v>
      </c>
      <c r="BQ471" s="27" t="s">
        <v>8</v>
      </c>
      <c r="EF471" s="27" t="s">
        <v>7</v>
      </c>
    </row>
    <row r="472" spans="1:136" x14ac:dyDescent="0.25">
      <c r="A472" s="7">
        <v>9.7503398329186464</v>
      </c>
      <c r="B472"/>
      <c r="C472"/>
      <c r="D472"/>
      <c r="E472" t="s">
        <v>8</v>
      </c>
      <c r="V472" s="27" t="s">
        <v>7</v>
      </c>
      <c r="AA472" s="27" t="s">
        <v>8</v>
      </c>
      <c r="AB472" s="27" t="s">
        <v>7</v>
      </c>
      <c r="AC472" s="27" t="s">
        <v>8</v>
      </c>
      <c r="AD472" s="27" t="s">
        <v>7</v>
      </c>
      <c r="AE472" s="27" t="s">
        <v>8</v>
      </c>
      <c r="AH472" s="27" t="s">
        <v>7</v>
      </c>
      <c r="AI472" s="27" t="s">
        <v>8</v>
      </c>
      <c r="AL472" s="27" t="s">
        <v>7</v>
      </c>
      <c r="AM472" s="27" t="s">
        <v>8</v>
      </c>
      <c r="AN472" s="27" t="s">
        <v>7</v>
      </c>
      <c r="AS472" s="27" t="s">
        <v>8</v>
      </c>
      <c r="BK472" s="27" t="s">
        <v>8</v>
      </c>
      <c r="BL472" s="27" t="s">
        <v>7</v>
      </c>
      <c r="BM472" s="27" t="s">
        <v>8</v>
      </c>
      <c r="BN472" s="27" t="s">
        <v>7</v>
      </c>
      <c r="BO472" s="27" t="s">
        <v>8</v>
      </c>
      <c r="BP472" s="27" t="s">
        <v>7</v>
      </c>
      <c r="BQ472" s="27" t="s">
        <v>8</v>
      </c>
      <c r="EF472" s="27" t="s">
        <v>7</v>
      </c>
    </row>
    <row r="473" spans="1:136" x14ac:dyDescent="0.25">
      <c r="A473" s="7">
        <v>9.5591566989398498</v>
      </c>
      <c r="B473"/>
      <c r="C473"/>
      <c r="D473"/>
      <c r="E473" t="s">
        <v>8</v>
      </c>
      <c r="V473" s="27" t="s">
        <v>7</v>
      </c>
      <c r="AA473" s="27" t="s">
        <v>8</v>
      </c>
      <c r="AB473" s="27" t="s">
        <v>7</v>
      </c>
      <c r="AC473" s="27" t="s">
        <v>8</v>
      </c>
      <c r="AD473" s="27" t="s">
        <v>7</v>
      </c>
      <c r="AE473" s="27" t="s">
        <v>8</v>
      </c>
      <c r="AH473" s="27" t="s">
        <v>7</v>
      </c>
      <c r="AI473" s="27" t="s">
        <v>8</v>
      </c>
      <c r="AL473" s="27" t="s">
        <v>7</v>
      </c>
      <c r="AN473" s="27" t="s">
        <v>7</v>
      </c>
      <c r="AO473" s="27" t="s">
        <v>8</v>
      </c>
      <c r="AQ473" s="27" t="s">
        <v>8</v>
      </c>
      <c r="AS473" s="27" t="s">
        <v>8</v>
      </c>
      <c r="AT473" s="27" t="s">
        <v>7</v>
      </c>
      <c r="BK473" s="27" t="s">
        <v>8</v>
      </c>
      <c r="BL473" s="27" t="s">
        <v>7</v>
      </c>
      <c r="BM473" s="27" t="s">
        <v>8</v>
      </c>
      <c r="BN473" s="27" t="s">
        <v>7</v>
      </c>
      <c r="BO473" s="27" t="s">
        <v>8</v>
      </c>
      <c r="BP473" s="27" t="s">
        <v>7</v>
      </c>
      <c r="EF473" s="27" t="s">
        <v>7</v>
      </c>
    </row>
    <row r="474" spans="1:136" x14ac:dyDescent="0.25">
      <c r="A474" s="7">
        <v>9.3717222538625968</v>
      </c>
      <c r="B474"/>
      <c r="C474"/>
      <c r="D474"/>
      <c r="E474" t="s">
        <v>8</v>
      </c>
      <c r="V474" s="27" t="s">
        <v>7</v>
      </c>
      <c r="AA474" s="27" t="s">
        <v>8</v>
      </c>
      <c r="AB474" s="27" t="s">
        <v>7</v>
      </c>
      <c r="AC474" s="27" t="s">
        <v>8</v>
      </c>
      <c r="AD474" s="27" t="s">
        <v>7</v>
      </c>
      <c r="AE474" s="27" t="s">
        <v>8</v>
      </c>
      <c r="AH474" s="27" t="s">
        <v>7</v>
      </c>
      <c r="AI474" s="27" t="s">
        <v>8</v>
      </c>
      <c r="AN474" s="27" t="s">
        <v>7</v>
      </c>
      <c r="AO474" s="27" t="s">
        <v>8</v>
      </c>
      <c r="AP474" s="27" t="s">
        <v>7</v>
      </c>
      <c r="AQ474" s="27" t="s">
        <v>8</v>
      </c>
      <c r="AR474" s="27" t="s">
        <v>7</v>
      </c>
      <c r="AS474" s="27" t="s">
        <v>8</v>
      </c>
      <c r="AT474" s="27" t="s">
        <v>7</v>
      </c>
      <c r="BI474" s="27" t="s">
        <v>8</v>
      </c>
      <c r="BK474" s="27" t="s">
        <v>8</v>
      </c>
      <c r="BL474" s="27" t="s">
        <v>7</v>
      </c>
      <c r="BM474" s="27" t="s">
        <v>8</v>
      </c>
      <c r="BN474" s="27" t="s">
        <v>7</v>
      </c>
      <c r="BO474" s="27" t="s">
        <v>8</v>
      </c>
      <c r="EF474" s="27" t="s">
        <v>7</v>
      </c>
    </row>
    <row r="475" spans="1:136" x14ac:dyDescent="0.25">
      <c r="A475" s="7">
        <v>9.1879629939829375</v>
      </c>
      <c r="B475"/>
      <c r="C475"/>
      <c r="D475"/>
      <c r="E475" t="s">
        <v>8</v>
      </c>
      <c r="V475" s="27" t="s">
        <v>7</v>
      </c>
      <c r="AA475" s="27" t="s">
        <v>8</v>
      </c>
      <c r="AB475" s="27" t="s">
        <v>7</v>
      </c>
      <c r="AD475" s="27" t="s">
        <v>7</v>
      </c>
      <c r="AE475" s="27" t="s">
        <v>8</v>
      </c>
      <c r="AH475" s="27" t="s">
        <v>7</v>
      </c>
      <c r="AI475" s="27" t="s">
        <v>8</v>
      </c>
      <c r="AN475" s="27" t="s">
        <v>7</v>
      </c>
      <c r="AO475" s="27" t="s">
        <v>8</v>
      </c>
      <c r="AP475" s="27" t="s">
        <v>7</v>
      </c>
      <c r="AQ475" s="27" t="s">
        <v>8</v>
      </c>
      <c r="AR475" s="27" t="s">
        <v>7</v>
      </c>
      <c r="AS475" s="27" t="s">
        <v>8</v>
      </c>
      <c r="AT475" s="27" t="s">
        <v>7</v>
      </c>
      <c r="BI475" s="27" t="s">
        <v>8</v>
      </c>
      <c r="BJ475" s="27" t="s">
        <v>7</v>
      </c>
      <c r="BK475" s="27" t="s">
        <v>8</v>
      </c>
      <c r="BL475" s="27" t="s">
        <v>7</v>
      </c>
      <c r="BM475" s="27" t="s">
        <v>8</v>
      </c>
      <c r="BN475" s="27" t="s">
        <v>7</v>
      </c>
      <c r="EF475" s="27" t="s">
        <v>7</v>
      </c>
    </row>
    <row r="476" spans="1:136" x14ac:dyDescent="0.25">
      <c r="A476" s="7">
        <v>9.0078068568460168</v>
      </c>
      <c r="B476"/>
      <c r="C476"/>
      <c r="D476"/>
      <c r="E476" t="s">
        <v>8</v>
      </c>
      <c r="V476" s="27" t="s">
        <v>7</v>
      </c>
      <c r="W476" s="27" t="s">
        <v>8</v>
      </c>
      <c r="AA476" s="27" t="s">
        <v>8</v>
      </c>
      <c r="AD476" s="27" t="s">
        <v>7</v>
      </c>
      <c r="AH476" s="27" t="s">
        <v>7</v>
      </c>
      <c r="AI476" s="27" t="s">
        <v>8</v>
      </c>
      <c r="AN476" s="27" t="s">
        <v>7</v>
      </c>
      <c r="AO476" s="27" t="s">
        <v>8</v>
      </c>
      <c r="AP476" s="27" t="s">
        <v>7</v>
      </c>
      <c r="AQ476" s="27" t="s">
        <v>8</v>
      </c>
      <c r="AR476" s="27" t="s">
        <v>7</v>
      </c>
      <c r="AT476" s="27" t="s">
        <v>7</v>
      </c>
      <c r="BI476" s="27" t="s">
        <v>8</v>
      </c>
      <c r="BJ476" s="27" t="s">
        <v>7</v>
      </c>
      <c r="BK476" s="27" t="s">
        <v>8</v>
      </c>
      <c r="BL476" s="27" t="s">
        <v>7</v>
      </c>
      <c r="BM476" s="27" t="s">
        <v>8</v>
      </c>
      <c r="EF476" s="27" t="s">
        <v>7</v>
      </c>
    </row>
    <row r="477" spans="1:136" x14ac:dyDescent="0.25">
      <c r="A477" s="7">
        <v>8.8311831929862912</v>
      </c>
      <c r="B477"/>
      <c r="C477"/>
      <c r="D477"/>
      <c r="E477" t="s">
        <v>8</v>
      </c>
      <c r="V477" s="27" t="s">
        <v>7</v>
      </c>
      <c r="W477" s="27" t="s">
        <v>8</v>
      </c>
      <c r="X477" s="27" t="s">
        <v>7</v>
      </c>
      <c r="AA477" s="27" t="s">
        <v>8</v>
      </c>
      <c r="AH477" s="27" t="s">
        <v>7</v>
      </c>
      <c r="AI477" s="27" t="s">
        <v>8</v>
      </c>
      <c r="AN477" s="27" t="s">
        <v>7</v>
      </c>
      <c r="AP477" s="27" t="s">
        <v>7</v>
      </c>
      <c r="AT477" s="27" t="s">
        <v>7</v>
      </c>
      <c r="BI477" s="27" t="s">
        <v>8</v>
      </c>
      <c r="BJ477" s="27" t="s">
        <v>7</v>
      </c>
      <c r="BK477" s="27" t="s">
        <v>8</v>
      </c>
      <c r="BL477" s="27" t="s">
        <v>7</v>
      </c>
      <c r="BM477" s="27" t="s">
        <v>8</v>
      </c>
      <c r="EF477" s="27" t="s">
        <v>7</v>
      </c>
    </row>
    <row r="478" spans="1:136" x14ac:dyDescent="0.25">
      <c r="A478" s="7">
        <v>8.6580227382218542</v>
      </c>
      <c r="B478"/>
      <c r="C478"/>
      <c r="D478"/>
      <c r="E478" t="s">
        <v>8</v>
      </c>
      <c r="V478" s="27" t="s">
        <v>7</v>
      </c>
      <c r="W478" s="27" t="s">
        <v>8</v>
      </c>
      <c r="X478" s="27" t="s">
        <v>7</v>
      </c>
      <c r="AA478" s="27" t="s">
        <v>8</v>
      </c>
      <c r="AH478" s="27" t="s">
        <v>7</v>
      </c>
      <c r="AT478" s="27" t="s">
        <v>7</v>
      </c>
      <c r="BI478" s="27" t="s">
        <v>8</v>
      </c>
      <c r="BJ478" s="27" t="s">
        <v>7</v>
      </c>
      <c r="BK478" s="27" t="s">
        <v>8</v>
      </c>
      <c r="BL478" s="27" t="s">
        <v>7</v>
      </c>
      <c r="BM478" s="27" t="s">
        <v>8</v>
      </c>
      <c r="EF478" s="27" t="s">
        <v>7</v>
      </c>
    </row>
    <row r="479" spans="1:136" x14ac:dyDescent="0.25">
      <c r="A479" s="7">
        <v>8.4882575864920131</v>
      </c>
      <c r="B479"/>
      <c r="C479"/>
      <c r="D479"/>
      <c r="E479" t="s">
        <v>8</v>
      </c>
      <c r="V479" s="27" t="s">
        <v>7</v>
      </c>
      <c r="W479" s="27" t="s">
        <v>8</v>
      </c>
      <c r="X479" s="27" t="s">
        <v>7</v>
      </c>
      <c r="AA479" s="27" t="s">
        <v>8</v>
      </c>
      <c r="AT479" s="27" t="s">
        <v>7</v>
      </c>
      <c r="BI479" s="27" t="s">
        <v>8</v>
      </c>
      <c r="BJ479" s="27" t="s">
        <v>7</v>
      </c>
      <c r="BK479" s="27" t="s">
        <v>8</v>
      </c>
      <c r="BL479" s="27" t="s">
        <v>7</v>
      </c>
      <c r="EF479" s="27" t="s">
        <v>7</v>
      </c>
    </row>
    <row r="480" spans="1:136" x14ac:dyDescent="0.25">
      <c r="A480" s="7">
        <v>8.3218211632274635</v>
      </c>
      <c r="B480"/>
      <c r="C480"/>
      <c r="D480"/>
      <c r="E480" t="s">
        <v>8</v>
      </c>
      <c r="V480" s="27" t="s">
        <v>7</v>
      </c>
      <c r="W480" s="27" t="s">
        <v>8</v>
      </c>
      <c r="X480" s="27" t="s">
        <v>7</v>
      </c>
      <c r="Y480" s="27" t="s">
        <v>8</v>
      </c>
      <c r="AA480" s="27" t="s">
        <v>8</v>
      </c>
      <c r="AT480" s="27" t="s">
        <v>7</v>
      </c>
      <c r="BI480" s="27" t="s">
        <v>8</v>
      </c>
      <c r="BJ480" s="27" t="s">
        <v>7</v>
      </c>
      <c r="BK480" s="27" t="s">
        <v>8</v>
      </c>
      <c r="EF480" s="27" t="s">
        <v>7</v>
      </c>
    </row>
    <row r="481" spans="1:136" x14ac:dyDescent="0.25">
      <c r="A481" s="7">
        <v>8.1586481992426112</v>
      </c>
      <c r="B481"/>
      <c r="C481"/>
      <c r="D481"/>
      <c r="E481" t="s">
        <v>8</v>
      </c>
      <c r="V481" s="27" t="s">
        <v>7</v>
      </c>
      <c r="W481" s="27" t="s">
        <v>8</v>
      </c>
      <c r="X481" s="27" t="s">
        <v>7</v>
      </c>
      <c r="Y481" s="27" t="s">
        <v>8</v>
      </c>
      <c r="Z481" s="27" t="s">
        <v>7</v>
      </c>
      <c r="AA481" s="27" t="s">
        <v>8</v>
      </c>
      <c r="AT481" s="27" t="s">
        <v>7</v>
      </c>
      <c r="BE481" s="27" t="s">
        <v>8</v>
      </c>
      <c r="BI481" s="27" t="s">
        <v>8</v>
      </c>
      <c r="BJ481" s="27" t="s">
        <v>7</v>
      </c>
      <c r="BK481" s="27" t="s">
        <v>8</v>
      </c>
      <c r="EF481" s="27" t="s">
        <v>7</v>
      </c>
    </row>
    <row r="482" spans="1:136" x14ac:dyDescent="0.25">
      <c r="A482" s="7">
        <v>7.9986747051398144</v>
      </c>
      <c r="B482"/>
      <c r="C482"/>
      <c r="D482"/>
      <c r="E482" t="s">
        <v>8</v>
      </c>
      <c r="V482" s="27" t="s">
        <v>7</v>
      </c>
      <c r="W482" s="27" t="s">
        <v>8</v>
      </c>
      <c r="X482" s="27" t="s">
        <v>7</v>
      </c>
      <c r="Y482" s="27" t="s">
        <v>8</v>
      </c>
      <c r="Z482" s="27" t="s">
        <v>7</v>
      </c>
      <c r="AA482" s="27" t="s">
        <v>8</v>
      </c>
      <c r="AT482" s="27" t="s">
        <v>7</v>
      </c>
      <c r="BE482" s="27" t="s">
        <v>8</v>
      </c>
      <c r="BF482" s="27" t="s">
        <v>7</v>
      </c>
      <c r="BI482" s="27" t="s">
        <v>8</v>
      </c>
      <c r="BJ482" s="27" t="s">
        <v>7</v>
      </c>
      <c r="BK482" s="27" t="s">
        <v>8</v>
      </c>
      <c r="EF482" s="27" t="s">
        <v>7</v>
      </c>
    </row>
    <row r="483" spans="1:136" x14ac:dyDescent="0.25">
      <c r="A483" s="7">
        <v>7.8418379462155041</v>
      </c>
      <c r="B483"/>
      <c r="C483"/>
      <c r="D483"/>
      <c r="E483" t="s">
        <v>8</v>
      </c>
      <c r="V483" s="27" t="s">
        <v>7</v>
      </c>
      <c r="W483" s="27" t="s">
        <v>8</v>
      </c>
      <c r="X483" s="27" t="s">
        <v>7</v>
      </c>
      <c r="Z483" s="27" t="s">
        <v>7</v>
      </c>
      <c r="AA483" s="27" t="s">
        <v>8</v>
      </c>
      <c r="AT483" s="27" t="s">
        <v>7</v>
      </c>
      <c r="BE483" s="27" t="s">
        <v>8</v>
      </c>
      <c r="BF483" s="27" t="s">
        <v>7</v>
      </c>
      <c r="BI483" s="27" t="s">
        <v>8</v>
      </c>
      <c r="BJ483" s="27" t="s">
        <v>7</v>
      </c>
      <c r="BK483" s="27" t="s">
        <v>8</v>
      </c>
      <c r="EF483" s="27" t="s">
        <v>7</v>
      </c>
    </row>
    <row r="484" spans="1:136" x14ac:dyDescent="0.25">
      <c r="A484" s="7">
        <v>7.688076417858337</v>
      </c>
      <c r="B484"/>
      <c r="C484"/>
      <c r="D484"/>
      <c r="E484" t="s">
        <v>8</v>
      </c>
      <c r="V484" s="27" t="s">
        <v>7</v>
      </c>
      <c r="W484" s="27" t="s">
        <v>8</v>
      </c>
      <c r="Z484" s="27" t="s">
        <v>7</v>
      </c>
      <c r="AA484" s="27" t="s">
        <v>8</v>
      </c>
      <c r="AT484" s="27" t="s">
        <v>7</v>
      </c>
      <c r="BE484" s="27" t="s">
        <v>8</v>
      </c>
      <c r="BF484" s="27" t="s">
        <v>7</v>
      </c>
      <c r="BG484" s="27" t="s">
        <v>8</v>
      </c>
      <c r="BI484" s="27" t="s">
        <v>8</v>
      </c>
      <c r="BJ484" s="27" t="s">
        <v>7</v>
      </c>
      <c r="BK484" s="27" t="s">
        <v>8</v>
      </c>
      <c r="EF484" s="27" t="s">
        <v>7</v>
      </c>
    </row>
    <row r="485" spans="1:136" x14ac:dyDescent="0.25">
      <c r="A485" s="7">
        <v>7.5373298214297417</v>
      </c>
      <c r="B485"/>
      <c r="C485"/>
      <c r="D485"/>
      <c r="E485" t="s">
        <v>8</v>
      </c>
      <c r="V485" s="27" t="s">
        <v>7</v>
      </c>
      <c r="W485" s="27" t="s">
        <v>8</v>
      </c>
      <c r="Z485" s="27" t="s">
        <v>7</v>
      </c>
      <c r="AT485" s="27" t="s">
        <v>7</v>
      </c>
      <c r="BC485" s="27" t="s">
        <v>8</v>
      </c>
      <c r="BE485" s="27" t="s">
        <v>8</v>
      </c>
      <c r="BF485" s="27" t="s">
        <v>7</v>
      </c>
      <c r="BG485" s="27" t="s">
        <v>8</v>
      </c>
      <c r="BH485" s="27" t="s">
        <v>7</v>
      </c>
      <c r="BI485" s="27" t="s">
        <v>8</v>
      </c>
      <c r="BJ485" s="27" t="s">
        <v>7</v>
      </c>
      <c r="BK485" s="27" t="s">
        <v>8</v>
      </c>
      <c r="EF485" s="27" t="s">
        <v>7</v>
      </c>
    </row>
    <row r="486" spans="1:136" x14ac:dyDescent="0.25">
      <c r="A486" s="7">
        <v>7.389539040617394</v>
      </c>
      <c r="B486"/>
      <c r="C486"/>
      <c r="D486"/>
      <c r="E486" t="s">
        <v>8</v>
      </c>
      <c r="V486" s="27" t="s">
        <v>7</v>
      </c>
      <c r="W486" s="27" t="s">
        <v>8</v>
      </c>
      <c r="AT486" s="27" t="s">
        <v>7</v>
      </c>
      <c r="AU486" s="27" t="s">
        <v>8</v>
      </c>
      <c r="BC486" s="27" t="s">
        <v>8</v>
      </c>
      <c r="BD486" s="27" t="s">
        <v>7</v>
      </c>
      <c r="BE486" s="27" t="s">
        <v>8</v>
      </c>
      <c r="BF486" s="27" t="s">
        <v>7</v>
      </c>
      <c r="BG486" s="27" t="s">
        <v>8</v>
      </c>
      <c r="BH486" s="27" t="s">
        <v>7</v>
      </c>
      <c r="BI486" s="27" t="s">
        <v>8</v>
      </c>
      <c r="BJ486" s="27" t="s">
        <v>7</v>
      </c>
      <c r="BK486" s="27" t="s">
        <v>8</v>
      </c>
      <c r="EF486" s="27" t="s">
        <v>7</v>
      </c>
    </row>
    <row r="487" spans="1:136" x14ac:dyDescent="0.25">
      <c r="A487" s="7">
        <v>7.2446461182523469</v>
      </c>
      <c r="B487"/>
      <c r="C487"/>
      <c r="D487"/>
      <c r="E487" t="s">
        <v>8</v>
      </c>
      <c r="V487" s="27" t="s">
        <v>7</v>
      </c>
      <c r="W487" s="27" t="s">
        <v>8</v>
      </c>
      <c r="AT487" s="27" t="s">
        <v>7</v>
      </c>
      <c r="AU487" s="27" t="s">
        <v>8</v>
      </c>
      <c r="AV487" s="27" t="s">
        <v>7</v>
      </c>
      <c r="BA487" s="27" t="s">
        <v>8</v>
      </c>
      <c r="BC487" s="27" t="s">
        <v>8</v>
      </c>
      <c r="BD487" s="27" t="s">
        <v>7</v>
      </c>
      <c r="BE487" s="27" t="s">
        <v>8</v>
      </c>
      <c r="BF487" s="27" t="s">
        <v>7</v>
      </c>
      <c r="BG487" s="27" t="s">
        <v>8</v>
      </c>
      <c r="BH487" s="27" t="s">
        <v>7</v>
      </c>
      <c r="BI487" s="27" t="s">
        <v>8</v>
      </c>
      <c r="BJ487" s="27" t="s">
        <v>7</v>
      </c>
      <c r="BK487" s="27" t="s">
        <v>8</v>
      </c>
      <c r="EF487" s="27" t="s">
        <v>7</v>
      </c>
    </row>
    <row r="488" spans="1:136" x14ac:dyDescent="0.25">
      <c r="A488" s="7">
        <v>7.1025942335807324</v>
      </c>
      <c r="B488"/>
      <c r="C488"/>
      <c r="D488"/>
      <c r="E488" t="s">
        <v>8</v>
      </c>
      <c r="V488" s="27" t="s">
        <v>7</v>
      </c>
      <c r="AT488" s="27" t="s">
        <v>7</v>
      </c>
      <c r="AU488" s="27" t="s">
        <v>8</v>
      </c>
      <c r="AV488" s="27" t="s">
        <v>7</v>
      </c>
      <c r="BA488" s="27" t="s">
        <v>8</v>
      </c>
      <c r="BB488" s="27" t="s">
        <v>7</v>
      </c>
      <c r="BC488" s="27" t="s">
        <v>8</v>
      </c>
      <c r="BD488" s="27" t="s">
        <v>7</v>
      </c>
      <c r="BE488" s="27" t="s">
        <v>8</v>
      </c>
      <c r="BF488" s="27" t="s">
        <v>7</v>
      </c>
      <c r="BG488" s="27" t="s">
        <v>8</v>
      </c>
      <c r="BH488" s="27" t="s">
        <v>7</v>
      </c>
      <c r="BI488" s="27" t="s">
        <v>8</v>
      </c>
      <c r="BJ488" s="27" t="s">
        <v>7</v>
      </c>
      <c r="EF488" s="27" t="s">
        <v>7</v>
      </c>
    </row>
    <row r="489" spans="1:136" x14ac:dyDescent="0.25">
      <c r="A489" s="7">
        <v>6.9633276799811101</v>
      </c>
      <c r="B489"/>
      <c r="C489"/>
      <c r="D489"/>
      <c r="E489" t="s">
        <v>8</v>
      </c>
      <c r="AT489" s="27" t="s">
        <v>7</v>
      </c>
      <c r="AU489" s="27" t="s">
        <v>8</v>
      </c>
      <c r="AV489" s="27" t="s">
        <v>7</v>
      </c>
      <c r="BA489" s="27" t="s">
        <v>8</v>
      </c>
      <c r="BB489" s="27" t="s">
        <v>7</v>
      </c>
      <c r="BC489" s="27" t="s">
        <v>8</v>
      </c>
      <c r="BD489" s="27" t="s">
        <v>7</v>
      </c>
      <c r="BE489" s="27" t="s">
        <v>8</v>
      </c>
      <c r="BF489" s="27" t="s">
        <v>7</v>
      </c>
      <c r="BG489" s="27" t="s">
        <v>8</v>
      </c>
      <c r="BH489" s="27" t="s">
        <v>7</v>
      </c>
      <c r="BI489" s="27" t="s">
        <v>8</v>
      </c>
      <c r="EF489" s="27" t="s">
        <v>7</v>
      </c>
    </row>
    <row r="490" spans="1:136" x14ac:dyDescent="0.25">
      <c r="A490" s="7">
        <v>6.8267918431187349</v>
      </c>
      <c r="B490"/>
      <c r="C490"/>
      <c r="D490"/>
      <c r="E490" t="s">
        <v>8</v>
      </c>
      <c r="AT490" s="27" t="s">
        <v>7</v>
      </c>
      <c r="AU490" s="27" t="s">
        <v>8</v>
      </c>
      <c r="AV490" s="27" t="s">
        <v>7</v>
      </c>
      <c r="AY490" s="27" t="s">
        <v>8</v>
      </c>
      <c r="BA490" s="27" t="s">
        <v>8</v>
      </c>
      <c r="BB490" s="27" t="s">
        <v>7</v>
      </c>
      <c r="BC490" s="27" t="s">
        <v>8</v>
      </c>
      <c r="BD490" s="27" t="s">
        <v>7</v>
      </c>
      <c r="BE490" s="27" t="s">
        <v>8</v>
      </c>
      <c r="BF490" s="27" t="s">
        <v>7</v>
      </c>
      <c r="BG490" s="27" t="s">
        <v>8</v>
      </c>
      <c r="BH490" s="27" t="s">
        <v>7</v>
      </c>
      <c r="BI490" s="27" t="s">
        <v>8</v>
      </c>
      <c r="EF490" s="27" t="s">
        <v>7</v>
      </c>
    </row>
    <row r="491" spans="1:136" x14ac:dyDescent="0.25">
      <c r="A491" s="7">
        <v>6.692933179528171</v>
      </c>
      <c r="B491"/>
      <c r="C491"/>
      <c r="D491"/>
      <c r="E491" t="s">
        <v>8</v>
      </c>
      <c r="AT491" s="27" t="s">
        <v>7</v>
      </c>
      <c r="AU491" s="27" t="s">
        <v>8</v>
      </c>
      <c r="AV491" s="27" t="s">
        <v>7</v>
      </c>
      <c r="AW491" s="27" t="s">
        <v>8</v>
      </c>
      <c r="AY491" s="27" t="s">
        <v>8</v>
      </c>
      <c r="AZ491" s="27" t="s">
        <v>7</v>
      </c>
      <c r="BA491" s="27" t="s">
        <v>8</v>
      </c>
      <c r="BB491" s="27" t="s">
        <v>7</v>
      </c>
      <c r="BC491" s="27" t="s">
        <v>8</v>
      </c>
      <c r="BD491" s="27" t="s">
        <v>7</v>
      </c>
      <c r="BE491" s="27" t="s">
        <v>8</v>
      </c>
      <c r="BF491" s="27" t="s">
        <v>7</v>
      </c>
      <c r="BG491" s="27" t="s">
        <v>8</v>
      </c>
      <c r="BH491" s="27" t="s">
        <v>7</v>
      </c>
      <c r="BI491" s="27" t="s">
        <v>8</v>
      </c>
      <c r="EF491" s="27" t="s">
        <v>7</v>
      </c>
    </row>
    <row r="492" spans="1:136" x14ac:dyDescent="0.25">
      <c r="A492" s="7">
        <v>6.5616991956158541</v>
      </c>
      <c r="B492"/>
      <c r="C492"/>
      <c r="D492"/>
      <c r="E492" t="s">
        <v>8</v>
      </c>
      <c r="AT492" s="27" t="s">
        <v>7</v>
      </c>
      <c r="AU492" s="27" t="s">
        <v>8</v>
      </c>
      <c r="AV492" s="27" t="s">
        <v>7</v>
      </c>
      <c r="AW492" s="27" t="s">
        <v>8</v>
      </c>
      <c r="AX492" s="27" t="s">
        <v>7</v>
      </c>
      <c r="AY492" s="27" t="s">
        <v>8</v>
      </c>
      <c r="AZ492" s="27" t="s">
        <v>7</v>
      </c>
      <c r="BA492" s="27" t="s">
        <v>8</v>
      </c>
      <c r="BB492" s="27" t="s">
        <v>7</v>
      </c>
      <c r="BC492" s="27" t="s">
        <v>8</v>
      </c>
      <c r="BD492" s="27" t="s">
        <v>7</v>
      </c>
      <c r="BE492" s="27" t="s">
        <v>8</v>
      </c>
      <c r="BF492" s="27" t="s">
        <v>7</v>
      </c>
      <c r="BG492" s="27" t="s">
        <v>8</v>
      </c>
      <c r="BH492" s="27" t="s">
        <v>7</v>
      </c>
      <c r="BI492" s="27" t="s">
        <v>8</v>
      </c>
      <c r="EF492" s="27" t="s">
        <v>7</v>
      </c>
    </row>
    <row r="493" spans="1:136" x14ac:dyDescent="0.25">
      <c r="A493" s="7">
        <v>6.4330384270743668</v>
      </c>
      <c r="B493"/>
      <c r="C493"/>
      <c r="D493"/>
      <c r="E493" t="s">
        <v>8</v>
      </c>
      <c r="AT493" s="27" t="s">
        <v>7</v>
      </c>
      <c r="AU493" s="27" t="s">
        <v>8</v>
      </c>
      <c r="AV493" s="27" t="s">
        <v>7</v>
      </c>
      <c r="AW493" s="27" t="s">
        <v>8</v>
      </c>
      <c r="AX493" s="27" t="s">
        <v>7</v>
      </c>
      <c r="AY493" s="27" t="s">
        <v>8</v>
      </c>
      <c r="AZ493" s="27" t="s">
        <v>7</v>
      </c>
      <c r="BA493" s="27" t="s">
        <v>8</v>
      </c>
      <c r="BB493" s="27" t="s">
        <v>7</v>
      </c>
      <c r="BC493" s="27" t="s">
        <v>8</v>
      </c>
      <c r="BD493" s="27" t="s">
        <v>7</v>
      </c>
      <c r="BF493" s="27" t="s">
        <v>7</v>
      </c>
      <c r="BG493" s="27" t="s">
        <v>8</v>
      </c>
      <c r="BH493" s="27" t="s">
        <v>7</v>
      </c>
      <c r="EF493" s="27" t="s">
        <v>7</v>
      </c>
    </row>
    <row r="494" spans="1:136" x14ac:dyDescent="0.25">
      <c r="A494" s="7">
        <v>6.3069004187003594</v>
      </c>
      <c r="B494"/>
      <c r="C494"/>
      <c r="D494"/>
      <c r="E494" t="s">
        <v>8</v>
      </c>
      <c r="AT494" s="27" t="s">
        <v>7</v>
      </c>
      <c r="AU494" s="27" t="s">
        <v>8</v>
      </c>
      <c r="AV494" s="27" t="s">
        <v>7</v>
      </c>
      <c r="AX494" s="27" t="s">
        <v>7</v>
      </c>
      <c r="AY494" s="27" t="s">
        <v>8</v>
      </c>
      <c r="AZ494" s="27" t="s">
        <v>7</v>
      </c>
      <c r="BA494" s="27" t="s">
        <v>8</v>
      </c>
      <c r="BB494" s="27" t="s">
        <v>7</v>
      </c>
      <c r="BC494" s="27" t="s">
        <v>8</v>
      </c>
      <c r="BF494" s="27" t="s">
        <v>7</v>
      </c>
      <c r="BG494" s="27" t="s">
        <v>8</v>
      </c>
      <c r="EF494" s="27" t="s">
        <v>7</v>
      </c>
    </row>
    <row r="495" spans="1:136" x14ac:dyDescent="0.25">
      <c r="A495" s="7">
        <v>6.1832357046081956</v>
      </c>
      <c r="B495"/>
      <c r="C495"/>
      <c r="D495"/>
      <c r="E495" t="s">
        <v>8</v>
      </c>
      <c r="AT495" s="27" t="s">
        <v>7</v>
      </c>
      <c r="AU495" s="27" t="s">
        <v>8</v>
      </c>
      <c r="AX495" s="27" t="s">
        <v>7</v>
      </c>
      <c r="AY495" s="27" t="s">
        <v>8</v>
      </c>
      <c r="AZ495" s="27" t="s">
        <v>7</v>
      </c>
      <c r="BA495" s="27" t="s">
        <v>8</v>
      </c>
      <c r="BB495" s="27" t="s">
        <v>7</v>
      </c>
      <c r="BC495" s="27" t="s">
        <v>8</v>
      </c>
      <c r="BF495" s="27" t="s">
        <v>7</v>
      </c>
      <c r="BG495" s="27" t="s">
        <v>8</v>
      </c>
      <c r="EF495" s="27" t="s">
        <v>7</v>
      </c>
    </row>
    <row r="496" spans="1:136" x14ac:dyDescent="0.25">
      <c r="A496" s="7">
        <v>6.0619957888315641</v>
      </c>
      <c r="B496"/>
      <c r="C496"/>
      <c r="D496"/>
      <c r="E496" t="s">
        <v>8</v>
      </c>
      <c r="AT496" s="27" t="s">
        <v>7</v>
      </c>
      <c r="AU496" s="27" t="s">
        <v>8</v>
      </c>
      <c r="AX496" s="27" t="s">
        <v>7</v>
      </c>
      <c r="AY496" s="27" t="s">
        <v>8</v>
      </c>
      <c r="AZ496" s="27" t="s">
        <v>7</v>
      </c>
      <c r="BB496" s="27" t="s">
        <v>7</v>
      </c>
      <c r="BF496" s="27" t="s">
        <v>7</v>
      </c>
      <c r="BG496" s="27" t="s">
        <v>8</v>
      </c>
      <c r="EF496" s="27" t="s">
        <v>7</v>
      </c>
    </row>
    <row r="497" spans="1:136" x14ac:dyDescent="0.25">
      <c r="A497" s="7">
        <v>5.9431331263054545</v>
      </c>
      <c r="B497"/>
      <c r="C497"/>
      <c r="D497"/>
      <c r="E497" t="s">
        <v>8</v>
      </c>
      <c r="AT497" s="27" t="s">
        <v>7</v>
      </c>
      <c r="AU497" s="27" t="s">
        <v>8</v>
      </c>
      <c r="AX497" s="27" t="s">
        <v>7</v>
      </c>
      <c r="AY497" s="27" t="s">
        <v>8</v>
      </c>
      <c r="BF497" s="27" t="s">
        <v>7</v>
      </c>
      <c r="BG497" s="27" t="s">
        <v>8</v>
      </c>
      <c r="EF497" s="27" t="s">
        <v>7</v>
      </c>
    </row>
    <row r="498" spans="1:136" x14ac:dyDescent="0.25">
      <c r="A498" s="7">
        <v>5.8266011042210337</v>
      </c>
      <c r="B498"/>
      <c r="C498"/>
      <c r="D498"/>
      <c r="E498" t="s">
        <v>8</v>
      </c>
      <c r="AT498" s="27" t="s">
        <v>7</v>
      </c>
      <c r="AU498" s="27" t="s">
        <v>8</v>
      </c>
      <c r="AX498" s="27" t="s">
        <v>7</v>
      </c>
      <c r="BF498" s="27" t="s">
        <v>7</v>
      </c>
      <c r="BG498" s="27" t="s">
        <v>8</v>
      </c>
      <c r="EF498" s="27" t="s">
        <v>7</v>
      </c>
    </row>
    <row r="499" spans="1:136" x14ac:dyDescent="0.25">
      <c r="A499" s="7">
        <v>5.7123540237461112</v>
      </c>
      <c r="B499"/>
      <c r="C499"/>
      <c r="D499"/>
      <c r="E499" t="s">
        <v>8</v>
      </c>
      <c r="AT499" s="27" t="s">
        <v>7</v>
      </c>
      <c r="AU499" s="27" t="s">
        <v>8</v>
      </c>
      <c r="BF499" s="27" t="s">
        <v>7</v>
      </c>
      <c r="EF499" s="27" t="s">
        <v>7</v>
      </c>
    </row>
    <row r="500" spans="1:136" x14ac:dyDescent="0.25">
      <c r="A500" s="7">
        <v>5.6003470821040304</v>
      </c>
      <c r="B500"/>
      <c r="C500"/>
      <c r="D500"/>
      <c r="E500" t="s">
        <v>8</v>
      </c>
      <c r="AT500" s="27" t="s">
        <v>7</v>
      </c>
      <c r="AU500" s="27" t="s">
        <v>8</v>
      </c>
      <c r="EF500" s="27" t="s">
        <v>7</v>
      </c>
    </row>
    <row r="501" spans="1:136" x14ac:dyDescent="0.25">
      <c r="A501" s="7">
        <v>5.4905363550039512</v>
      </c>
      <c r="B501"/>
      <c r="C501"/>
      <c r="D501"/>
      <c r="E501" t="s">
        <v>8</v>
      </c>
      <c r="AT501" s="27" t="s">
        <v>7</v>
      </c>
      <c r="AU501" s="27" t="s">
        <v>8</v>
      </c>
      <c r="EF501" s="27" t="s">
        <v>7</v>
      </c>
    </row>
    <row r="502" spans="1:136" x14ac:dyDescent="0.25">
      <c r="A502" s="7">
        <v>5.3828787794156385</v>
      </c>
      <c r="B502"/>
      <c r="C502"/>
      <c r="D502"/>
      <c r="E502" t="s">
        <v>8</v>
      </c>
      <c r="AT502" s="27" t="s">
        <v>7</v>
      </c>
      <c r="EF502" s="27" t="s">
        <v>7</v>
      </c>
    </row>
    <row r="503" spans="1:136" x14ac:dyDescent="0.25">
      <c r="A503" s="7">
        <v>5.2773321366819985</v>
      </c>
      <c r="B503"/>
      <c r="C503"/>
      <c r="D503"/>
      <c r="E503" t="s">
        <v>8</v>
      </c>
      <c r="EF503" s="27" t="s">
        <v>7</v>
      </c>
    </row>
    <row r="504" spans="1:136" x14ac:dyDescent="0.25">
      <c r="A504" s="7">
        <v>5.1738550359627435</v>
      </c>
      <c r="B504"/>
      <c r="C504"/>
      <c r="D504"/>
      <c r="E504" t="s">
        <v>8</v>
      </c>
      <c r="EF504" s="27" t="s">
        <v>7</v>
      </c>
    </row>
    <row r="505" spans="1:136" x14ac:dyDescent="0.25">
      <c r="A505" s="7">
        <v>5.07240689800269</v>
      </c>
      <c r="B505"/>
      <c r="C505"/>
      <c r="D505"/>
      <c r="E505" t="s">
        <v>8</v>
      </c>
      <c r="EF505" s="27" t="s">
        <v>7</v>
      </c>
    </row>
    <row r="506" spans="1:136" x14ac:dyDescent="0.25">
      <c r="A506" s="7">
        <v>4.9729479392183231</v>
      </c>
      <c r="B506"/>
      <c r="C506"/>
      <c r="D506"/>
      <c r="E506" t="s">
        <v>8</v>
      </c>
      <c r="EF506" s="27" t="s">
        <v>7</v>
      </c>
    </row>
    <row r="507" spans="1:136" x14ac:dyDescent="0.25">
      <c r="A507" s="7">
        <v>4.8754391560963954</v>
      </c>
      <c r="B507"/>
      <c r="C507"/>
      <c r="D507"/>
      <c r="E507" t="s">
        <v>8</v>
      </c>
      <c r="EF507" s="27" t="s">
        <v>7</v>
      </c>
    </row>
    <row r="508" spans="1:136" x14ac:dyDescent="0.25">
      <c r="A508" s="7">
        <v>4.7798423098984264</v>
      </c>
      <c r="B508"/>
      <c r="C508"/>
      <c r="D508"/>
      <c r="E508" t="s">
        <v>8</v>
      </c>
      <c r="EF508" s="27" t="s">
        <v>7</v>
      </c>
    </row>
    <row r="509" spans="1:136" x14ac:dyDescent="0.25">
      <c r="A509" s="7">
        <v>4.6861199116651235</v>
      </c>
      <c r="B509"/>
      <c r="C509"/>
      <c r="D509"/>
      <c r="E509" t="s">
        <v>8</v>
      </c>
      <c r="EF509" s="27" t="s">
        <v>7</v>
      </c>
    </row>
    <row r="510" spans="1:136" x14ac:dyDescent="0.25">
      <c r="A510" s="7">
        <v>4.5942352075148269</v>
      </c>
      <c r="B510"/>
      <c r="C510"/>
      <c r="D510"/>
      <c r="E510" t="s">
        <v>8</v>
      </c>
      <c r="EF510" s="27" t="s">
        <v>7</v>
      </c>
    </row>
    <row r="511" spans="1:136" x14ac:dyDescent="0.25">
      <c r="A511" s="7">
        <v>4.5041521642302227</v>
      </c>
      <c r="B511"/>
      <c r="C511"/>
      <c r="D511"/>
      <c r="E511" t="s">
        <v>8</v>
      </c>
      <c r="EF511" s="27" t="s">
        <v>7</v>
      </c>
    </row>
    <row r="512" spans="1:136" x14ac:dyDescent="0.25">
      <c r="A512" s="7">
        <v>4.4158354551276693</v>
      </c>
      <c r="B512"/>
      <c r="C512"/>
      <c r="D512"/>
      <c r="E512" t="s">
        <v>8</v>
      </c>
      <c r="EF512" s="27" t="s">
        <v>7</v>
      </c>
    </row>
    <row r="513" spans="1:136" x14ac:dyDescent="0.25">
      <c r="A513" s="7">
        <v>4.3292504462035977</v>
      </c>
      <c r="B513"/>
      <c r="C513"/>
      <c r="D513"/>
      <c r="E513" t="s">
        <v>8</v>
      </c>
      <c r="EF513" s="27" t="s">
        <v>7</v>
      </c>
    </row>
    <row r="514" spans="1:136" x14ac:dyDescent="0.25">
      <c r="A514" s="7">
        <v>4.2443631825525463</v>
      </c>
      <c r="B514"/>
      <c r="C514"/>
      <c r="D514"/>
      <c r="E514" t="s">
        <v>8</v>
      </c>
      <c r="EF514" s="27" t="s">
        <v>7</v>
      </c>
    </row>
    <row r="515" spans="1:136" x14ac:dyDescent="0.25">
      <c r="A515" s="7">
        <v>4.1611403750515157</v>
      </c>
      <c r="B515"/>
      <c r="C515"/>
      <c r="D515"/>
      <c r="E515" t="s">
        <v>8</v>
      </c>
      <c r="EF515" s="27" t="s">
        <v>7</v>
      </c>
    </row>
    <row r="516" spans="1:136" x14ac:dyDescent="0.25">
      <c r="A516" s="7">
        <v>4.0795493873054074</v>
      </c>
      <c r="B516"/>
      <c r="C516"/>
      <c r="D516"/>
      <c r="E516" t="s">
        <v>8</v>
      </c>
      <c r="EF516" s="27" t="s">
        <v>7</v>
      </c>
    </row>
    <row r="517" spans="1:136" x14ac:dyDescent="0.25">
      <c r="A517" s="7">
        <v>3.9995582228484383</v>
      </c>
      <c r="B517"/>
      <c r="C517"/>
      <c r="D517"/>
      <c r="E517" t="s">
        <v>8</v>
      </c>
      <c r="EF517" s="27" t="s">
        <v>7</v>
      </c>
    </row>
    <row r="518" spans="1:136" x14ac:dyDescent="0.25">
      <c r="A518" s="7">
        <v>3.9211355125965079</v>
      </c>
      <c r="B518"/>
      <c r="C518"/>
      <c r="D518"/>
      <c r="E518" t="s">
        <v>8</v>
      </c>
      <c r="EF518" s="27" t="s">
        <v>7</v>
      </c>
    </row>
    <row r="519" spans="1:136" x14ac:dyDescent="0.25">
      <c r="A519" s="7">
        <v>3.844250502545596</v>
      </c>
      <c r="B519"/>
      <c r="C519"/>
      <c r="D519"/>
      <c r="E519" t="s">
        <v>8</v>
      </c>
      <c r="EF519" s="27" t="s">
        <v>7</v>
      </c>
    </row>
    <row r="520" spans="1:136" x14ac:dyDescent="0.25">
      <c r="A520" s="7">
        <v>3.7688730417113687</v>
      </c>
      <c r="B520"/>
      <c r="C520"/>
      <c r="D520"/>
      <c r="E520" t="s">
        <v>8</v>
      </c>
      <c r="EF520" s="27" t="s">
        <v>7</v>
      </c>
    </row>
    <row r="521" spans="1:136" x14ac:dyDescent="0.25">
      <c r="A521" s="7">
        <v>3.6949735703052635</v>
      </c>
      <c r="B521"/>
      <c r="C521"/>
      <c r="D521"/>
      <c r="E521" t="s">
        <v>8</v>
      </c>
      <c r="EF521" s="27" t="s">
        <v>7</v>
      </c>
    </row>
    <row r="522" spans="1:136" x14ac:dyDescent="0.25">
      <c r="A522" s="7">
        <v>3.6225231081424152</v>
      </c>
      <c r="B522"/>
      <c r="C522"/>
      <c r="D522"/>
      <c r="E522" t="s">
        <v>8</v>
      </c>
      <c r="EF522" s="27" t="s">
        <v>7</v>
      </c>
    </row>
    <row r="523" spans="1:136" x14ac:dyDescent="0.25">
      <c r="A523" s="7">
        <v>3.5514932432768775</v>
      </c>
      <c r="B523"/>
      <c r="C523"/>
      <c r="D523"/>
      <c r="E523" t="s">
        <v>8</v>
      </c>
      <c r="EF523" s="27" t="s">
        <v>7</v>
      </c>
    </row>
    <row r="524" spans="1:136" x14ac:dyDescent="0.25">
      <c r="A524" s="7">
        <v>3.4818561208596837</v>
      </c>
      <c r="B524"/>
      <c r="C524"/>
      <c r="D524"/>
      <c r="E524" t="s">
        <v>8</v>
      </c>
      <c r="EF524" s="27" t="s">
        <v>7</v>
      </c>
    </row>
    <row r="525" spans="1:136" x14ac:dyDescent="0.25">
      <c r="A525" s="7">
        <v>3.4135844322153761</v>
      </c>
      <c r="B525"/>
      <c r="C525"/>
      <c r="D525"/>
      <c r="E525" t="s">
        <v>8</v>
      </c>
      <c r="EF525" s="27" t="s">
        <v>7</v>
      </c>
    </row>
    <row r="526" spans="1:136" x14ac:dyDescent="0.25">
      <c r="A526" s="7">
        <v>3.3466514041327216</v>
      </c>
      <c r="B526"/>
      <c r="C526"/>
      <c r="D526"/>
      <c r="E526" t="s">
        <v>8</v>
      </c>
      <c r="EF526" s="27" t="s">
        <v>7</v>
      </c>
    </row>
    <row r="527" spans="1:136" x14ac:dyDescent="0.25">
      <c r="A527" s="7">
        <v>3.2810307883654133</v>
      </c>
      <c r="B527"/>
      <c r="C527"/>
      <c r="D527"/>
      <c r="E527" t="s">
        <v>8</v>
      </c>
      <c r="EF527" s="27" t="s">
        <v>7</v>
      </c>
    </row>
    <row r="528" spans="1:136" x14ac:dyDescent="0.25">
      <c r="A528" s="7">
        <v>3.2166968513386403</v>
      </c>
      <c r="B528"/>
      <c r="C528"/>
      <c r="D528"/>
      <c r="E528" t="s">
        <v>8</v>
      </c>
      <c r="EF528" s="27" t="s">
        <v>7</v>
      </c>
    </row>
    <row r="529" spans="1:136" x14ac:dyDescent="0.25">
      <c r="A529" s="7">
        <v>3.1536243640574906</v>
      </c>
      <c r="B529"/>
      <c r="C529"/>
      <c r="D529"/>
      <c r="E529" t="s">
        <v>8</v>
      </c>
      <c r="EF529" s="27" t="s">
        <v>7</v>
      </c>
    </row>
    <row r="530" spans="1:136" x14ac:dyDescent="0.25">
      <c r="A530" s="7">
        <v>3.0917885922132262</v>
      </c>
      <c r="B530"/>
      <c r="C530"/>
      <c r="D530"/>
      <c r="E530" t="s">
        <v>8</v>
      </c>
      <c r="EF530" s="27" t="s">
        <v>7</v>
      </c>
    </row>
    <row r="531" spans="1:136" x14ac:dyDescent="0.25">
      <c r="A531" s="7">
        <v>3.0311652864835552</v>
      </c>
      <c r="B531"/>
      <c r="C531"/>
      <c r="D531"/>
      <c r="E531" t="s">
        <v>8</v>
      </c>
      <c r="EF531" s="27" t="s">
        <v>7</v>
      </c>
    </row>
    <row r="532" spans="1:136" x14ac:dyDescent="0.25">
      <c r="A532" s="7">
        <v>2.9717306730230932</v>
      </c>
      <c r="B532"/>
      <c r="C532"/>
      <c r="D532"/>
      <c r="E532" t="s">
        <v>8</v>
      </c>
      <c r="EF532" s="27" t="s">
        <v>7</v>
      </c>
    </row>
    <row r="533" spans="1:136" x14ac:dyDescent="0.25">
      <c r="A533" s="7">
        <v>2.9134614441402875</v>
      </c>
      <c r="B533"/>
      <c r="C533"/>
      <c r="D533"/>
      <c r="E533" t="s">
        <v>8</v>
      </c>
      <c r="EF533" s="27" t="s">
        <v>7</v>
      </c>
    </row>
    <row r="534" spans="1:136" x14ac:dyDescent="0.25">
      <c r="A534" s="7">
        <v>2.8563347491571447</v>
      </c>
      <c r="B534"/>
      <c r="C534"/>
      <c r="D534"/>
      <c r="E534" t="s">
        <v>8</v>
      </c>
      <c r="EF534" s="27" t="s">
        <v>7</v>
      </c>
    </row>
    <row r="535" spans="1:136" x14ac:dyDescent="0.25">
      <c r="A535" s="7">
        <v>2.8003281854481812</v>
      </c>
      <c r="B535"/>
      <c r="C535"/>
      <c r="D535"/>
      <c r="E535" t="s">
        <v>8</v>
      </c>
      <c r="EF535" s="27" t="s">
        <v>7</v>
      </c>
    </row>
    <row r="536" spans="1:136" x14ac:dyDescent="0.25">
      <c r="A536" s="7">
        <v>2.7454197896550796</v>
      </c>
      <c r="B536"/>
      <c r="C536"/>
      <c r="D536"/>
      <c r="E536" t="s">
        <v>8</v>
      </c>
      <c r="EF536" s="27" t="s">
        <v>7</v>
      </c>
    </row>
    <row r="537" spans="1:136" x14ac:dyDescent="0.25">
      <c r="A537" s="7">
        <v>2.6915880290736074</v>
      </c>
      <c r="B537"/>
      <c r="C537"/>
      <c r="D537"/>
      <c r="E537" t="s">
        <v>8</v>
      </c>
      <c r="EF537" s="27" t="s">
        <v>7</v>
      </c>
    </row>
    <row r="538" spans="1:136" x14ac:dyDescent="0.25">
      <c r="A538" s="7">
        <v>2.6388117932094191</v>
      </c>
      <c r="B538"/>
      <c r="C538"/>
      <c r="D538"/>
      <c r="E538" t="s">
        <v>8</v>
      </c>
      <c r="EF538" s="27" t="s">
        <v>7</v>
      </c>
    </row>
    <row r="539" spans="1:136" x14ac:dyDescent="0.25">
      <c r="A539" s="7">
        <v>2.5870703854994304</v>
      </c>
      <c r="B539"/>
      <c r="C539"/>
      <c r="D539"/>
      <c r="E539" t="s">
        <v>8</v>
      </c>
      <c r="EF539" s="27" t="s">
        <v>7</v>
      </c>
    </row>
    <row r="540" spans="1:136" x14ac:dyDescent="0.25">
      <c r="A540" s="7">
        <v>2.53634351519552</v>
      </c>
      <c r="B540"/>
      <c r="C540"/>
      <c r="D540"/>
      <c r="E540" t="s">
        <v>8</v>
      </c>
      <c r="EF540" s="27" t="s">
        <v>7</v>
      </c>
    </row>
    <row r="541" spans="1:136" x14ac:dyDescent="0.25">
      <c r="A541" s="7">
        <v>2.4866112894073726</v>
      </c>
      <c r="B541"/>
      <c r="C541"/>
      <c r="D541"/>
      <c r="E541" t="s">
        <v>8</v>
      </c>
      <c r="EF541" s="27" t="s">
        <v>7</v>
      </c>
    </row>
    <row r="542" spans="1:136" x14ac:dyDescent="0.25">
      <c r="A542" s="7">
        <v>2.4378542053013459</v>
      </c>
      <c r="B542"/>
      <c r="C542"/>
      <c r="D542"/>
      <c r="E542" t="s">
        <v>8</v>
      </c>
      <c r="EF542" s="27" t="s">
        <v>7</v>
      </c>
    </row>
    <row r="543" spans="1:136" x14ac:dyDescent="0.25">
      <c r="A543" s="7">
        <v>2.3900531424522997</v>
      </c>
      <c r="B543"/>
      <c r="C543"/>
      <c r="D543"/>
      <c r="E543" t="s">
        <v>8</v>
      </c>
      <c r="EF543" s="27" t="s">
        <v>7</v>
      </c>
    </row>
    <row r="544" spans="1:136" x14ac:dyDescent="0.25">
      <c r="A544" s="7">
        <v>2.343189355345392</v>
      </c>
      <c r="B544"/>
      <c r="C544"/>
      <c r="D544"/>
      <c r="E544" t="s">
        <v>8</v>
      </c>
      <c r="EF544" s="27" t="s">
        <v>7</v>
      </c>
    </row>
    <row r="545" spans="1:136" x14ac:dyDescent="0.25">
      <c r="A545" s="7">
        <v>2.2972444660248938</v>
      </c>
      <c r="B545"/>
      <c r="C545"/>
      <c r="D545"/>
      <c r="E545" t="s">
        <v>8</v>
      </c>
      <c r="EF545" s="27" t="s">
        <v>7</v>
      </c>
    </row>
    <row r="546" spans="1:136" x14ac:dyDescent="0.25">
      <c r="A546" s="7">
        <v>2.252200456887151</v>
      </c>
      <c r="B546"/>
      <c r="C546"/>
      <c r="D546"/>
      <c r="E546" t="s">
        <v>8</v>
      </c>
      <c r="EF546" s="27" t="s">
        <v>7</v>
      </c>
    </row>
    <row r="547" spans="1:136" x14ac:dyDescent="0.25">
      <c r="A547" s="7">
        <v>2.208039663614854</v>
      </c>
      <c r="B547"/>
      <c r="C547"/>
      <c r="D547"/>
      <c r="E547" t="s">
        <v>8</v>
      </c>
      <c r="EF547" s="27" t="s">
        <v>7</v>
      </c>
    </row>
    <row r="548" spans="1:136" x14ac:dyDescent="0.25">
      <c r="A548" s="7">
        <v>2.1647447682498568</v>
      </c>
      <c r="B548"/>
      <c r="C548"/>
      <c r="D548"/>
      <c r="E548" t="s">
        <v>8</v>
      </c>
      <c r="EF548" s="27" t="s">
        <v>7</v>
      </c>
    </row>
    <row r="549" spans="1:136" x14ac:dyDescent="0.25">
      <c r="A549" s="7">
        <v>2.1222987924018204</v>
      </c>
      <c r="B549"/>
      <c r="C549"/>
      <c r="D549"/>
      <c r="E549" t="s">
        <v>8</v>
      </c>
      <c r="EF549" s="27" t="s">
        <v>7</v>
      </c>
    </row>
    <row r="550" spans="1:136" x14ac:dyDescent="0.25">
      <c r="A550" s="7">
        <v>2.0806850905900198</v>
      </c>
      <c r="B550"/>
      <c r="C550"/>
      <c r="D550"/>
      <c r="E550" t="s">
        <v>8</v>
      </c>
      <c r="EF550" s="27" t="s">
        <v>7</v>
      </c>
    </row>
    <row r="551" spans="1:136" x14ac:dyDescent="0.25">
      <c r="A551" s="7">
        <v>2.0398873437157055</v>
      </c>
      <c r="B551"/>
      <c r="C551"/>
      <c r="D551"/>
      <c r="E551" t="s">
        <v>8</v>
      </c>
      <c r="EF551" s="27" t="s">
        <v>7</v>
      </c>
    </row>
    <row r="552" spans="1:136" x14ac:dyDescent="0.25">
      <c r="A552" s="7">
        <v>1.9998895526624565</v>
      </c>
      <c r="B552"/>
      <c r="C552"/>
      <c r="D552"/>
      <c r="E552" t="s">
        <v>8</v>
      </c>
      <c r="EF552" s="27" t="s">
        <v>7</v>
      </c>
    </row>
    <row r="553" spans="1:136" x14ac:dyDescent="0.25">
      <c r="A553" s="7">
        <v>1.9606760320220162</v>
      </c>
      <c r="B553"/>
      <c r="C553"/>
      <c r="D553"/>
      <c r="E553" t="s">
        <v>8</v>
      </c>
      <c r="EF553" s="27" t="s">
        <v>7</v>
      </c>
    </row>
    <row r="554" spans="1:136" x14ac:dyDescent="0.25">
      <c r="A554" s="7">
        <v>1.9222314039431532</v>
      </c>
      <c r="B554"/>
      <c r="C554"/>
      <c r="D554"/>
      <c r="E554" t="s">
        <v>8</v>
      </c>
      <c r="EF554" s="27" t="s">
        <v>7</v>
      </c>
    </row>
    <row r="555" spans="1:136" x14ac:dyDescent="0.25">
      <c r="A555" s="7">
        <v>1.8845405921011305</v>
      </c>
      <c r="B555"/>
      <c r="C555"/>
      <c r="D555"/>
      <c r="E555" t="s">
        <v>8</v>
      </c>
      <c r="EF555" s="27" t="s">
        <v>7</v>
      </c>
    </row>
    <row r="556" spans="1:136" x14ac:dyDescent="0.25">
      <c r="A556" s="7">
        <v>1.8475888157854219</v>
      </c>
      <c r="B556"/>
      <c r="C556"/>
      <c r="D556"/>
      <c r="E556" t="s">
        <v>8</v>
      </c>
      <c r="EF556" s="27" t="s">
        <v>7</v>
      </c>
    </row>
    <row r="557" spans="1:136" x14ac:dyDescent="0.25">
      <c r="A557" s="7">
        <v>1.8113615841033548</v>
      </c>
      <c r="B557"/>
      <c r="C557"/>
      <c r="D557"/>
      <c r="E557" t="s">
        <v>8</v>
      </c>
      <c r="EF557" s="27" t="s">
        <v>7</v>
      </c>
    </row>
    <row r="558" spans="1:136" x14ac:dyDescent="0.25">
      <c r="A558" s="7">
        <v>1.7758446902974065</v>
      </c>
      <c r="B558"/>
      <c r="C558"/>
      <c r="D558"/>
      <c r="E558" t="s">
        <v>8</v>
      </c>
      <c r="EF558" s="27" t="s">
        <v>7</v>
      </c>
    </row>
    <row r="559" spans="1:136" x14ac:dyDescent="0.25">
      <c r="A559" s="7">
        <v>1.7410242061739281</v>
      </c>
      <c r="B559"/>
      <c r="C559"/>
      <c r="D559"/>
      <c r="E559" t="s">
        <v>8</v>
      </c>
      <c r="EF559" s="27" t="s">
        <v>7</v>
      </c>
    </row>
    <row r="560" spans="1:136" x14ac:dyDescent="0.25">
      <c r="A560" s="7">
        <v>1.7068864766411058</v>
      </c>
      <c r="B560"/>
      <c r="C560"/>
      <c r="D560"/>
      <c r="E560" t="s">
        <v>8</v>
      </c>
      <c r="EF560" s="27" t="s">
        <v>7</v>
      </c>
    </row>
    <row r="561" spans="1:136" x14ac:dyDescent="0.25">
      <c r="A561" s="7">
        <v>1.6734181143540252</v>
      </c>
      <c r="B561"/>
      <c r="C561"/>
      <c r="D561"/>
      <c r="E561" t="s">
        <v>8</v>
      </c>
      <c r="EF561" s="27" t="s">
        <v>7</v>
      </c>
    </row>
    <row r="562" spans="1:136" x14ac:dyDescent="0.25">
      <c r="A562" s="7">
        <v>1.6406059944647307</v>
      </c>
      <c r="B562"/>
      <c r="C562"/>
      <c r="D562"/>
      <c r="E562" t="s">
        <v>8</v>
      </c>
      <c r="EF562" s="27" t="s">
        <v>7</v>
      </c>
    </row>
    <row r="563" spans="1:136" x14ac:dyDescent="0.25">
      <c r="A563" s="7">
        <v>1.6084372494752261</v>
      </c>
      <c r="B563"/>
      <c r="C563"/>
      <c r="D563"/>
      <c r="E563" t="s">
        <v>8</v>
      </c>
      <c r="EF563" s="27" t="s">
        <v>7</v>
      </c>
    </row>
    <row r="564" spans="1:136" x14ac:dyDescent="0.25">
      <c r="A564" s="7">
        <v>1.5768992641913981</v>
      </c>
      <c r="B564"/>
      <c r="C564"/>
      <c r="D564"/>
      <c r="E564" t="s">
        <v>8</v>
      </c>
      <c r="EF564" s="27" t="s">
        <v>7</v>
      </c>
    </row>
    <row r="565" spans="1:136" x14ac:dyDescent="0.25">
      <c r="A565" s="7">
        <v>1.5459796707758806</v>
      </c>
      <c r="B565"/>
      <c r="C565"/>
      <c r="D565"/>
      <c r="E565" t="s">
        <v>8</v>
      </c>
      <c r="EF565" s="27" t="s">
        <v>7</v>
      </c>
    </row>
    <row r="566" spans="1:136" x14ac:dyDescent="0.25">
      <c r="A566" s="7">
        <v>1.5156663438979221</v>
      </c>
      <c r="B566"/>
      <c r="C566"/>
      <c r="D566"/>
      <c r="E566" t="s">
        <v>8</v>
      </c>
      <c r="EF566" s="27" t="s">
        <v>7</v>
      </c>
    </row>
    <row r="567" spans="1:136" x14ac:dyDescent="0.25">
      <c r="A567" s="7">
        <v>1.4859473959783549</v>
      </c>
      <c r="B567"/>
      <c r="C567"/>
      <c r="D567"/>
      <c r="E567" t="s">
        <v>8</v>
      </c>
      <c r="EF567" s="27" t="s">
        <v>7</v>
      </c>
    </row>
    <row r="568" spans="1:136" x14ac:dyDescent="0.25">
      <c r="A568" s="7">
        <v>1.4568111725277988</v>
      </c>
      <c r="B568"/>
      <c r="C568"/>
      <c r="D568"/>
      <c r="E568" t="s">
        <v>8</v>
      </c>
      <c r="EF568" s="27" t="s">
        <v>7</v>
      </c>
    </row>
    <row r="569" spans="1:136" x14ac:dyDescent="0.25">
      <c r="A569" s="7">
        <v>1.4282462475762734</v>
      </c>
      <c r="B569"/>
      <c r="C569"/>
      <c r="D569"/>
      <c r="E569" t="s">
        <v>8</v>
      </c>
      <c r="EF569" s="27" t="s">
        <v>7</v>
      </c>
    </row>
    <row r="570" spans="1:136" x14ac:dyDescent="0.25">
      <c r="A570" s="7">
        <v>1.4002414191924248</v>
      </c>
      <c r="B570"/>
      <c r="C570"/>
      <c r="D570"/>
      <c r="E570" t="s">
        <v>8</v>
      </c>
      <c r="EF570" s="27" t="s">
        <v>7</v>
      </c>
    </row>
    <row r="571" spans="1:136" x14ac:dyDescent="0.25">
      <c r="A571" s="7">
        <v>1.3727857050906125</v>
      </c>
      <c r="B571"/>
      <c r="C571"/>
      <c r="D571"/>
      <c r="E571" t="s">
        <v>8</v>
      </c>
      <c r="EF571" s="27" t="s">
        <v>7</v>
      </c>
    </row>
    <row r="572" spans="1:136" x14ac:dyDescent="0.25">
      <c r="A572" s="7">
        <v>1.3458683383241299</v>
      </c>
      <c r="B572"/>
      <c r="C572"/>
      <c r="D572"/>
      <c r="E572" t="s">
        <v>8</v>
      </c>
      <c r="EF572" s="27" t="s">
        <v>7</v>
      </c>
    </row>
    <row r="573" spans="1:136" x14ac:dyDescent="0.25">
      <c r="A573" s="7">
        <v>1.3194787630628724</v>
      </c>
      <c r="B573"/>
      <c r="C573"/>
      <c r="D573"/>
      <c r="E573" t="s">
        <v>8</v>
      </c>
      <c r="EF573" s="27" t="s">
        <v>7</v>
      </c>
    </row>
    <row r="574" spans="1:136" x14ac:dyDescent="0.25">
      <c r="A574" s="7">
        <v>1.2936066304537963</v>
      </c>
      <c r="B574"/>
      <c r="C574"/>
      <c r="D574"/>
      <c r="E574" t="s">
        <v>8</v>
      </c>
      <c r="EF574" s="27" t="s">
        <v>7</v>
      </c>
    </row>
    <row r="575" spans="1:136" x14ac:dyDescent="0.25">
      <c r="A575" s="7">
        <v>1.2682417945625455</v>
      </c>
      <c r="B575"/>
      <c r="C575"/>
      <c r="D575"/>
      <c r="E575" t="s">
        <v>8</v>
      </c>
      <c r="EF575" s="27" t="s">
        <v>7</v>
      </c>
    </row>
    <row r="576" spans="1:136" x14ac:dyDescent="0.25">
      <c r="A576" s="7">
        <v>1.2433743083946525</v>
      </c>
      <c r="B576"/>
      <c r="C576"/>
      <c r="D576"/>
      <c r="E576" t="s">
        <v>8</v>
      </c>
      <c r="EF576" s="27" t="s">
        <v>7</v>
      </c>
    </row>
    <row r="577" spans="1:136" x14ac:dyDescent="0.25">
      <c r="A577" s="7">
        <v>1.2189944199947573</v>
      </c>
      <c r="B577"/>
      <c r="C577"/>
      <c r="D577"/>
      <c r="E577" t="s">
        <v>8</v>
      </c>
      <c r="EF577" s="27" t="s">
        <v>7</v>
      </c>
    </row>
    <row r="578" spans="1:136" x14ac:dyDescent="0.25">
      <c r="A578" s="7">
        <v>1.1950925686223111</v>
      </c>
      <c r="B578"/>
      <c r="C578"/>
      <c r="D578"/>
      <c r="E578" t="s">
        <v>8</v>
      </c>
      <c r="EF578" s="27" t="s">
        <v>7</v>
      </c>
    </row>
    <row r="579" spans="1:136" x14ac:dyDescent="0.25">
      <c r="A579" s="7">
        <v>1.1716593810022657</v>
      </c>
      <c r="B579"/>
      <c r="C579"/>
      <c r="D579"/>
      <c r="E579" t="s">
        <v>8</v>
      </c>
      <c r="EF579" s="27" t="s">
        <v>7</v>
      </c>
    </row>
    <row r="580" spans="1:136" x14ac:dyDescent="0.25">
      <c r="A580" s="7">
        <v>1.14868566764928</v>
      </c>
      <c r="B580"/>
      <c r="C580"/>
      <c r="D580"/>
      <c r="E580" t="s">
        <v>8</v>
      </c>
      <c r="EF580" s="27" t="s">
        <v>7</v>
      </c>
    </row>
    <row r="581" spans="1:136" x14ac:dyDescent="0.25">
      <c r="A581" s="7">
        <v>1.1261624192640001</v>
      </c>
      <c r="B581"/>
      <c r="C581"/>
      <c r="D581"/>
      <c r="E581" t="s">
        <v>8</v>
      </c>
      <c r="EF581" s="27" t="s">
        <v>7</v>
      </c>
    </row>
    <row r="582" spans="1:136" x14ac:dyDescent="0.25">
      <c r="A582" s="7">
        <v>1.1040808032</v>
      </c>
      <c r="B582"/>
      <c r="C582"/>
      <c r="D582"/>
      <c r="E582" t="s">
        <v>8</v>
      </c>
      <c r="EF582" s="27" t="s">
        <v>7</v>
      </c>
    </row>
    <row r="583" spans="1:136" x14ac:dyDescent="0.25">
      <c r="A583" s="7">
        <v>1.08243216</v>
      </c>
      <c r="B583"/>
      <c r="C583"/>
      <c r="D583"/>
      <c r="E583" t="s">
        <v>8</v>
      </c>
      <c r="EF583" s="27" t="s">
        <v>7</v>
      </c>
    </row>
    <row r="584" spans="1:136" x14ac:dyDescent="0.25">
      <c r="A584" s="7">
        <v>1.0612079999999999</v>
      </c>
      <c r="B584"/>
      <c r="C584"/>
      <c r="D584"/>
      <c r="E584" t="s">
        <v>8</v>
      </c>
      <c r="EF584" s="27" t="s">
        <v>7</v>
      </c>
    </row>
    <row r="585" spans="1:136" x14ac:dyDescent="0.25">
      <c r="A585" s="7">
        <v>1.0404</v>
      </c>
      <c r="B585"/>
      <c r="C585"/>
      <c r="D585"/>
      <c r="E585" t="s">
        <v>8</v>
      </c>
      <c r="EF585" s="27" t="s">
        <v>7</v>
      </c>
    </row>
    <row r="586" spans="1:136" x14ac:dyDescent="0.25">
      <c r="A586" s="7">
        <v>1.02</v>
      </c>
      <c r="B586"/>
      <c r="C586"/>
      <c r="D586"/>
      <c r="E586" t="s">
        <v>8</v>
      </c>
      <c r="EF586" s="27" t="s">
        <v>7</v>
      </c>
    </row>
    <row r="587" spans="1:136" x14ac:dyDescent="0.25">
      <c r="A587" s="7">
        <v>1</v>
      </c>
      <c r="B587"/>
      <c r="C587"/>
      <c r="D587"/>
      <c r="E587" s="29" t="s">
        <v>8</v>
      </c>
      <c r="EF587" s="27" t="s">
        <v>7</v>
      </c>
    </row>
    <row r="588" spans="1:136" x14ac:dyDescent="0.25">
      <c r="A588" s="7">
        <v>0.98039215686274506</v>
      </c>
      <c r="B588"/>
      <c r="C588"/>
      <c r="D588"/>
      <c r="E588"/>
      <c r="EF588" s="27" t="s">
        <v>7</v>
      </c>
    </row>
    <row r="589" spans="1:136" x14ac:dyDescent="0.25">
      <c r="A589" s="7">
        <v>0.96116878123798544</v>
      </c>
      <c r="B589"/>
      <c r="C589"/>
      <c r="D589"/>
      <c r="E589"/>
      <c r="EF589" s="27" t="s">
        <v>7</v>
      </c>
    </row>
    <row r="590" spans="1:136" x14ac:dyDescent="0.25">
      <c r="A590" s="7">
        <v>0.94232233454704462</v>
      </c>
      <c r="B590"/>
      <c r="C590"/>
      <c r="D590"/>
      <c r="E590"/>
      <c r="EF590" s="27" t="s">
        <v>7</v>
      </c>
    </row>
    <row r="591" spans="1:136" x14ac:dyDescent="0.25">
      <c r="A591" s="7">
        <v>0.92384542602651432</v>
      </c>
      <c r="B591"/>
      <c r="C591"/>
      <c r="D591"/>
      <c r="E591"/>
      <c r="EF591" s="27" t="s">
        <v>7</v>
      </c>
    </row>
    <row r="592" spans="1:136" x14ac:dyDescent="0.25">
      <c r="A592" s="7">
        <v>0.90573080982991594</v>
      </c>
      <c r="B592"/>
      <c r="C592"/>
      <c r="D592"/>
      <c r="E592"/>
      <c r="EF592" s="27" t="s">
        <v>7</v>
      </c>
    </row>
    <row r="593" spans="1:136" x14ac:dyDescent="0.25">
      <c r="A593" s="7">
        <v>0.8879713821861922</v>
      </c>
      <c r="B593"/>
      <c r="C593"/>
      <c r="D593"/>
      <c r="E593"/>
      <c r="EF593" s="27" t="s">
        <v>7</v>
      </c>
    </row>
    <row r="594" spans="1:136" x14ac:dyDescent="0.25">
      <c r="A594" s="7">
        <v>0.87056017861391399</v>
      </c>
      <c r="B594"/>
      <c r="C594"/>
      <c r="D594"/>
      <c r="E594"/>
      <c r="EF594" s="27" t="s">
        <v>7</v>
      </c>
    </row>
    <row r="595" spans="1:136" x14ac:dyDescent="0.25">
      <c r="A595" s="7">
        <v>0.85349037119011173</v>
      </c>
      <c r="B595"/>
      <c r="C595"/>
      <c r="D595"/>
      <c r="E595"/>
      <c r="EF595" s="27" t="s">
        <v>7</v>
      </c>
    </row>
    <row r="596" spans="1:136" x14ac:dyDescent="0.25">
      <c r="A596" s="7">
        <v>0.83675526587265858</v>
      </c>
      <c r="B596"/>
      <c r="C596"/>
      <c r="D596"/>
      <c r="E596"/>
      <c r="EF596" s="27" t="s">
        <v>7</v>
      </c>
    </row>
    <row r="597" spans="1:136" x14ac:dyDescent="0.25">
      <c r="A597" s="7">
        <v>0.82034829987515545</v>
      </c>
      <c r="B597"/>
      <c r="C597"/>
      <c r="D597"/>
      <c r="E597"/>
      <c r="EF597" s="27" t="s">
        <v>7</v>
      </c>
    </row>
    <row r="598" spans="1:136" x14ac:dyDescent="0.25">
      <c r="A598" s="7">
        <v>0.80426303909328967</v>
      </c>
      <c r="B598"/>
      <c r="C598"/>
      <c r="D598"/>
      <c r="E598"/>
      <c r="EF598" s="27" t="s">
        <v>7</v>
      </c>
    </row>
    <row r="599" spans="1:136" x14ac:dyDescent="0.25">
      <c r="A599" s="7">
        <v>0.78849317558165644</v>
      </c>
      <c r="B599"/>
      <c r="C599"/>
      <c r="D599"/>
      <c r="E599"/>
      <c r="EF599" s="27" t="s">
        <v>7</v>
      </c>
    </row>
    <row r="600" spans="1:136" x14ac:dyDescent="0.25">
      <c r="A600" s="7">
        <v>0.77303252508005538</v>
      </c>
      <c r="B600"/>
      <c r="C600"/>
      <c r="D600"/>
      <c r="E600"/>
      <c r="EF600" s="27" t="s">
        <v>7</v>
      </c>
    </row>
    <row r="601" spans="1:136" x14ac:dyDescent="0.25">
      <c r="A601" s="7">
        <v>0.75787502458828959</v>
      </c>
      <c r="B601"/>
      <c r="C601"/>
      <c r="D601"/>
      <c r="E601"/>
      <c r="EF601" s="27" t="s">
        <v>7</v>
      </c>
    </row>
    <row r="602" spans="1:136" x14ac:dyDescent="0.25">
      <c r="A602" s="7">
        <v>0.74301472998851925</v>
      </c>
      <c r="B602"/>
      <c r="C602"/>
      <c r="D602"/>
      <c r="E602"/>
      <c r="EF602" s="27" t="s">
        <v>7</v>
      </c>
    </row>
    <row r="603" spans="1:136" x14ac:dyDescent="0.25">
      <c r="A603" s="7">
        <v>0.72844581371423456</v>
      </c>
      <c r="B603"/>
      <c r="C603"/>
      <c r="D603"/>
      <c r="E603"/>
      <c r="EF603" s="27" t="s">
        <v>7</v>
      </c>
    </row>
    <row r="604" spans="1:136" x14ac:dyDescent="0.25">
      <c r="A604" s="7">
        <v>0.71416256246493581</v>
      </c>
      <c r="B604"/>
      <c r="C604"/>
      <c r="D604"/>
      <c r="E604"/>
      <c r="EF604" s="27" t="s">
        <v>7</v>
      </c>
    </row>
    <row r="605" spans="1:136" x14ac:dyDescent="0.25">
      <c r="A605" s="7">
        <v>0.7001593749656233</v>
      </c>
      <c r="B605"/>
      <c r="C605"/>
      <c r="D605"/>
      <c r="E605"/>
      <c r="EF605" s="27" t="s">
        <v>7</v>
      </c>
    </row>
    <row r="606" spans="1:136" x14ac:dyDescent="0.25">
      <c r="A606" s="7">
        <v>0.68643075977021883</v>
      </c>
      <c r="B606"/>
      <c r="C606"/>
      <c r="D606"/>
      <c r="E606"/>
      <c r="EF606" s="27" t="s">
        <v>7</v>
      </c>
    </row>
    <row r="607" spans="1:136" x14ac:dyDescent="0.25">
      <c r="A607" s="7">
        <v>0.67297133310805768</v>
      </c>
      <c r="B607"/>
      <c r="C607"/>
      <c r="D607"/>
      <c r="E607"/>
      <c r="EF607" s="27" t="s">
        <v>7</v>
      </c>
    </row>
    <row r="608" spans="1:136" x14ac:dyDescent="0.25">
      <c r="A608" s="7">
        <v>0.65977581677260566</v>
      </c>
      <c r="B608"/>
      <c r="C608"/>
      <c r="D608"/>
      <c r="E608"/>
      <c r="EF608" s="27" t="s">
        <v>7</v>
      </c>
    </row>
    <row r="609" spans="1:136" x14ac:dyDescent="0.25">
      <c r="A609" s="7">
        <v>0.64683903605157422</v>
      </c>
      <c r="B609"/>
      <c r="C609"/>
      <c r="D609"/>
      <c r="E609"/>
      <c r="EF609" s="27" t="s">
        <v>7</v>
      </c>
    </row>
    <row r="610" spans="1:136" x14ac:dyDescent="0.25">
      <c r="A610" s="7">
        <v>0.63415591769762181</v>
      </c>
      <c r="B610"/>
      <c r="C610"/>
      <c r="D610"/>
      <c r="E610"/>
      <c r="EF610" s="27" t="s">
        <v>7</v>
      </c>
    </row>
    <row r="611" spans="1:136" x14ac:dyDescent="0.25">
      <c r="A611" s="7">
        <v>0.62172148793884496</v>
      </c>
      <c r="B611"/>
      <c r="C611"/>
      <c r="D611"/>
      <c r="E611"/>
      <c r="EF611" s="27" t="s">
        <v>7</v>
      </c>
    </row>
    <row r="612" spans="1:136" x14ac:dyDescent="0.25">
      <c r="A612" s="7">
        <v>0.60953087052827937</v>
      </c>
      <c r="B612"/>
      <c r="C612"/>
      <c r="D612"/>
      <c r="E612"/>
      <c r="EF612" s="27" t="s">
        <v>7</v>
      </c>
    </row>
    <row r="613" spans="1:136" x14ac:dyDescent="0.25">
      <c r="A613" s="7">
        <v>0.59757928483164646</v>
      </c>
      <c r="B613"/>
      <c r="C613"/>
      <c r="D613"/>
      <c r="E613"/>
      <c r="EF613" s="27" t="s">
        <v>7</v>
      </c>
    </row>
    <row r="614" spans="1:136" x14ac:dyDescent="0.25">
      <c r="A614" s="7">
        <v>0.58586204395259456</v>
      </c>
      <c r="B614"/>
      <c r="C614"/>
      <c r="D614"/>
      <c r="E614"/>
      <c r="EF614" s="27" t="s">
        <v>7</v>
      </c>
    </row>
    <row r="615" spans="1:136" x14ac:dyDescent="0.25">
      <c r="A615" s="7">
        <v>0.57437455289470052</v>
      </c>
      <c r="B615"/>
      <c r="C615"/>
      <c r="D615"/>
      <c r="E615"/>
      <c r="EF615" s="27" t="s">
        <v>7</v>
      </c>
    </row>
    <row r="616" spans="1:136" x14ac:dyDescent="0.25">
      <c r="A616" s="7">
        <v>0.56311230675951029</v>
      </c>
      <c r="B616"/>
      <c r="C616"/>
      <c r="D616"/>
      <c r="E616"/>
      <c r="EF616" s="27" t="s">
        <v>7</v>
      </c>
    </row>
    <row r="617" spans="1:136" x14ac:dyDescent="0.25">
      <c r="A617" s="7">
        <v>0.55207088897991208</v>
      </c>
      <c r="B617"/>
      <c r="C617"/>
      <c r="D617"/>
      <c r="E617"/>
      <c r="EF617" s="27" t="s">
        <v>7</v>
      </c>
    </row>
    <row r="618" spans="1:136" x14ac:dyDescent="0.25">
      <c r="A618" s="7">
        <v>0.54124596958814908</v>
      </c>
      <c r="B618"/>
      <c r="C618"/>
      <c r="D618"/>
      <c r="E618"/>
      <c r="EF618" s="27" t="s">
        <v>7</v>
      </c>
    </row>
    <row r="619" spans="1:136" x14ac:dyDescent="0.25">
      <c r="A619" s="7">
        <v>0.53063330351779314</v>
      </c>
      <c r="B619"/>
      <c r="C619"/>
      <c r="D619"/>
      <c r="E619"/>
      <c r="EF619" s="27" t="s">
        <v>7</v>
      </c>
    </row>
    <row r="620" spans="1:136" x14ac:dyDescent="0.25">
      <c r="A620" s="7">
        <v>0.52022872893901284</v>
      </c>
      <c r="B620"/>
      <c r="C620"/>
      <c r="D620"/>
      <c r="E620"/>
      <c r="EF620" s="27" t="s">
        <v>7</v>
      </c>
    </row>
    <row r="621" spans="1:136" x14ac:dyDescent="0.25">
      <c r="A621" s="7">
        <v>0.51002816562648323</v>
      </c>
      <c r="B621"/>
      <c r="C621"/>
      <c r="D621"/>
      <c r="E621"/>
      <c r="EF621" s="27" t="s">
        <v>7</v>
      </c>
    </row>
    <row r="622" spans="1:136" x14ac:dyDescent="0.25">
      <c r="A622" s="7">
        <v>0.50002761335929735</v>
      </c>
      <c r="B622"/>
      <c r="C622"/>
      <c r="D622"/>
      <c r="E622"/>
      <c r="EF622" s="27" t="s">
        <v>7</v>
      </c>
    </row>
    <row r="623" spans="1:136" x14ac:dyDescent="0.25">
      <c r="A623" s="7">
        <v>0.49022315035225228</v>
      </c>
      <c r="B623"/>
      <c r="C623"/>
      <c r="D623"/>
      <c r="E623"/>
      <c r="EF623" s="27" t="s">
        <v>7</v>
      </c>
    </row>
    <row r="624" spans="1:136" x14ac:dyDescent="0.25">
      <c r="A624" s="7">
        <v>0.48061093171789437</v>
      </c>
      <c r="B624"/>
      <c r="C624"/>
      <c r="D624"/>
      <c r="E624"/>
      <c r="EF624" s="27" t="s">
        <v>7</v>
      </c>
    </row>
    <row r="625" spans="1:136" x14ac:dyDescent="0.25">
      <c r="A625" s="7">
        <v>0.47118718795871994</v>
      </c>
      <c r="B625"/>
      <c r="C625"/>
      <c r="D625"/>
      <c r="E625"/>
      <c r="EF625" s="27" t="s">
        <v>7</v>
      </c>
    </row>
    <row r="626" spans="1:136" x14ac:dyDescent="0.25">
      <c r="A626" s="7">
        <v>0.46194822348894116</v>
      </c>
      <c r="B626"/>
      <c r="C626"/>
      <c r="D626"/>
      <c r="E626"/>
      <c r="EF626" s="27" t="s">
        <v>7</v>
      </c>
    </row>
    <row r="627" spans="1:136" x14ac:dyDescent="0.25">
      <c r="A627" s="7">
        <v>0.45289041518523643</v>
      </c>
      <c r="B627"/>
      <c r="C627"/>
      <c r="D627"/>
      <c r="E627"/>
      <c r="EF627" s="27" t="s">
        <v>7</v>
      </c>
    </row>
    <row r="628" spans="1:136" x14ac:dyDescent="0.25">
      <c r="A628" s="7">
        <v>0.44401021096591808</v>
      </c>
      <c r="B628"/>
      <c r="C628"/>
      <c r="D628"/>
      <c r="E628"/>
      <c r="EF628" s="27" t="s">
        <v>7</v>
      </c>
    </row>
    <row r="629" spans="1:136" x14ac:dyDescent="0.25">
      <c r="A629" s="7">
        <v>0.4353041283979589</v>
      </c>
      <c r="B629"/>
      <c r="C629"/>
      <c r="D629"/>
      <c r="E629"/>
      <c r="EF629" s="27" t="s">
        <v>7</v>
      </c>
    </row>
    <row r="630" spans="1:136" x14ac:dyDescent="0.25">
      <c r="A630" s="7">
        <v>0.4267687533313323</v>
      </c>
      <c r="B630"/>
      <c r="C630"/>
      <c r="D630"/>
      <c r="E630"/>
      <c r="EF630" s="27" t="s">
        <v>7</v>
      </c>
    </row>
    <row r="631" spans="1:136" x14ac:dyDescent="0.25">
      <c r="A631" s="7">
        <v>0.41840073856012971</v>
      </c>
      <c r="B631"/>
      <c r="C631"/>
      <c r="D631"/>
      <c r="E631"/>
      <c r="EF631" s="27" t="s">
        <v>7</v>
      </c>
    </row>
    <row r="632" spans="1:136" x14ac:dyDescent="0.25">
      <c r="A632" s="7">
        <v>0.41019680250993112</v>
      </c>
      <c r="B632"/>
      <c r="C632"/>
      <c r="D632"/>
      <c r="E632"/>
      <c r="EF632" s="27" t="s">
        <v>7</v>
      </c>
    </row>
    <row r="633" spans="1:136" x14ac:dyDescent="0.25">
      <c r="A633" s="7">
        <v>0.40215372795091286</v>
      </c>
      <c r="B633"/>
      <c r="C633"/>
      <c r="D633"/>
      <c r="E633"/>
      <c r="EF633" s="27" t="s">
        <v>7</v>
      </c>
    </row>
    <row r="634" spans="1:136" x14ac:dyDescent="0.25">
      <c r="A634" s="7">
        <v>0.39426836073618904</v>
      </c>
      <c r="B634"/>
      <c r="C634"/>
      <c r="D634"/>
      <c r="E634"/>
      <c r="EF634" s="27" t="s">
        <v>7</v>
      </c>
    </row>
    <row r="635" spans="1:136" x14ac:dyDescent="0.25">
      <c r="A635" s="7">
        <v>0.38653760856489122</v>
      </c>
      <c r="B635"/>
      <c r="C635"/>
      <c r="D635"/>
      <c r="E635"/>
      <c r="EF635" s="27" t="s">
        <v>7</v>
      </c>
    </row>
    <row r="636" spans="1:136" x14ac:dyDescent="0.25">
      <c r="A636" s="7">
        <v>0.37895843976950117</v>
      </c>
      <c r="B636"/>
      <c r="C636"/>
      <c r="D636"/>
      <c r="E636"/>
      <c r="EF636" s="27" t="s">
        <v>7</v>
      </c>
    </row>
    <row r="637" spans="1:136" x14ac:dyDescent="0.25">
      <c r="A637" s="7">
        <v>0.37152788212696197</v>
      </c>
      <c r="B637"/>
      <c r="C637"/>
      <c r="D637"/>
      <c r="E637"/>
      <c r="EF637" s="27" t="s">
        <v>7</v>
      </c>
    </row>
    <row r="638" spans="1:136" x14ac:dyDescent="0.25">
      <c r="A638" s="7">
        <v>0.36424302169310002</v>
      </c>
      <c r="B638"/>
      <c r="C638"/>
      <c r="D638"/>
      <c r="E638"/>
      <c r="EF638" s="27" t="s">
        <v>7</v>
      </c>
    </row>
    <row r="639" spans="1:136" x14ac:dyDescent="0.25">
      <c r="A639" s="7">
        <v>0.35710100165990194</v>
      </c>
      <c r="B639"/>
      <c r="C639"/>
      <c r="D639"/>
      <c r="E639"/>
      <c r="EF639" s="27" t="s">
        <v>7</v>
      </c>
    </row>
    <row r="640" spans="1:136" x14ac:dyDescent="0.25">
      <c r="A640" s="7">
        <v>0.35009902123519804</v>
      </c>
      <c r="B640"/>
      <c r="C640"/>
      <c r="D640"/>
      <c r="E640"/>
      <c r="EF640" s="27" t="s">
        <v>7</v>
      </c>
    </row>
    <row r="641" spans="1:136" x14ac:dyDescent="0.25">
      <c r="A641" s="7">
        <v>0.34323433454431179</v>
      </c>
      <c r="B641"/>
      <c r="C641"/>
      <c r="D641"/>
      <c r="E641"/>
      <c r="EF641" s="27" t="s">
        <v>7</v>
      </c>
    </row>
    <row r="642" spans="1:136" x14ac:dyDescent="0.25">
      <c r="A642" s="7">
        <v>0.33650424955324681</v>
      </c>
      <c r="B642"/>
      <c r="C642"/>
      <c r="D642"/>
      <c r="E642"/>
      <c r="EF642" s="27" t="s">
        <v>7</v>
      </c>
    </row>
    <row r="643" spans="1:136" x14ac:dyDescent="0.25">
      <c r="A643" s="7">
        <v>0.3299061270129871</v>
      </c>
      <c r="B643"/>
      <c r="C643"/>
      <c r="D643"/>
      <c r="E643"/>
      <c r="EF643" s="27" t="s">
        <v>7</v>
      </c>
    </row>
    <row r="644" spans="1:136" x14ac:dyDescent="0.25">
      <c r="A644" s="7">
        <v>0.32343737942449713</v>
      </c>
      <c r="B644"/>
      <c r="C644"/>
      <c r="D644"/>
      <c r="E644"/>
      <c r="EF644" s="27" t="s">
        <v>7</v>
      </c>
    </row>
    <row r="645" spans="1:136" x14ac:dyDescent="0.25">
      <c r="A645" s="7">
        <v>0.31709547002401678</v>
      </c>
      <c r="B645"/>
      <c r="C645"/>
      <c r="D645"/>
      <c r="E645"/>
      <c r="EF645" s="27" t="s">
        <v>7</v>
      </c>
    </row>
    <row r="646" spans="1:136" x14ac:dyDescent="0.25">
      <c r="A646" s="7">
        <v>0.31087791178825175</v>
      </c>
      <c r="B646"/>
      <c r="C646"/>
      <c r="D646"/>
      <c r="E646"/>
      <c r="EF646" s="27" t="s">
        <v>7</v>
      </c>
    </row>
    <row r="647" spans="1:136" x14ac:dyDescent="0.25">
      <c r="A647" s="7">
        <v>0.30478226645907036</v>
      </c>
      <c r="B647"/>
      <c r="C647"/>
      <c r="D647"/>
      <c r="E647"/>
      <c r="EF647" s="27" t="s">
        <v>7</v>
      </c>
    </row>
    <row r="648" spans="1:136" x14ac:dyDescent="0.25">
      <c r="A648" s="7">
        <v>0.29880614358732388</v>
      </c>
      <c r="B648"/>
      <c r="C648"/>
      <c r="D648"/>
      <c r="E648"/>
      <c r="EF648" s="27" t="s">
        <v>7</v>
      </c>
    </row>
    <row r="649" spans="1:136" x14ac:dyDescent="0.25">
      <c r="A649" s="7">
        <v>0.2929471995954156</v>
      </c>
      <c r="B649"/>
      <c r="C649"/>
      <c r="D649"/>
      <c r="E649"/>
      <c r="EF649" s="27" t="s">
        <v>7</v>
      </c>
    </row>
    <row r="650" spans="1:136" x14ac:dyDescent="0.25">
      <c r="A650" s="7">
        <v>0.28720313685825055</v>
      </c>
      <c r="B650"/>
      <c r="C650"/>
      <c r="D650"/>
      <c r="E650"/>
      <c r="EF650" s="27" t="s">
        <v>7</v>
      </c>
    </row>
    <row r="651" spans="1:136" x14ac:dyDescent="0.25">
      <c r="A651" s="7">
        <v>0.28157170280220645</v>
      </c>
      <c r="B651"/>
      <c r="C651"/>
      <c r="D651"/>
      <c r="E651"/>
      <c r="EF651" s="27" t="s">
        <v>7</v>
      </c>
    </row>
    <row r="652" spans="1:136" x14ac:dyDescent="0.25">
      <c r="A652" s="7">
        <v>0.27605068902177105</v>
      </c>
      <c r="B652"/>
      <c r="C652"/>
      <c r="D652"/>
      <c r="E652"/>
      <c r="EF652" s="27" t="s">
        <v>7</v>
      </c>
    </row>
    <row r="653" spans="1:136" x14ac:dyDescent="0.25">
      <c r="A653" s="7">
        <v>0.27063793041350104</v>
      </c>
      <c r="B653"/>
      <c r="C653"/>
      <c r="D653"/>
      <c r="E653"/>
      <c r="EF653" s="27" t="s">
        <v>7</v>
      </c>
    </row>
    <row r="654" spans="1:136" x14ac:dyDescent="0.25">
      <c r="A654" s="7">
        <v>0.26533130432696184</v>
      </c>
      <c r="B654"/>
      <c r="C654"/>
      <c r="D654"/>
      <c r="E654"/>
      <c r="EF654" s="27" t="s">
        <v>7</v>
      </c>
    </row>
    <row r="655" spans="1:136" x14ac:dyDescent="0.25">
      <c r="A655" s="7">
        <v>0.26012872973231554</v>
      </c>
      <c r="B655"/>
      <c r="C655"/>
      <c r="D655"/>
      <c r="E655"/>
      <c r="EF655" s="27" t="s">
        <v>7</v>
      </c>
    </row>
    <row r="656" spans="1:136" x14ac:dyDescent="0.25">
      <c r="A656" s="7">
        <v>0.25502816640423093</v>
      </c>
      <c r="B656"/>
      <c r="C656"/>
      <c r="D656"/>
      <c r="E656"/>
      <c r="EF656" s="27" t="s">
        <v>7</v>
      </c>
    </row>
    <row r="657" spans="1:136" x14ac:dyDescent="0.25">
      <c r="A657" s="7">
        <v>0.25002761412179503</v>
      </c>
      <c r="B657"/>
      <c r="C657"/>
      <c r="D657"/>
      <c r="E657"/>
      <c r="EF657" s="27" t="s">
        <v>7</v>
      </c>
    </row>
    <row r="658" spans="1:136" x14ac:dyDescent="0.25">
      <c r="A658" s="7">
        <v>0.24512511188411276</v>
      </c>
      <c r="B658"/>
      <c r="C658"/>
      <c r="D658"/>
      <c r="E658"/>
      <c r="EF658" s="27" t="s">
        <v>7</v>
      </c>
    </row>
    <row r="659" spans="1:136" x14ac:dyDescent="0.25">
      <c r="A659" s="7">
        <v>0.24031873714128701</v>
      </c>
      <c r="B659"/>
      <c r="C659"/>
      <c r="D659"/>
      <c r="E659"/>
      <c r="EF659" s="27" t="s">
        <v>7</v>
      </c>
    </row>
    <row r="660" spans="1:136" x14ac:dyDescent="0.25">
      <c r="A660" s="7">
        <v>0.23560660504047748</v>
      </c>
      <c r="B660"/>
      <c r="C660"/>
      <c r="D660"/>
      <c r="E660"/>
      <c r="EF660" s="27" t="s">
        <v>7</v>
      </c>
    </row>
    <row r="661" spans="1:136" x14ac:dyDescent="0.25">
      <c r="A661" s="7">
        <v>0.23098686768674265</v>
      </c>
      <c r="B661"/>
      <c r="C661"/>
      <c r="D661"/>
      <c r="E661"/>
      <c r="EF661" s="27" t="s">
        <v>7</v>
      </c>
    </row>
    <row r="662" spans="1:136" x14ac:dyDescent="0.25">
      <c r="A662" s="7">
        <v>0.22645771341837515</v>
      </c>
      <c r="B662"/>
      <c r="C662"/>
      <c r="D662"/>
      <c r="E662"/>
      <c r="EF662" s="27" t="s">
        <v>7</v>
      </c>
    </row>
    <row r="663" spans="1:136" x14ac:dyDescent="0.25">
      <c r="A663" s="7">
        <v>0.22201736609644623</v>
      </c>
      <c r="B663"/>
      <c r="C663"/>
      <c r="D663"/>
      <c r="E663"/>
      <c r="EF663" s="27" t="s">
        <v>7</v>
      </c>
    </row>
    <row r="664" spans="1:136" x14ac:dyDescent="0.25">
      <c r="A664" s="7">
        <v>0.21766408440828061</v>
      </c>
      <c r="B664"/>
      <c r="C664"/>
      <c r="D664"/>
      <c r="E664"/>
      <c r="EF664" s="27" t="s">
        <v>7</v>
      </c>
    </row>
    <row r="665" spans="1:136" x14ac:dyDescent="0.25">
      <c r="A665" s="7">
        <v>0.21339616118458882</v>
      </c>
      <c r="B665"/>
      <c r="C665"/>
      <c r="D665"/>
      <c r="E665"/>
      <c r="EF665" s="27" t="s">
        <v>7</v>
      </c>
    </row>
    <row r="666" spans="1:136" x14ac:dyDescent="0.25">
      <c r="A666" s="7">
        <v>0.20921192272998904</v>
      </c>
      <c r="B666"/>
      <c r="C666"/>
      <c r="D666"/>
      <c r="E666"/>
      <c r="EF666" s="27" t="s">
        <v>7</v>
      </c>
    </row>
    <row r="667" spans="1:136" x14ac:dyDescent="0.25">
      <c r="A667" s="7">
        <v>0.20510972816665593</v>
      </c>
      <c r="B667"/>
      <c r="C667"/>
      <c r="D667"/>
      <c r="E667"/>
      <c r="EF667" s="27" t="s">
        <v>7</v>
      </c>
    </row>
    <row r="668" spans="1:136" x14ac:dyDescent="0.25">
      <c r="A668" s="7">
        <v>0.20108796879083912</v>
      </c>
      <c r="B668"/>
      <c r="C668"/>
      <c r="D668"/>
      <c r="E668"/>
      <c r="EF668" s="27" t="s">
        <v>7</v>
      </c>
    </row>
    <row r="669" spans="1:136" x14ac:dyDescent="0.25">
      <c r="A669" s="7">
        <v>0.19714506744199917</v>
      </c>
      <c r="B669"/>
      <c r="C669"/>
      <c r="D669"/>
      <c r="E669"/>
      <c r="EF669" s="27" t="s">
        <v>7</v>
      </c>
    </row>
    <row r="670" spans="1:136" x14ac:dyDescent="0.25">
      <c r="A670" s="7">
        <v>0.19327947788431293</v>
      </c>
      <c r="B670"/>
      <c r="C670"/>
      <c r="D670"/>
      <c r="E670"/>
      <c r="EF670" s="27" t="s">
        <v>7</v>
      </c>
    </row>
    <row r="671" spans="1:136" x14ac:dyDescent="0.25">
      <c r="A671" s="7">
        <v>0.18948968420030682</v>
      </c>
      <c r="B671"/>
      <c r="C671"/>
      <c r="D671"/>
      <c r="E671"/>
      <c r="EF671" s="27" t="s">
        <v>7</v>
      </c>
    </row>
    <row r="672" spans="1:136" x14ac:dyDescent="0.25">
      <c r="A672" s="7">
        <v>0.18577420019637925</v>
      </c>
      <c r="B672"/>
      <c r="C672"/>
      <c r="D672"/>
      <c r="E672"/>
      <c r="EF672" s="27" t="s">
        <v>7</v>
      </c>
    </row>
    <row r="673" spans="1:136" x14ac:dyDescent="0.25">
      <c r="A673" s="7">
        <v>0.18213156881997963</v>
      </c>
      <c r="B673"/>
      <c r="C673"/>
      <c r="D673"/>
      <c r="E673"/>
      <c r="EF673" s="27" t="s">
        <v>7</v>
      </c>
    </row>
    <row r="674" spans="1:136" x14ac:dyDescent="0.25">
      <c r="A674" s="7">
        <v>0.17856036158821534</v>
      </c>
      <c r="B674"/>
      <c r="C674"/>
      <c r="D674"/>
      <c r="E674"/>
      <c r="EF674" s="27" t="s">
        <v>7</v>
      </c>
    </row>
    <row r="675" spans="1:136" x14ac:dyDescent="0.25">
      <c r="A675" s="7">
        <v>0.17505917802766208</v>
      </c>
      <c r="B675"/>
      <c r="C675"/>
      <c r="D675"/>
      <c r="E675"/>
      <c r="EF675" s="27" t="s">
        <v>7</v>
      </c>
    </row>
    <row r="676" spans="1:136" x14ac:dyDescent="0.25">
      <c r="A676" s="7">
        <v>0.17162664512515888</v>
      </c>
      <c r="B676"/>
      <c r="C676"/>
      <c r="D676"/>
      <c r="E676"/>
      <c r="EF676" s="27" t="s">
        <v>7</v>
      </c>
    </row>
    <row r="677" spans="1:136" x14ac:dyDescent="0.25">
      <c r="A677" s="7">
        <v>0.16826141678937145</v>
      </c>
      <c r="B677"/>
      <c r="C677"/>
      <c r="D677"/>
      <c r="E677"/>
      <c r="EF677" s="27" t="s">
        <v>7</v>
      </c>
    </row>
    <row r="678" spans="1:136" x14ac:dyDescent="0.25">
      <c r="A678" s="7">
        <v>0.16496217332291319</v>
      </c>
      <c r="B678"/>
      <c r="C678"/>
      <c r="D678"/>
      <c r="E678"/>
      <c r="EF678" s="27" t="s">
        <v>7</v>
      </c>
    </row>
    <row r="679" spans="1:136" x14ac:dyDescent="0.25">
      <c r="A679" s="7">
        <v>0.16172762090481685</v>
      </c>
      <c r="B679"/>
      <c r="C679"/>
      <c r="D679"/>
      <c r="E679"/>
      <c r="EF679" s="27" t="s">
        <v>7</v>
      </c>
    </row>
    <row r="680" spans="1:136" x14ac:dyDescent="0.25">
      <c r="A680" s="7">
        <v>0.15855649108315376</v>
      </c>
      <c r="B680"/>
      <c r="C680"/>
      <c r="D680"/>
      <c r="E680"/>
      <c r="EF680" s="27" t="s">
        <v>7</v>
      </c>
    </row>
    <row r="681" spans="1:136" x14ac:dyDescent="0.25">
      <c r="A681" s="7">
        <v>0.15544754027760171</v>
      </c>
      <c r="B681"/>
      <c r="C681"/>
      <c r="D681"/>
      <c r="E681"/>
      <c r="EF681" s="27" t="s">
        <v>7</v>
      </c>
    </row>
    <row r="682" spans="1:136" x14ac:dyDescent="0.25">
      <c r="A682" s="7">
        <v>0.15239954929176638</v>
      </c>
      <c r="B682"/>
      <c r="C682"/>
      <c r="D682"/>
      <c r="E682"/>
      <c r="EF682" s="27" t="s">
        <v>7</v>
      </c>
    </row>
    <row r="683" spans="1:136" x14ac:dyDescent="0.25">
      <c r="A683" s="7">
        <v>0.14941132283506509</v>
      </c>
      <c r="B683"/>
      <c r="C683"/>
      <c r="D683"/>
      <c r="E683"/>
      <c r="EF683" s="27" t="s">
        <v>7</v>
      </c>
    </row>
    <row r="684" spans="1:136" x14ac:dyDescent="0.25">
      <c r="A684" s="7">
        <v>0.14648168905398537</v>
      </c>
      <c r="B684"/>
      <c r="C684"/>
      <c r="D684"/>
      <c r="E684"/>
      <c r="EF684" s="27" t="s">
        <v>7</v>
      </c>
    </row>
    <row r="685" spans="1:136" x14ac:dyDescent="0.25">
      <c r="A685" s="7">
        <v>0.14360949907253467</v>
      </c>
      <c r="B685"/>
      <c r="C685"/>
      <c r="D685"/>
      <c r="E685"/>
      <c r="EF685" s="27" t="s">
        <v>7</v>
      </c>
    </row>
    <row r="686" spans="1:136" x14ac:dyDescent="0.25">
      <c r="A686" s="7">
        <v>0.14079362654170066</v>
      </c>
      <c r="B686"/>
      <c r="C686"/>
      <c r="D686"/>
      <c r="E686"/>
      <c r="EF686" s="27" t="s">
        <v>7</v>
      </c>
    </row>
    <row r="687" spans="1:136" x14ac:dyDescent="0.25">
      <c r="A687" s="7">
        <v>0.13803296719774574</v>
      </c>
      <c r="B687"/>
      <c r="C687"/>
      <c r="D687"/>
      <c r="E687"/>
      <c r="EF687" s="27" t="s">
        <v>7</v>
      </c>
    </row>
    <row r="688" spans="1:136" x14ac:dyDescent="0.25">
      <c r="A688" s="7">
        <v>0.1353264384291625</v>
      </c>
      <c r="B688"/>
      <c r="C688"/>
      <c r="D688"/>
      <c r="E688"/>
      <c r="EF688" s="27" t="s">
        <v>7</v>
      </c>
    </row>
    <row r="689" spans="1:136" x14ac:dyDescent="0.25">
      <c r="A689" s="7">
        <v>0.13267297885212009</v>
      </c>
      <c r="B689"/>
      <c r="C689"/>
      <c r="D689"/>
      <c r="E689"/>
      <c r="EF689" s="27" t="s">
        <v>7</v>
      </c>
    </row>
    <row r="690" spans="1:136" x14ac:dyDescent="0.25">
      <c r="A690" s="7">
        <v>0.13007154789423539</v>
      </c>
      <c r="B690"/>
      <c r="C690"/>
      <c r="D690"/>
      <c r="E690"/>
      <c r="EF690" s="27" t="s">
        <v>7</v>
      </c>
    </row>
    <row r="691" spans="1:136" x14ac:dyDescent="0.25">
      <c r="A691" s="7">
        <v>0.12752112538650529</v>
      </c>
      <c r="B691"/>
      <c r="C691"/>
      <c r="D691"/>
      <c r="E691"/>
      <c r="EF691" s="27" t="s">
        <v>7</v>
      </c>
    </row>
    <row r="692" spans="1:136" x14ac:dyDescent="0.25">
      <c r="A692" s="7">
        <v>0.12502071116324048</v>
      </c>
      <c r="B692"/>
      <c r="C692"/>
      <c r="D692"/>
      <c r="E692"/>
      <c r="EF692" s="27" t="s">
        <v>7</v>
      </c>
    </row>
    <row r="693" spans="1:136" x14ac:dyDescent="0.25">
      <c r="A693" s="7">
        <v>0.1225693246698436</v>
      </c>
      <c r="B693"/>
      <c r="C693"/>
      <c r="D693"/>
      <c r="E693"/>
      <c r="EF693" s="27" t="s">
        <v>7</v>
      </c>
    </row>
    <row r="694" spans="1:136" x14ac:dyDescent="0.25">
      <c r="A694" s="7">
        <v>0.12016600457827803</v>
      </c>
      <c r="B694"/>
      <c r="C694"/>
      <c r="D694"/>
      <c r="E694"/>
      <c r="EF694" s="27" t="s">
        <v>7</v>
      </c>
    </row>
    <row r="695" spans="1:136" x14ac:dyDescent="0.25">
      <c r="A695" s="7">
        <v>0.1178098084100765</v>
      </c>
      <c r="B695"/>
      <c r="C695"/>
      <c r="D695"/>
      <c r="E695"/>
      <c r="EF695" s="27" t="s">
        <v>7</v>
      </c>
    </row>
    <row r="696" spans="1:136" x14ac:dyDescent="0.25">
      <c r="A696" s="7">
        <v>0.11549981216674166</v>
      </c>
      <c r="B696"/>
      <c r="C696"/>
      <c r="D696"/>
      <c r="E696"/>
      <c r="EF696" s="27" t="s">
        <v>7</v>
      </c>
    </row>
    <row r="697" spans="1:136" x14ac:dyDescent="0.25">
      <c r="A697" s="7">
        <v>0.11323510996739378</v>
      </c>
      <c r="B697"/>
      <c r="C697"/>
      <c r="D697"/>
      <c r="E697"/>
      <c r="EF697" s="27" t="s">
        <v>7</v>
      </c>
    </row>
    <row r="698" spans="1:136" x14ac:dyDescent="0.25">
      <c r="A698" s="7">
        <v>0.11101481369352331</v>
      </c>
      <c r="B698"/>
      <c r="C698"/>
      <c r="D698"/>
      <c r="E698"/>
      <c r="EF698" s="27" t="s">
        <v>7</v>
      </c>
    </row>
    <row r="699" spans="1:136" x14ac:dyDescent="0.25">
      <c r="A699" s="7">
        <v>0.10883805264070913</v>
      </c>
      <c r="B699"/>
      <c r="C699"/>
      <c r="D699"/>
      <c r="E699"/>
      <c r="EF699" s="27" t="s">
        <v>7</v>
      </c>
    </row>
    <row r="700" spans="1:136" x14ac:dyDescent="0.25">
      <c r="A700" s="7">
        <v>0.10670397317716582</v>
      </c>
      <c r="B700"/>
      <c r="C700"/>
      <c r="D700"/>
      <c r="E700"/>
      <c r="EF700" s="27" t="s">
        <v>7</v>
      </c>
    </row>
    <row r="701" spans="1:136" x14ac:dyDescent="0.25">
      <c r="A701" s="7">
        <v>0.1046117384089861</v>
      </c>
      <c r="B701"/>
      <c r="C701"/>
      <c r="D701"/>
      <c r="E701"/>
      <c r="EF701" s="27" t="s">
        <v>7</v>
      </c>
    </row>
    <row r="702" spans="1:136" x14ac:dyDescent="0.25">
      <c r="A702" s="7">
        <v>0.10256052785194716</v>
      </c>
      <c r="B702"/>
      <c r="C702"/>
      <c r="D702"/>
      <c r="E702"/>
      <c r="EF702" s="27" t="s">
        <v>7</v>
      </c>
    </row>
    <row r="703" spans="1:136" x14ac:dyDescent="0.25">
      <c r="A703" s="7">
        <v>0.10054953710975212</v>
      </c>
      <c r="B703"/>
      <c r="C703"/>
      <c r="D703"/>
      <c r="E703"/>
      <c r="EF703" s="27" t="s">
        <v>7</v>
      </c>
    </row>
    <row r="704" spans="1:136" x14ac:dyDescent="0.25">
      <c r="A704" s="7">
        <v>9.8577977558580512E-2</v>
      </c>
      <c r="B704"/>
      <c r="C704"/>
      <c r="D704"/>
      <c r="E704"/>
      <c r="EF704" s="27" t="s">
        <v>7</v>
      </c>
    </row>
    <row r="705" spans="1:136" x14ac:dyDescent="0.25">
      <c r="A705" s="7">
        <v>9.6645076037824032E-2</v>
      </c>
      <c r="B705"/>
      <c r="C705"/>
      <c r="D705"/>
      <c r="E705"/>
      <c r="EF705" s="27" t="s">
        <v>7</v>
      </c>
    </row>
    <row r="706" spans="1:136" x14ac:dyDescent="0.25">
      <c r="A706" s="7">
        <v>9.4750074546886304E-2</v>
      </c>
      <c r="B706"/>
      <c r="C706"/>
      <c r="D706"/>
      <c r="E706"/>
      <c r="EF706" s="27" t="s">
        <v>7</v>
      </c>
    </row>
    <row r="707" spans="1:136" x14ac:dyDescent="0.25">
      <c r="A707" s="7">
        <v>9.2892229947927743E-2</v>
      </c>
      <c r="B707"/>
      <c r="C707"/>
      <c r="D707"/>
      <c r="E707"/>
      <c r="EF707" s="27" t="s">
        <v>7</v>
      </c>
    </row>
    <row r="708" spans="1:136" x14ac:dyDescent="0.25">
      <c r="A708" s="7">
        <v>9.1070813674438963E-2</v>
      </c>
      <c r="B708"/>
      <c r="C708"/>
      <c r="D708"/>
      <c r="E708"/>
      <c r="EF708" s="27" t="s">
        <v>7</v>
      </c>
    </row>
    <row r="709" spans="1:136" x14ac:dyDescent="0.25">
      <c r="A709" s="7">
        <v>8.9285111445528392E-2</v>
      </c>
      <c r="B709"/>
      <c r="C709"/>
      <c r="D709"/>
      <c r="E709"/>
      <c r="EF709" s="27" t="s">
        <v>7</v>
      </c>
    </row>
    <row r="710" spans="1:136" x14ac:dyDescent="0.25">
      <c r="A710" s="7">
        <v>8.7534422985812155E-2</v>
      </c>
      <c r="B710"/>
      <c r="C710"/>
      <c r="D710"/>
      <c r="E710"/>
      <c r="EF710" s="27" t="s">
        <v>7</v>
      </c>
    </row>
    <row r="711" spans="1:136" x14ac:dyDescent="0.25">
      <c r="A711" s="7">
        <v>8.5818061750796232E-2</v>
      </c>
      <c r="B711"/>
      <c r="C711"/>
      <c r="D711"/>
      <c r="E711"/>
      <c r="EF711" s="27" t="s">
        <v>7</v>
      </c>
    </row>
    <row r="712" spans="1:136" x14ac:dyDescent="0.25">
      <c r="A712" s="7">
        <v>8.4135354657643366E-2</v>
      </c>
      <c r="B712"/>
      <c r="C712"/>
      <c r="D712"/>
      <c r="E712"/>
      <c r="EF712" s="27" t="s">
        <v>7</v>
      </c>
    </row>
    <row r="713" spans="1:136" x14ac:dyDescent="0.25">
      <c r="A713" s="7">
        <v>8.248564182121898E-2</v>
      </c>
      <c r="B713"/>
      <c r="C713"/>
      <c r="D713"/>
      <c r="E713"/>
      <c r="EF713" s="27" t="s">
        <v>7</v>
      </c>
    </row>
    <row r="714" spans="1:136" x14ac:dyDescent="0.25">
      <c r="A714" s="7">
        <v>8.0868276295312735E-2</v>
      </c>
      <c r="B714"/>
      <c r="C714"/>
      <c r="D714"/>
      <c r="E714"/>
      <c r="EF714" s="27" t="s">
        <v>7</v>
      </c>
    </row>
    <row r="715" spans="1:136" x14ac:dyDescent="0.25">
      <c r="A715" s="7">
        <v>7.9282623818934056E-2</v>
      </c>
      <c r="B715"/>
      <c r="C715"/>
      <c r="D715"/>
      <c r="E715"/>
      <c r="EF715" s="27" t="s">
        <v>7</v>
      </c>
    </row>
    <row r="716" spans="1:136" x14ac:dyDescent="0.25">
      <c r="A716" s="7">
        <v>7.7728062567582412E-2</v>
      </c>
      <c r="B716"/>
      <c r="C716"/>
      <c r="D716"/>
      <c r="E716"/>
      <c r="EF716" s="27" t="s">
        <v>7</v>
      </c>
    </row>
    <row r="717" spans="1:136" x14ac:dyDescent="0.25">
      <c r="A717" s="7">
        <v>7.6203982909394521E-2</v>
      </c>
      <c r="B717"/>
      <c r="C717"/>
      <c r="D717"/>
      <c r="E717"/>
      <c r="EF717" s="27" t="s">
        <v>7</v>
      </c>
    </row>
    <row r="718" spans="1:136" x14ac:dyDescent="0.25">
      <c r="A718" s="7">
        <v>7.4709787166073058E-2</v>
      </c>
      <c r="B718"/>
      <c r="C718"/>
      <c r="D718"/>
      <c r="E718"/>
      <c r="EF718" s="27" t="s">
        <v>7</v>
      </c>
    </row>
    <row r="719" spans="1:136" x14ac:dyDescent="0.25">
      <c r="A719" s="7">
        <v>7.3244889378503E-2</v>
      </c>
      <c r="B719"/>
      <c r="C719"/>
      <c r="D719"/>
      <c r="E719"/>
      <c r="EF719" s="27" t="s">
        <v>7</v>
      </c>
    </row>
    <row r="720" spans="1:136" x14ac:dyDescent="0.25">
      <c r="A720" s="7">
        <v>7.1808715076963722E-2</v>
      </c>
      <c r="B720"/>
      <c r="C720"/>
      <c r="D720"/>
      <c r="E720"/>
      <c r="EF720" s="27" t="s">
        <v>7</v>
      </c>
    </row>
    <row r="721" spans="1:194" x14ac:dyDescent="0.25">
      <c r="A721" s="7">
        <v>7.0400701055846782E-2</v>
      </c>
      <c r="B721"/>
      <c r="C721"/>
      <c r="D721"/>
      <c r="E721"/>
      <c r="EF721" s="27" t="s">
        <v>7</v>
      </c>
    </row>
    <row r="722" spans="1:194" x14ac:dyDescent="0.25">
      <c r="A722" s="7">
        <v>6.9020295152790956E-2</v>
      </c>
      <c r="B722"/>
      <c r="C722"/>
      <c r="D722"/>
      <c r="E722"/>
      <c r="EF722" s="27" t="s">
        <v>7</v>
      </c>
    </row>
    <row r="723" spans="1:194" x14ac:dyDescent="0.25">
      <c r="A723" s="7">
        <v>6.7666956032147993E-2</v>
      </c>
      <c r="B723"/>
      <c r="C723"/>
      <c r="D723"/>
      <c r="E723"/>
      <c r="EF723" s="27" t="s">
        <v>7</v>
      </c>
    </row>
    <row r="724" spans="1:194" x14ac:dyDescent="0.25">
      <c r="A724" s="7">
        <v>6.6340152972694105E-2</v>
      </c>
      <c r="B724"/>
      <c r="C724"/>
      <c r="D724"/>
      <c r="E724"/>
      <c r="EF724" s="27" t="s">
        <v>7</v>
      </c>
    </row>
    <row r="725" spans="1:194" x14ac:dyDescent="0.25">
      <c r="A725" s="7">
        <v>6.5039365659504023E-2</v>
      </c>
      <c r="B725"/>
      <c r="C725"/>
      <c r="D725"/>
      <c r="E725"/>
      <c r="EF725" s="27" t="s">
        <v>7</v>
      </c>
    </row>
    <row r="726" spans="1:194" x14ac:dyDescent="0.25">
      <c r="A726" s="7">
        <v>6.3764083979905906E-2</v>
      </c>
      <c r="B726"/>
      <c r="C726"/>
      <c r="D726"/>
      <c r="E726"/>
      <c r="EF726" s="27" t="s">
        <v>7</v>
      </c>
    </row>
    <row r="727" spans="1:194" x14ac:dyDescent="0.25">
      <c r="A727" s="7">
        <v>6.251380782343717E-2</v>
      </c>
      <c r="B727"/>
      <c r="C727"/>
      <c r="D727"/>
      <c r="E727"/>
      <c r="EF727" s="27" t="s">
        <v>7</v>
      </c>
    </row>
    <row r="728" spans="1:194" x14ac:dyDescent="0.25">
      <c r="A728" s="7">
        <v>6.1288046885722716E-2</v>
      </c>
      <c r="B728"/>
      <c r="C728"/>
      <c r="D728"/>
      <c r="E728"/>
      <c r="EF728" s="27" t="s">
        <v>7</v>
      </c>
    </row>
    <row r="729" spans="1:194" x14ac:dyDescent="0.25">
      <c r="A729" s="7">
        <v>6.0086320476198739E-2</v>
      </c>
      <c r="B729"/>
      <c r="C729"/>
      <c r="D729"/>
      <c r="E729"/>
      <c r="EF729" s="27" t="s">
        <v>7</v>
      </c>
    </row>
    <row r="730" spans="1:194" x14ac:dyDescent="0.25">
      <c r="A730" s="7">
        <v>5.8908157329606609E-2</v>
      </c>
      <c r="B730"/>
      <c r="C730"/>
      <c r="D730"/>
      <c r="E730"/>
      <c r="EF730" s="27" t="s">
        <v>7</v>
      </c>
    </row>
    <row r="731" spans="1:194" x14ac:dyDescent="0.25">
      <c r="A731" s="7">
        <v>5.7753095421182947E-2</v>
      </c>
      <c r="B731"/>
      <c r="C731"/>
      <c r="D731"/>
      <c r="E731"/>
      <c r="EF731" s="27" t="s">
        <v>7</v>
      </c>
    </row>
    <row r="732" spans="1:194" x14ac:dyDescent="0.25">
      <c r="A732" s="7">
        <v>5.6620681785473484E-2</v>
      </c>
      <c r="B732"/>
      <c r="C732"/>
      <c r="D732"/>
      <c r="E732"/>
      <c r="EF732" s="27" t="s">
        <v>7</v>
      </c>
    </row>
    <row r="733" spans="1:194" x14ac:dyDescent="0.25">
      <c r="A733" s="7">
        <v>5.5510472338699497E-2</v>
      </c>
      <c r="B733"/>
      <c r="C733"/>
      <c r="D733"/>
      <c r="E733"/>
      <c r="EF733" s="27" t="s">
        <v>7</v>
      </c>
      <c r="GK733" s="27" t="s">
        <v>8</v>
      </c>
    </row>
    <row r="734" spans="1:194" x14ac:dyDescent="0.25">
      <c r="A734" s="7">
        <v>5.4422031704607354E-2</v>
      </c>
      <c r="B734"/>
      <c r="C734"/>
      <c r="D734"/>
      <c r="E734"/>
      <c r="EF734" s="27" t="s">
        <v>7</v>
      </c>
      <c r="GK734" s="27" t="s">
        <v>8</v>
      </c>
      <c r="GL734" s="27" t="s">
        <v>7</v>
      </c>
    </row>
    <row r="735" spans="1:194" x14ac:dyDescent="0.25">
      <c r="A735" s="7">
        <v>5.3354933043732705E-2</v>
      </c>
      <c r="B735"/>
      <c r="C735"/>
      <c r="D735"/>
      <c r="E735"/>
      <c r="EF735" s="27" t="s">
        <v>7</v>
      </c>
      <c r="FI735" s="27" t="s">
        <v>8</v>
      </c>
      <c r="GK735" s="27" t="s">
        <v>8</v>
      </c>
      <c r="GL735" s="27" t="s">
        <v>7</v>
      </c>
    </row>
    <row r="736" spans="1:194" x14ac:dyDescent="0.25">
      <c r="A736" s="7">
        <v>5.2308757886012455E-2</v>
      </c>
      <c r="B736"/>
      <c r="C736"/>
      <c r="D736"/>
      <c r="E736"/>
      <c r="EF736" s="27" t="s">
        <v>7</v>
      </c>
      <c r="FI736" s="27" t="s">
        <v>8</v>
      </c>
      <c r="FJ736" s="27" t="s">
        <v>7</v>
      </c>
      <c r="GK736" s="27" t="s">
        <v>8</v>
      </c>
      <c r="GL736" s="27" t="s">
        <v>7</v>
      </c>
    </row>
    <row r="737" spans="1:210" x14ac:dyDescent="0.25">
      <c r="A737" s="7">
        <v>5.1283095966678877E-2</v>
      </c>
      <c r="B737"/>
      <c r="C737"/>
      <c r="D737"/>
      <c r="E737"/>
      <c r="EF737" s="27" t="s">
        <v>7</v>
      </c>
      <c r="FI737" s="27" t="s">
        <v>8</v>
      </c>
      <c r="FJ737" s="27" t="s">
        <v>7</v>
      </c>
      <c r="GK737" s="27" t="s">
        <v>8</v>
      </c>
      <c r="GL737" s="27" t="s">
        <v>7</v>
      </c>
    </row>
    <row r="738" spans="1:210" x14ac:dyDescent="0.25">
      <c r="A738" s="7">
        <v>5.0277545065371444E-2</v>
      </c>
      <c r="B738"/>
      <c r="C738"/>
      <c r="D738"/>
      <c r="E738"/>
      <c r="EF738" s="27" t="s">
        <v>7</v>
      </c>
      <c r="FI738" s="27" t="s">
        <v>8</v>
      </c>
      <c r="FJ738" s="27" t="s">
        <v>7</v>
      </c>
      <c r="GK738" s="27" t="s">
        <v>8</v>
      </c>
      <c r="GL738" s="27" t="s">
        <v>7</v>
      </c>
    </row>
    <row r="739" spans="1:210" x14ac:dyDescent="0.25">
      <c r="A739" s="7">
        <v>4.9291710848403378E-2</v>
      </c>
      <c r="B739"/>
      <c r="C739"/>
      <c r="D739"/>
      <c r="E739"/>
      <c r="EF739" s="27" t="s">
        <v>7</v>
      </c>
      <c r="FI739" s="27" t="s">
        <v>8</v>
      </c>
      <c r="FJ739" s="27" t="s">
        <v>7</v>
      </c>
      <c r="GK739" s="27" t="s">
        <v>8</v>
      </c>
      <c r="GL739" s="27" t="s">
        <v>7</v>
      </c>
    </row>
    <row r="740" spans="1:210" x14ac:dyDescent="0.25">
      <c r="A740" s="7">
        <v>4.8325206714120959E-2</v>
      </c>
      <c r="B740"/>
      <c r="C740"/>
      <c r="D740"/>
      <c r="E740"/>
      <c r="EF740" s="27" t="s">
        <v>7</v>
      </c>
      <c r="FI740" s="27" t="s">
        <v>8</v>
      </c>
      <c r="FJ740" s="27" t="s">
        <v>7</v>
      </c>
      <c r="GK740" s="27" t="s">
        <v>8</v>
      </c>
      <c r="GL740" s="27" t="s">
        <v>7</v>
      </c>
    </row>
    <row r="741" spans="1:210" x14ac:dyDescent="0.25">
      <c r="A741" s="7">
        <v>4.7377653641295057E-2</v>
      </c>
      <c r="B741"/>
      <c r="C741"/>
      <c r="D741"/>
      <c r="E741"/>
      <c r="EF741" s="27" t="s">
        <v>7</v>
      </c>
      <c r="FI741" s="27" t="s">
        <v>8</v>
      </c>
      <c r="FJ741" s="27" t="s">
        <v>7</v>
      </c>
      <c r="GK741" s="27" t="s">
        <v>8</v>
      </c>
      <c r="GL741" s="27" t="s">
        <v>7</v>
      </c>
    </row>
    <row r="742" spans="1:210" x14ac:dyDescent="0.25">
      <c r="A742" s="7">
        <v>4.644868004048535E-2</v>
      </c>
      <c r="B742"/>
      <c r="C742"/>
      <c r="D742"/>
      <c r="E742"/>
      <c r="EF742" s="27" t="s">
        <v>7</v>
      </c>
      <c r="FI742" s="27" t="s">
        <v>8</v>
      </c>
      <c r="FJ742" s="27" t="s">
        <v>7</v>
      </c>
      <c r="GK742" s="27" t="s">
        <v>8</v>
      </c>
      <c r="GL742" s="27" t="s">
        <v>7</v>
      </c>
    </row>
    <row r="743" spans="1:210" x14ac:dyDescent="0.25">
      <c r="A743" s="7">
        <v>4.5537921608318974E-2</v>
      </c>
      <c r="B743"/>
      <c r="C743"/>
      <c r="D743"/>
      <c r="E743"/>
      <c r="EF743" s="27" t="s">
        <v>7</v>
      </c>
      <c r="FI743" s="27" t="s">
        <v>8</v>
      </c>
      <c r="FJ743" s="27" t="s">
        <v>7</v>
      </c>
      <c r="GK743" s="27" t="s">
        <v>8</v>
      </c>
      <c r="GL743" s="27" t="s">
        <v>7</v>
      </c>
    </row>
    <row r="744" spans="1:210" x14ac:dyDescent="0.25">
      <c r="A744" s="7">
        <v>4.4645021184626446E-2</v>
      </c>
      <c r="B744"/>
      <c r="C744"/>
      <c r="D744"/>
      <c r="E744"/>
      <c r="EF744" s="27" t="s">
        <v>7</v>
      </c>
      <c r="FI744" s="27" t="s">
        <v>8</v>
      </c>
      <c r="FJ744" s="27" t="s">
        <v>7</v>
      </c>
      <c r="GK744" s="27" t="s">
        <v>8</v>
      </c>
      <c r="GL744" s="27" t="s">
        <v>7</v>
      </c>
    </row>
    <row r="745" spans="1:210" x14ac:dyDescent="0.25">
      <c r="A745" s="7">
        <v>4.3769628612378868E-2</v>
      </c>
      <c r="B745"/>
      <c r="C745"/>
      <c r="D745"/>
      <c r="E745"/>
      <c r="EF745" s="27" t="s">
        <v>7</v>
      </c>
      <c r="FI745" s="27" t="s">
        <v>8</v>
      </c>
      <c r="FJ745" s="27" t="s">
        <v>7</v>
      </c>
      <c r="FQ745" s="27" t="s">
        <v>8</v>
      </c>
      <c r="GK745" s="27" t="s">
        <v>8</v>
      </c>
      <c r="GL745" s="27" t="s">
        <v>7</v>
      </c>
    </row>
    <row r="746" spans="1:210" x14ac:dyDescent="0.25">
      <c r="A746" s="7">
        <v>4.2911400600371442E-2</v>
      </c>
      <c r="B746"/>
      <c r="C746"/>
      <c r="D746"/>
      <c r="E746"/>
      <c r="EF746" s="27" t="s">
        <v>7</v>
      </c>
      <c r="FI746" s="27" t="s">
        <v>8</v>
      </c>
      <c r="FJ746" s="27" t="s">
        <v>7</v>
      </c>
      <c r="FQ746" s="27" t="s">
        <v>8</v>
      </c>
      <c r="FR746" s="27" t="s">
        <v>7</v>
      </c>
      <c r="FY746" s="27" t="s">
        <v>8</v>
      </c>
      <c r="GK746" s="27" t="s">
        <v>8</v>
      </c>
      <c r="GL746" s="27" t="s">
        <v>7</v>
      </c>
    </row>
    <row r="747" spans="1:210" x14ac:dyDescent="0.25">
      <c r="A747" s="7">
        <v>4.2070000588599457E-2</v>
      </c>
      <c r="B747"/>
      <c r="C747"/>
      <c r="D747"/>
      <c r="E747"/>
      <c r="EF747" s="27" t="s">
        <v>7</v>
      </c>
      <c r="FI747" s="27" t="s">
        <v>8</v>
      </c>
      <c r="FJ747" s="27" t="s">
        <v>7</v>
      </c>
      <c r="FQ747" s="27" t="s">
        <v>8</v>
      </c>
      <c r="FR747" s="27" t="s">
        <v>7</v>
      </c>
      <c r="FY747" s="27" t="s">
        <v>8</v>
      </c>
      <c r="FZ747" s="27" t="s">
        <v>7</v>
      </c>
      <c r="GK747" s="27" t="s">
        <v>8</v>
      </c>
      <c r="GL747" s="27" t="s">
        <v>7</v>
      </c>
      <c r="GY747" s="27" t="s">
        <v>8</v>
      </c>
      <c r="HA747" s="27" t="s">
        <v>8</v>
      </c>
    </row>
    <row r="748" spans="1:210" x14ac:dyDescent="0.25">
      <c r="A748" s="7">
        <v>4.1245098616273977E-2</v>
      </c>
      <c r="B748"/>
      <c r="C748"/>
      <c r="D748"/>
      <c r="E748"/>
      <c r="EF748" s="27" t="s">
        <v>7</v>
      </c>
      <c r="FI748" s="27" t="s">
        <v>8</v>
      </c>
      <c r="FJ748" s="27" t="s">
        <v>7</v>
      </c>
      <c r="FQ748" s="27" t="s">
        <v>8</v>
      </c>
      <c r="FR748" s="27" t="s">
        <v>7</v>
      </c>
      <c r="FY748" s="27" t="s">
        <v>8</v>
      </c>
      <c r="FZ748" s="27" t="s">
        <v>7</v>
      </c>
      <c r="GK748" s="27" t="s">
        <v>8</v>
      </c>
      <c r="GL748" s="27" t="s">
        <v>7</v>
      </c>
      <c r="GU748" s="27" t="s">
        <v>8</v>
      </c>
      <c r="GY748" s="27" t="s">
        <v>8</v>
      </c>
      <c r="GZ748" s="27" t="s">
        <v>7</v>
      </c>
      <c r="HA748" s="27" t="s">
        <v>8</v>
      </c>
      <c r="HB748" s="27" t="s">
        <v>7</v>
      </c>
    </row>
    <row r="749" spans="1:210" x14ac:dyDescent="0.25">
      <c r="A749" s="7">
        <v>4.043637119242547E-2</v>
      </c>
      <c r="B749"/>
      <c r="C749"/>
      <c r="D749"/>
      <c r="E749"/>
      <c r="EF749" s="27" t="s">
        <v>7</v>
      </c>
      <c r="FI749" s="27" t="s">
        <v>8</v>
      </c>
      <c r="FJ749" s="27" t="s">
        <v>7</v>
      </c>
      <c r="FQ749" s="27" t="s">
        <v>8</v>
      </c>
      <c r="FR749" s="27" t="s">
        <v>7</v>
      </c>
      <c r="FY749" s="27" t="s">
        <v>8</v>
      </c>
      <c r="FZ749" s="27" t="s">
        <v>7</v>
      </c>
      <c r="GK749" s="27" t="s">
        <v>8</v>
      </c>
      <c r="GL749" s="27" t="s">
        <v>7</v>
      </c>
      <c r="GM749" s="27" t="s">
        <v>8</v>
      </c>
      <c r="GQ749" s="27" t="s">
        <v>8</v>
      </c>
      <c r="GU749" s="27" t="s">
        <v>8</v>
      </c>
      <c r="GV749" s="27" t="s">
        <v>7</v>
      </c>
      <c r="GY749" s="27" t="s">
        <v>8</v>
      </c>
      <c r="GZ749" s="27" t="s">
        <v>7</v>
      </c>
      <c r="HA749" s="27" t="s">
        <v>8</v>
      </c>
      <c r="HB749" s="27" t="s">
        <v>7</v>
      </c>
    </row>
    <row r="750" spans="1:210" x14ac:dyDescent="0.25">
      <c r="A750" s="7">
        <v>3.9643501169044582E-2</v>
      </c>
      <c r="B750"/>
      <c r="C750"/>
      <c r="D750"/>
      <c r="E750"/>
      <c r="EF750" s="27" t="s">
        <v>7</v>
      </c>
      <c r="FI750" s="27" t="s">
        <v>8</v>
      </c>
      <c r="FJ750" s="27" t="s">
        <v>7</v>
      </c>
      <c r="FQ750" s="27" t="s">
        <v>8</v>
      </c>
      <c r="FR750" s="27" t="s">
        <v>7</v>
      </c>
      <c r="FY750" s="27" t="s">
        <v>8</v>
      </c>
      <c r="FZ750" s="27" t="s">
        <v>7</v>
      </c>
      <c r="GK750" s="27" t="s">
        <v>8</v>
      </c>
      <c r="GL750" s="27" t="s">
        <v>7</v>
      </c>
      <c r="GM750" s="27" t="s">
        <v>8</v>
      </c>
      <c r="GN750" s="27" t="s">
        <v>7</v>
      </c>
      <c r="GQ750" s="27" t="s">
        <v>8</v>
      </c>
      <c r="GR750" s="27" t="s">
        <v>7</v>
      </c>
      <c r="GU750" s="27" t="s">
        <v>8</v>
      </c>
      <c r="GV750" s="27" t="s">
        <v>7</v>
      </c>
      <c r="GY750" s="27" t="s">
        <v>8</v>
      </c>
      <c r="GZ750" s="27" t="s">
        <v>7</v>
      </c>
      <c r="HA750" s="27" t="s">
        <v>8</v>
      </c>
      <c r="HB750" s="27" t="s">
        <v>7</v>
      </c>
    </row>
    <row r="751" spans="1:210" x14ac:dyDescent="0.25">
      <c r="A751" s="7">
        <v>3.8866177616710372E-2</v>
      </c>
      <c r="B751"/>
      <c r="C751"/>
      <c r="D751"/>
      <c r="E751"/>
      <c r="EF751" s="27" t="s">
        <v>7</v>
      </c>
      <c r="FI751" s="27" t="s">
        <v>8</v>
      </c>
      <c r="FJ751" s="27" t="s">
        <v>7</v>
      </c>
      <c r="FQ751" s="27" t="s">
        <v>8</v>
      </c>
      <c r="FR751" s="27" t="s">
        <v>7</v>
      </c>
      <c r="FY751" s="27" t="s">
        <v>8</v>
      </c>
      <c r="FZ751" s="27" t="s">
        <v>7</v>
      </c>
      <c r="GK751" s="27" t="s">
        <v>8</v>
      </c>
      <c r="GL751" s="27" t="s">
        <v>7</v>
      </c>
      <c r="GM751" s="27" t="s">
        <v>8</v>
      </c>
      <c r="GN751" s="27" t="s">
        <v>7</v>
      </c>
      <c r="GQ751" s="27" t="s">
        <v>8</v>
      </c>
      <c r="GR751" s="27" t="s">
        <v>7</v>
      </c>
      <c r="GS751" s="27" t="s">
        <v>8</v>
      </c>
      <c r="GU751" s="27" t="s">
        <v>8</v>
      </c>
      <c r="GV751" s="27" t="s">
        <v>7</v>
      </c>
      <c r="GY751" s="27" t="s">
        <v>8</v>
      </c>
      <c r="GZ751" s="27" t="s">
        <v>7</v>
      </c>
      <c r="HA751" s="27" t="s">
        <v>8</v>
      </c>
      <c r="HB751" s="27" t="s">
        <v>7</v>
      </c>
    </row>
    <row r="752" spans="1:210" x14ac:dyDescent="0.25">
      <c r="A752" s="7">
        <v>3.8104095702657229E-2</v>
      </c>
      <c r="B752"/>
      <c r="C752"/>
      <c r="D752"/>
      <c r="E752"/>
      <c r="EF752" s="27" t="s">
        <v>7</v>
      </c>
      <c r="FI752" s="27" t="s">
        <v>8</v>
      </c>
      <c r="FJ752" s="27" t="s">
        <v>7</v>
      </c>
      <c r="FQ752" s="27" t="s">
        <v>8</v>
      </c>
      <c r="FR752" s="27" t="s">
        <v>7</v>
      </c>
      <c r="FU752" s="27" t="s">
        <v>8</v>
      </c>
      <c r="FY752" s="27" t="s">
        <v>8</v>
      </c>
      <c r="FZ752" s="27" t="s">
        <v>7</v>
      </c>
      <c r="GK752" s="27" t="s">
        <v>8</v>
      </c>
      <c r="GL752" s="27" t="s">
        <v>7</v>
      </c>
      <c r="GM752" s="27" t="s">
        <v>8</v>
      </c>
      <c r="GN752" s="27" t="s">
        <v>7</v>
      </c>
      <c r="GQ752" s="27" t="s">
        <v>8</v>
      </c>
      <c r="GR752" s="27" t="s">
        <v>7</v>
      </c>
      <c r="GS752" s="27" t="s">
        <v>8</v>
      </c>
      <c r="GT752" s="27" t="s">
        <v>7</v>
      </c>
      <c r="GU752" s="27" t="s">
        <v>8</v>
      </c>
      <c r="GV752" s="27" t="s">
        <v>7</v>
      </c>
      <c r="GY752" s="27" t="s">
        <v>8</v>
      </c>
      <c r="GZ752" s="27" t="s">
        <v>7</v>
      </c>
      <c r="HB752" s="27" t="s">
        <v>7</v>
      </c>
    </row>
    <row r="753" spans="1:224" x14ac:dyDescent="0.25">
      <c r="A753" s="7">
        <v>3.7356956571232579E-2</v>
      </c>
      <c r="B753"/>
      <c r="C753"/>
      <c r="D753"/>
      <c r="E753"/>
      <c r="EF753" s="27" t="s">
        <v>7</v>
      </c>
      <c r="FI753" s="27" t="s">
        <v>8</v>
      </c>
      <c r="FJ753" s="27" t="s">
        <v>7</v>
      </c>
      <c r="FO753" s="27" t="s">
        <v>8</v>
      </c>
      <c r="FQ753" s="27" t="s">
        <v>8</v>
      </c>
      <c r="FR753" s="27" t="s">
        <v>7</v>
      </c>
      <c r="FU753" s="27" t="s">
        <v>8</v>
      </c>
      <c r="FV753" s="27" t="s">
        <v>7</v>
      </c>
      <c r="FW753" s="27" t="s">
        <v>8</v>
      </c>
      <c r="FY753" s="27" t="s">
        <v>8</v>
      </c>
      <c r="FZ753" s="27" t="s">
        <v>7</v>
      </c>
      <c r="GK753" s="27" t="s">
        <v>8</v>
      </c>
      <c r="GL753" s="27" t="s">
        <v>7</v>
      </c>
      <c r="GM753" s="27" t="s">
        <v>8</v>
      </c>
      <c r="GN753" s="27" t="s">
        <v>7</v>
      </c>
      <c r="GQ753" s="27" t="s">
        <v>8</v>
      </c>
      <c r="GR753" s="27" t="s">
        <v>7</v>
      </c>
      <c r="GS753" s="27" t="s">
        <v>8</v>
      </c>
      <c r="GT753" s="27" t="s">
        <v>7</v>
      </c>
      <c r="GU753" s="27" t="s">
        <v>8</v>
      </c>
      <c r="GV753" s="27" t="s">
        <v>7</v>
      </c>
      <c r="GW753" s="27" t="s">
        <v>8</v>
      </c>
      <c r="GY753" s="27" t="s">
        <v>8</v>
      </c>
      <c r="HB753" s="27" t="s">
        <v>7</v>
      </c>
    </row>
    <row r="754" spans="1:224" x14ac:dyDescent="0.25">
      <c r="A754" s="7">
        <v>3.6624467226698605E-2</v>
      </c>
      <c r="B754"/>
      <c r="C754"/>
      <c r="D754"/>
      <c r="E754"/>
      <c r="EF754" s="27" t="s">
        <v>7</v>
      </c>
      <c r="FI754" s="27" t="s">
        <v>8</v>
      </c>
      <c r="FJ754" s="27" t="s">
        <v>7</v>
      </c>
      <c r="FO754" s="27" t="s">
        <v>8</v>
      </c>
      <c r="FP754" s="27" t="s">
        <v>7</v>
      </c>
      <c r="FQ754" s="27" t="s">
        <v>8</v>
      </c>
      <c r="FR754" s="27" t="s">
        <v>7</v>
      </c>
      <c r="FU754" s="27" t="s">
        <v>8</v>
      </c>
      <c r="FV754" s="27" t="s">
        <v>7</v>
      </c>
      <c r="FW754" s="27" t="s">
        <v>8</v>
      </c>
      <c r="FX754" s="27" t="s">
        <v>7</v>
      </c>
      <c r="FY754" s="27" t="s">
        <v>8</v>
      </c>
      <c r="FZ754" s="27" t="s">
        <v>7</v>
      </c>
      <c r="GK754" s="27" t="s">
        <v>8</v>
      </c>
      <c r="GL754" s="27" t="s">
        <v>7</v>
      </c>
      <c r="GM754" s="27" t="s">
        <v>8</v>
      </c>
      <c r="GN754" s="27" t="s">
        <v>7</v>
      </c>
      <c r="GQ754" s="27" t="s">
        <v>8</v>
      </c>
      <c r="GR754" s="27" t="s">
        <v>7</v>
      </c>
      <c r="GS754" s="27" t="s">
        <v>8</v>
      </c>
      <c r="GT754" s="27" t="s">
        <v>7</v>
      </c>
      <c r="GU754" s="27" t="s">
        <v>8</v>
      </c>
      <c r="GV754" s="27" t="s">
        <v>7</v>
      </c>
      <c r="GW754" s="27" t="s">
        <v>8</v>
      </c>
      <c r="GX754" s="27" t="s">
        <v>7</v>
      </c>
      <c r="GY754" s="27" t="s">
        <v>8</v>
      </c>
      <c r="HB754" s="27" t="s">
        <v>7</v>
      </c>
      <c r="HE754" s="27" t="s">
        <v>8</v>
      </c>
    </row>
    <row r="755" spans="1:224" x14ac:dyDescent="0.25">
      <c r="A755" s="7">
        <v>3.5906340418331961E-2</v>
      </c>
      <c r="B755"/>
      <c r="C755"/>
      <c r="D755"/>
      <c r="E755"/>
      <c r="EF755" s="27" t="s">
        <v>7</v>
      </c>
      <c r="FI755" s="27" t="s">
        <v>8</v>
      </c>
      <c r="FJ755" s="27" t="s">
        <v>7</v>
      </c>
      <c r="FK755" s="27" t="s">
        <v>8</v>
      </c>
      <c r="FO755" s="27" t="s">
        <v>8</v>
      </c>
      <c r="FP755" s="27" t="s">
        <v>7</v>
      </c>
      <c r="FQ755" s="27" t="s">
        <v>8</v>
      </c>
      <c r="FR755" s="27" t="s">
        <v>7</v>
      </c>
      <c r="FS755" s="27" t="s">
        <v>8</v>
      </c>
      <c r="FU755" s="27" t="s">
        <v>8</v>
      </c>
      <c r="FV755" s="27" t="s">
        <v>7</v>
      </c>
      <c r="FW755" s="27" t="s">
        <v>8</v>
      </c>
      <c r="FX755" s="27" t="s">
        <v>7</v>
      </c>
      <c r="FY755" s="27" t="s">
        <v>8</v>
      </c>
      <c r="FZ755" s="27" t="s">
        <v>7</v>
      </c>
      <c r="GK755" s="27" t="s">
        <v>8</v>
      </c>
      <c r="GL755" s="27" t="s">
        <v>7</v>
      </c>
      <c r="GM755" s="27" t="s">
        <v>8</v>
      </c>
      <c r="GN755" s="27" t="s">
        <v>7</v>
      </c>
      <c r="GO755" s="27" t="s">
        <v>8</v>
      </c>
      <c r="GQ755" s="27" t="s">
        <v>8</v>
      </c>
      <c r="GR755" s="27" t="s">
        <v>7</v>
      </c>
      <c r="GS755" s="27" t="s">
        <v>8</v>
      </c>
      <c r="GT755" s="27" t="s">
        <v>7</v>
      </c>
      <c r="GU755" s="27" t="s">
        <v>8</v>
      </c>
      <c r="GV755" s="27" t="s">
        <v>7</v>
      </c>
      <c r="GW755" s="27" t="s">
        <v>8</v>
      </c>
      <c r="GX755" s="27" t="s">
        <v>7</v>
      </c>
      <c r="GY755" s="27" t="s">
        <v>8</v>
      </c>
      <c r="HB755" s="27" t="s">
        <v>7</v>
      </c>
      <c r="HC755" s="27" t="s">
        <v>8</v>
      </c>
      <c r="HE755" s="27" t="s">
        <v>8</v>
      </c>
      <c r="HF755" s="27" t="s">
        <v>7</v>
      </c>
    </row>
    <row r="756" spans="1:224" x14ac:dyDescent="0.25">
      <c r="A756" s="7">
        <v>3.5202294527776436E-2</v>
      </c>
      <c r="B756"/>
      <c r="C756"/>
      <c r="D756"/>
      <c r="E756"/>
      <c r="EF756" s="27" t="s">
        <v>7</v>
      </c>
      <c r="FI756" s="27" t="s">
        <v>8</v>
      </c>
      <c r="FJ756" s="27" t="s">
        <v>7</v>
      </c>
      <c r="FK756" s="27" t="s">
        <v>8</v>
      </c>
      <c r="FL756" s="27" t="s">
        <v>7</v>
      </c>
      <c r="FO756" s="27" t="s">
        <v>8</v>
      </c>
      <c r="FP756" s="27" t="s">
        <v>7</v>
      </c>
      <c r="FQ756" s="27" t="s">
        <v>8</v>
      </c>
      <c r="FR756" s="27" t="s">
        <v>7</v>
      </c>
      <c r="FS756" s="27" t="s">
        <v>8</v>
      </c>
      <c r="FT756" s="27" t="s">
        <v>7</v>
      </c>
      <c r="FU756" s="27" t="s">
        <v>8</v>
      </c>
      <c r="FV756" s="27" t="s">
        <v>7</v>
      </c>
      <c r="FW756" s="27" t="s">
        <v>8</v>
      </c>
      <c r="FX756" s="27" t="s">
        <v>7</v>
      </c>
      <c r="FZ756" s="27" t="s">
        <v>7</v>
      </c>
      <c r="GK756" s="27" t="s">
        <v>8</v>
      </c>
      <c r="GL756" s="27" t="s">
        <v>7</v>
      </c>
      <c r="GM756" s="27" t="s">
        <v>8</v>
      </c>
      <c r="GN756" s="27" t="s">
        <v>7</v>
      </c>
      <c r="GO756" s="27" t="s">
        <v>8</v>
      </c>
      <c r="GP756" s="27" t="s">
        <v>7</v>
      </c>
      <c r="GQ756" s="27" t="s">
        <v>8</v>
      </c>
      <c r="GR756" s="27" t="s">
        <v>7</v>
      </c>
      <c r="GS756" s="27" t="s">
        <v>8</v>
      </c>
      <c r="GT756" s="27" t="s">
        <v>7</v>
      </c>
      <c r="GU756" s="27" t="s">
        <v>8</v>
      </c>
      <c r="GV756" s="27" t="s">
        <v>7</v>
      </c>
      <c r="GX756" s="27" t="s">
        <v>7</v>
      </c>
      <c r="GY756" s="27" t="s">
        <v>8</v>
      </c>
      <c r="HB756" s="27" t="s">
        <v>7</v>
      </c>
      <c r="HC756" s="27" t="s">
        <v>8</v>
      </c>
      <c r="HD756" s="27" t="s">
        <v>7</v>
      </c>
      <c r="HE756" s="27" t="s">
        <v>8</v>
      </c>
      <c r="HF756" s="27" t="s">
        <v>7</v>
      </c>
    </row>
    <row r="757" spans="1:224" x14ac:dyDescent="0.25">
      <c r="A757" s="7">
        <v>3.451205345860435E-2</v>
      </c>
      <c r="B757"/>
      <c r="C757"/>
      <c r="D757"/>
      <c r="E757"/>
      <c r="EF757" s="27" t="s">
        <v>7</v>
      </c>
      <c r="FI757" s="27" t="s">
        <v>8</v>
      </c>
      <c r="FJ757" s="27" t="s">
        <v>7</v>
      </c>
      <c r="FK757" s="27" t="s">
        <v>8</v>
      </c>
      <c r="FL757" s="27" t="s">
        <v>7</v>
      </c>
      <c r="FO757" s="27" t="s">
        <v>8</v>
      </c>
      <c r="FP757" s="27" t="s">
        <v>7</v>
      </c>
      <c r="FQ757" s="27" t="s">
        <v>8</v>
      </c>
      <c r="FR757" s="27" t="s">
        <v>7</v>
      </c>
      <c r="FS757" s="27" t="s">
        <v>8</v>
      </c>
      <c r="FT757" s="27" t="s">
        <v>7</v>
      </c>
      <c r="FU757" s="27" t="s">
        <v>8</v>
      </c>
      <c r="FV757" s="27" t="s">
        <v>7</v>
      </c>
      <c r="FW757" s="27" t="s">
        <v>8</v>
      </c>
      <c r="FZ757" s="27" t="s">
        <v>7</v>
      </c>
      <c r="GK757" s="27" t="s">
        <v>8</v>
      </c>
      <c r="GL757" s="27" t="s">
        <v>7</v>
      </c>
      <c r="GM757" s="27" t="s">
        <v>8</v>
      </c>
      <c r="GN757" s="27" t="s">
        <v>7</v>
      </c>
      <c r="GO757" s="27" t="s">
        <v>8</v>
      </c>
      <c r="GP757" s="27" t="s">
        <v>7</v>
      </c>
      <c r="GQ757" s="27" t="s">
        <v>8</v>
      </c>
      <c r="GR757" s="27" t="s">
        <v>7</v>
      </c>
      <c r="GS757" s="27" t="s">
        <v>8</v>
      </c>
      <c r="GT757" s="27" t="s">
        <v>7</v>
      </c>
      <c r="GX757" s="27" t="s">
        <v>7</v>
      </c>
      <c r="HB757" s="27" t="s">
        <v>7</v>
      </c>
      <c r="HC757" s="27" t="s">
        <v>8</v>
      </c>
      <c r="HD757" s="27" t="s">
        <v>7</v>
      </c>
      <c r="HE757" s="27" t="s">
        <v>8</v>
      </c>
      <c r="HF757" s="27" t="s">
        <v>7</v>
      </c>
    </row>
    <row r="758" spans="1:224" x14ac:dyDescent="0.25">
      <c r="A758" s="7">
        <v>3.3835346528043479E-2</v>
      </c>
      <c r="B758"/>
      <c r="C758"/>
      <c r="D758"/>
      <c r="E758"/>
      <c r="EF758" s="27" t="s">
        <v>7</v>
      </c>
      <c r="FI758" s="27" t="s">
        <v>8</v>
      </c>
      <c r="FJ758" s="27" t="s">
        <v>7</v>
      </c>
      <c r="FK758" s="27" t="s">
        <v>8</v>
      </c>
      <c r="FL758" s="27" t="s">
        <v>7</v>
      </c>
      <c r="FO758" s="27" t="s">
        <v>8</v>
      </c>
      <c r="FP758" s="27" t="s">
        <v>7</v>
      </c>
      <c r="FR758" s="27" t="s">
        <v>7</v>
      </c>
      <c r="FS758" s="27" t="s">
        <v>8</v>
      </c>
      <c r="FT758" s="27" t="s">
        <v>7</v>
      </c>
      <c r="FU758" s="27" t="s">
        <v>8</v>
      </c>
      <c r="FV758" s="27" t="s">
        <v>7</v>
      </c>
      <c r="FW758" s="27" t="s">
        <v>8</v>
      </c>
      <c r="FZ758" s="27" t="s">
        <v>7</v>
      </c>
      <c r="GK758" s="27" t="s">
        <v>8</v>
      </c>
      <c r="GL758" s="27" t="s">
        <v>7</v>
      </c>
      <c r="GM758" s="27" t="s">
        <v>8</v>
      </c>
      <c r="GN758" s="27" t="s">
        <v>7</v>
      </c>
      <c r="GO758" s="27" t="s">
        <v>8</v>
      </c>
      <c r="GP758" s="27" t="s">
        <v>7</v>
      </c>
      <c r="GQ758" s="27" t="s">
        <v>8</v>
      </c>
      <c r="GR758" s="27" t="s">
        <v>7</v>
      </c>
      <c r="HB758" s="27" t="s">
        <v>7</v>
      </c>
      <c r="HC758" s="27" t="s">
        <v>8</v>
      </c>
      <c r="HD758" s="27" t="s">
        <v>7</v>
      </c>
      <c r="HE758" s="27" t="s">
        <v>8</v>
      </c>
      <c r="HF758" s="27" t="s">
        <v>7</v>
      </c>
    </row>
    <row r="759" spans="1:224" x14ac:dyDescent="0.25">
      <c r="A759" s="7">
        <v>3.3171908360826938E-2</v>
      </c>
      <c r="B759"/>
      <c r="C759"/>
      <c r="D759"/>
      <c r="E759"/>
      <c r="EF759" s="27" t="s">
        <v>7</v>
      </c>
      <c r="EG759" s="27" t="s">
        <v>8</v>
      </c>
      <c r="FI759" s="27" t="s">
        <v>8</v>
      </c>
      <c r="FJ759" s="27" t="s">
        <v>7</v>
      </c>
      <c r="FK759" s="27" t="s">
        <v>8</v>
      </c>
      <c r="FL759" s="27" t="s">
        <v>7</v>
      </c>
      <c r="FM759" s="27" t="s">
        <v>8</v>
      </c>
      <c r="FO759" s="27" t="s">
        <v>8</v>
      </c>
      <c r="FR759" s="27" t="s">
        <v>7</v>
      </c>
      <c r="FS759" s="27" t="s">
        <v>8</v>
      </c>
      <c r="FT759" s="27" t="s">
        <v>7</v>
      </c>
      <c r="FU759" s="27" t="s">
        <v>8</v>
      </c>
      <c r="FV759" s="27" t="s">
        <v>7</v>
      </c>
      <c r="FW759" s="27" t="s">
        <v>8</v>
      </c>
      <c r="FZ759" s="27" t="s">
        <v>7</v>
      </c>
      <c r="GK759" s="27" t="s">
        <v>8</v>
      </c>
      <c r="GL759" s="27" t="s">
        <v>7</v>
      </c>
      <c r="GM759" s="27" t="s">
        <v>8</v>
      </c>
      <c r="GN759" s="27" t="s">
        <v>7</v>
      </c>
      <c r="GP759" s="27" t="s">
        <v>7</v>
      </c>
      <c r="GQ759" s="27" t="s">
        <v>8</v>
      </c>
      <c r="HB759" s="27" t="s">
        <v>7</v>
      </c>
      <c r="HD759" s="27" t="s">
        <v>7</v>
      </c>
      <c r="HE759" s="27" t="s">
        <v>8</v>
      </c>
      <c r="HF759" s="27" t="s">
        <v>7</v>
      </c>
    </row>
    <row r="760" spans="1:224" x14ac:dyDescent="0.25">
      <c r="A760" s="7">
        <v>3.2521478785124451E-2</v>
      </c>
      <c r="B760"/>
      <c r="C760"/>
      <c r="D760"/>
      <c r="E760"/>
      <c r="EF760" s="27" t="s">
        <v>7</v>
      </c>
      <c r="EG760" s="27" t="s">
        <v>8</v>
      </c>
      <c r="EH760" s="27" t="s">
        <v>7</v>
      </c>
      <c r="FI760" s="27" t="s">
        <v>8</v>
      </c>
      <c r="FJ760" s="27" t="s">
        <v>7</v>
      </c>
      <c r="FK760" s="27" t="s">
        <v>8</v>
      </c>
      <c r="FL760" s="27" t="s">
        <v>7</v>
      </c>
      <c r="FM760" s="27" t="s">
        <v>8</v>
      </c>
      <c r="FN760" s="27" t="s">
        <v>7</v>
      </c>
      <c r="FO760" s="27" t="s">
        <v>8</v>
      </c>
      <c r="FR760" s="27" t="s">
        <v>7</v>
      </c>
      <c r="FS760" s="27" t="s">
        <v>8</v>
      </c>
      <c r="FT760" s="27" t="s">
        <v>7</v>
      </c>
      <c r="FU760" s="27" t="s">
        <v>8</v>
      </c>
      <c r="FV760" s="27" t="s">
        <v>7</v>
      </c>
      <c r="FW760" s="27" t="s">
        <v>8</v>
      </c>
      <c r="FZ760" s="27" t="s">
        <v>7</v>
      </c>
      <c r="GK760" s="27" t="s">
        <v>8</v>
      </c>
      <c r="GL760" s="27" t="s">
        <v>7</v>
      </c>
      <c r="GM760" s="27" t="s">
        <v>8</v>
      </c>
      <c r="GP760" s="27" t="s">
        <v>7</v>
      </c>
      <c r="GQ760" s="27" t="s">
        <v>8</v>
      </c>
      <c r="HD760" s="27" t="s">
        <v>7</v>
      </c>
      <c r="HE760" s="27" t="s">
        <v>8</v>
      </c>
      <c r="HF760" s="27" t="s">
        <v>7</v>
      </c>
    </row>
    <row r="761" spans="1:224" x14ac:dyDescent="0.25">
      <c r="A761" s="7">
        <v>3.1883802730514173E-2</v>
      </c>
      <c r="B761"/>
      <c r="C761"/>
      <c r="D761"/>
      <c r="E761"/>
      <c r="EF761" s="27" t="s">
        <v>7</v>
      </c>
      <c r="EG761" s="27" t="s">
        <v>8</v>
      </c>
      <c r="EH761" s="27" t="s">
        <v>7</v>
      </c>
      <c r="FI761" s="27" t="s">
        <v>8</v>
      </c>
      <c r="FJ761" s="27" t="s">
        <v>7</v>
      </c>
      <c r="FL761" s="27" t="s">
        <v>7</v>
      </c>
      <c r="FM761" s="27" t="s">
        <v>8</v>
      </c>
      <c r="FN761" s="27" t="s">
        <v>7</v>
      </c>
      <c r="FO761" s="27" t="s">
        <v>8</v>
      </c>
      <c r="FR761" s="27" t="s">
        <v>7</v>
      </c>
      <c r="FS761" s="27" t="s">
        <v>8</v>
      </c>
      <c r="FT761" s="27" t="s">
        <v>7</v>
      </c>
      <c r="FV761" s="27" t="s">
        <v>7</v>
      </c>
      <c r="FZ761" s="27" t="s">
        <v>7</v>
      </c>
      <c r="GA761" s="27" t="s">
        <v>8</v>
      </c>
      <c r="GK761" s="27" t="s">
        <v>8</v>
      </c>
      <c r="GL761" s="27" t="s">
        <v>7</v>
      </c>
      <c r="GM761" s="27" t="s">
        <v>8</v>
      </c>
      <c r="GP761" s="27" t="s">
        <v>7</v>
      </c>
      <c r="GQ761" s="27" t="s">
        <v>8</v>
      </c>
      <c r="HD761" s="27" t="s">
        <v>7</v>
      </c>
      <c r="HE761" s="27" t="s">
        <v>8</v>
      </c>
      <c r="HF761" s="27" t="s">
        <v>7</v>
      </c>
    </row>
    <row r="762" spans="1:224" x14ac:dyDescent="0.25">
      <c r="A762" s="7">
        <v>3.1258630127955073E-2</v>
      </c>
      <c r="B762"/>
      <c r="C762"/>
      <c r="D762"/>
      <c r="E762"/>
      <c r="EF762" s="27" t="s">
        <v>7</v>
      </c>
      <c r="EG762" s="27" t="s">
        <v>8</v>
      </c>
      <c r="EH762" s="27" t="s">
        <v>7</v>
      </c>
      <c r="FI762" s="27" t="s">
        <v>8</v>
      </c>
      <c r="FL762" s="27" t="s">
        <v>7</v>
      </c>
      <c r="FM762" s="27" t="s">
        <v>8</v>
      </c>
      <c r="FN762" s="27" t="s">
        <v>7</v>
      </c>
      <c r="FR762" s="27" t="s">
        <v>7</v>
      </c>
      <c r="FS762" s="27" t="s">
        <v>8</v>
      </c>
      <c r="FZ762" s="27" t="s">
        <v>7</v>
      </c>
      <c r="GA762" s="27" t="s">
        <v>8</v>
      </c>
      <c r="GB762" s="27" t="s">
        <v>7</v>
      </c>
      <c r="GI762" s="27" t="s">
        <v>8</v>
      </c>
      <c r="GK762" s="27" t="s">
        <v>8</v>
      </c>
      <c r="GL762" s="27" t="s">
        <v>7</v>
      </c>
      <c r="GP762" s="27" t="s">
        <v>7</v>
      </c>
      <c r="GQ762" s="27" t="s">
        <v>8</v>
      </c>
      <c r="HD762" s="27" t="s">
        <v>7</v>
      </c>
      <c r="HF762" s="27" t="s">
        <v>7</v>
      </c>
      <c r="HI762" s="27" t="s">
        <v>8</v>
      </c>
    </row>
    <row r="763" spans="1:224" x14ac:dyDescent="0.25">
      <c r="A763" s="7">
        <v>3.064571581172066E-2</v>
      </c>
      <c r="B763"/>
      <c r="C763"/>
      <c r="D763"/>
      <c r="E763"/>
      <c r="EF763" s="27" t="s">
        <v>7</v>
      </c>
      <c r="EG763" s="27" t="s">
        <v>8</v>
      </c>
      <c r="EH763" s="27" t="s">
        <v>7</v>
      </c>
      <c r="FI763" s="27" t="s">
        <v>8</v>
      </c>
      <c r="FL763" s="27" t="s">
        <v>7</v>
      </c>
      <c r="FM763" s="27" t="s">
        <v>8</v>
      </c>
      <c r="FR763" s="27" t="s">
        <v>7</v>
      </c>
      <c r="FS763" s="27" t="s">
        <v>8</v>
      </c>
      <c r="FZ763" s="27" t="s">
        <v>7</v>
      </c>
      <c r="GA763" s="27" t="s">
        <v>8</v>
      </c>
      <c r="GB763" s="27" t="s">
        <v>7</v>
      </c>
      <c r="GI763" s="27" t="s">
        <v>8</v>
      </c>
      <c r="GJ763" s="27" t="s">
        <v>7</v>
      </c>
      <c r="GK763" s="27" t="s">
        <v>8</v>
      </c>
      <c r="GP763" s="27" t="s">
        <v>7</v>
      </c>
      <c r="GQ763" s="27" t="s">
        <v>8</v>
      </c>
      <c r="HF763" s="27" t="s">
        <v>7</v>
      </c>
      <c r="HI763" s="27" t="s">
        <v>8</v>
      </c>
      <c r="HJ763" s="27" t="s">
        <v>7</v>
      </c>
    </row>
    <row r="764" spans="1:224" x14ac:dyDescent="0.25">
      <c r="A764" s="7">
        <v>3.0044819423255549E-2</v>
      </c>
      <c r="B764"/>
      <c r="C764"/>
      <c r="D764"/>
      <c r="E764"/>
      <c r="EF764" s="27" t="s">
        <v>7</v>
      </c>
      <c r="EG764" s="27" t="s">
        <v>8</v>
      </c>
      <c r="EH764" s="27" t="s">
        <v>7</v>
      </c>
      <c r="FI764" s="27" t="s">
        <v>8</v>
      </c>
      <c r="FL764" s="27" t="s">
        <v>7</v>
      </c>
      <c r="FM764" s="27" t="s">
        <v>8</v>
      </c>
      <c r="FR764" s="27" t="s">
        <v>7</v>
      </c>
      <c r="FS764" s="27" t="s">
        <v>8</v>
      </c>
      <c r="FZ764" s="27" t="s">
        <v>7</v>
      </c>
      <c r="GA764" s="27" t="s">
        <v>8</v>
      </c>
      <c r="GB764" s="27" t="s">
        <v>7</v>
      </c>
      <c r="GI764" s="27" t="s">
        <v>8</v>
      </c>
      <c r="GJ764" s="27" t="s">
        <v>7</v>
      </c>
      <c r="GK764" s="27" t="s">
        <v>8</v>
      </c>
      <c r="GP764" s="27" t="s">
        <v>7</v>
      </c>
      <c r="HF764" s="27" t="s">
        <v>7</v>
      </c>
      <c r="HG764" s="27" t="s">
        <v>8</v>
      </c>
      <c r="HI764" s="27" t="s">
        <v>8</v>
      </c>
      <c r="HJ764" s="27" t="s">
        <v>7</v>
      </c>
    </row>
    <row r="765" spans="1:224" x14ac:dyDescent="0.25">
      <c r="A765" s="7">
        <v>2.9455705316917203E-2</v>
      </c>
      <c r="B765"/>
      <c r="C765"/>
      <c r="D765"/>
      <c r="E765"/>
      <c r="EF765" s="27" t="s">
        <v>7</v>
      </c>
      <c r="EG765" s="27" t="s">
        <v>8</v>
      </c>
      <c r="EH765" s="27" t="s">
        <v>7</v>
      </c>
      <c r="FI765" s="27" t="s">
        <v>8</v>
      </c>
      <c r="FL765" s="27" t="s">
        <v>7</v>
      </c>
      <c r="FR765" s="27" t="s">
        <v>7</v>
      </c>
      <c r="FS765" s="27" t="s">
        <v>8</v>
      </c>
      <c r="FZ765" s="27" t="s">
        <v>7</v>
      </c>
      <c r="GA765" s="27" t="s">
        <v>8</v>
      </c>
      <c r="GB765" s="27" t="s">
        <v>7</v>
      </c>
      <c r="GG765" s="27" t="s">
        <v>8</v>
      </c>
      <c r="GI765" s="27" t="s">
        <v>8</v>
      </c>
      <c r="GJ765" s="27" t="s">
        <v>7</v>
      </c>
      <c r="GK765" s="27" t="s">
        <v>8</v>
      </c>
      <c r="HF765" s="27" t="s">
        <v>7</v>
      </c>
      <c r="HG765" s="27" t="s">
        <v>8</v>
      </c>
      <c r="HH765" s="27" t="s">
        <v>7</v>
      </c>
      <c r="HI765" s="27" t="s">
        <v>8</v>
      </c>
      <c r="HJ765" s="27" t="s">
        <v>7</v>
      </c>
      <c r="HO765" s="27" t="s">
        <v>8</v>
      </c>
    </row>
    <row r="766" spans="1:224" x14ac:dyDescent="0.25">
      <c r="A766" s="7">
        <v>2.8878142467565884E-2</v>
      </c>
      <c r="B766"/>
      <c r="C766"/>
      <c r="D766"/>
      <c r="E766"/>
      <c r="EF766" s="27" t="s">
        <v>7</v>
      </c>
      <c r="EG766" s="27" t="s">
        <v>8</v>
      </c>
      <c r="EH766" s="27" t="s">
        <v>7</v>
      </c>
      <c r="FI766" s="27" t="s">
        <v>8</v>
      </c>
      <c r="FR766" s="27" t="s">
        <v>7</v>
      </c>
      <c r="FS766" s="27" t="s">
        <v>8</v>
      </c>
      <c r="FZ766" s="27" t="s">
        <v>7</v>
      </c>
      <c r="GA766" s="27" t="s">
        <v>8</v>
      </c>
      <c r="GB766" s="27" t="s">
        <v>7</v>
      </c>
      <c r="GC766" s="27" t="s">
        <v>8</v>
      </c>
      <c r="GG766" s="27" t="s">
        <v>8</v>
      </c>
      <c r="GH766" s="27" t="s">
        <v>7</v>
      </c>
      <c r="GI766" s="27" t="s">
        <v>8</v>
      </c>
      <c r="GJ766" s="27" t="s">
        <v>7</v>
      </c>
      <c r="GK766" s="27" t="s">
        <v>8</v>
      </c>
      <c r="HF766" s="27" t="s">
        <v>7</v>
      </c>
      <c r="HG766" s="27" t="s">
        <v>8</v>
      </c>
      <c r="HH766" s="27" t="s">
        <v>7</v>
      </c>
      <c r="HI766" s="27" t="s">
        <v>8</v>
      </c>
      <c r="HJ766" s="27" t="s">
        <v>7</v>
      </c>
      <c r="HO766" s="27" t="s">
        <v>8</v>
      </c>
      <c r="HP766" s="27" t="s">
        <v>7</v>
      </c>
    </row>
    <row r="767" spans="1:224" x14ac:dyDescent="0.25">
      <c r="A767" s="7">
        <v>2.8311904379966554E-2</v>
      </c>
      <c r="B767"/>
      <c r="C767"/>
      <c r="D767"/>
      <c r="E767"/>
      <c r="EF767" s="27" t="s">
        <v>7</v>
      </c>
      <c r="EG767" s="27" t="s">
        <v>8</v>
      </c>
      <c r="EH767" s="27" t="s">
        <v>7</v>
      </c>
      <c r="FI767" s="27" t="s">
        <v>8</v>
      </c>
      <c r="FR767" s="27" t="s">
        <v>7</v>
      </c>
      <c r="FS767" s="27" t="s">
        <v>8</v>
      </c>
      <c r="FZ767" s="27" t="s">
        <v>7</v>
      </c>
      <c r="GB767" s="27" t="s">
        <v>7</v>
      </c>
      <c r="GC767" s="27" t="s">
        <v>8</v>
      </c>
      <c r="GD767" s="27" t="s">
        <v>7</v>
      </c>
      <c r="GG767" s="27" t="s">
        <v>8</v>
      </c>
      <c r="GH767" s="27" t="s">
        <v>7</v>
      </c>
      <c r="GI767" s="27" t="s">
        <v>8</v>
      </c>
      <c r="GJ767" s="27" t="s">
        <v>7</v>
      </c>
      <c r="GK767" s="27" t="s">
        <v>8</v>
      </c>
      <c r="HF767" s="27" t="s">
        <v>7</v>
      </c>
      <c r="HH767" s="27" t="s">
        <v>7</v>
      </c>
      <c r="HJ767" s="27" t="s">
        <v>7</v>
      </c>
      <c r="HO767" s="27" t="s">
        <v>8</v>
      </c>
      <c r="HP767" s="27" t="s">
        <v>7</v>
      </c>
    </row>
    <row r="768" spans="1:224" x14ac:dyDescent="0.25">
      <c r="A768" s="7">
        <v>2.7756768999967207E-2</v>
      </c>
      <c r="B768"/>
      <c r="C768"/>
      <c r="D768"/>
      <c r="E768"/>
      <c r="EF768" s="27" t="s">
        <v>7</v>
      </c>
      <c r="EH768" s="27" t="s">
        <v>7</v>
      </c>
      <c r="EI768" s="27" t="s">
        <v>8</v>
      </c>
      <c r="FG768" s="27" t="s">
        <v>8</v>
      </c>
      <c r="FI768" s="27" t="s">
        <v>8</v>
      </c>
      <c r="FR768" s="27" t="s">
        <v>7</v>
      </c>
      <c r="GB768" s="27" t="s">
        <v>7</v>
      </c>
      <c r="GC768" s="27" t="s">
        <v>8</v>
      </c>
      <c r="GD768" s="27" t="s">
        <v>7</v>
      </c>
      <c r="GG768" s="27" t="s">
        <v>8</v>
      </c>
      <c r="GH768" s="27" t="s">
        <v>7</v>
      </c>
      <c r="GI768" s="27" t="s">
        <v>8</v>
      </c>
      <c r="GJ768" s="27" t="s">
        <v>7</v>
      </c>
      <c r="GK768" s="27" t="s">
        <v>8</v>
      </c>
      <c r="HJ768" s="27" t="s">
        <v>7</v>
      </c>
      <c r="HO768" s="27" t="s">
        <v>8</v>
      </c>
      <c r="HP768" s="27" t="s">
        <v>7</v>
      </c>
    </row>
    <row r="769" spans="1:236" x14ac:dyDescent="0.25">
      <c r="A769" s="7">
        <v>2.7212518627418834E-2</v>
      </c>
      <c r="B769"/>
      <c r="C769"/>
      <c r="D769"/>
      <c r="E769"/>
      <c r="EH769" s="27" t="s">
        <v>7</v>
      </c>
      <c r="EI769" s="27" t="s">
        <v>8</v>
      </c>
      <c r="EJ769" s="27" t="s">
        <v>7</v>
      </c>
      <c r="FG769" s="27" t="s">
        <v>8</v>
      </c>
      <c r="FH769" s="27" t="s">
        <v>7</v>
      </c>
      <c r="FI769" s="27" t="s">
        <v>8</v>
      </c>
      <c r="GB769" s="27" t="s">
        <v>7</v>
      </c>
      <c r="GD769" s="27" t="s">
        <v>7</v>
      </c>
      <c r="GG769" s="27" t="s">
        <v>8</v>
      </c>
      <c r="GH769" s="27" t="s">
        <v>7</v>
      </c>
      <c r="GJ769" s="27" t="s">
        <v>7</v>
      </c>
      <c r="GK769" s="27" t="s">
        <v>8</v>
      </c>
      <c r="HJ769" s="27" t="s">
        <v>7</v>
      </c>
      <c r="HO769" s="27" t="s">
        <v>8</v>
      </c>
      <c r="HP769" s="27" t="s">
        <v>7</v>
      </c>
      <c r="HS769" s="27" t="s">
        <v>8</v>
      </c>
    </row>
    <row r="770" spans="1:236" x14ac:dyDescent="0.25">
      <c r="A770" s="7">
        <v>2.6678939830802779E-2</v>
      </c>
      <c r="B770"/>
      <c r="C770"/>
      <c r="D770"/>
      <c r="E770"/>
      <c r="EH770" s="27" t="s">
        <v>7</v>
      </c>
      <c r="EI770" s="27" t="s">
        <v>8</v>
      </c>
      <c r="EJ770" s="27" t="s">
        <v>7</v>
      </c>
      <c r="FA770" s="27" t="s">
        <v>8</v>
      </c>
      <c r="FC770" s="27" t="s">
        <v>8</v>
      </c>
      <c r="FE770" s="27" t="s">
        <v>8</v>
      </c>
      <c r="FG770" s="27" t="s">
        <v>8</v>
      </c>
      <c r="FH770" s="27" t="s">
        <v>7</v>
      </c>
      <c r="FI770" s="27" t="s">
        <v>8</v>
      </c>
      <c r="GD770" s="27" t="s">
        <v>7</v>
      </c>
      <c r="GG770" s="27" t="s">
        <v>8</v>
      </c>
      <c r="GJ770" s="27" t="s">
        <v>7</v>
      </c>
      <c r="HJ770" s="27" t="s">
        <v>7</v>
      </c>
      <c r="HO770" s="27" t="s">
        <v>8</v>
      </c>
      <c r="HP770" s="27" t="s">
        <v>7</v>
      </c>
      <c r="HS770" s="27" t="s">
        <v>8</v>
      </c>
      <c r="HT770" s="27" t="s">
        <v>7</v>
      </c>
    </row>
    <row r="771" spans="1:236" x14ac:dyDescent="0.25">
      <c r="A771" s="7">
        <v>2.615582336353214E-2</v>
      </c>
      <c r="B771"/>
      <c r="C771"/>
      <c r="D771"/>
      <c r="E771"/>
      <c r="EH771" s="27" t="s">
        <v>7</v>
      </c>
      <c r="EI771" s="27" t="s">
        <v>8</v>
      </c>
      <c r="EJ771" s="27" t="s">
        <v>7</v>
      </c>
      <c r="FA771" s="27" t="s">
        <v>8</v>
      </c>
      <c r="FB771" s="27" t="s">
        <v>7</v>
      </c>
      <c r="FC771" s="27" t="s">
        <v>8</v>
      </c>
      <c r="FD771" s="27" t="s">
        <v>7</v>
      </c>
      <c r="FE771" s="27" t="s">
        <v>8</v>
      </c>
      <c r="FF771" s="27" t="s">
        <v>7</v>
      </c>
      <c r="FG771" s="27" t="s">
        <v>8</v>
      </c>
      <c r="FH771" s="27" t="s">
        <v>7</v>
      </c>
      <c r="FI771" s="27" t="s">
        <v>8</v>
      </c>
      <c r="GD771" s="27" t="s">
        <v>7</v>
      </c>
      <c r="GE771" s="27" t="s">
        <v>8</v>
      </c>
      <c r="GG771" s="27" t="s">
        <v>8</v>
      </c>
      <c r="HJ771" s="27" t="s">
        <v>7</v>
      </c>
      <c r="HK771" s="27" t="s">
        <v>8</v>
      </c>
      <c r="HM771" s="27" t="s">
        <v>8</v>
      </c>
      <c r="HO771" s="27" t="s">
        <v>8</v>
      </c>
      <c r="HP771" s="27" t="s">
        <v>7</v>
      </c>
      <c r="HS771" s="27" t="s">
        <v>8</v>
      </c>
      <c r="HT771" s="27" t="s">
        <v>7</v>
      </c>
    </row>
    <row r="772" spans="1:236" x14ac:dyDescent="0.25">
      <c r="A772" s="7">
        <v>2.5642964081894253E-2</v>
      </c>
      <c r="B772"/>
      <c r="C772"/>
      <c r="D772"/>
      <c r="E772"/>
      <c r="EH772" s="27" t="s">
        <v>7</v>
      </c>
      <c r="EI772" s="27" t="s">
        <v>8</v>
      </c>
      <c r="EJ772" s="27" t="s">
        <v>7</v>
      </c>
      <c r="EY772" s="27" t="s">
        <v>8</v>
      </c>
      <c r="FA772" s="27" t="s">
        <v>8</v>
      </c>
      <c r="FB772" s="27" t="s">
        <v>7</v>
      </c>
      <c r="FC772" s="27" t="s">
        <v>8</v>
      </c>
      <c r="FD772" s="27" t="s">
        <v>7</v>
      </c>
      <c r="FE772" s="27" t="s">
        <v>8</v>
      </c>
      <c r="FF772" s="27" t="s">
        <v>7</v>
      </c>
      <c r="FG772" s="27" t="s">
        <v>8</v>
      </c>
      <c r="FH772" s="27" t="s">
        <v>7</v>
      </c>
      <c r="GD772" s="27" t="s">
        <v>7</v>
      </c>
      <c r="GE772" s="27" t="s">
        <v>8</v>
      </c>
      <c r="GF772" s="27" t="s">
        <v>7</v>
      </c>
      <c r="GG772" s="27" t="s">
        <v>8</v>
      </c>
      <c r="HJ772" s="27" t="s">
        <v>7</v>
      </c>
      <c r="HK772" s="27" t="s">
        <v>8</v>
      </c>
      <c r="HL772" s="27" t="s">
        <v>7</v>
      </c>
      <c r="HM772" s="27" t="s">
        <v>8</v>
      </c>
      <c r="HN772" s="27" t="s">
        <v>7</v>
      </c>
      <c r="HO772" s="27" t="s">
        <v>8</v>
      </c>
      <c r="HP772" s="27" t="s">
        <v>7</v>
      </c>
      <c r="HS772" s="27" t="s">
        <v>8</v>
      </c>
      <c r="HT772" s="27" t="s">
        <v>7</v>
      </c>
    </row>
    <row r="773" spans="1:236" x14ac:dyDescent="0.25">
      <c r="A773" s="7">
        <v>2.5140160864602207E-2</v>
      </c>
      <c r="B773"/>
      <c r="C773"/>
      <c r="D773"/>
      <c r="E773"/>
      <c r="EH773" s="27" t="s">
        <v>7</v>
      </c>
      <c r="EI773" s="27" t="s">
        <v>8</v>
      </c>
      <c r="EJ773" s="27" t="s">
        <v>7</v>
      </c>
      <c r="EY773" s="27" t="s">
        <v>8</v>
      </c>
      <c r="EZ773" s="27" t="s">
        <v>7</v>
      </c>
      <c r="FA773" s="27" t="s">
        <v>8</v>
      </c>
      <c r="FB773" s="27" t="s">
        <v>7</v>
      </c>
      <c r="FD773" s="27" t="s">
        <v>7</v>
      </c>
      <c r="FF773" s="27" t="s">
        <v>7</v>
      </c>
      <c r="FG773" s="27" t="s">
        <v>8</v>
      </c>
      <c r="GD773" s="27" t="s">
        <v>7</v>
      </c>
      <c r="GE773" s="27" t="s">
        <v>8</v>
      </c>
      <c r="GF773" s="27" t="s">
        <v>7</v>
      </c>
      <c r="GG773" s="27" t="s">
        <v>8</v>
      </c>
      <c r="HJ773" s="27" t="s">
        <v>7</v>
      </c>
      <c r="HK773" s="27" t="s">
        <v>8</v>
      </c>
      <c r="HL773" s="27" t="s">
        <v>7</v>
      </c>
      <c r="HM773" s="27" t="s">
        <v>8</v>
      </c>
      <c r="HN773" s="27" t="s">
        <v>7</v>
      </c>
      <c r="HO773" s="27" t="s">
        <v>8</v>
      </c>
      <c r="HP773" s="27" t="s">
        <v>7</v>
      </c>
      <c r="HS773" s="27" t="s">
        <v>8</v>
      </c>
      <c r="HT773" s="27" t="s">
        <v>7</v>
      </c>
      <c r="HU773" s="27" t="s">
        <v>8</v>
      </c>
    </row>
    <row r="774" spans="1:236" x14ac:dyDescent="0.25">
      <c r="A774" s="7">
        <v>2.4647216533923735E-2</v>
      </c>
      <c r="B774"/>
      <c r="C774"/>
      <c r="D774"/>
      <c r="E774"/>
      <c r="EH774" s="27" t="s">
        <v>7</v>
      </c>
      <c r="EI774" s="27" t="s">
        <v>8</v>
      </c>
      <c r="EJ774" s="27" t="s">
        <v>7</v>
      </c>
      <c r="EY774" s="27" t="s">
        <v>8</v>
      </c>
      <c r="EZ774" s="27" t="s">
        <v>7</v>
      </c>
      <c r="FA774" s="27" t="s">
        <v>8</v>
      </c>
      <c r="FF774" s="27" t="s">
        <v>7</v>
      </c>
      <c r="FG774" s="27" t="s">
        <v>8</v>
      </c>
      <c r="GD774" s="27" t="s">
        <v>7</v>
      </c>
      <c r="GE774" s="27" t="s">
        <v>8</v>
      </c>
      <c r="GF774" s="27" t="s">
        <v>7</v>
      </c>
      <c r="GG774" s="27" t="s">
        <v>8</v>
      </c>
      <c r="HJ774" s="27" t="s">
        <v>7</v>
      </c>
      <c r="HK774" s="27" t="s">
        <v>8</v>
      </c>
      <c r="HL774" s="27" t="s">
        <v>7</v>
      </c>
      <c r="HM774" s="27" t="s">
        <v>8</v>
      </c>
      <c r="HN774" s="27" t="s">
        <v>7</v>
      </c>
      <c r="HO774" s="27" t="s">
        <v>8</v>
      </c>
      <c r="HP774" s="27" t="s">
        <v>7</v>
      </c>
      <c r="HS774" s="27" t="s">
        <v>8</v>
      </c>
      <c r="HT774" s="27" t="s">
        <v>7</v>
      </c>
      <c r="HU774" s="27" t="s">
        <v>8</v>
      </c>
      <c r="HV774" s="27" t="s">
        <v>7</v>
      </c>
    </row>
    <row r="775" spans="1:236" x14ac:dyDescent="0.25">
      <c r="A775" s="7">
        <v>2.4163937778356601E-2</v>
      </c>
      <c r="B775"/>
      <c r="C775"/>
      <c r="D775"/>
      <c r="E775"/>
      <c r="EH775" s="27" t="s">
        <v>7</v>
      </c>
      <c r="EI775" s="27" t="s">
        <v>8</v>
      </c>
      <c r="EJ775" s="27" t="s">
        <v>7</v>
      </c>
      <c r="EY775" s="27" t="s">
        <v>8</v>
      </c>
      <c r="EZ775" s="27" t="s">
        <v>7</v>
      </c>
      <c r="FA775" s="27" t="s">
        <v>8</v>
      </c>
      <c r="FF775" s="27" t="s">
        <v>7</v>
      </c>
      <c r="FG775" s="27" t="s">
        <v>8</v>
      </c>
      <c r="GD775" s="27" t="s">
        <v>7</v>
      </c>
      <c r="GF775" s="27" t="s">
        <v>7</v>
      </c>
      <c r="HJ775" s="27" t="s">
        <v>7</v>
      </c>
      <c r="HK775" s="27" t="s">
        <v>8</v>
      </c>
      <c r="HL775" s="27" t="s">
        <v>7</v>
      </c>
      <c r="HM775" s="27" t="s">
        <v>8</v>
      </c>
      <c r="HN775" s="27" t="s">
        <v>7</v>
      </c>
      <c r="HP775" s="27" t="s">
        <v>7</v>
      </c>
      <c r="HQ775" s="27" t="s">
        <v>8</v>
      </c>
      <c r="HS775" s="27" t="s">
        <v>8</v>
      </c>
      <c r="HT775" s="27" t="s">
        <v>7</v>
      </c>
      <c r="HU775" s="27" t="s">
        <v>8</v>
      </c>
      <c r="HV775" s="27" t="s">
        <v>7</v>
      </c>
    </row>
    <row r="776" spans="1:236" x14ac:dyDescent="0.25">
      <c r="A776" s="7">
        <v>2.3690135076820197E-2</v>
      </c>
      <c r="B776"/>
      <c r="C776"/>
      <c r="D776"/>
      <c r="E776"/>
      <c r="EH776" s="27" t="s">
        <v>7</v>
      </c>
      <c r="EI776" s="27" t="s">
        <v>8</v>
      </c>
      <c r="EJ776" s="27" t="s">
        <v>7</v>
      </c>
      <c r="EK776" s="27" t="s">
        <v>8</v>
      </c>
      <c r="EY776" s="27" t="s">
        <v>8</v>
      </c>
      <c r="EZ776" s="27" t="s">
        <v>7</v>
      </c>
      <c r="FA776" s="27" t="s">
        <v>8</v>
      </c>
      <c r="FF776" s="27" t="s">
        <v>7</v>
      </c>
      <c r="HJ776" s="27" t="s">
        <v>7</v>
      </c>
      <c r="HK776" s="27" t="s">
        <v>8</v>
      </c>
      <c r="HL776" s="27" t="s">
        <v>7</v>
      </c>
      <c r="HM776" s="27" t="s">
        <v>8</v>
      </c>
      <c r="HP776" s="27" t="s">
        <v>7</v>
      </c>
      <c r="HQ776" s="27" t="s">
        <v>8</v>
      </c>
      <c r="HR776" s="27" t="s">
        <v>7</v>
      </c>
      <c r="HS776" s="27" t="s">
        <v>8</v>
      </c>
      <c r="HT776" s="27" t="s">
        <v>7</v>
      </c>
      <c r="HU776" s="27" t="s">
        <v>8</v>
      </c>
      <c r="HV776" s="27" t="s">
        <v>7</v>
      </c>
    </row>
    <row r="777" spans="1:236" x14ac:dyDescent="0.25">
      <c r="A777" s="7">
        <v>2.3225622624333527E-2</v>
      </c>
      <c r="B777"/>
      <c r="C777"/>
      <c r="D777"/>
      <c r="E777"/>
      <c r="EH777" s="27" t="s">
        <v>7</v>
      </c>
      <c r="EI777" s="27" t="s">
        <v>8</v>
      </c>
      <c r="EJ777" s="27" t="s">
        <v>7</v>
      </c>
      <c r="EK777" s="27" t="s">
        <v>8</v>
      </c>
      <c r="EL777" s="27" t="s">
        <v>7</v>
      </c>
      <c r="EY777" s="27" t="s">
        <v>8</v>
      </c>
      <c r="EZ777" s="27" t="s">
        <v>7</v>
      </c>
      <c r="HJ777" s="27" t="s">
        <v>7</v>
      </c>
      <c r="HK777" s="27" t="s">
        <v>8</v>
      </c>
      <c r="HL777" s="27" t="s">
        <v>7</v>
      </c>
      <c r="HM777" s="27" t="s">
        <v>8</v>
      </c>
      <c r="HP777" s="27" t="s">
        <v>7</v>
      </c>
      <c r="HQ777" s="27" t="s">
        <v>8</v>
      </c>
      <c r="HR777" s="27" t="s">
        <v>7</v>
      </c>
      <c r="HS777" s="27" t="s">
        <v>8</v>
      </c>
      <c r="HT777" s="27" t="s">
        <v>7</v>
      </c>
      <c r="HU777" s="27" t="s">
        <v>8</v>
      </c>
      <c r="HV777" s="27" t="s">
        <v>7</v>
      </c>
      <c r="HW777" s="27" t="s">
        <v>8</v>
      </c>
    </row>
    <row r="778" spans="1:236" x14ac:dyDescent="0.25">
      <c r="A778" s="7">
        <v>2.2770218259150519E-2</v>
      </c>
      <c r="B778"/>
      <c r="C778"/>
      <c r="D778"/>
      <c r="E778"/>
      <c r="EH778" s="27" t="s">
        <v>7</v>
      </c>
      <c r="EI778" s="27" t="s">
        <v>8</v>
      </c>
      <c r="EJ778" s="27" t="s">
        <v>7</v>
      </c>
      <c r="EK778" s="27" t="s">
        <v>8</v>
      </c>
      <c r="EL778" s="27" t="s">
        <v>7</v>
      </c>
      <c r="EY778" s="27" t="s">
        <v>8</v>
      </c>
      <c r="HJ778" s="27" t="s">
        <v>7</v>
      </c>
      <c r="HK778" s="27" t="s">
        <v>8</v>
      </c>
      <c r="HL778" s="27" t="s">
        <v>7</v>
      </c>
      <c r="HM778" s="27" t="s">
        <v>8</v>
      </c>
      <c r="HP778" s="27" t="s">
        <v>7</v>
      </c>
      <c r="HR778" s="27" t="s">
        <v>7</v>
      </c>
      <c r="HS778" s="27" t="s">
        <v>8</v>
      </c>
      <c r="HT778" s="27" t="s">
        <v>7</v>
      </c>
      <c r="HU778" s="27" t="s">
        <v>8</v>
      </c>
      <c r="HV778" s="27" t="s">
        <v>7</v>
      </c>
      <c r="HW778" s="27" t="s">
        <v>8</v>
      </c>
      <c r="HX778" s="27" t="s">
        <v>7</v>
      </c>
    </row>
    <row r="779" spans="1:236" x14ac:dyDescent="0.25">
      <c r="A779" s="7">
        <v>2.2323743391324039E-2</v>
      </c>
      <c r="B779"/>
      <c r="C779"/>
      <c r="D779"/>
      <c r="E779"/>
      <c r="EH779" s="27" t="s">
        <v>7</v>
      </c>
      <c r="EI779" s="27" t="s">
        <v>8</v>
      </c>
      <c r="EJ779" s="27" t="s">
        <v>7</v>
      </c>
      <c r="EK779" s="27" t="s">
        <v>8</v>
      </c>
      <c r="EL779" s="27" t="s">
        <v>7</v>
      </c>
      <c r="EO779" s="27" t="s">
        <v>8</v>
      </c>
      <c r="EY779" s="27" t="s">
        <v>8</v>
      </c>
      <c r="HJ779" s="27" t="s">
        <v>7</v>
      </c>
      <c r="HL779" s="27" t="s">
        <v>7</v>
      </c>
      <c r="HM779" s="27" t="s">
        <v>8</v>
      </c>
      <c r="HR779" s="27" t="s">
        <v>7</v>
      </c>
      <c r="HS779" s="27" t="s">
        <v>8</v>
      </c>
      <c r="HT779" s="27" t="s">
        <v>7</v>
      </c>
      <c r="HU779" s="27" t="s">
        <v>8</v>
      </c>
      <c r="HV779" s="27" t="s">
        <v>7</v>
      </c>
      <c r="HW779" s="27" t="s">
        <v>8</v>
      </c>
      <c r="HX779" s="27" t="s">
        <v>7</v>
      </c>
    </row>
    <row r="780" spans="1:236" x14ac:dyDescent="0.25">
      <c r="A780" s="7">
        <v>2.188602293267063E-2</v>
      </c>
      <c r="B780"/>
      <c r="C780"/>
      <c r="D780"/>
      <c r="E780"/>
      <c r="EH780" s="27" t="s">
        <v>7</v>
      </c>
      <c r="EI780" s="27" t="s">
        <v>8</v>
      </c>
      <c r="EJ780" s="27" t="s">
        <v>7</v>
      </c>
      <c r="EK780" s="27" t="s">
        <v>8</v>
      </c>
      <c r="EL780" s="27" t="s">
        <v>7</v>
      </c>
      <c r="EO780" s="27" t="s">
        <v>8</v>
      </c>
      <c r="EP780" s="27" t="s">
        <v>7</v>
      </c>
      <c r="EQ780" s="27" t="s">
        <v>8</v>
      </c>
      <c r="EW780" s="27" t="s">
        <v>8</v>
      </c>
      <c r="EY780" s="27" t="s">
        <v>8</v>
      </c>
      <c r="HL780" s="27" t="s">
        <v>7</v>
      </c>
      <c r="HR780" s="27" t="s">
        <v>7</v>
      </c>
      <c r="HS780" s="27" t="s">
        <v>8</v>
      </c>
      <c r="HT780" s="27" t="s">
        <v>7</v>
      </c>
      <c r="HV780" s="27" t="s">
        <v>7</v>
      </c>
      <c r="HW780" s="27" t="s">
        <v>8</v>
      </c>
      <c r="HX780" s="27" t="s">
        <v>7</v>
      </c>
      <c r="HY780" s="27" t="s">
        <v>8</v>
      </c>
      <c r="IA780" s="27" t="s">
        <v>8</v>
      </c>
    </row>
    <row r="781" spans="1:236" x14ac:dyDescent="0.25">
      <c r="A781" s="7">
        <v>2.1456885228108461E-2</v>
      </c>
      <c r="B781"/>
      <c r="C781"/>
      <c r="D781"/>
      <c r="E781"/>
      <c r="EH781" s="27" t="s">
        <v>7</v>
      </c>
      <c r="EI781" s="27" t="s">
        <v>8</v>
      </c>
      <c r="EJ781" s="27" t="s">
        <v>7</v>
      </c>
      <c r="EK781" s="27" t="s">
        <v>8</v>
      </c>
      <c r="EL781" s="27" t="s">
        <v>7</v>
      </c>
      <c r="EM781" s="27" t="s">
        <v>8</v>
      </c>
      <c r="EO781" s="27" t="s">
        <v>8</v>
      </c>
      <c r="EP781" s="27" t="s">
        <v>7</v>
      </c>
      <c r="EQ781" s="27" t="s">
        <v>8</v>
      </c>
      <c r="ER781" s="27" t="s">
        <v>7</v>
      </c>
      <c r="EU781" s="27" t="s">
        <v>8</v>
      </c>
      <c r="EW781" s="27" t="s">
        <v>8</v>
      </c>
      <c r="EX781" s="27" t="s">
        <v>7</v>
      </c>
      <c r="EY781" s="27" t="s">
        <v>8</v>
      </c>
      <c r="HR781" s="27" t="s">
        <v>7</v>
      </c>
      <c r="HV781" s="27" t="s">
        <v>7</v>
      </c>
      <c r="HX781" s="27" t="s">
        <v>7</v>
      </c>
      <c r="HY781" s="27" t="s">
        <v>8</v>
      </c>
      <c r="HZ781" s="27" t="s">
        <v>7</v>
      </c>
      <c r="IA781" s="27" t="s">
        <v>8</v>
      </c>
      <c r="IB781" s="27" t="s">
        <v>7</v>
      </c>
    </row>
    <row r="782" spans="1:236" x14ac:dyDescent="0.25">
      <c r="A782" s="7">
        <v>2.1036161988341632E-2</v>
      </c>
      <c r="B782"/>
      <c r="C782"/>
      <c r="D782"/>
      <c r="E782"/>
      <c r="EH782" s="27" t="s">
        <v>7</v>
      </c>
      <c r="EI782" s="27" t="s">
        <v>8</v>
      </c>
      <c r="EJ782" s="27" t="s">
        <v>7</v>
      </c>
      <c r="EL782" s="27" t="s">
        <v>7</v>
      </c>
      <c r="EM782" s="27" t="s">
        <v>8</v>
      </c>
      <c r="EN782" s="27" t="s">
        <v>7</v>
      </c>
      <c r="EO782" s="27" t="s">
        <v>8</v>
      </c>
      <c r="EP782" s="27" t="s">
        <v>7</v>
      </c>
      <c r="EQ782" s="27" t="s">
        <v>8</v>
      </c>
      <c r="ER782" s="27" t="s">
        <v>7</v>
      </c>
      <c r="ES782" s="27" t="s">
        <v>8</v>
      </c>
      <c r="EU782" s="27" t="s">
        <v>8</v>
      </c>
      <c r="EV782" s="27" t="s">
        <v>7</v>
      </c>
      <c r="EW782" s="27" t="s">
        <v>8</v>
      </c>
      <c r="EX782" s="27" t="s">
        <v>7</v>
      </c>
      <c r="EY782" s="27" t="s">
        <v>8</v>
      </c>
      <c r="HX782" s="27" t="s">
        <v>7</v>
      </c>
      <c r="HY782" s="27" t="s">
        <v>8</v>
      </c>
      <c r="HZ782" s="27" t="s">
        <v>7</v>
      </c>
      <c r="IA782" s="27" t="s">
        <v>8</v>
      </c>
      <c r="IB782" s="27" t="s">
        <v>7</v>
      </c>
    </row>
    <row r="783" spans="1:236" x14ac:dyDescent="0.25">
      <c r="A783" s="7">
        <v>2.0623688223864345E-2</v>
      </c>
      <c r="B783"/>
      <c r="C783"/>
      <c r="D783"/>
      <c r="E783"/>
      <c r="EH783" s="27" t="s">
        <v>7</v>
      </c>
      <c r="EI783" s="27" t="s">
        <v>8</v>
      </c>
      <c r="EL783" s="27" t="s">
        <v>7</v>
      </c>
      <c r="EM783" s="27" t="s">
        <v>8</v>
      </c>
      <c r="EN783" s="27" t="s">
        <v>7</v>
      </c>
      <c r="EO783" s="27" t="s">
        <v>8</v>
      </c>
      <c r="EP783" s="27" t="s">
        <v>7</v>
      </c>
      <c r="ER783" s="27" t="s">
        <v>7</v>
      </c>
      <c r="ES783" s="27" t="s">
        <v>8</v>
      </c>
      <c r="ET783" s="27" t="s">
        <v>7</v>
      </c>
      <c r="EU783" s="27" t="s">
        <v>8</v>
      </c>
      <c r="EV783" s="27" t="s">
        <v>7</v>
      </c>
      <c r="EW783" s="27" t="s">
        <v>8</v>
      </c>
      <c r="EX783" s="27" t="s">
        <v>7</v>
      </c>
      <c r="EY783" s="27" t="s">
        <v>8</v>
      </c>
      <c r="HX783" s="27" t="s">
        <v>7</v>
      </c>
      <c r="HY783" s="27" t="s">
        <v>8</v>
      </c>
      <c r="HZ783" s="27" t="s">
        <v>7</v>
      </c>
      <c r="IB783" s="27" t="s">
        <v>7</v>
      </c>
    </row>
    <row r="784" spans="1:236" x14ac:dyDescent="0.25">
      <c r="A784" s="7">
        <v>2.021930218025916E-2</v>
      </c>
      <c r="B784"/>
      <c r="C784"/>
      <c r="D784"/>
      <c r="E784"/>
      <c r="EH784" s="27" t="s">
        <v>7</v>
      </c>
      <c r="EI784" s="27" t="s">
        <v>8</v>
      </c>
      <c r="EL784" s="27" t="s">
        <v>7</v>
      </c>
      <c r="EN784" s="27" t="s">
        <v>7</v>
      </c>
      <c r="ER784" s="27" t="s">
        <v>7</v>
      </c>
      <c r="ES784" s="27" t="s">
        <v>8</v>
      </c>
      <c r="ET784" s="27" t="s">
        <v>7</v>
      </c>
      <c r="EU784" s="27" t="s">
        <v>8</v>
      </c>
      <c r="EV784" s="27" t="s">
        <v>7</v>
      </c>
      <c r="EX784" s="27" t="s">
        <v>7</v>
      </c>
      <c r="EY784" s="27" t="s">
        <v>8</v>
      </c>
      <c r="HX784" s="27" t="s">
        <v>7</v>
      </c>
      <c r="HY784" s="27" t="s">
        <v>8</v>
      </c>
      <c r="IB784" s="27" t="s">
        <v>7</v>
      </c>
    </row>
    <row r="785" spans="1:240" x14ac:dyDescent="0.25">
      <c r="A785" s="7">
        <v>1.9822845274763884E-2</v>
      </c>
      <c r="B785"/>
      <c r="C785"/>
      <c r="D785"/>
      <c r="E785"/>
      <c r="EH785" s="27" t="s">
        <v>7</v>
      </c>
      <c r="EI785" s="27" t="s">
        <v>8</v>
      </c>
      <c r="ER785" s="27" t="s">
        <v>7</v>
      </c>
      <c r="ES785" s="27" t="s">
        <v>8</v>
      </c>
      <c r="ET785" s="27" t="s">
        <v>7</v>
      </c>
      <c r="EU785" s="27" t="s">
        <v>8</v>
      </c>
      <c r="EX785" s="18" t="s">
        <v>7</v>
      </c>
      <c r="EY785" s="27" t="s">
        <v>8</v>
      </c>
      <c r="HX785" s="27" t="s">
        <v>7</v>
      </c>
      <c r="HY785" s="27" t="s">
        <v>8</v>
      </c>
      <c r="IB785" s="27" t="s">
        <v>7</v>
      </c>
    </row>
    <row r="786" spans="1:240" x14ac:dyDescent="0.25">
      <c r="A786" s="7">
        <v>1.9434162034082238E-2</v>
      </c>
      <c r="B786"/>
      <c r="C786"/>
      <c r="D786"/>
      <c r="E786"/>
      <c r="EH786" s="27" t="s">
        <v>7</v>
      </c>
      <c r="EI786" s="27" t="s">
        <v>8</v>
      </c>
      <c r="ER786" s="27" t="s">
        <v>7</v>
      </c>
      <c r="ES786" s="27" t="s">
        <v>8</v>
      </c>
      <c r="ET786" s="27" t="s">
        <v>7</v>
      </c>
      <c r="EX786" s="27" t="s">
        <v>7</v>
      </c>
      <c r="EY786" s="27" t="s">
        <v>8</v>
      </c>
      <c r="HX786" s="27" t="s">
        <v>7</v>
      </c>
      <c r="HY786" s="27" t="s">
        <v>8</v>
      </c>
      <c r="IB786" s="27" t="s">
        <v>7</v>
      </c>
    </row>
    <row r="787" spans="1:240" x14ac:dyDescent="0.25">
      <c r="A787" s="7">
        <v>1.9053100033413959E-2</v>
      </c>
      <c r="B787"/>
      <c r="C787"/>
      <c r="D787"/>
      <c r="E787"/>
      <c r="EH787" s="27" t="s">
        <v>7</v>
      </c>
      <c r="EI787" s="27" t="s">
        <v>8</v>
      </c>
      <c r="ER787" s="27" t="s">
        <v>7</v>
      </c>
      <c r="EX787" s="27" t="s">
        <v>7</v>
      </c>
      <c r="EY787" s="27" t="s">
        <v>8</v>
      </c>
      <c r="HX787" s="27" t="s">
        <v>7</v>
      </c>
      <c r="HY787" s="27" t="s">
        <v>8</v>
      </c>
      <c r="IB787" s="27" t="s">
        <v>7</v>
      </c>
    </row>
    <row r="788" spans="1:240" x14ac:dyDescent="0.25">
      <c r="A788" s="7">
        <v>1.867950983668035E-2</v>
      </c>
      <c r="B788"/>
      <c r="C788"/>
      <c r="D788"/>
      <c r="E788"/>
      <c r="EH788" s="27" t="s">
        <v>7</v>
      </c>
      <c r="EI788" s="27" t="s">
        <v>8</v>
      </c>
      <c r="EX788" s="27" t="s">
        <v>7</v>
      </c>
      <c r="EY788" s="27" t="s">
        <v>8</v>
      </c>
      <c r="HX788" s="27" t="s">
        <v>7</v>
      </c>
      <c r="HY788" s="27" t="s">
        <v>8</v>
      </c>
      <c r="IB788" s="27" t="s">
        <v>7</v>
      </c>
    </row>
    <row r="789" spans="1:240" x14ac:dyDescent="0.25">
      <c r="A789" s="7">
        <v>1.8313244937921913E-2</v>
      </c>
      <c r="B789"/>
      <c r="C789"/>
      <c r="D789"/>
      <c r="E789"/>
      <c r="EH789" s="27" t="s">
        <v>7</v>
      </c>
      <c r="EI789" s="27" t="s">
        <v>8</v>
      </c>
      <c r="EX789" s="27" t="s">
        <v>7</v>
      </c>
      <c r="EY789" s="27" t="s">
        <v>8</v>
      </c>
      <c r="HX789" s="27" t="s">
        <v>7</v>
      </c>
      <c r="HY789" s="27" t="s">
        <v>8</v>
      </c>
      <c r="IB789" s="27" t="s">
        <v>7</v>
      </c>
    </row>
    <row r="790" spans="1:240" x14ac:dyDescent="0.25">
      <c r="A790" s="7">
        <v>1.7954161703845013E-2</v>
      </c>
      <c r="B790"/>
      <c r="C790"/>
      <c r="D790"/>
      <c r="E790"/>
      <c r="EH790" s="27" t="s">
        <v>7</v>
      </c>
      <c r="EI790" s="27" t="s">
        <v>8</v>
      </c>
      <c r="EX790" s="27" t="s">
        <v>7</v>
      </c>
      <c r="EY790" s="27" t="s">
        <v>8</v>
      </c>
      <c r="HX790" s="27" t="s">
        <v>7</v>
      </c>
      <c r="HY790" s="27" t="s">
        <v>8</v>
      </c>
      <c r="IB790" s="27" t="s">
        <v>7</v>
      </c>
    </row>
    <row r="791" spans="1:240" x14ac:dyDescent="0.25">
      <c r="A791" s="7">
        <v>1.7602119317495109E-2</v>
      </c>
      <c r="B791"/>
      <c r="C791"/>
      <c r="D791"/>
      <c r="E791"/>
      <c r="EH791" s="27" t="s">
        <v>7</v>
      </c>
      <c r="EI791" s="27" t="s">
        <v>8</v>
      </c>
      <c r="EX791" s="27" t="s">
        <v>7</v>
      </c>
      <c r="EY791" s="27" t="s">
        <v>8</v>
      </c>
      <c r="HX791" s="27" t="s">
        <v>7</v>
      </c>
      <c r="IB791" s="27" t="s">
        <v>7</v>
      </c>
    </row>
    <row r="792" spans="1:240" x14ac:dyDescent="0.25">
      <c r="A792" s="7">
        <v>1.7256979723034419E-2</v>
      </c>
      <c r="B792"/>
      <c r="C792"/>
      <c r="D792"/>
      <c r="E792"/>
      <c r="EH792" s="27" t="s">
        <v>7</v>
      </c>
      <c r="EI792" s="27" t="s">
        <v>8</v>
      </c>
      <c r="EX792" s="27" t="s">
        <v>7</v>
      </c>
      <c r="EY792" s="27" t="s">
        <v>8</v>
      </c>
      <c r="IB792" s="27" t="s">
        <v>7</v>
      </c>
    </row>
    <row r="793" spans="1:240" x14ac:dyDescent="0.25">
      <c r="A793" s="7">
        <v>1.6918607571602372E-2</v>
      </c>
      <c r="B793"/>
      <c r="C793"/>
      <c r="D793"/>
      <c r="E793"/>
      <c r="EH793" s="27" t="s">
        <v>7</v>
      </c>
      <c r="EI793" s="27" t="s">
        <v>8</v>
      </c>
      <c r="EX793" s="27" t="s">
        <v>7</v>
      </c>
      <c r="IB793" s="27" t="s">
        <v>7</v>
      </c>
    </row>
    <row r="794" spans="1:240" x14ac:dyDescent="0.25">
      <c r="A794" s="7">
        <v>1.6586870168237622E-2</v>
      </c>
      <c r="B794"/>
      <c r="C794"/>
      <c r="D794"/>
      <c r="E794"/>
      <c r="EH794" s="27" t="s">
        <v>7</v>
      </c>
      <c r="EI794" s="27" t="s">
        <v>8</v>
      </c>
      <c r="IB794" s="27" t="s">
        <v>7</v>
      </c>
    </row>
    <row r="795" spans="1:240" x14ac:dyDescent="0.25">
      <c r="A795" s="7">
        <v>1.6261637419840807E-2</v>
      </c>
      <c r="B795"/>
      <c r="C795"/>
      <c r="D795"/>
      <c r="E795"/>
      <c r="EH795" s="27" t="s">
        <v>7</v>
      </c>
      <c r="IB795" s="27" t="s">
        <v>7</v>
      </c>
      <c r="IC795" s="27" t="s">
        <v>8</v>
      </c>
    </row>
    <row r="796" spans="1:240" x14ac:dyDescent="0.25">
      <c r="A796" s="7">
        <v>1.5942781784157655E-2</v>
      </c>
      <c r="B796"/>
      <c r="C796"/>
      <c r="D796"/>
      <c r="E796"/>
      <c r="IB796" s="27" t="s">
        <v>7</v>
      </c>
      <c r="IC796" s="27" t="s">
        <v>8</v>
      </c>
      <c r="ID796" s="27" t="s">
        <v>7</v>
      </c>
    </row>
    <row r="797" spans="1:240" x14ac:dyDescent="0.25">
      <c r="A797" s="7">
        <v>1.5630178219762408E-2</v>
      </c>
      <c r="B797"/>
      <c r="C797"/>
      <c r="D797"/>
      <c r="E797"/>
      <c r="IB797" s="27" t="s">
        <v>7</v>
      </c>
      <c r="IC797" s="27" t="s">
        <v>8</v>
      </c>
      <c r="ID797" s="27" t="s">
        <v>7</v>
      </c>
    </row>
    <row r="798" spans="1:240" x14ac:dyDescent="0.25">
      <c r="A798" s="7">
        <v>1.5323704137021967E-2</v>
      </c>
      <c r="B798"/>
      <c r="C798"/>
      <c r="D798"/>
      <c r="E798"/>
      <c r="IB798" s="27" t="s">
        <v>7</v>
      </c>
      <c r="IC798" s="27" t="s">
        <v>8</v>
      </c>
      <c r="ID798" s="27" t="s">
        <v>7</v>
      </c>
      <c r="IE798" s="27" t="s">
        <v>8</v>
      </c>
    </row>
    <row r="799" spans="1:240" x14ac:dyDescent="0.25">
      <c r="A799" s="7">
        <v>1.5023239350021535E-2</v>
      </c>
      <c r="B799"/>
      <c r="C799"/>
      <c r="D799"/>
      <c r="E799"/>
      <c r="IB799" s="27" t="s">
        <v>7</v>
      </c>
      <c r="IC799" s="27" t="s">
        <v>8</v>
      </c>
      <c r="ID799" s="27" t="s">
        <v>7</v>
      </c>
      <c r="IE799" s="27" t="s">
        <v>8</v>
      </c>
      <c r="IF799" s="27" t="s">
        <v>7</v>
      </c>
    </row>
    <row r="800" spans="1:240" x14ac:dyDescent="0.25">
      <c r="A800" s="7">
        <v>1.4728666029432878E-2</v>
      </c>
      <c r="B800"/>
      <c r="C800"/>
      <c r="D800"/>
      <c r="E800"/>
      <c r="IB800" s="27" t="s">
        <v>7</v>
      </c>
      <c r="IC800" s="27" t="s">
        <v>8</v>
      </c>
      <c r="ID800" s="27" t="s">
        <v>7</v>
      </c>
      <c r="IE800" s="27" t="s">
        <v>8</v>
      </c>
      <c r="IF800" s="27" t="s">
        <v>7</v>
      </c>
    </row>
    <row r="801" spans="1:240" x14ac:dyDescent="0.25">
      <c r="A801" s="7">
        <v>1.4439868656306743E-2</v>
      </c>
      <c r="B801"/>
      <c r="C801"/>
      <c r="D801"/>
      <c r="E801"/>
      <c r="IB801" s="27" t="s">
        <v>7</v>
      </c>
      <c r="IC801" s="27" t="s">
        <v>8</v>
      </c>
      <c r="ID801" s="27" t="s">
        <v>7</v>
      </c>
      <c r="IE801" s="27" t="s">
        <v>8</v>
      </c>
      <c r="IF801" s="27" t="s">
        <v>7</v>
      </c>
    </row>
    <row r="802" spans="1:240" x14ac:dyDescent="0.25">
      <c r="A802" s="7">
        <v>1.4156733976771318E-2</v>
      </c>
      <c r="B802"/>
      <c r="C802"/>
      <c r="D802"/>
      <c r="E802"/>
      <c r="IB802" s="27" t="s">
        <v>7</v>
      </c>
      <c r="ID802" s="27" t="s">
        <v>7</v>
      </c>
      <c r="IE802" s="27" t="s">
        <v>8</v>
      </c>
    </row>
    <row r="803" spans="1:240" x14ac:dyDescent="0.25">
      <c r="A803" s="7">
        <v>1.3879150957618939E-2</v>
      </c>
      <c r="B803"/>
      <c r="C803"/>
      <c r="D803"/>
      <c r="E803"/>
      <c r="ID803" s="27" t="s">
        <v>7</v>
      </c>
      <c r="IE803" s="27" t="s">
        <v>8</v>
      </c>
    </row>
    <row r="804" spans="1:240" x14ac:dyDescent="0.25">
      <c r="A804" s="7">
        <v>1.3607010742763666E-2</v>
      </c>
      <c r="B804"/>
      <c r="C804"/>
      <c r="D804"/>
      <c r="E804"/>
      <c r="ID804" s="27" t="s">
        <v>7</v>
      </c>
      <c r="IE804" s="27" t="s">
        <v>8</v>
      </c>
    </row>
    <row r="805" spans="1:240" x14ac:dyDescent="0.25">
      <c r="A805" s="7">
        <v>1.3340206610552614E-2</v>
      </c>
      <c r="B805"/>
      <c r="C805"/>
      <c r="D805"/>
      <c r="E805"/>
      <c r="ID805" s="27" t="s">
        <v>7</v>
      </c>
    </row>
    <row r="806" spans="1:240" x14ac:dyDescent="0.25">
      <c r="A806" s="7">
        <v>1.3078633931914328E-2</v>
      </c>
      <c r="B806"/>
      <c r="C806"/>
      <c r="D806"/>
      <c r="E806"/>
    </row>
    <row r="807" spans="1:240" x14ac:dyDescent="0.25">
      <c r="A807" s="7">
        <v>1.2822190129327771E-2</v>
      </c>
      <c r="B807"/>
      <c r="C807"/>
      <c r="D807"/>
      <c r="E807"/>
    </row>
    <row r="808" spans="1:240" x14ac:dyDescent="0.25">
      <c r="A808" s="7">
        <v>1.2570774636595854E-2</v>
      </c>
      <c r="B808"/>
      <c r="C808"/>
      <c r="D808"/>
      <c r="E808"/>
    </row>
    <row r="809" spans="1:240" x14ac:dyDescent="0.25">
      <c r="A809" s="7">
        <v>1.23242888594077E-2</v>
      </c>
      <c r="B809"/>
      <c r="C809"/>
      <c r="D809"/>
      <c r="E809"/>
    </row>
    <row r="810" spans="1:240" x14ac:dyDescent="0.25">
      <c r="A810" s="7">
        <v>1.2082636136674216E-2</v>
      </c>
      <c r="B810"/>
      <c r="C810"/>
      <c r="D810"/>
      <c r="E810"/>
    </row>
    <row r="811" spans="1:240" x14ac:dyDescent="0.25">
      <c r="A811" s="7">
        <v>1.184572170262178E-2</v>
      </c>
      <c r="B811"/>
      <c r="C811"/>
      <c r="D811"/>
      <c r="E811"/>
    </row>
    <row r="812" spans="1:240" x14ac:dyDescent="0.25">
      <c r="A812" s="7">
        <v>1.1613452649629196E-2</v>
      </c>
      <c r="B812"/>
      <c r="C812"/>
      <c r="D812"/>
      <c r="E812"/>
    </row>
    <row r="813" spans="1:240" x14ac:dyDescent="0.25">
      <c r="A813" s="7">
        <v>1.138573789179333E-2</v>
      </c>
      <c r="B813"/>
      <c r="C813"/>
      <c r="D813"/>
      <c r="E813"/>
    </row>
    <row r="814" spans="1:240" x14ac:dyDescent="0.25">
      <c r="A814" s="7">
        <v>1.1162488129209149E-2</v>
      </c>
      <c r="B814"/>
      <c r="C814"/>
      <c r="D814"/>
      <c r="E814"/>
    </row>
    <row r="815" spans="1:240" x14ac:dyDescent="0.25">
      <c r="A815" s="7">
        <v>1.0943615812950145E-2</v>
      </c>
      <c r="B815"/>
      <c r="C815"/>
      <c r="D815"/>
      <c r="E815"/>
    </row>
    <row r="816" spans="1:240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6" operator="equal">
      <formula>$U$1</formula>
    </cfRule>
    <cfRule type="cellIs" dxfId="89" priority="897" operator="equal">
      <formula>$S$1</formula>
    </cfRule>
  </conditionalFormatting>
  <conditionalFormatting sqref="D27">
    <cfRule type="cellIs" dxfId="88" priority="894" operator="equal">
      <formula>$S$1</formula>
    </cfRule>
    <cfRule type="cellIs" dxfId="87" priority="895" operator="equal">
      <formula>$U$1</formula>
    </cfRule>
  </conditionalFormatting>
  <conditionalFormatting sqref="C164">
    <cfRule type="cellIs" dxfId="86" priority="892" operator="equal">
      <formula>$U$1</formula>
    </cfRule>
    <cfRule type="cellIs" dxfId="85" priority="893" operator="equal">
      <formula>$S$1</formula>
    </cfRule>
  </conditionalFormatting>
  <conditionalFormatting sqref="D164">
    <cfRule type="cellIs" dxfId="84" priority="890" operator="equal">
      <formula>$S$1</formula>
    </cfRule>
    <cfRule type="cellIs" dxfId="83" priority="891" operator="equal">
      <formula>$U$1</formula>
    </cfRule>
  </conditionalFormatting>
  <conditionalFormatting sqref="C55">
    <cfRule type="cellIs" dxfId="82" priority="888" operator="equal">
      <formula>$U$1</formula>
    </cfRule>
    <cfRule type="cellIs" dxfId="81" priority="889" operator="equal">
      <formula>$S$1</formula>
    </cfRule>
  </conditionalFormatting>
  <conditionalFormatting sqref="D55">
    <cfRule type="cellIs" dxfId="80" priority="886" operator="equal">
      <formula>$S$1</formula>
    </cfRule>
    <cfRule type="cellIs" dxfId="79" priority="887" operator="equal">
      <formula>$U$1</formula>
    </cfRule>
  </conditionalFormatting>
  <conditionalFormatting sqref="C89">
    <cfRule type="cellIs" dxfId="78" priority="884" operator="equal">
      <formula>$U$1</formula>
    </cfRule>
    <cfRule type="cellIs" dxfId="77" priority="885" operator="equal">
      <formula>$S$1</formula>
    </cfRule>
  </conditionalFormatting>
  <conditionalFormatting sqref="D89">
    <cfRule type="cellIs" dxfId="76" priority="882" operator="equal">
      <formula>$S$1</formula>
    </cfRule>
    <cfRule type="cellIs" dxfId="75" priority="883" operator="equal">
      <formula>$U$1</formula>
    </cfRule>
  </conditionalFormatting>
  <conditionalFormatting sqref="C136">
    <cfRule type="cellIs" dxfId="74" priority="880" operator="equal">
      <formula>$U$1</formula>
    </cfRule>
    <cfRule type="cellIs" dxfId="73" priority="881" operator="equal">
      <formula>$S$1</formula>
    </cfRule>
  </conditionalFormatting>
  <conditionalFormatting sqref="D136">
    <cfRule type="cellIs" dxfId="72" priority="878" operator="equal">
      <formula>$S$1</formula>
    </cfRule>
    <cfRule type="cellIs" dxfId="71" priority="879" operator="equal">
      <formula>$U$1</formula>
    </cfRule>
  </conditionalFormatting>
  <conditionalFormatting sqref="C1">
    <cfRule type="cellIs" dxfId="70" priority="8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D328" sqref="DD32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$A$327</v>
      </c>
      <c r="D111" s="1" t="str">
        <f>ADDRESS(C121-1,D121,1,1)</f>
        <v>$DD$327</v>
      </c>
      <c r="E111"/>
    </row>
    <row r="112" spans="1:5" x14ac:dyDescent="0.25">
      <c r="A112" s="30">
        <v>515.50191262726139</v>
      </c>
      <c r="C112" s="1" t="str">
        <f>ADDRESS(C121,1,1,1)</f>
        <v>$A$328</v>
      </c>
      <c r="D112" s="1" t="str">
        <f>ADDRESS(C121,D121-1,1,1)</f>
        <v>$DC$328</v>
      </c>
      <c r="E112"/>
    </row>
    <row r="113" spans="1:5" x14ac:dyDescent="0.25">
      <c r="A113" s="30">
        <v>490.95420250215363</v>
      </c>
      <c r="C113" s="1" t="str">
        <f>ADDRESS(C121+1,1,1,1)</f>
        <v>$A$329</v>
      </c>
      <c r="D113" s="1" t="str">
        <f>ADDRESS(C121-1,D121+1,1,1)</f>
        <v>$DE$327</v>
      </c>
    </row>
    <row r="114" spans="1:5" x14ac:dyDescent="0.25">
      <c r="A114" s="30">
        <v>467.57543095443202</v>
      </c>
      <c r="C114" s="1" t="str">
        <f>ADDRESS(C121,D121,1,1)</f>
        <v>$DD$328</v>
      </c>
      <c r="D114" s="1" t="str">
        <f>ADDRESS(C121+1,D121+1,1,1)</f>
        <v>$DE$329</v>
      </c>
    </row>
    <row r="115" spans="1:5" x14ac:dyDescent="0.25">
      <c r="A115" s="30">
        <v>445.30993424231622</v>
      </c>
      <c r="C115" s="1" t="str">
        <f>ADDRESS(C121+1,D121,1,1)</f>
        <v>$DD$329</v>
      </c>
    </row>
    <row r="116" spans="1:5" x14ac:dyDescent="0.25">
      <c r="A116" s="30">
        <v>424.10469927839637</v>
      </c>
      <c r="C116" s="1">
        <f>C117-1</f>
        <v>327</v>
      </c>
    </row>
    <row r="117" spans="1:5" x14ac:dyDescent="0.25">
      <c r="A117" s="30">
        <v>403.9092374079965</v>
      </c>
      <c r="C117" s="1">
        <f>C121</f>
        <v>328</v>
      </c>
      <c r="D117" s="1">
        <f>D121</f>
        <v>108</v>
      </c>
    </row>
    <row r="118" spans="1:5" x14ac:dyDescent="0.25">
      <c r="A118" s="30">
        <v>384.6754641980919</v>
      </c>
      <c r="C118" s="1">
        <f>C117+1</f>
        <v>329</v>
      </c>
      <c r="D118" s="1">
        <f>D117+1</f>
        <v>109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328</v>
      </c>
      <c r="D121" s="19">
        <v>108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R328</v>
      </c>
      <c r="D123" s="1" t="str">
        <f>"C"&amp;D121</f>
        <v>C108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1.365657146885267E-2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49" x14ac:dyDescent="0.25">
      <c r="A145" s="30">
        <v>103.03467644609493</v>
      </c>
      <c r="E145"/>
    </row>
    <row r="146" spans="1:49" x14ac:dyDescent="0.25">
      <c r="A146" s="30">
        <v>98.128263281995174</v>
      </c>
      <c r="E146"/>
    </row>
    <row r="147" spans="1:49" x14ac:dyDescent="0.25">
      <c r="A147" s="30">
        <v>93.455488839995397</v>
      </c>
      <c r="E147"/>
    </row>
    <row r="148" spans="1:49" x14ac:dyDescent="0.25">
      <c r="A148" s="30">
        <v>89.005227466662276</v>
      </c>
      <c r="E148"/>
    </row>
    <row r="149" spans="1:49" x14ac:dyDescent="0.25">
      <c r="A149" s="30">
        <v>84.766883301583121</v>
      </c>
      <c r="E149"/>
    </row>
    <row r="150" spans="1:49" x14ac:dyDescent="0.25">
      <c r="A150" s="30">
        <v>80.730365049126775</v>
      </c>
      <c r="E150"/>
    </row>
    <row r="151" spans="1:49" x14ac:dyDescent="0.25">
      <c r="A151" s="30">
        <v>76.886061951549308</v>
      </c>
      <c r="E151"/>
    </row>
    <row r="152" spans="1:49" x14ac:dyDescent="0.25">
      <c r="A152" s="30">
        <v>73.22482090623744</v>
      </c>
      <c r="E152"/>
    </row>
    <row r="153" spans="1:49" x14ac:dyDescent="0.25">
      <c r="A153" s="30">
        <v>69.737924672607079</v>
      </c>
      <c r="C153" s="7"/>
      <c r="D153"/>
      <c r="E153"/>
    </row>
    <row r="154" spans="1:49" x14ac:dyDescent="0.25">
      <c r="A154" s="30">
        <v>66.417071116768639</v>
      </c>
      <c r="E154"/>
    </row>
    <row r="155" spans="1:49" x14ac:dyDescent="0.25">
      <c r="A155" s="30">
        <v>63.254353444541557</v>
      </c>
      <c r="E155"/>
    </row>
    <row r="156" spans="1:49" x14ac:dyDescent="0.25">
      <c r="A156" s="30">
        <v>60.242241375753864</v>
      </c>
      <c r="C156"/>
      <c r="D156"/>
      <c r="E156"/>
    </row>
    <row r="157" spans="1:49" x14ac:dyDescent="0.25">
      <c r="A157" s="30">
        <v>57.373563215003678</v>
      </c>
      <c r="E157"/>
    </row>
    <row r="158" spans="1:49" x14ac:dyDescent="0.25">
      <c r="A158" s="30">
        <v>54.641488776193974</v>
      </c>
      <c r="E158"/>
    </row>
    <row r="159" spans="1:49" x14ac:dyDescent="0.25">
      <c r="A159" s="30">
        <v>52.039513120184736</v>
      </c>
      <c r="E159"/>
      <c r="AU159" s="27" t="s">
        <v>8</v>
      </c>
    </row>
    <row r="160" spans="1:49" x14ac:dyDescent="0.25">
      <c r="A160" s="30">
        <v>49.561441066842605</v>
      </c>
      <c r="C160"/>
      <c r="E160"/>
      <c r="AU160" s="27" t="s">
        <v>8</v>
      </c>
      <c r="AV160" s="27" t="s">
        <v>7</v>
      </c>
      <c r="AW160" s="27" t="s">
        <v>8</v>
      </c>
    </row>
    <row r="161" spans="1:74" x14ac:dyDescent="0.25">
      <c r="A161" s="30">
        <v>47.201372444612005</v>
      </c>
      <c r="E161"/>
      <c r="AU161" s="27" t="s">
        <v>8</v>
      </c>
      <c r="AV161" s="27" t="s">
        <v>7</v>
      </c>
      <c r="AW161" s="27" t="s">
        <v>8</v>
      </c>
      <c r="AX161" s="27" t="s">
        <v>7</v>
      </c>
    </row>
    <row r="162" spans="1:74" x14ac:dyDescent="0.25">
      <c r="A162" s="30">
        <v>44.95368804248762</v>
      </c>
      <c r="E162"/>
      <c r="AU162" s="27" t="s">
        <v>8</v>
      </c>
      <c r="AV162" s="27" t="s">
        <v>7</v>
      </c>
      <c r="AW162" s="27" t="s">
        <v>8</v>
      </c>
      <c r="AX162" s="27" t="s">
        <v>7</v>
      </c>
    </row>
    <row r="163" spans="1:74" x14ac:dyDescent="0.25">
      <c r="A163" s="30">
        <v>42.81303623094059</v>
      </c>
      <c r="E163"/>
      <c r="AS163" s="27" t="s">
        <v>8</v>
      </c>
      <c r="AU163" s="27" t="s">
        <v>8</v>
      </c>
      <c r="AV163" s="27" t="s">
        <v>7</v>
      </c>
      <c r="AW163" s="27" t="s">
        <v>8</v>
      </c>
      <c r="AX163" s="27" t="s">
        <v>7</v>
      </c>
      <c r="BQ163" s="27" t="s">
        <v>8</v>
      </c>
    </row>
    <row r="164" spans="1:74" x14ac:dyDescent="0.25">
      <c r="A164" s="30">
        <v>40.774320219943419</v>
      </c>
      <c r="E164"/>
      <c r="AS164" s="27" t="s">
        <v>8</v>
      </c>
      <c r="AT164" s="27" t="s">
        <v>7</v>
      </c>
      <c r="AU164" s="27" t="s">
        <v>8</v>
      </c>
      <c r="AV164" s="27" t="s">
        <v>7</v>
      </c>
      <c r="AW164" s="27" t="s">
        <v>8</v>
      </c>
      <c r="AX164" s="27" t="s">
        <v>7</v>
      </c>
      <c r="BQ164" s="27" t="s">
        <v>8</v>
      </c>
      <c r="BR164" s="27" t="s">
        <v>7</v>
      </c>
    </row>
    <row r="165" spans="1:74" x14ac:dyDescent="0.25">
      <c r="A165" s="30">
        <v>38.832685923755633</v>
      </c>
      <c r="E165"/>
      <c r="AS165" s="27" t="s">
        <v>8</v>
      </c>
      <c r="AT165" s="27" t="s">
        <v>7</v>
      </c>
      <c r="AU165" s="27" t="s">
        <v>8</v>
      </c>
      <c r="AV165" s="27" t="s">
        <v>7</v>
      </c>
      <c r="AX165" s="27" t="s">
        <v>7</v>
      </c>
      <c r="BE165" s="27" t="s">
        <v>8</v>
      </c>
      <c r="BQ165" s="27" t="s">
        <v>8</v>
      </c>
      <c r="BR165" s="27" t="s">
        <v>7</v>
      </c>
    </row>
    <row r="166" spans="1:74" x14ac:dyDescent="0.25">
      <c r="A166" s="30">
        <v>36.983510403576794</v>
      </c>
      <c r="E166"/>
      <c r="AS166" s="27" t="s">
        <v>8</v>
      </c>
      <c r="AT166" s="27" t="s">
        <v>7</v>
      </c>
      <c r="AX166" s="27" t="s">
        <v>7</v>
      </c>
      <c r="BC166" s="27" t="s">
        <v>8</v>
      </c>
      <c r="BE166" s="27" t="s">
        <v>8</v>
      </c>
      <c r="BF166" s="27" t="s">
        <v>7</v>
      </c>
      <c r="BQ166" s="27" t="s">
        <v>8</v>
      </c>
      <c r="BR166" s="27" t="s">
        <v>7</v>
      </c>
    </row>
    <row r="167" spans="1:74" x14ac:dyDescent="0.25">
      <c r="A167" s="30">
        <v>35.222390860549325</v>
      </c>
      <c r="E167"/>
      <c r="AS167" s="27" t="s">
        <v>8</v>
      </c>
      <c r="AX167" s="27" t="s">
        <v>7</v>
      </c>
      <c r="BA167" s="27" t="s">
        <v>8</v>
      </c>
      <c r="BC167" s="27" t="s">
        <v>8</v>
      </c>
      <c r="BD167" s="27" t="s">
        <v>7</v>
      </c>
      <c r="BE167" s="27" t="s">
        <v>8</v>
      </c>
      <c r="BF167" s="27" t="s">
        <v>7</v>
      </c>
      <c r="BQ167" s="27" t="s">
        <v>8</v>
      </c>
      <c r="BR167" s="27" t="s">
        <v>7</v>
      </c>
    </row>
    <row r="168" spans="1:74" x14ac:dyDescent="0.25">
      <c r="A168" s="30">
        <v>33.545134152904119</v>
      </c>
      <c r="E168"/>
      <c r="AQ168" s="27" t="s">
        <v>8</v>
      </c>
      <c r="AS168" s="27" t="s">
        <v>8</v>
      </c>
      <c r="AX168" s="27" t="s">
        <v>7</v>
      </c>
      <c r="BA168" s="27" t="s">
        <v>8</v>
      </c>
      <c r="BB168" s="27" t="s">
        <v>7</v>
      </c>
      <c r="BC168" s="27" t="s">
        <v>8</v>
      </c>
      <c r="BD168" s="27" t="s">
        <v>7</v>
      </c>
      <c r="BE168" s="27" t="s">
        <v>8</v>
      </c>
      <c r="BF168" s="27" t="s">
        <v>7</v>
      </c>
      <c r="BQ168" s="27" t="s">
        <v>8</v>
      </c>
      <c r="BR168" s="27" t="s">
        <v>7</v>
      </c>
    </row>
    <row r="169" spans="1:74" x14ac:dyDescent="0.25">
      <c r="A169" s="30">
        <v>31.947746812289637</v>
      </c>
      <c r="E169"/>
      <c r="AQ169" s="27" t="s">
        <v>8</v>
      </c>
      <c r="AR169" s="27" t="s">
        <v>7</v>
      </c>
      <c r="AS169" s="27" t="s">
        <v>8</v>
      </c>
      <c r="AX169" s="27" t="s">
        <v>7</v>
      </c>
      <c r="AY169" s="27" t="s">
        <v>8</v>
      </c>
      <c r="BA169" s="27" t="s">
        <v>8</v>
      </c>
      <c r="BB169" s="27" t="s">
        <v>7</v>
      </c>
      <c r="BC169" s="27" t="s">
        <v>8</v>
      </c>
      <c r="BD169" s="27" t="s">
        <v>7</v>
      </c>
      <c r="BF169" s="27" t="s">
        <v>7</v>
      </c>
      <c r="BG169" s="27" t="s">
        <v>8</v>
      </c>
      <c r="BK169" s="27" t="s">
        <v>8</v>
      </c>
      <c r="BO169" s="27" t="s">
        <v>8</v>
      </c>
      <c r="BQ169" s="27" t="s">
        <v>8</v>
      </c>
      <c r="BR169" s="27" t="s">
        <v>7</v>
      </c>
    </row>
    <row r="170" spans="1:74" x14ac:dyDescent="0.25">
      <c r="A170" s="30">
        <v>30.426425535513939</v>
      </c>
      <c r="E170"/>
      <c r="AQ170" s="27" t="s">
        <v>8</v>
      </c>
      <c r="AR170" s="27" t="s">
        <v>7</v>
      </c>
      <c r="AS170" s="27" t="s">
        <v>8</v>
      </c>
      <c r="AX170" s="27" t="s">
        <v>7</v>
      </c>
      <c r="AY170" s="27" t="s">
        <v>8</v>
      </c>
      <c r="AZ170" s="27" t="s">
        <v>7</v>
      </c>
      <c r="BA170" s="27" t="s">
        <v>8</v>
      </c>
      <c r="BB170" s="27" t="s">
        <v>7</v>
      </c>
      <c r="BF170" s="27" t="s">
        <v>7</v>
      </c>
      <c r="BG170" s="27" t="s">
        <v>8</v>
      </c>
      <c r="BH170" s="27" t="s">
        <v>7</v>
      </c>
      <c r="BK170" s="27" t="s">
        <v>8</v>
      </c>
      <c r="BL170" s="27" t="s">
        <v>7</v>
      </c>
      <c r="BM170" s="27" t="s">
        <v>8</v>
      </c>
      <c r="BO170" s="27" t="s">
        <v>8</v>
      </c>
      <c r="BP170" s="27" t="s">
        <v>7</v>
      </c>
      <c r="BQ170" s="27" t="s">
        <v>8</v>
      </c>
      <c r="BR170" s="27" t="s">
        <v>7</v>
      </c>
    </row>
    <row r="171" spans="1:74" x14ac:dyDescent="0.25">
      <c r="A171" s="30">
        <v>28.977548129060892</v>
      </c>
      <c r="E171"/>
      <c r="AQ171" s="27" t="s">
        <v>8</v>
      </c>
      <c r="AR171" s="27" t="s">
        <v>7</v>
      </c>
      <c r="AS171" s="27" t="s">
        <v>8</v>
      </c>
      <c r="AX171" s="27" t="s">
        <v>7</v>
      </c>
      <c r="AY171" s="27" t="s">
        <v>8</v>
      </c>
      <c r="AZ171" s="27" t="s">
        <v>7</v>
      </c>
      <c r="BA171" s="27" t="s">
        <v>8</v>
      </c>
      <c r="BF171" s="27" t="s">
        <v>7</v>
      </c>
      <c r="BG171" s="27" t="s">
        <v>8</v>
      </c>
      <c r="BH171" s="27" t="s">
        <v>7</v>
      </c>
      <c r="BK171" s="27" t="s">
        <v>8</v>
      </c>
      <c r="BL171" s="27" t="s">
        <v>7</v>
      </c>
      <c r="BM171" s="27" t="s">
        <v>8</v>
      </c>
      <c r="BN171" s="27" t="s">
        <v>7</v>
      </c>
      <c r="BO171" s="27" t="s">
        <v>8</v>
      </c>
      <c r="BP171" s="27" t="s">
        <v>7</v>
      </c>
      <c r="BQ171" s="27" t="s">
        <v>8</v>
      </c>
      <c r="BR171" s="27" t="s">
        <v>7</v>
      </c>
      <c r="BS171" s="27" t="s">
        <v>8</v>
      </c>
    </row>
    <row r="172" spans="1:74" x14ac:dyDescent="0.25">
      <c r="A172" s="30">
        <v>27.597664884819896</v>
      </c>
      <c r="E172"/>
      <c r="AQ172" s="27" t="s">
        <v>8</v>
      </c>
      <c r="AR172" s="27" t="s">
        <v>7</v>
      </c>
      <c r="AS172" s="27" t="s">
        <v>8</v>
      </c>
      <c r="AX172" s="27" t="s">
        <v>7</v>
      </c>
      <c r="AY172" s="27" t="s">
        <v>8</v>
      </c>
      <c r="AZ172" s="27" t="s">
        <v>7</v>
      </c>
      <c r="BA172" s="27" t="s">
        <v>8</v>
      </c>
      <c r="BF172" s="27" t="s">
        <v>7</v>
      </c>
      <c r="BG172" s="27" t="s">
        <v>8</v>
      </c>
      <c r="BH172" s="27" t="s">
        <v>7</v>
      </c>
      <c r="BK172" s="27" t="s">
        <v>8</v>
      </c>
      <c r="BL172" s="27" t="s">
        <v>7</v>
      </c>
      <c r="BM172" s="27" t="s">
        <v>8</v>
      </c>
      <c r="BN172" s="27" t="s">
        <v>7</v>
      </c>
      <c r="BO172" s="27" t="s">
        <v>8</v>
      </c>
      <c r="BP172" s="27" t="s">
        <v>7</v>
      </c>
      <c r="BR172" s="27" t="s">
        <v>7</v>
      </c>
      <c r="BS172" s="27" t="s">
        <v>8</v>
      </c>
      <c r="BT172" s="27" t="s">
        <v>7</v>
      </c>
      <c r="BU172" s="27" t="s">
        <v>8</v>
      </c>
    </row>
    <row r="173" spans="1:74" x14ac:dyDescent="0.25">
      <c r="A173" s="30">
        <v>26.283490366495137</v>
      </c>
      <c r="E173"/>
      <c r="AQ173" s="27" t="s">
        <v>8</v>
      </c>
      <c r="AR173" s="27" t="s">
        <v>7</v>
      </c>
      <c r="AS173" s="27" t="s">
        <v>8</v>
      </c>
      <c r="AX173" s="27" t="s">
        <v>7</v>
      </c>
      <c r="AZ173" s="27" t="s">
        <v>7</v>
      </c>
      <c r="BF173" s="27" t="s">
        <v>7</v>
      </c>
      <c r="BH173" s="27" t="s">
        <v>7</v>
      </c>
      <c r="BK173" s="27" t="s">
        <v>8</v>
      </c>
      <c r="BL173" s="27" t="s">
        <v>7</v>
      </c>
      <c r="BM173" s="27" t="s">
        <v>8</v>
      </c>
      <c r="BN173" s="27" t="s">
        <v>7</v>
      </c>
      <c r="BO173" s="27" t="s">
        <v>8</v>
      </c>
      <c r="BR173" s="27" t="s">
        <v>7</v>
      </c>
      <c r="BS173" s="27" t="s">
        <v>8</v>
      </c>
      <c r="BT173" s="27" t="s">
        <v>7</v>
      </c>
      <c r="BU173" s="27" t="s">
        <v>8</v>
      </c>
      <c r="BV173" s="27" t="s">
        <v>7</v>
      </c>
    </row>
    <row r="174" spans="1:74" x14ac:dyDescent="0.25">
      <c r="A174" s="30">
        <v>25.031895587138223</v>
      </c>
      <c r="E174"/>
      <c r="AQ174" s="27" t="s">
        <v>8</v>
      </c>
      <c r="AR174" s="27" t="s">
        <v>7</v>
      </c>
      <c r="AS174" s="27" t="s">
        <v>8</v>
      </c>
      <c r="BH174" s="27" t="s">
        <v>7</v>
      </c>
      <c r="BK174" s="27" t="s">
        <v>8</v>
      </c>
      <c r="BL174" s="27" t="s">
        <v>7</v>
      </c>
      <c r="BN174" s="27" t="s">
        <v>7</v>
      </c>
      <c r="BO174" s="27" t="s">
        <v>8</v>
      </c>
      <c r="BR174" s="27" t="s">
        <v>7</v>
      </c>
      <c r="BS174" s="27" t="s">
        <v>8</v>
      </c>
      <c r="BT174" s="27" t="s">
        <v>7</v>
      </c>
      <c r="BU174" s="27" t="s">
        <v>8</v>
      </c>
      <c r="BV174" s="27" t="s">
        <v>7</v>
      </c>
    </row>
    <row r="175" spans="1:74" x14ac:dyDescent="0.25">
      <c r="A175" s="30">
        <v>23.839900559179259</v>
      </c>
      <c r="E175"/>
      <c r="AQ175" s="27" t="s">
        <v>8</v>
      </c>
      <c r="AR175" s="27" t="s">
        <v>7</v>
      </c>
      <c r="AS175" s="27" t="s">
        <v>8</v>
      </c>
      <c r="BH175" s="27" t="s">
        <v>7</v>
      </c>
      <c r="BK175" s="27" t="s">
        <v>8</v>
      </c>
      <c r="BN175" s="27" t="s">
        <v>7</v>
      </c>
      <c r="BR175" s="27" t="s">
        <v>7</v>
      </c>
      <c r="BT175" s="27" t="s">
        <v>7</v>
      </c>
      <c r="BU175" s="27" t="s">
        <v>8</v>
      </c>
      <c r="BV175" s="27" t="s">
        <v>7</v>
      </c>
    </row>
    <row r="176" spans="1:74" x14ac:dyDescent="0.25">
      <c r="A176" s="30">
        <v>22.704667199218342</v>
      </c>
      <c r="E176"/>
      <c r="AQ176" s="27" t="s">
        <v>8</v>
      </c>
      <c r="AR176" s="27" t="s">
        <v>7</v>
      </c>
      <c r="BH176" s="27" t="s">
        <v>7</v>
      </c>
      <c r="BK176" s="27" t="s">
        <v>8</v>
      </c>
      <c r="BT176" s="27" t="s">
        <v>7</v>
      </c>
      <c r="BV176" s="27" t="s">
        <v>7</v>
      </c>
    </row>
    <row r="177" spans="1:74" x14ac:dyDescent="0.25">
      <c r="A177" s="30">
        <v>21.623492570684135</v>
      </c>
      <c r="E177"/>
      <c r="AQ177" s="27" t="s">
        <v>8</v>
      </c>
      <c r="BH177" s="27" t="s">
        <v>7</v>
      </c>
      <c r="BK177" s="27" t="s">
        <v>8</v>
      </c>
      <c r="BV177" s="27" t="s">
        <v>7</v>
      </c>
    </row>
    <row r="178" spans="1:74" x14ac:dyDescent="0.25">
      <c r="A178" s="30">
        <v>20.593802448270605</v>
      </c>
      <c r="C178" s="7"/>
      <c r="D178"/>
      <c r="E178"/>
      <c r="AI178" s="27" t="s">
        <v>8</v>
      </c>
      <c r="AQ178" s="27" t="s">
        <v>8</v>
      </c>
      <c r="BH178" s="27" t="s">
        <v>7</v>
      </c>
      <c r="BI178" s="27" t="s">
        <v>8</v>
      </c>
      <c r="BK178" s="27" t="s">
        <v>8</v>
      </c>
      <c r="BV178" s="27" t="s">
        <v>7</v>
      </c>
    </row>
    <row r="179" spans="1:74" x14ac:dyDescent="0.25">
      <c r="A179" s="30">
        <v>19.613145188829147</v>
      </c>
      <c r="E179" t="s">
        <v>8</v>
      </c>
      <c r="AI179" s="27" t="s">
        <v>8</v>
      </c>
      <c r="AJ179" s="27" t="s">
        <v>7</v>
      </c>
      <c r="AQ179" s="27" t="s">
        <v>8</v>
      </c>
      <c r="BH179" s="27" t="s">
        <v>7</v>
      </c>
      <c r="BI179" s="27" t="s">
        <v>8</v>
      </c>
      <c r="BJ179" s="27" t="s">
        <v>7</v>
      </c>
      <c r="BK179" s="27" t="s">
        <v>8</v>
      </c>
      <c r="BV179" s="27" t="s">
        <v>7</v>
      </c>
    </row>
    <row r="180" spans="1:74" x14ac:dyDescent="0.25">
      <c r="A180" s="30">
        <v>18.679185894122998</v>
      </c>
      <c r="E180" t="s">
        <v>8</v>
      </c>
      <c r="F180" s="27" t="s">
        <v>7</v>
      </c>
      <c r="G180" s="27" t="s">
        <v>8</v>
      </c>
      <c r="AI180" s="27" t="s">
        <v>8</v>
      </c>
      <c r="AJ180" s="27" t="s">
        <v>7</v>
      </c>
      <c r="AM180" s="27" t="s">
        <v>8</v>
      </c>
      <c r="AQ180" s="27" t="s">
        <v>8</v>
      </c>
      <c r="BH180" s="27" t="s">
        <v>7</v>
      </c>
      <c r="BI180" s="27" t="s">
        <v>8</v>
      </c>
      <c r="BJ180" s="27" t="s">
        <v>7</v>
      </c>
      <c r="BK180" s="27" t="s">
        <v>8</v>
      </c>
      <c r="BV180" s="27" t="s">
        <v>7</v>
      </c>
    </row>
    <row r="181" spans="1:74" x14ac:dyDescent="0.25">
      <c r="A181" s="30">
        <v>17.78970085154571</v>
      </c>
      <c r="C181"/>
      <c r="D181"/>
      <c r="E181" t="s">
        <v>8</v>
      </c>
      <c r="F181" s="27" t="s">
        <v>7</v>
      </c>
      <c r="G181" s="27" t="s">
        <v>8</v>
      </c>
      <c r="H181" s="27" t="s">
        <v>7</v>
      </c>
      <c r="AI181" s="27" t="s">
        <v>8</v>
      </c>
      <c r="AJ181" s="27" t="s">
        <v>7</v>
      </c>
      <c r="AM181" s="27" t="s">
        <v>8</v>
      </c>
      <c r="AN181" s="27" t="s">
        <v>7</v>
      </c>
      <c r="AQ181" s="27" t="s">
        <v>8</v>
      </c>
      <c r="BH181" s="27" t="s">
        <v>7</v>
      </c>
      <c r="BI181" s="27" t="s">
        <v>8</v>
      </c>
      <c r="BJ181" s="27" t="s">
        <v>7</v>
      </c>
      <c r="BK181" s="27" t="s">
        <v>8</v>
      </c>
      <c r="BV181" s="27" t="s">
        <v>7</v>
      </c>
    </row>
    <row r="182" spans="1:74" x14ac:dyDescent="0.25">
      <c r="A182" s="30">
        <v>16.942572239567344</v>
      </c>
      <c r="E182" t="s">
        <v>8</v>
      </c>
      <c r="F182" s="27" t="s">
        <v>7</v>
      </c>
      <c r="G182" s="27" t="s">
        <v>8</v>
      </c>
      <c r="H182" s="27" t="s">
        <v>7</v>
      </c>
      <c r="I182" s="27" t="s">
        <v>8</v>
      </c>
      <c r="AI182" s="27" t="s">
        <v>8</v>
      </c>
      <c r="AJ182" s="27" t="s">
        <v>7</v>
      </c>
      <c r="AK182" s="27" t="s">
        <v>8</v>
      </c>
      <c r="AM182" s="27" t="s">
        <v>8</v>
      </c>
      <c r="AN182" s="27" t="s">
        <v>7</v>
      </c>
      <c r="AQ182" s="27" t="s">
        <v>8</v>
      </c>
      <c r="BH182" s="27" t="s">
        <v>7</v>
      </c>
      <c r="BI182" s="27" t="s">
        <v>8</v>
      </c>
      <c r="BJ182" s="27" t="s">
        <v>7</v>
      </c>
      <c r="BK182" s="27" t="s">
        <v>8</v>
      </c>
      <c r="BV182" s="27" t="s">
        <v>7</v>
      </c>
    </row>
    <row r="183" spans="1:74" x14ac:dyDescent="0.25">
      <c r="A183" s="30">
        <v>16.135783085302233</v>
      </c>
      <c r="E183" t="s">
        <v>8</v>
      </c>
      <c r="F183" s="27" t="s">
        <v>7</v>
      </c>
      <c r="G183" s="27" t="s">
        <v>8</v>
      </c>
      <c r="H183" s="27" t="s">
        <v>7</v>
      </c>
      <c r="I183" s="27" t="s">
        <v>8</v>
      </c>
      <c r="J183" s="27" t="s">
        <v>7</v>
      </c>
      <c r="AI183" s="27" t="s">
        <v>8</v>
      </c>
      <c r="AJ183" s="27" t="s">
        <v>7</v>
      </c>
      <c r="AK183" s="27" t="s">
        <v>8</v>
      </c>
      <c r="AL183" s="27" t="s">
        <v>7</v>
      </c>
      <c r="AM183" s="27" t="s">
        <v>8</v>
      </c>
      <c r="AN183" s="27" t="s">
        <v>7</v>
      </c>
      <c r="AQ183" s="27" t="s">
        <v>8</v>
      </c>
      <c r="BH183" s="27" t="s">
        <v>7</v>
      </c>
      <c r="BI183" s="27" t="s">
        <v>8</v>
      </c>
      <c r="BJ183" s="27" t="s">
        <v>7</v>
      </c>
      <c r="BK183" s="27" t="s">
        <v>8</v>
      </c>
      <c r="BV183" s="27" t="s">
        <v>7</v>
      </c>
    </row>
    <row r="184" spans="1:74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H184" s="27" t="s">
        <v>7</v>
      </c>
      <c r="I184" s="27" t="s">
        <v>8</v>
      </c>
      <c r="J184" s="27" t="s">
        <v>7</v>
      </c>
      <c r="AI184" s="27" t="s">
        <v>8</v>
      </c>
      <c r="AJ184" s="27" t="s">
        <v>7</v>
      </c>
      <c r="AK184" s="27" t="s">
        <v>8</v>
      </c>
      <c r="AL184" s="27" t="s">
        <v>7</v>
      </c>
      <c r="AM184" s="27" t="s">
        <v>8</v>
      </c>
      <c r="AN184" s="27" t="s">
        <v>7</v>
      </c>
      <c r="AO184" s="27" t="s">
        <v>8</v>
      </c>
      <c r="AQ184" s="27" t="s">
        <v>8</v>
      </c>
      <c r="BH184" s="27" t="s">
        <v>7</v>
      </c>
      <c r="BJ184" s="27" t="s">
        <v>7</v>
      </c>
      <c r="BK184" s="27" t="s">
        <v>8</v>
      </c>
      <c r="BV184" s="27" t="s">
        <v>7</v>
      </c>
    </row>
    <row r="185" spans="1:74" x14ac:dyDescent="0.25">
      <c r="A185" s="30">
        <v>14.635630916373906</v>
      </c>
      <c r="C185"/>
      <c r="E185" t="s">
        <v>8</v>
      </c>
      <c r="F185" s="27" t="s">
        <v>7</v>
      </c>
      <c r="H185" s="27" t="s">
        <v>7</v>
      </c>
      <c r="J185" s="27" t="s">
        <v>7</v>
      </c>
      <c r="AG185" s="27" t="s">
        <v>8</v>
      </c>
      <c r="AI185" s="27" t="s">
        <v>8</v>
      </c>
      <c r="AJ185" s="27" t="s">
        <v>7</v>
      </c>
      <c r="AK185" s="27" t="s">
        <v>8</v>
      </c>
      <c r="AL185" s="27" t="s">
        <v>7</v>
      </c>
      <c r="AN185" s="27" t="s">
        <v>7</v>
      </c>
      <c r="AO185" s="27" t="s">
        <v>8</v>
      </c>
      <c r="AP185" s="27" t="s">
        <v>7</v>
      </c>
      <c r="AQ185" s="27" t="s">
        <v>8</v>
      </c>
      <c r="BJ185" s="27" t="s">
        <v>7</v>
      </c>
      <c r="BV185" s="27" t="s">
        <v>7</v>
      </c>
    </row>
    <row r="186" spans="1:74" x14ac:dyDescent="0.25">
      <c r="A186" s="30">
        <v>13.938696110832291</v>
      </c>
      <c r="E186" t="s">
        <v>8</v>
      </c>
      <c r="J186" s="27" t="s">
        <v>7</v>
      </c>
      <c r="Q186" s="27" t="s">
        <v>8</v>
      </c>
      <c r="AG186" s="27" t="s">
        <v>8</v>
      </c>
      <c r="AH186" s="27" t="s">
        <v>7</v>
      </c>
      <c r="AI186" s="27" t="s">
        <v>8</v>
      </c>
      <c r="AJ186" s="27" t="s">
        <v>7</v>
      </c>
      <c r="AK186" s="27" t="s">
        <v>8</v>
      </c>
      <c r="AN186" s="27" t="s">
        <v>7</v>
      </c>
      <c r="AO186" s="27" t="s">
        <v>8</v>
      </c>
      <c r="AP186" s="27" t="s">
        <v>7</v>
      </c>
      <c r="AQ186" s="27" t="s">
        <v>8</v>
      </c>
      <c r="BV186" s="27" t="s">
        <v>7</v>
      </c>
    </row>
    <row r="187" spans="1:74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J187" s="27" t="s">
        <v>7</v>
      </c>
      <c r="O187" s="27" t="s">
        <v>8</v>
      </c>
      <c r="Q187" s="27" t="s">
        <v>8</v>
      </c>
      <c r="R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  <c r="AN187" s="27" t="s">
        <v>7</v>
      </c>
      <c r="AO187" s="27" t="s">
        <v>8</v>
      </c>
      <c r="AP187" s="27" t="s">
        <v>7</v>
      </c>
      <c r="AQ187" s="27" t="s">
        <v>8</v>
      </c>
      <c r="BV187" s="27" t="s">
        <v>7</v>
      </c>
    </row>
    <row r="188" spans="1:74" x14ac:dyDescent="0.25">
      <c r="A188" s="30">
        <v>12.64280826379346</v>
      </c>
      <c r="E188" t="s">
        <v>8</v>
      </c>
      <c r="J188" s="27" t="s">
        <v>7</v>
      </c>
      <c r="O188" s="27" t="s">
        <v>8</v>
      </c>
      <c r="P188" s="27" t="s">
        <v>7</v>
      </c>
      <c r="Q188" s="27" t="s">
        <v>8</v>
      </c>
      <c r="R188" s="27" t="s">
        <v>7</v>
      </c>
      <c r="AG188" s="27" t="s">
        <v>8</v>
      </c>
      <c r="AH188" s="27" t="s">
        <v>7</v>
      </c>
      <c r="AI188" s="27" t="s">
        <v>8</v>
      </c>
      <c r="AN188" s="27" t="s">
        <v>7</v>
      </c>
      <c r="AO188" s="27" t="s">
        <v>8</v>
      </c>
      <c r="AP188" s="27" t="s">
        <v>7</v>
      </c>
      <c r="BV188" s="27" t="s">
        <v>7</v>
      </c>
    </row>
    <row r="189" spans="1:74" x14ac:dyDescent="0.25">
      <c r="A189" s="30">
        <v>12.04076977504139</v>
      </c>
      <c r="E189" t="s">
        <v>8</v>
      </c>
      <c r="J189" s="27" t="s">
        <v>7</v>
      </c>
      <c r="O189" s="27" t="s">
        <v>8</v>
      </c>
      <c r="P189" s="27" t="s">
        <v>7</v>
      </c>
      <c r="Q189" s="27" t="s">
        <v>8</v>
      </c>
      <c r="R189" s="27" t="s">
        <v>7</v>
      </c>
      <c r="AG189" s="27" t="s">
        <v>8</v>
      </c>
      <c r="AH189" s="27" t="s">
        <v>7</v>
      </c>
      <c r="AI189" s="27" t="s">
        <v>8</v>
      </c>
      <c r="AN189" s="27" t="s">
        <v>7</v>
      </c>
      <c r="AO189" s="27" t="s">
        <v>8</v>
      </c>
      <c r="BV189" s="27" t="s">
        <v>7</v>
      </c>
    </row>
    <row r="190" spans="1:74" x14ac:dyDescent="0.25">
      <c r="A190" s="30">
        <v>11.467399785753704</v>
      </c>
      <c r="E190" t="s">
        <v>8</v>
      </c>
      <c r="J190" s="27" t="s">
        <v>7</v>
      </c>
      <c r="M190" s="27" t="s">
        <v>8</v>
      </c>
      <c r="O190" s="27" t="s">
        <v>8</v>
      </c>
      <c r="P190" s="27" t="s">
        <v>7</v>
      </c>
      <c r="Q190" s="27" t="s">
        <v>8</v>
      </c>
      <c r="R190" s="27" t="s">
        <v>7</v>
      </c>
      <c r="AE190" s="27" t="s">
        <v>8</v>
      </c>
      <c r="AG190" s="27" t="s">
        <v>8</v>
      </c>
      <c r="AH190" s="27" t="s">
        <v>7</v>
      </c>
      <c r="AI190" s="27" t="s">
        <v>8</v>
      </c>
      <c r="AN190" s="27" t="s">
        <v>7</v>
      </c>
      <c r="BV190" s="27" t="s">
        <v>7</v>
      </c>
    </row>
    <row r="191" spans="1:74" x14ac:dyDescent="0.25">
      <c r="A191" s="30">
        <v>10.921333129289241</v>
      </c>
      <c r="E191" t="s">
        <v>8</v>
      </c>
      <c r="J191" s="27" t="s">
        <v>7</v>
      </c>
      <c r="M191" s="27" t="s">
        <v>8</v>
      </c>
      <c r="N191" s="27" t="s">
        <v>7</v>
      </c>
      <c r="O191" s="27" t="s">
        <v>8</v>
      </c>
      <c r="P191" s="27" t="s">
        <v>7</v>
      </c>
      <c r="Q191" s="27" t="s">
        <v>8</v>
      </c>
      <c r="R191" s="27" t="s">
        <v>7</v>
      </c>
      <c r="S191" s="27" t="s">
        <v>8</v>
      </c>
      <c r="AE191" s="27" t="s">
        <v>8</v>
      </c>
      <c r="AF191" s="27" t="s">
        <v>7</v>
      </c>
      <c r="AG191" s="27" t="s">
        <v>8</v>
      </c>
      <c r="AH191" s="27" t="s">
        <v>7</v>
      </c>
      <c r="AI191" s="27" t="s">
        <v>8</v>
      </c>
      <c r="BV191" s="27" t="s">
        <v>7</v>
      </c>
    </row>
    <row r="192" spans="1:74" x14ac:dyDescent="0.25">
      <c r="A192" s="30">
        <v>10.401269646942135</v>
      </c>
      <c r="E192" t="s">
        <v>8</v>
      </c>
      <c r="J192" s="27" t="s">
        <v>7</v>
      </c>
      <c r="M192" s="27" t="s">
        <v>8</v>
      </c>
      <c r="N192" s="27" t="s">
        <v>7</v>
      </c>
      <c r="O192" s="27" t="s">
        <v>8</v>
      </c>
      <c r="P192" s="27" t="s">
        <v>7</v>
      </c>
      <c r="Q192" s="27" t="s">
        <v>8</v>
      </c>
      <c r="R192" s="27" t="s">
        <v>7</v>
      </c>
      <c r="S192" s="27" t="s">
        <v>8</v>
      </c>
      <c r="T192" s="27" t="s">
        <v>7</v>
      </c>
      <c r="AE192" s="27" t="s">
        <v>8</v>
      </c>
      <c r="AF192" s="27" t="s">
        <v>7</v>
      </c>
      <c r="AG192" s="27" t="s">
        <v>8</v>
      </c>
      <c r="AH192" s="27" t="s">
        <v>7</v>
      </c>
      <c r="AI192" s="27" t="s">
        <v>8</v>
      </c>
      <c r="BV192" s="27" t="s">
        <v>7</v>
      </c>
    </row>
    <row r="193" spans="1:74" x14ac:dyDescent="0.25">
      <c r="A193" s="30">
        <v>9.9059710923258422</v>
      </c>
      <c r="E193" t="s">
        <v>8</v>
      </c>
      <c r="J193" s="27" t="s">
        <v>7</v>
      </c>
      <c r="M193" s="27" t="s">
        <v>8</v>
      </c>
      <c r="N193" s="27" t="s">
        <v>7</v>
      </c>
      <c r="O193" s="27" t="s">
        <v>8</v>
      </c>
      <c r="P193" s="27" t="s">
        <v>7</v>
      </c>
      <c r="Q193" s="27" t="s">
        <v>8</v>
      </c>
      <c r="R193" s="27" t="s">
        <v>7</v>
      </c>
      <c r="S193" s="27" t="s">
        <v>8</v>
      </c>
      <c r="T193" s="27" t="s">
        <v>7</v>
      </c>
      <c r="AE193" s="27" t="s">
        <v>8</v>
      </c>
      <c r="AF193" s="27" t="s">
        <v>7</v>
      </c>
      <c r="AG193" s="27" t="s">
        <v>8</v>
      </c>
      <c r="AH193" s="27" t="s">
        <v>7</v>
      </c>
      <c r="AI193" s="27" t="s">
        <v>8</v>
      </c>
      <c r="BV193" s="27" t="s">
        <v>7</v>
      </c>
    </row>
    <row r="194" spans="1:74" x14ac:dyDescent="0.25">
      <c r="A194" s="30">
        <v>9.4342581831674686</v>
      </c>
      <c r="E194" t="s">
        <v>8</v>
      </c>
      <c r="J194" s="27" t="s">
        <v>7</v>
      </c>
      <c r="M194" s="27" t="s">
        <v>8</v>
      </c>
      <c r="N194" s="27" t="s">
        <v>7</v>
      </c>
      <c r="O194" s="27" t="s">
        <v>8</v>
      </c>
      <c r="P194" s="27" t="s">
        <v>7</v>
      </c>
      <c r="Q194" s="27" t="s">
        <v>8</v>
      </c>
      <c r="R194" s="27" t="s">
        <v>7</v>
      </c>
      <c r="T194" s="27" t="s">
        <v>7</v>
      </c>
      <c r="AC194" s="27" t="s">
        <v>8</v>
      </c>
      <c r="AE194" s="27" t="s">
        <v>8</v>
      </c>
      <c r="AF194" s="27" t="s">
        <v>7</v>
      </c>
      <c r="AG194" s="27" t="s">
        <v>8</v>
      </c>
      <c r="AH194" s="27" t="s">
        <v>7</v>
      </c>
      <c r="BV194" s="27" t="s">
        <v>7</v>
      </c>
    </row>
    <row r="195" spans="1:74" x14ac:dyDescent="0.25">
      <c r="A195" s="30">
        <v>8.9850077934928265</v>
      </c>
      <c r="E195" t="s">
        <v>8</v>
      </c>
      <c r="J195" s="27" t="s">
        <v>7</v>
      </c>
      <c r="K195" s="27" t="s">
        <v>8</v>
      </c>
      <c r="M195" s="27" t="s">
        <v>8</v>
      </c>
      <c r="N195" s="27" t="s">
        <v>7</v>
      </c>
      <c r="P195" s="27" t="s">
        <v>7</v>
      </c>
      <c r="T195" s="27" t="s">
        <v>7</v>
      </c>
      <c r="AC195" s="27" t="s">
        <v>8</v>
      </c>
      <c r="AD195" s="27" t="s">
        <v>7</v>
      </c>
      <c r="AE195" s="27" t="s">
        <v>8</v>
      </c>
      <c r="AF195" s="27" t="s">
        <v>7</v>
      </c>
      <c r="AG195" s="27" t="s">
        <v>8</v>
      </c>
      <c r="BV195" s="27" t="s">
        <v>7</v>
      </c>
    </row>
    <row r="196" spans="1:74" x14ac:dyDescent="0.25">
      <c r="A196" s="30">
        <v>8.5571502795169767</v>
      </c>
      <c r="E196" t="s">
        <v>8</v>
      </c>
      <c r="J196" s="27" t="s">
        <v>7</v>
      </c>
      <c r="K196" s="27" t="s">
        <v>8</v>
      </c>
      <c r="L196" s="27" t="s">
        <v>7</v>
      </c>
      <c r="M196" s="27" t="s">
        <v>8</v>
      </c>
      <c r="T196" s="27" t="s">
        <v>7</v>
      </c>
      <c r="AC196" s="27" t="s">
        <v>8</v>
      </c>
      <c r="AD196" s="27" t="s">
        <v>7</v>
      </c>
      <c r="AE196" s="27" t="s">
        <v>8</v>
      </c>
      <c r="AF196" s="27" t="s">
        <v>7</v>
      </c>
      <c r="BV196" s="27" t="s">
        <v>7</v>
      </c>
    </row>
    <row r="197" spans="1:74" x14ac:dyDescent="0.25">
      <c r="A197" s="30">
        <v>8.1496669328733109</v>
      </c>
      <c r="E197" t="s">
        <v>8</v>
      </c>
      <c r="J197" s="27" t="s">
        <v>7</v>
      </c>
      <c r="K197" s="27" t="s">
        <v>8</v>
      </c>
      <c r="L197" s="27" t="s">
        <v>7</v>
      </c>
      <c r="M197" s="27" t="s">
        <v>8</v>
      </c>
      <c r="T197" s="27" t="s">
        <v>7</v>
      </c>
      <c r="AA197" s="27" t="s">
        <v>8</v>
      </c>
      <c r="AC197" s="27" t="s">
        <v>8</v>
      </c>
      <c r="AD197" s="27" t="s">
        <v>7</v>
      </c>
      <c r="AE197" s="27" t="s">
        <v>8</v>
      </c>
      <c r="BV197" s="27" t="s">
        <v>7</v>
      </c>
    </row>
    <row r="198" spans="1:74" x14ac:dyDescent="0.25">
      <c r="A198" s="30">
        <v>7.7615875551174378</v>
      </c>
      <c r="E198" t="s">
        <v>8</v>
      </c>
      <c r="J198" s="27" t="s">
        <v>7</v>
      </c>
      <c r="K198" s="27" t="s">
        <v>8</v>
      </c>
      <c r="L198" s="27" t="s">
        <v>7</v>
      </c>
      <c r="T198" s="27" t="s">
        <v>7</v>
      </c>
      <c r="AA198" s="27" t="s">
        <v>8</v>
      </c>
      <c r="AB198" s="27" t="s">
        <v>7</v>
      </c>
      <c r="AC198" s="27" t="s">
        <v>8</v>
      </c>
      <c r="AD198" s="27" t="s">
        <v>7</v>
      </c>
      <c r="AE198" s="27" t="s">
        <v>8</v>
      </c>
      <c r="BV198" s="27" t="s">
        <v>7</v>
      </c>
    </row>
    <row r="199" spans="1:74" x14ac:dyDescent="0.25">
      <c r="A199" s="30">
        <v>7.3919881477308929</v>
      </c>
      <c r="E199" t="s">
        <v>8</v>
      </c>
      <c r="J199" s="27" t="s">
        <v>7</v>
      </c>
      <c r="T199" s="27" t="s">
        <v>7</v>
      </c>
      <c r="U199" s="27" t="s">
        <v>8</v>
      </c>
      <c r="Y199" s="27" t="s">
        <v>8</v>
      </c>
      <c r="AA199" s="27" t="s">
        <v>8</v>
      </c>
      <c r="AB199" s="27" t="s">
        <v>7</v>
      </c>
      <c r="AC199" s="27" t="s">
        <v>8</v>
      </c>
      <c r="AD199" s="27" t="s">
        <v>7</v>
      </c>
      <c r="BV199" s="27" t="s">
        <v>7</v>
      </c>
    </row>
    <row r="200" spans="1:74" x14ac:dyDescent="0.25">
      <c r="A200" s="30">
        <v>7.0399887121246598</v>
      </c>
      <c r="E200" t="s">
        <v>8</v>
      </c>
      <c r="T200" s="27" t="s">
        <v>7</v>
      </c>
      <c r="U200" s="27" t="s">
        <v>8</v>
      </c>
      <c r="V200" s="27" t="s">
        <v>7</v>
      </c>
      <c r="W200" s="27" t="s">
        <v>8</v>
      </c>
      <c r="Y200" s="27" t="s">
        <v>8</v>
      </c>
      <c r="Z200" s="27" t="s">
        <v>7</v>
      </c>
      <c r="AA200" s="27" t="s">
        <v>8</v>
      </c>
      <c r="AB200" s="27" t="s">
        <v>7</v>
      </c>
      <c r="AC200" s="27" t="s">
        <v>8</v>
      </c>
      <c r="BV200" s="27" t="s">
        <v>7</v>
      </c>
    </row>
    <row r="201" spans="1:74" x14ac:dyDescent="0.25">
      <c r="A201" s="30">
        <v>6.7047511544044376</v>
      </c>
      <c r="E201" t="s">
        <v>8</v>
      </c>
      <c r="T201" s="27" t="s">
        <v>7</v>
      </c>
      <c r="U201" s="27" t="s">
        <v>8</v>
      </c>
      <c r="V201" s="27" t="s">
        <v>7</v>
      </c>
      <c r="W201" s="27" t="s">
        <v>8</v>
      </c>
      <c r="X201" s="27" t="s">
        <v>7</v>
      </c>
      <c r="Y201" s="27" t="s">
        <v>8</v>
      </c>
      <c r="Z201" s="27" t="s">
        <v>7</v>
      </c>
      <c r="AA201" s="27" t="s">
        <v>8</v>
      </c>
      <c r="AB201" s="27" t="s">
        <v>7</v>
      </c>
      <c r="AC201" s="27" t="s">
        <v>8</v>
      </c>
      <c r="BV201" s="27" t="s">
        <v>7</v>
      </c>
    </row>
    <row r="202" spans="1:74" x14ac:dyDescent="0.25">
      <c r="A202" s="30">
        <v>6.3854772899089882</v>
      </c>
      <c r="E202" t="s">
        <v>8</v>
      </c>
      <c r="T202" s="27" t="s">
        <v>7</v>
      </c>
      <c r="U202" s="27" t="s">
        <v>8</v>
      </c>
      <c r="V202" s="27" t="s">
        <v>7</v>
      </c>
      <c r="W202" s="27" t="s">
        <v>8</v>
      </c>
      <c r="X202" s="27" t="s">
        <v>7</v>
      </c>
      <c r="Y202" s="27" t="s">
        <v>8</v>
      </c>
      <c r="Z202" s="27" t="s">
        <v>7</v>
      </c>
      <c r="AB202" s="27" t="s">
        <v>7</v>
      </c>
      <c r="AC202" s="27" t="s">
        <v>8</v>
      </c>
      <c r="BV202" s="27" t="s">
        <v>7</v>
      </c>
    </row>
    <row r="203" spans="1:74" x14ac:dyDescent="0.25">
      <c r="A203" s="30">
        <v>6.0814069427704647</v>
      </c>
      <c r="C203" s="7"/>
      <c r="D203"/>
      <c r="E203" t="s">
        <v>8</v>
      </c>
      <c r="T203" s="27" t="s">
        <v>7</v>
      </c>
      <c r="U203" s="27" t="s">
        <v>8</v>
      </c>
      <c r="V203" s="27" t="s">
        <v>7</v>
      </c>
      <c r="W203" s="27" t="s">
        <v>8</v>
      </c>
      <c r="X203" s="27" t="s">
        <v>7</v>
      </c>
      <c r="AB203" s="27" t="s">
        <v>7</v>
      </c>
      <c r="AC203" s="27" t="s">
        <v>8</v>
      </c>
      <c r="BV203" s="27" t="s">
        <v>7</v>
      </c>
    </row>
    <row r="204" spans="1:74" x14ac:dyDescent="0.25">
      <c r="A204" s="30">
        <v>5.7918161359718709</v>
      </c>
      <c r="E204" t="s">
        <v>8</v>
      </c>
      <c r="T204" s="27" t="s">
        <v>7</v>
      </c>
      <c r="U204" s="27" t="s">
        <v>8</v>
      </c>
      <c r="V204" s="27" t="s">
        <v>7</v>
      </c>
      <c r="AB204" s="27" t="s">
        <v>7</v>
      </c>
      <c r="BV204" s="27" t="s">
        <v>7</v>
      </c>
    </row>
    <row r="205" spans="1:74" x14ac:dyDescent="0.25">
      <c r="A205" s="30">
        <v>5.5160153675922574</v>
      </c>
      <c r="E205" t="s">
        <v>8</v>
      </c>
      <c r="T205" s="27" t="s">
        <v>7</v>
      </c>
      <c r="BV205" s="27" t="s">
        <v>7</v>
      </c>
    </row>
    <row r="206" spans="1:74" x14ac:dyDescent="0.25">
      <c r="A206" s="30">
        <v>5.2533479691354827</v>
      </c>
      <c r="C206"/>
      <c r="D206"/>
      <c r="E206" t="s">
        <v>8</v>
      </c>
      <c r="BV206" s="27" t="s">
        <v>7</v>
      </c>
    </row>
    <row r="207" spans="1:74" x14ac:dyDescent="0.25">
      <c r="A207" s="30">
        <v>5.0031885420337927</v>
      </c>
      <c r="E207" t="s">
        <v>8</v>
      </c>
      <c r="BV207" s="27" t="s">
        <v>7</v>
      </c>
    </row>
    <row r="208" spans="1:74" x14ac:dyDescent="0.25">
      <c r="A208" s="30">
        <v>4.7649414686036122</v>
      </c>
      <c r="E208" t="s">
        <v>8</v>
      </c>
      <c r="BV208" s="27" t="s">
        <v>7</v>
      </c>
    </row>
    <row r="209" spans="1:74" x14ac:dyDescent="0.25">
      <c r="A209" s="30">
        <v>4.5380394939082018</v>
      </c>
      <c r="E209" t="s">
        <v>8</v>
      </c>
      <c r="BV209" s="27" t="s">
        <v>7</v>
      </c>
    </row>
    <row r="210" spans="1:74" x14ac:dyDescent="0.25">
      <c r="A210" s="30">
        <v>4.3219423751506678</v>
      </c>
      <c r="C210"/>
      <c r="E210" t="s">
        <v>8</v>
      </c>
      <c r="BV210" s="27" t="s">
        <v>7</v>
      </c>
    </row>
    <row r="211" spans="1:74" x14ac:dyDescent="0.25">
      <c r="A211" s="30">
        <v>4.1161355953815884</v>
      </c>
      <c r="E211" t="s">
        <v>8</v>
      </c>
      <c r="BV211" s="27" t="s">
        <v>7</v>
      </c>
    </row>
    <row r="212" spans="1:74" x14ac:dyDescent="0.25">
      <c r="A212" s="30">
        <v>3.9201291384586554</v>
      </c>
      <c r="E212" t="s">
        <v>8</v>
      </c>
      <c r="BV212" s="27" t="s">
        <v>7</v>
      </c>
    </row>
    <row r="213" spans="1:74" x14ac:dyDescent="0.25">
      <c r="A213" s="30">
        <v>3.7334563223415764</v>
      </c>
      <c r="E213" t="s">
        <v>8</v>
      </c>
      <c r="BV213" s="27" t="s">
        <v>7</v>
      </c>
    </row>
    <row r="214" spans="1:74" x14ac:dyDescent="0.25">
      <c r="A214" s="30">
        <v>3.5556726879443583</v>
      </c>
      <c r="E214" t="s">
        <v>8</v>
      </c>
      <c r="BV214" s="27" t="s">
        <v>7</v>
      </c>
    </row>
    <row r="215" spans="1:74" x14ac:dyDescent="0.25">
      <c r="A215" s="30">
        <v>3.3863549408993889</v>
      </c>
      <c r="E215" t="s">
        <v>8</v>
      </c>
      <c r="BV215" s="27" t="s">
        <v>7</v>
      </c>
    </row>
    <row r="216" spans="1:74" x14ac:dyDescent="0.25">
      <c r="A216" s="30">
        <v>3.2250999437137038</v>
      </c>
      <c r="E216" t="s">
        <v>8</v>
      </c>
      <c r="BV216" s="27" t="s">
        <v>7</v>
      </c>
    </row>
    <row r="217" spans="1:74" x14ac:dyDescent="0.25">
      <c r="A217" s="30">
        <v>3.0715237559178128</v>
      </c>
      <c r="E217" t="s">
        <v>8</v>
      </c>
      <c r="BV217" s="27" t="s">
        <v>7</v>
      </c>
    </row>
    <row r="218" spans="1:74" x14ac:dyDescent="0.25">
      <c r="A218" s="30">
        <v>2.9252607199217264</v>
      </c>
      <c r="E218" t="s">
        <v>8</v>
      </c>
      <c r="BV218" s="27" t="s">
        <v>7</v>
      </c>
    </row>
    <row r="219" spans="1:74" x14ac:dyDescent="0.25">
      <c r="A219" s="30">
        <v>2.7859625904016441</v>
      </c>
      <c r="E219" t="s">
        <v>8</v>
      </c>
      <c r="BV219" s="27" t="s">
        <v>7</v>
      </c>
    </row>
    <row r="220" spans="1:74" x14ac:dyDescent="0.25">
      <c r="A220" s="30">
        <v>2.6532977051444226</v>
      </c>
      <c r="E220" t="s">
        <v>8</v>
      </c>
      <c r="BV220" s="27" t="s">
        <v>7</v>
      </c>
    </row>
    <row r="221" spans="1:74" x14ac:dyDescent="0.25">
      <c r="A221" s="30">
        <v>2.5269501953756404</v>
      </c>
      <c r="E221" t="s">
        <v>8</v>
      </c>
      <c r="BV221" s="27" t="s">
        <v>7</v>
      </c>
    </row>
    <row r="222" spans="1:74" x14ac:dyDescent="0.25">
      <c r="A222" s="30">
        <v>2.4066192336910861</v>
      </c>
      <c r="E222" t="s">
        <v>8</v>
      </c>
      <c r="BV222" s="27" t="s">
        <v>7</v>
      </c>
    </row>
    <row r="223" spans="1:74" x14ac:dyDescent="0.25">
      <c r="A223" s="30">
        <v>2.2920183178010345</v>
      </c>
      <c r="E223" t="s">
        <v>8</v>
      </c>
      <c r="BV223" s="27" t="s">
        <v>7</v>
      </c>
    </row>
    <row r="224" spans="1:74" x14ac:dyDescent="0.25">
      <c r="A224" s="30">
        <v>2.1828745883819374</v>
      </c>
      <c r="E224" t="s">
        <v>8</v>
      </c>
      <c r="BV224" s="27" t="s">
        <v>7</v>
      </c>
    </row>
    <row r="225" spans="1:74" x14ac:dyDescent="0.25">
      <c r="A225" s="30">
        <v>2.0789281794113688</v>
      </c>
      <c r="E225" t="s">
        <v>8</v>
      </c>
      <c r="BV225" s="27" t="s">
        <v>7</v>
      </c>
    </row>
    <row r="226" spans="1:74" x14ac:dyDescent="0.25">
      <c r="A226" s="30">
        <v>1.9799315994393987</v>
      </c>
      <c r="E226" t="s">
        <v>8</v>
      </c>
      <c r="BV226" s="27" t="s">
        <v>7</v>
      </c>
    </row>
    <row r="227" spans="1:74" x14ac:dyDescent="0.25">
      <c r="A227" s="30">
        <v>1.8856491423232367</v>
      </c>
      <c r="E227" t="s">
        <v>8</v>
      </c>
      <c r="BV227" s="27" t="s">
        <v>7</v>
      </c>
    </row>
    <row r="228" spans="1:74" x14ac:dyDescent="0.25">
      <c r="A228" s="30">
        <v>1.7958563260221301</v>
      </c>
      <c r="C228" s="7"/>
      <c r="D228"/>
      <c r="E228" t="s">
        <v>8</v>
      </c>
      <c r="BV228" s="27" t="s">
        <v>7</v>
      </c>
    </row>
    <row r="229" spans="1:74" x14ac:dyDescent="0.25">
      <c r="A229" s="30">
        <v>1.7103393581163142</v>
      </c>
      <c r="E229" t="s">
        <v>8</v>
      </c>
      <c r="BV229" s="27" t="s">
        <v>7</v>
      </c>
    </row>
    <row r="230" spans="1:74" x14ac:dyDescent="0.25">
      <c r="A230" s="30">
        <v>1.628894626777442</v>
      </c>
      <c r="E230" t="s">
        <v>8</v>
      </c>
      <c r="BV230" s="27" t="s">
        <v>7</v>
      </c>
    </row>
    <row r="231" spans="1:74" x14ac:dyDescent="0.25">
      <c r="A231" s="30">
        <v>1.5513282159785162</v>
      </c>
      <c r="C231"/>
      <c r="D231"/>
      <c r="E231" t="s">
        <v>8</v>
      </c>
      <c r="BV231" s="27" t="s">
        <v>7</v>
      </c>
    </row>
    <row r="232" spans="1:74" x14ac:dyDescent="0.25">
      <c r="A232" s="30">
        <v>1.477455443789063</v>
      </c>
      <c r="E232" t="s">
        <v>8</v>
      </c>
      <c r="BV232" s="27" t="s">
        <v>7</v>
      </c>
    </row>
    <row r="233" spans="1:74" x14ac:dyDescent="0.25">
      <c r="A233" s="30">
        <v>1.4071004226562505</v>
      </c>
      <c r="E233" t="s">
        <v>8</v>
      </c>
      <c r="BV233" s="27" t="s">
        <v>7</v>
      </c>
    </row>
    <row r="234" spans="1:74" x14ac:dyDescent="0.25">
      <c r="A234" s="30">
        <v>1.3400956406250004</v>
      </c>
      <c r="E234" t="s">
        <v>8</v>
      </c>
      <c r="BV234" s="27" t="s">
        <v>7</v>
      </c>
    </row>
    <row r="235" spans="1:74" x14ac:dyDescent="0.25">
      <c r="A235" s="30">
        <v>1.2762815625000004</v>
      </c>
      <c r="C235"/>
      <c r="E235" t="s">
        <v>8</v>
      </c>
      <c r="BV235" s="27" t="s">
        <v>7</v>
      </c>
    </row>
    <row r="236" spans="1:74" x14ac:dyDescent="0.25">
      <c r="A236" s="30">
        <v>1.2155062500000002</v>
      </c>
      <c r="E236" t="s">
        <v>8</v>
      </c>
      <c r="BV236" s="27" t="s">
        <v>7</v>
      </c>
    </row>
    <row r="237" spans="1:7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BV237" s="27" t="s">
        <v>7</v>
      </c>
    </row>
    <row r="238" spans="1:74" x14ac:dyDescent="0.25">
      <c r="A238" s="30">
        <v>1.1025</v>
      </c>
      <c r="E238" t="s">
        <v>8</v>
      </c>
      <c r="BV238" s="27" t="s">
        <v>7</v>
      </c>
    </row>
    <row r="239" spans="1:74" x14ac:dyDescent="0.25">
      <c r="A239" s="30">
        <v>1.05</v>
      </c>
      <c r="E239" t="s">
        <v>8</v>
      </c>
      <c r="BV239" s="27" t="s">
        <v>7</v>
      </c>
    </row>
    <row r="240" spans="1:74" x14ac:dyDescent="0.25">
      <c r="A240" s="30">
        <v>1</v>
      </c>
      <c r="E240" s="29" t="s">
        <v>8</v>
      </c>
      <c r="BV240" s="27" t="s">
        <v>7</v>
      </c>
    </row>
    <row r="241" spans="1:74" x14ac:dyDescent="0.25">
      <c r="A241" s="30">
        <v>0.952380952380952</v>
      </c>
      <c r="B241"/>
      <c r="C241"/>
      <c r="D241"/>
      <c r="E241"/>
      <c r="BV241" s="27" t="s">
        <v>7</v>
      </c>
    </row>
    <row r="242" spans="1:74" x14ac:dyDescent="0.25">
      <c r="A242" s="30">
        <v>0.90702947845804915</v>
      </c>
      <c r="B242"/>
      <c r="C242"/>
      <c r="D242"/>
      <c r="E242"/>
      <c r="BV242" s="27" t="s">
        <v>7</v>
      </c>
    </row>
    <row r="243" spans="1:74" x14ac:dyDescent="0.25">
      <c r="A243" s="30">
        <v>0.86383759853147501</v>
      </c>
      <c r="B243"/>
      <c r="C243"/>
      <c r="D243"/>
      <c r="E243"/>
      <c r="BV243" s="27" t="s">
        <v>7</v>
      </c>
    </row>
    <row r="244" spans="1:74" x14ac:dyDescent="0.25">
      <c r="A244" s="30">
        <v>0.82270247479188063</v>
      </c>
      <c r="B244"/>
      <c r="C244"/>
      <c r="D244"/>
      <c r="E244"/>
      <c r="BV244" s="27" t="s">
        <v>7</v>
      </c>
    </row>
    <row r="245" spans="1:74" x14ac:dyDescent="0.25">
      <c r="A245" s="30">
        <v>0.78352616646845741</v>
      </c>
      <c r="B245"/>
      <c r="C245"/>
      <c r="D245"/>
      <c r="E245"/>
      <c r="BV245" s="27" t="s">
        <v>7</v>
      </c>
    </row>
    <row r="246" spans="1:74" x14ac:dyDescent="0.25">
      <c r="A246" s="30">
        <v>0.74621539663662584</v>
      </c>
      <c r="B246"/>
      <c r="C246"/>
      <c r="D246"/>
      <c r="E246"/>
      <c r="BV246" s="27" t="s">
        <v>7</v>
      </c>
    </row>
    <row r="247" spans="1:74" x14ac:dyDescent="0.25">
      <c r="A247" s="30">
        <v>0.71068133013011958</v>
      </c>
      <c r="B247"/>
      <c r="C247"/>
      <c r="D247"/>
      <c r="E247"/>
      <c r="BV247" s="27" t="s">
        <v>7</v>
      </c>
    </row>
    <row r="248" spans="1:74" x14ac:dyDescent="0.25">
      <c r="A248" s="30">
        <v>0.676839362028685</v>
      </c>
      <c r="B248"/>
      <c r="C248"/>
      <c r="D248"/>
      <c r="E248"/>
      <c r="BV248" s="27" t="s">
        <v>7</v>
      </c>
    </row>
    <row r="249" spans="1:74" x14ac:dyDescent="0.25">
      <c r="A249" s="30">
        <v>0.64460891621779492</v>
      </c>
      <c r="B249"/>
      <c r="C249"/>
      <c r="D249"/>
      <c r="E249"/>
      <c r="BV249" s="27" t="s">
        <v>7</v>
      </c>
    </row>
    <row r="250" spans="1:74" x14ac:dyDescent="0.25">
      <c r="A250" s="30">
        <v>0.61391325354075688</v>
      </c>
      <c r="B250"/>
      <c r="C250"/>
      <c r="D250"/>
      <c r="E250"/>
      <c r="BV250" s="27" t="s">
        <v>7</v>
      </c>
    </row>
    <row r="251" spans="1:74" x14ac:dyDescent="0.25">
      <c r="A251" s="30">
        <v>0.58467928908643485</v>
      </c>
      <c r="B251"/>
      <c r="C251"/>
      <c r="D251"/>
      <c r="E251"/>
      <c r="BV251" s="27" t="s">
        <v>7</v>
      </c>
    </row>
    <row r="252" spans="1:74" x14ac:dyDescent="0.25">
      <c r="A252" s="30">
        <v>0.55683741817755672</v>
      </c>
      <c r="B252"/>
      <c r="C252"/>
      <c r="D252"/>
      <c r="E252"/>
      <c r="BV252" s="27" t="s">
        <v>7</v>
      </c>
    </row>
    <row r="253" spans="1:74" x14ac:dyDescent="0.25">
      <c r="A253" s="30">
        <v>0.53032135064529184</v>
      </c>
      <c r="B253"/>
      <c r="C253"/>
      <c r="D253"/>
      <c r="E253"/>
      <c r="BV253" s="27" t="s">
        <v>7</v>
      </c>
    </row>
    <row r="254" spans="1:74" x14ac:dyDescent="0.25">
      <c r="A254" s="30">
        <v>0.50506795299551588</v>
      </c>
      <c r="B254"/>
      <c r="C254"/>
      <c r="D254"/>
      <c r="E254"/>
      <c r="BV254" s="27" t="s">
        <v>7</v>
      </c>
    </row>
    <row r="255" spans="1:74" x14ac:dyDescent="0.25">
      <c r="A255" s="30">
        <v>0.48101709809096732</v>
      </c>
      <c r="E255"/>
      <c r="BV255" s="27" t="s">
        <v>7</v>
      </c>
    </row>
    <row r="256" spans="1:74" x14ac:dyDescent="0.25">
      <c r="A256" s="30">
        <v>0.45811152199139726</v>
      </c>
      <c r="E256"/>
      <c r="BV256" s="27" t="s">
        <v>7</v>
      </c>
    </row>
    <row r="257" spans="1:74" x14ac:dyDescent="0.25">
      <c r="A257" s="30">
        <v>0.43629668761085438</v>
      </c>
      <c r="B257"/>
      <c r="C257"/>
      <c r="D257"/>
      <c r="E257"/>
      <c r="BV257" s="27" t="s">
        <v>7</v>
      </c>
    </row>
    <row r="258" spans="1:74" x14ac:dyDescent="0.25">
      <c r="A258" s="30">
        <v>0.41552065486748019</v>
      </c>
      <c r="B258"/>
      <c r="C258"/>
      <c r="D258"/>
      <c r="E258"/>
      <c r="BV258" s="27" t="s">
        <v>7</v>
      </c>
    </row>
    <row r="259" spans="1:74" x14ac:dyDescent="0.25">
      <c r="A259" s="30">
        <v>0.39573395701664765</v>
      </c>
      <c r="B259"/>
      <c r="C259"/>
      <c r="D259"/>
      <c r="E259"/>
      <c r="BV259" s="27" t="s">
        <v>7</v>
      </c>
    </row>
    <row r="260" spans="1:74" x14ac:dyDescent="0.25">
      <c r="A260" s="30">
        <v>0.37688948287299762</v>
      </c>
      <c r="B260"/>
      <c r="C260"/>
      <c r="D260"/>
      <c r="E260"/>
      <c r="BV260" s="27" t="s">
        <v>7</v>
      </c>
    </row>
    <row r="261" spans="1:74" x14ac:dyDescent="0.25">
      <c r="A261" s="30">
        <v>0.35894236464094997</v>
      </c>
      <c r="B261"/>
      <c r="C261"/>
      <c r="D261"/>
      <c r="E261"/>
      <c r="BV261" s="27" t="s">
        <v>7</v>
      </c>
    </row>
    <row r="262" spans="1:74" x14ac:dyDescent="0.25">
      <c r="A262" s="30">
        <v>0.34184987108661891</v>
      </c>
      <c r="B262"/>
      <c r="C262"/>
      <c r="D262"/>
      <c r="E262"/>
      <c r="BV262" s="27" t="s">
        <v>7</v>
      </c>
    </row>
    <row r="263" spans="1:74" x14ac:dyDescent="0.25">
      <c r="A263" s="30">
        <v>0.32557130579677979</v>
      </c>
      <c r="B263"/>
      <c r="C263"/>
      <c r="D263"/>
      <c r="E263"/>
      <c r="BV263" s="27" t="s">
        <v>7</v>
      </c>
    </row>
    <row r="264" spans="1:74" x14ac:dyDescent="0.25">
      <c r="A264" s="30">
        <v>0.3100679102826473</v>
      </c>
      <c r="B264"/>
      <c r="C264"/>
      <c r="D264"/>
      <c r="E264"/>
      <c r="BV264" s="27" t="s">
        <v>7</v>
      </c>
    </row>
    <row r="265" spans="1:74" x14ac:dyDescent="0.25">
      <c r="A265" s="30">
        <v>0.2953027716977592</v>
      </c>
      <c r="B265"/>
      <c r="C265"/>
      <c r="D265"/>
      <c r="E265"/>
      <c r="BV265" s="27" t="s">
        <v>7</v>
      </c>
    </row>
    <row r="266" spans="1:74" x14ac:dyDescent="0.25">
      <c r="A266" s="30">
        <v>0.28124073495024676</v>
      </c>
      <c r="B266"/>
      <c r="C266"/>
      <c r="D266"/>
      <c r="E266"/>
      <c r="BV266" s="27" t="s">
        <v>7</v>
      </c>
    </row>
    <row r="267" spans="1:74" x14ac:dyDescent="0.25">
      <c r="A267" s="30">
        <v>0.26784831900023492</v>
      </c>
      <c r="B267"/>
      <c r="C267"/>
      <c r="D267"/>
      <c r="E267"/>
      <c r="BV267" s="27" t="s">
        <v>7</v>
      </c>
    </row>
    <row r="268" spans="1:74" x14ac:dyDescent="0.25">
      <c r="A268" s="30">
        <v>0.25509363714308075</v>
      </c>
      <c r="B268"/>
      <c r="C268"/>
      <c r="D268"/>
      <c r="E268"/>
      <c r="BV268" s="27" t="s">
        <v>7</v>
      </c>
    </row>
    <row r="269" spans="1:74" x14ac:dyDescent="0.25">
      <c r="A269" s="30">
        <v>0.24294632108864825</v>
      </c>
      <c r="B269"/>
      <c r="C269"/>
      <c r="D269"/>
      <c r="E269"/>
      <c r="BV269" s="27" t="s">
        <v>7</v>
      </c>
    </row>
    <row r="270" spans="1:74" x14ac:dyDescent="0.25">
      <c r="A270" s="30">
        <v>0.23137744865585538</v>
      </c>
      <c r="B270"/>
      <c r="C270"/>
      <c r="D270"/>
      <c r="E270"/>
      <c r="BV270" s="27" t="s">
        <v>7</v>
      </c>
    </row>
    <row r="271" spans="1:74" x14ac:dyDescent="0.25">
      <c r="A271" s="30">
        <v>0.22035947491033836</v>
      </c>
      <c r="B271"/>
      <c r="C271"/>
      <c r="D271"/>
      <c r="E271"/>
      <c r="BV271" s="27" t="s">
        <v>7</v>
      </c>
    </row>
    <row r="272" spans="1:74" x14ac:dyDescent="0.25">
      <c r="A272" s="30">
        <v>0.20986616658127455</v>
      </c>
      <c r="B272"/>
      <c r="C272"/>
      <c r="D272"/>
      <c r="E272"/>
      <c r="BV272" s="27" t="s">
        <v>7</v>
      </c>
    </row>
    <row r="273" spans="1:74" x14ac:dyDescent="0.25">
      <c r="A273" s="30">
        <v>0.19987253960121379</v>
      </c>
      <c r="B273"/>
      <c r="C273"/>
      <c r="D273"/>
      <c r="E273"/>
      <c r="BV273" s="27" t="s">
        <v>7</v>
      </c>
    </row>
    <row r="274" spans="1:74" x14ac:dyDescent="0.25">
      <c r="A274" s="30">
        <v>0.19035479962020352</v>
      </c>
      <c r="B274"/>
      <c r="C274"/>
      <c r="D274"/>
      <c r="E274"/>
      <c r="BV274" s="27" t="s">
        <v>7</v>
      </c>
    </row>
    <row r="275" spans="1:74" x14ac:dyDescent="0.25">
      <c r="A275" s="30">
        <v>0.18129028535257471</v>
      </c>
      <c r="B275"/>
      <c r="C275"/>
      <c r="D275"/>
      <c r="E275"/>
      <c r="BV275" s="27" t="s">
        <v>7</v>
      </c>
    </row>
    <row r="276" spans="1:74" x14ac:dyDescent="0.25">
      <c r="A276" s="30">
        <v>0.17265741462149967</v>
      </c>
      <c r="B276"/>
      <c r="C276"/>
      <c r="D276"/>
      <c r="E276"/>
      <c r="BV276" s="27" t="s">
        <v>7</v>
      </c>
    </row>
    <row r="277" spans="1:74" x14ac:dyDescent="0.25">
      <c r="A277" s="30">
        <v>0.16443563297285677</v>
      </c>
      <c r="B277"/>
      <c r="C277"/>
      <c r="D277"/>
      <c r="E277"/>
      <c r="BV277" s="27" t="s">
        <v>7</v>
      </c>
    </row>
    <row r="278" spans="1:74" x14ac:dyDescent="0.25">
      <c r="A278" s="30">
        <v>0.15660536473605399</v>
      </c>
      <c r="B278"/>
      <c r="C278"/>
      <c r="D278"/>
      <c r="E278"/>
      <c r="BV278" s="27" t="s">
        <v>7</v>
      </c>
    </row>
    <row r="279" spans="1:74" x14ac:dyDescent="0.25">
      <c r="A279" s="30">
        <v>0.14914796641528946</v>
      </c>
      <c r="B279"/>
      <c r="C279"/>
      <c r="D279"/>
      <c r="E279"/>
      <c r="BV279" s="27" t="s">
        <v>7</v>
      </c>
    </row>
    <row r="280" spans="1:74" x14ac:dyDescent="0.25">
      <c r="A280" s="30">
        <v>0.14204568230027562</v>
      </c>
      <c r="B280"/>
      <c r="C280"/>
      <c r="D280"/>
      <c r="E280"/>
      <c r="BV280" s="27" t="s">
        <v>7</v>
      </c>
    </row>
    <row r="281" spans="1:74" x14ac:dyDescent="0.25">
      <c r="A281" s="30">
        <v>0.13528160219073862</v>
      </c>
      <c r="B281"/>
      <c r="C281"/>
      <c r="D281"/>
      <c r="E281"/>
      <c r="BV281" s="27" t="s">
        <v>7</v>
      </c>
    </row>
    <row r="282" spans="1:74" x14ac:dyDescent="0.25">
      <c r="A282" s="30">
        <v>0.12883962113403674</v>
      </c>
      <c r="B282"/>
      <c r="C282"/>
      <c r="D282"/>
      <c r="E282"/>
      <c r="BV282" s="27" t="s">
        <v>7</v>
      </c>
    </row>
    <row r="283" spans="1:74" x14ac:dyDescent="0.25">
      <c r="A283" s="30">
        <v>0.12270440108003494</v>
      </c>
      <c r="B283"/>
      <c r="C283"/>
      <c r="D283"/>
      <c r="E283"/>
      <c r="BV283" s="27" t="s">
        <v>7</v>
      </c>
    </row>
    <row r="284" spans="1:74" x14ac:dyDescent="0.25">
      <c r="A284" s="30">
        <v>0.11686133436193799</v>
      </c>
      <c r="B284"/>
      <c r="C284"/>
      <c r="D284"/>
      <c r="E284"/>
      <c r="BV284" s="27" t="s">
        <v>7</v>
      </c>
    </row>
    <row r="285" spans="1:74" x14ac:dyDescent="0.25">
      <c r="A285" s="30">
        <v>0.11129650891613138</v>
      </c>
      <c r="B285"/>
      <c r="C285"/>
      <c r="D285"/>
      <c r="E285"/>
      <c r="BV285" s="27" t="s">
        <v>7</v>
      </c>
    </row>
    <row r="286" spans="1:74" x14ac:dyDescent="0.25">
      <c r="A286" s="30">
        <v>0.10599667515822032</v>
      </c>
      <c r="B286"/>
      <c r="C286"/>
      <c r="D286"/>
      <c r="E286"/>
      <c r="BV286" s="27" t="s">
        <v>7</v>
      </c>
    </row>
    <row r="287" spans="1:74" x14ac:dyDescent="0.25">
      <c r="A287" s="30">
        <v>0.10094921443640027</v>
      </c>
      <c r="B287"/>
      <c r="C287"/>
      <c r="D287"/>
      <c r="E287"/>
      <c r="BV287" s="27" t="s">
        <v>7</v>
      </c>
    </row>
    <row r="288" spans="1:74" x14ac:dyDescent="0.25">
      <c r="A288" s="30">
        <v>9.6142108987047836E-2</v>
      </c>
      <c r="B288"/>
      <c r="C288"/>
      <c r="D288"/>
      <c r="E288"/>
      <c r="BV288" s="27" t="s">
        <v>7</v>
      </c>
    </row>
    <row r="289" spans="1:90" x14ac:dyDescent="0.25">
      <c r="A289" s="30">
        <v>9.1563913320997906E-2</v>
      </c>
      <c r="B289"/>
      <c r="C289"/>
      <c r="D289"/>
      <c r="E289"/>
      <c r="BV289" s="27" t="s">
        <v>7</v>
      </c>
    </row>
    <row r="290" spans="1:90" x14ac:dyDescent="0.25">
      <c r="A290" s="30">
        <v>8.7203726972378923E-2</v>
      </c>
      <c r="B290"/>
      <c r="C290"/>
      <c r="D290"/>
      <c r="E290"/>
      <c r="BV290" s="27" t="s">
        <v>7</v>
      </c>
    </row>
    <row r="291" spans="1:90" x14ac:dyDescent="0.25">
      <c r="A291" s="30">
        <v>8.3051168545122747E-2</v>
      </c>
      <c r="B291"/>
      <c r="C291"/>
      <c r="D291"/>
      <c r="E291"/>
      <c r="BV291" s="27" t="s">
        <v>7</v>
      </c>
    </row>
    <row r="292" spans="1:90" x14ac:dyDescent="0.25">
      <c r="A292" s="30">
        <v>7.9096350995354961E-2</v>
      </c>
      <c r="B292"/>
      <c r="C292"/>
      <c r="D292"/>
      <c r="E292"/>
      <c r="BV292" s="27" t="s">
        <v>7</v>
      </c>
    </row>
    <row r="293" spans="1:90" x14ac:dyDescent="0.25">
      <c r="A293" s="30">
        <v>7.5329858090814217E-2</v>
      </c>
      <c r="B293"/>
      <c r="C293"/>
      <c r="D293"/>
      <c r="E293"/>
      <c r="BV293" s="27" t="s">
        <v>7</v>
      </c>
    </row>
    <row r="294" spans="1:90" x14ac:dyDescent="0.25">
      <c r="A294" s="30">
        <v>7.1742721991251604E-2</v>
      </c>
      <c r="B294"/>
      <c r="C294"/>
      <c r="D294"/>
      <c r="E294"/>
      <c r="BV294" s="27" t="s">
        <v>7</v>
      </c>
    </row>
    <row r="295" spans="1:90" x14ac:dyDescent="0.25">
      <c r="A295" s="30">
        <v>6.8326401896430078E-2</v>
      </c>
      <c r="B295"/>
      <c r="C295"/>
      <c r="D295"/>
      <c r="E295"/>
      <c r="BV295" s="27" t="s">
        <v>7</v>
      </c>
    </row>
    <row r="296" spans="1:90" x14ac:dyDescent="0.25">
      <c r="A296" s="30">
        <v>6.5072763710885759E-2</v>
      </c>
      <c r="B296"/>
      <c r="C296"/>
      <c r="D296"/>
      <c r="E296"/>
      <c r="BV296" s="27" t="s">
        <v>7</v>
      </c>
    </row>
    <row r="297" spans="1:90" x14ac:dyDescent="0.25">
      <c r="A297" s="30">
        <v>6.197406067703403E-2</v>
      </c>
      <c r="B297"/>
      <c r="C297"/>
      <c r="D297"/>
      <c r="E297"/>
      <c r="BV297" s="27" t="s">
        <v>7</v>
      </c>
    </row>
    <row r="298" spans="1:90" x14ac:dyDescent="0.25">
      <c r="A298" s="30">
        <v>5.9022914930508576E-2</v>
      </c>
      <c r="B298"/>
      <c r="C298"/>
      <c r="D298"/>
      <c r="E298"/>
      <c r="BV298" s="27" t="s">
        <v>7</v>
      </c>
    </row>
    <row r="299" spans="1:90" x14ac:dyDescent="0.25">
      <c r="A299" s="30">
        <v>5.6212299933817669E-2</v>
      </c>
      <c r="B299"/>
      <c r="C299"/>
      <c r="D299"/>
      <c r="E299"/>
      <c r="BV299" s="27" t="s">
        <v>7</v>
      </c>
    </row>
    <row r="300" spans="1:90" x14ac:dyDescent="0.25">
      <c r="A300" s="30">
        <v>5.3535523746492994E-2</v>
      </c>
      <c r="B300"/>
      <c r="C300"/>
      <c r="D300"/>
      <c r="E300"/>
      <c r="BV300" s="27" t="s">
        <v>7</v>
      </c>
      <c r="CK300" s="27" t="s">
        <v>8</v>
      </c>
    </row>
    <row r="301" spans="1:90" x14ac:dyDescent="0.25">
      <c r="A301" s="30">
        <v>5.0986213091898068E-2</v>
      </c>
      <c r="B301"/>
      <c r="C301"/>
      <c r="D301"/>
      <c r="E301"/>
      <c r="BV301" s="27" t="s">
        <v>7</v>
      </c>
      <c r="CA301" s="27" t="s">
        <v>8</v>
      </c>
      <c r="CK301" s="27" t="s">
        <v>8</v>
      </c>
      <c r="CL301" s="27" t="s">
        <v>7</v>
      </c>
    </row>
    <row r="302" spans="1:90" x14ac:dyDescent="0.25">
      <c r="A302" s="30">
        <v>4.8558298182760043E-2</v>
      </c>
      <c r="B302"/>
      <c r="C302"/>
      <c r="D302"/>
      <c r="E302"/>
      <c r="BV302" s="27" t="s">
        <v>7</v>
      </c>
      <c r="CA302" s="27" t="s">
        <v>8</v>
      </c>
      <c r="CB302" s="27" t="s">
        <v>7</v>
      </c>
      <c r="CK302" s="27" t="s">
        <v>8</v>
      </c>
      <c r="CL302" s="27" t="s">
        <v>7</v>
      </c>
    </row>
    <row r="303" spans="1:90" x14ac:dyDescent="0.25">
      <c r="A303" s="30">
        <v>4.6245998269295263E-2</v>
      </c>
      <c r="B303"/>
      <c r="C303"/>
      <c r="D303"/>
      <c r="E303"/>
      <c r="BV303" s="27" t="s">
        <v>7</v>
      </c>
      <c r="CA303" s="27" t="s">
        <v>8</v>
      </c>
      <c r="CB303" s="27" t="s">
        <v>7</v>
      </c>
      <c r="CK303" s="27" t="s">
        <v>8</v>
      </c>
      <c r="CL303" s="27" t="s">
        <v>7</v>
      </c>
    </row>
    <row r="304" spans="1:90" x14ac:dyDescent="0.25">
      <c r="A304" s="30">
        <v>4.4043807875519279E-2</v>
      </c>
      <c r="B304"/>
      <c r="C304"/>
      <c r="D304"/>
      <c r="E304"/>
      <c r="BV304" s="27" t="s">
        <v>7</v>
      </c>
      <c r="CA304" s="27" t="s">
        <v>8</v>
      </c>
      <c r="CB304" s="27" t="s">
        <v>7</v>
      </c>
      <c r="CC304" s="27" t="s">
        <v>8</v>
      </c>
      <c r="CK304" s="27" t="s">
        <v>8</v>
      </c>
      <c r="CL304" s="27" t="s">
        <v>7</v>
      </c>
    </row>
    <row r="305" spans="1:108" x14ac:dyDescent="0.25">
      <c r="A305" s="30">
        <v>4.1946483690970725E-2</v>
      </c>
      <c r="B305"/>
      <c r="C305"/>
      <c r="D305"/>
      <c r="E305"/>
      <c r="BV305" s="27" t="s">
        <v>7</v>
      </c>
      <c r="CA305" s="27" t="s">
        <v>8</v>
      </c>
      <c r="CB305" s="27" t="s">
        <v>7</v>
      </c>
      <c r="CC305" s="27" t="s">
        <v>8</v>
      </c>
      <c r="CD305" s="27" t="s">
        <v>7</v>
      </c>
      <c r="CG305" s="27" t="s">
        <v>8</v>
      </c>
      <c r="CK305" s="27" t="s">
        <v>8</v>
      </c>
      <c r="CL305" s="27" t="s">
        <v>7</v>
      </c>
      <c r="CS305" s="27" t="s">
        <v>8</v>
      </c>
    </row>
    <row r="306" spans="1:108" x14ac:dyDescent="0.25">
      <c r="A306" s="30">
        <v>3.9949032086638768E-2</v>
      </c>
      <c r="B306"/>
      <c r="C306"/>
      <c r="D306"/>
      <c r="E306"/>
      <c r="BV306" s="27" t="s">
        <v>7</v>
      </c>
      <c r="CA306" s="27" t="s">
        <v>8</v>
      </c>
      <c r="CB306" s="27" t="s">
        <v>7</v>
      </c>
      <c r="CC306" s="27" t="s">
        <v>8</v>
      </c>
      <c r="CD306" s="27" t="s">
        <v>7</v>
      </c>
      <c r="CG306" s="27" t="s">
        <v>8</v>
      </c>
      <c r="CH306" s="27" t="s">
        <v>7</v>
      </c>
      <c r="CK306" s="27" t="s">
        <v>8</v>
      </c>
      <c r="CL306" s="27" t="s">
        <v>7</v>
      </c>
      <c r="CM306" s="27" t="s">
        <v>8</v>
      </c>
      <c r="CO306" s="27" t="s">
        <v>8</v>
      </c>
      <c r="CQ306" s="27" t="s">
        <v>8</v>
      </c>
      <c r="CS306" s="27" t="s">
        <v>8</v>
      </c>
      <c r="CT306" s="27" t="s">
        <v>7</v>
      </c>
    </row>
    <row r="307" spans="1:108" x14ac:dyDescent="0.25">
      <c r="A307" s="30">
        <v>3.8046697225370241E-2</v>
      </c>
      <c r="B307"/>
      <c r="C307"/>
      <c r="D307"/>
      <c r="E307"/>
      <c r="BV307" s="27" t="s">
        <v>7</v>
      </c>
      <c r="CA307" s="27" t="s">
        <v>8</v>
      </c>
      <c r="CB307" s="27" t="s">
        <v>7</v>
      </c>
      <c r="CC307" s="27" t="s">
        <v>8</v>
      </c>
      <c r="CD307" s="27" t="s">
        <v>7</v>
      </c>
      <c r="CE307" s="27" t="s">
        <v>8</v>
      </c>
      <c r="CG307" s="27" t="s">
        <v>8</v>
      </c>
      <c r="CH307" s="27" t="s">
        <v>7</v>
      </c>
      <c r="CK307" s="27" t="s">
        <v>8</v>
      </c>
      <c r="CL307" s="27" t="s">
        <v>7</v>
      </c>
      <c r="CM307" s="27" t="s">
        <v>8</v>
      </c>
      <c r="CN307" s="27" t="s">
        <v>7</v>
      </c>
      <c r="CO307" s="27" t="s">
        <v>8</v>
      </c>
      <c r="CP307" s="27" t="s">
        <v>7</v>
      </c>
      <c r="CQ307" s="27" t="s">
        <v>8</v>
      </c>
      <c r="CR307" s="27" t="s">
        <v>7</v>
      </c>
      <c r="CS307" s="27" t="s">
        <v>8</v>
      </c>
      <c r="CT307" s="27" t="s">
        <v>7</v>
      </c>
    </row>
    <row r="308" spans="1:108" x14ac:dyDescent="0.25">
      <c r="A308" s="30">
        <v>3.6234949738447833E-2</v>
      </c>
      <c r="B308"/>
      <c r="C308"/>
      <c r="D308"/>
      <c r="E308"/>
      <c r="BV308" s="27" t="s">
        <v>7</v>
      </c>
      <c r="CA308" s="27" t="s">
        <v>8</v>
      </c>
      <c r="CB308" s="27" t="s">
        <v>7</v>
      </c>
      <c r="CC308" s="27" t="s">
        <v>8</v>
      </c>
      <c r="CD308" s="27" t="s">
        <v>7</v>
      </c>
      <c r="CE308" s="27" t="s">
        <v>8</v>
      </c>
      <c r="CF308" s="27" t="s">
        <v>7</v>
      </c>
      <c r="CG308" s="27" t="s">
        <v>8</v>
      </c>
      <c r="CH308" s="27" t="s">
        <v>7</v>
      </c>
      <c r="CK308" s="27" t="s">
        <v>8</v>
      </c>
      <c r="CL308" s="27" t="s">
        <v>7</v>
      </c>
      <c r="CM308" s="27" t="s">
        <v>8</v>
      </c>
      <c r="CN308" s="27" t="s">
        <v>7</v>
      </c>
      <c r="CO308" s="27" t="s">
        <v>8</v>
      </c>
      <c r="CP308" s="27" t="s">
        <v>7</v>
      </c>
      <c r="CQ308" s="27" t="s">
        <v>8</v>
      </c>
      <c r="CR308" s="27" t="s">
        <v>7</v>
      </c>
      <c r="CS308" s="27" t="s">
        <v>8</v>
      </c>
      <c r="CT308" s="27" t="s">
        <v>7</v>
      </c>
      <c r="CU308" s="27" t="s">
        <v>8</v>
      </c>
    </row>
    <row r="309" spans="1:108" x14ac:dyDescent="0.25">
      <c r="A309" s="30">
        <v>3.4509475941378875E-2</v>
      </c>
      <c r="B309"/>
      <c r="C309"/>
      <c r="D309"/>
      <c r="E309"/>
      <c r="BV309" s="27" t="s">
        <v>7</v>
      </c>
      <c r="CA309" s="27" t="s">
        <v>8</v>
      </c>
      <c r="CB309" s="27" t="s">
        <v>7</v>
      </c>
      <c r="CC309" s="27" t="s">
        <v>8</v>
      </c>
      <c r="CD309" s="27" t="s">
        <v>7</v>
      </c>
      <c r="CE309" s="27" t="s">
        <v>8</v>
      </c>
      <c r="CF309" s="27" t="s">
        <v>7</v>
      </c>
      <c r="CG309" s="27" t="s">
        <v>8</v>
      </c>
      <c r="CH309" s="27" t="s">
        <v>7</v>
      </c>
      <c r="CK309" s="27" t="s">
        <v>8</v>
      </c>
      <c r="CL309" s="27" t="s">
        <v>7</v>
      </c>
      <c r="CM309" s="27" t="s">
        <v>8</v>
      </c>
      <c r="CN309" s="27" t="s">
        <v>7</v>
      </c>
      <c r="CO309" s="27" t="s">
        <v>8</v>
      </c>
      <c r="CP309" s="27" t="s">
        <v>7</v>
      </c>
      <c r="CR309" s="27" t="s">
        <v>7</v>
      </c>
      <c r="CT309" s="27" t="s">
        <v>7</v>
      </c>
      <c r="CU309" s="27" t="s">
        <v>8</v>
      </c>
      <c r="CV309" s="27" t="s">
        <v>7</v>
      </c>
    </row>
    <row r="310" spans="1:108" x14ac:dyDescent="0.25">
      <c r="A310" s="30">
        <v>3.286616756321796E-2</v>
      </c>
      <c r="B310"/>
      <c r="C310"/>
      <c r="D310"/>
      <c r="E310"/>
      <c r="BV310" s="27" t="s">
        <v>7</v>
      </c>
      <c r="BW310" s="27" t="s">
        <v>8</v>
      </c>
      <c r="CA310" s="27" t="s">
        <v>8</v>
      </c>
      <c r="CB310" s="27" t="s">
        <v>7</v>
      </c>
      <c r="CC310" s="27" t="s">
        <v>8</v>
      </c>
      <c r="CD310" s="27" t="s">
        <v>7</v>
      </c>
      <c r="CE310" s="27" t="s">
        <v>8</v>
      </c>
      <c r="CF310" s="27" t="s">
        <v>7</v>
      </c>
      <c r="CH310" s="27" t="s">
        <v>7</v>
      </c>
      <c r="CK310" s="27" t="s">
        <v>8</v>
      </c>
      <c r="CL310" s="27" t="s">
        <v>7</v>
      </c>
      <c r="CM310" s="27" t="s">
        <v>8</v>
      </c>
      <c r="CN310" s="27" t="s">
        <v>7</v>
      </c>
      <c r="CO310" s="27" t="s">
        <v>8</v>
      </c>
      <c r="CT310" s="27" t="s">
        <v>7</v>
      </c>
      <c r="CU310" s="27" t="s">
        <v>8</v>
      </c>
      <c r="CV310" s="27" t="s">
        <v>7</v>
      </c>
    </row>
    <row r="311" spans="1:108" x14ac:dyDescent="0.25">
      <c r="A311" s="30">
        <v>3.1301111964969472E-2</v>
      </c>
      <c r="B311"/>
      <c r="C311"/>
      <c r="D311"/>
      <c r="E311"/>
      <c r="BV311" s="27" t="s">
        <v>7</v>
      </c>
      <c r="BW311" s="27" t="s">
        <v>8</v>
      </c>
      <c r="BX311" s="27" t="s">
        <v>7</v>
      </c>
      <c r="CA311" s="27" t="s">
        <v>8</v>
      </c>
      <c r="CB311" s="27" t="s">
        <v>7</v>
      </c>
      <c r="CC311" s="27" t="s">
        <v>8</v>
      </c>
      <c r="CD311" s="27" t="s">
        <v>7</v>
      </c>
      <c r="CE311" s="27" t="s">
        <v>8</v>
      </c>
      <c r="CH311" s="27" t="s">
        <v>7</v>
      </c>
      <c r="CI311" s="27" t="s">
        <v>8</v>
      </c>
      <c r="CK311" s="27" t="s">
        <v>8</v>
      </c>
      <c r="CL311" s="27" t="s">
        <v>7</v>
      </c>
      <c r="CN311" s="27" t="s">
        <v>7</v>
      </c>
      <c r="CO311" s="27" t="s">
        <v>8</v>
      </c>
      <c r="CT311" s="27" t="s">
        <v>7</v>
      </c>
      <c r="CV311" s="27" t="s">
        <v>7</v>
      </c>
    </row>
    <row r="312" spans="1:108" x14ac:dyDescent="0.25">
      <c r="A312" s="30">
        <v>2.9810582823780438E-2</v>
      </c>
      <c r="B312"/>
      <c r="C312"/>
      <c r="D312"/>
      <c r="E312"/>
      <c r="BV312" s="27" t="s">
        <v>7</v>
      </c>
      <c r="BW312" s="27" t="s">
        <v>8</v>
      </c>
      <c r="BX312" s="27" t="s">
        <v>7</v>
      </c>
      <c r="CA312" s="27" t="s">
        <v>8</v>
      </c>
      <c r="CB312" s="27" t="s">
        <v>7</v>
      </c>
      <c r="CD312" s="27" t="s">
        <v>7</v>
      </c>
      <c r="CE312" s="27" t="s">
        <v>8</v>
      </c>
      <c r="CH312" s="27" t="s">
        <v>7</v>
      </c>
      <c r="CI312" s="27" t="s">
        <v>8</v>
      </c>
      <c r="CJ312" s="27" t="s">
        <v>7</v>
      </c>
      <c r="CK312" s="27" t="s">
        <v>8</v>
      </c>
      <c r="CN312" s="27" t="s">
        <v>7</v>
      </c>
      <c r="CV312" s="27" t="s">
        <v>7</v>
      </c>
      <c r="CY312" s="27" t="s">
        <v>8</v>
      </c>
    </row>
    <row r="313" spans="1:108" x14ac:dyDescent="0.25">
      <c r="A313" s="30">
        <v>2.8391031260743264E-2</v>
      </c>
      <c r="B313"/>
      <c r="C313"/>
      <c r="D313"/>
      <c r="E313"/>
      <c r="BV313" s="27" t="s">
        <v>7</v>
      </c>
      <c r="BX313" s="27" t="s">
        <v>7</v>
      </c>
      <c r="CA313" s="27" t="s">
        <v>8</v>
      </c>
      <c r="CD313" s="27" t="s">
        <v>7</v>
      </c>
      <c r="CH313" s="27" t="s">
        <v>7</v>
      </c>
      <c r="CI313" s="27" t="s">
        <v>8</v>
      </c>
      <c r="CJ313" s="27" t="s">
        <v>7</v>
      </c>
      <c r="CK313" s="27" t="s">
        <v>8</v>
      </c>
      <c r="CV313" s="27" t="s">
        <v>7</v>
      </c>
      <c r="CY313" s="27" t="s">
        <v>8</v>
      </c>
      <c r="CZ313" s="27" t="s">
        <v>7</v>
      </c>
    </row>
    <row r="314" spans="1:108" x14ac:dyDescent="0.25">
      <c r="A314" s="30">
        <v>2.7039077391184052E-2</v>
      </c>
      <c r="B314"/>
      <c r="C314"/>
      <c r="D314"/>
      <c r="E314"/>
      <c r="BX314" s="27" t="s">
        <v>7</v>
      </c>
      <c r="BY314" s="27" t="s">
        <v>8</v>
      </c>
      <c r="CA314" s="27" t="s">
        <v>8</v>
      </c>
      <c r="CH314" s="27" t="s">
        <v>7</v>
      </c>
      <c r="CI314" s="27" t="s">
        <v>8</v>
      </c>
      <c r="CJ314" s="27" t="s">
        <v>7</v>
      </c>
      <c r="CV314" s="27" t="s">
        <v>7</v>
      </c>
      <c r="CY314" s="27" t="s">
        <v>8</v>
      </c>
      <c r="CZ314" s="27" t="s">
        <v>7</v>
      </c>
      <c r="DA314" s="27" t="s">
        <v>8</v>
      </c>
    </row>
    <row r="315" spans="1:108" x14ac:dyDescent="0.25">
      <c r="A315" s="30">
        <v>2.5751502277318133E-2</v>
      </c>
      <c r="B315"/>
      <c r="C315"/>
      <c r="D315"/>
      <c r="E315"/>
      <c r="BX315" s="27" t="s">
        <v>7</v>
      </c>
      <c r="BY315" s="27" t="s">
        <v>8</v>
      </c>
      <c r="BZ315" s="27" t="s">
        <v>7</v>
      </c>
      <c r="CA315" s="27" t="s">
        <v>8</v>
      </c>
      <c r="CH315" s="27" t="s">
        <v>7</v>
      </c>
      <c r="CI315" s="27" t="s">
        <v>8</v>
      </c>
      <c r="CV315" s="27" t="s">
        <v>7</v>
      </c>
      <c r="CW315" s="27" t="s">
        <v>8</v>
      </c>
      <c r="CY315" s="27" t="s">
        <v>8</v>
      </c>
      <c r="CZ315" s="27" t="s">
        <v>7</v>
      </c>
      <c r="DA315" s="27" t="s">
        <v>8</v>
      </c>
      <c r="DB315" s="27" t="s">
        <v>7</v>
      </c>
    </row>
    <row r="316" spans="1:108" x14ac:dyDescent="0.25">
      <c r="A316" s="30">
        <v>2.4525240264112496E-2</v>
      </c>
      <c r="B316"/>
      <c r="C316"/>
      <c r="D316"/>
      <c r="E316"/>
      <c r="BX316" s="27" t="s">
        <v>7</v>
      </c>
      <c r="BY316" s="27" t="s">
        <v>8</v>
      </c>
      <c r="BZ316" s="27" t="s">
        <v>7</v>
      </c>
      <c r="CA316" s="27" t="s">
        <v>8</v>
      </c>
      <c r="CH316" s="27" t="s">
        <v>7</v>
      </c>
      <c r="CV316" s="27" t="s">
        <v>7</v>
      </c>
      <c r="CW316" s="27" t="s">
        <v>8</v>
      </c>
      <c r="CX316" s="27" t="s">
        <v>7</v>
      </c>
      <c r="CY316" s="27" t="s">
        <v>8</v>
      </c>
      <c r="CZ316" s="27" t="s">
        <v>7</v>
      </c>
      <c r="DA316" s="27" t="s">
        <v>8</v>
      </c>
      <c r="DB316" s="27" t="s">
        <v>7</v>
      </c>
    </row>
    <row r="317" spans="1:108" x14ac:dyDescent="0.25">
      <c r="A317" s="30">
        <v>2.3357371680107129E-2</v>
      </c>
      <c r="B317"/>
      <c r="C317"/>
      <c r="D317"/>
      <c r="E317"/>
      <c r="BX317" s="27" t="s">
        <v>7</v>
      </c>
      <c r="BY317" s="27" t="s">
        <v>8</v>
      </c>
      <c r="BZ317" s="27" t="s">
        <v>7</v>
      </c>
      <c r="CA317" s="27" t="s">
        <v>8</v>
      </c>
      <c r="CV317" s="27" t="s">
        <v>7</v>
      </c>
      <c r="CW317" s="27" t="s">
        <v>8</v>
      </c>
      <c r="CX317" s="27" t="s">
        <v>7</v>
      </c>
      <c r="CY317" s="27" t="s">
        <v>8</v>
      </c>
      <c r="CZ317" s="27" t="s">
        <v>7</v>
      </c>
      <c r="DA317" s="27" t="s">
        <v>8</v>
      </c>
      <c r="DB317" s="27" t="s">
        <v>7</v>
      </c>
    </row>
    <row r="318" spans="1:108" x14ac:dyDescent="0.25">
      <c r="A318" s="30">
        <v>2.2245115885816305E-2</v>
      </c>
      <c r="B318"/>
      <c r="C318"/>
      <c r="D318"/>
      <c r="E318"/>
      <c r="BX318" s="27" t="s">
        <v>7</v>
      </c>
      <c r="BY318" s="27" t="s">
        <v>8</v>
      </c>
      <c r="BZ318" s="27" t="s">
        <v>7</v>
      </c>
      <c r="CA318" s="27" t="s">
        <v>8</v>
      </c>
      <c r="CV318" s="27" t="s">
        <v>7</v>
      </c>
      <c r="CX318" s="27" t="s">
        <v>7</v>
      </c>
      <c r="CZ318" s="27" t="s">
        <v>7</v>
      </c>
      <c r="DB318" s="27" t="s">
        <v>7</v>
      </c>
    </row>
    <row r="319" spans="1:108" x14ac:dyDescent="0.25">
      <c r="A319" s="30">
        <v>2.1185824653158377E-2</v>
      </c>
      <c r="B319"/>
      <c r="C319"/>
      <c r="D319"/>
      <c r="E319"/>
      <c r="BX319" s="27" t="s">
        <v>7</v>
      </c>
      <c r="BY319" s="27" t="s">
        <v>8</v>
      </c>
      <c r="BZ319" s="27" t="s">
        <v>7</v>
      </c>
      <c r="CA319" s="27" t="s">
        <v>8</v>
      </c>
      <c r="DB319" s="27" t="s">
        <v>7</v>
      </c>
      <c r="DC319" s="27" t="s">
        <v>8</v>
      </c>
    </row>
    <row r="320" spans="1:108" x14ac:dyDescent="0.25">
      <c r="A320" s="30">
        <v>2.0176975860150829E-2</v>
      </c>
      <c r="B320"/>
      <c r="C320"/>
      <c r="D320"/>
      <c r="E320"/>
      <c r="BX320" s="27" t="s">
        <v>7</v>
      </c>
      <c r="BY320" s="27" t="s">
        <v>8</v>
      </c>
      <c r="BZ320" s="27" t="s">
        <v>7</v>
      </c>
      <c r="CA320" s="27" t="s">
        <v>8</v>
      </c>
      <c r="DB320" s="27" t="s">
        <v>7</v>
      </c>
      <c r="DC320" s="27" t="s">
        <v>8</v>
      </c>
      <c r="DD320" s="27" t="s">
        <v>7</v>
      </c>
    </row>
    <row r="321" spans="1:108" x14ac:dyDescent="0.25">
      <c r="A321" s="30">
        <v>1.9216167485857926E-2</v>
      </c>
      <c r="B321"/>
      <c r="C321"/>
      <c r="D321"/>
      <c r="E321"/>
      <c r="BX321" s="27" t="s">
        <v>7</v>
      </c>
      <c r="BY321" s="27" t="s">
        <v>8</v>
      </c>
      <c r="BZ321" s="18" t="s">
        <v>7</v>
      </c>
      <c r="CA321" s="27" t="s">
        <v>8</v>
      </c>
      <c r="DB321" s="27" t="s">
        <v>7</v>
      </c>
      <c r="DC321" s="27" t="s">
        <v>8</v>
      </c>
      <c r="DD321" s="27" t="s">
        <v>7</v>
      </c>
    </row>
    <row r="322" spans="1:108" x14ac:dyDescent="0.25">
      <c r="A322" s="30">
        <v>1.8301111891293256E-2</v>
      </c>
      <c r="B322"/>
      <c r="C322"/>
      <c r="D322"/>
      <c r="E322"/>
      <c r="BX322" s="27" t="s">
        <v>7</v>
      </c>
      <c r="BY322" s="27" t="s">
        <v>8</v>
      </c>
      <c r="BZ322" s="27" t="s">
        <v>7</v>
      </c>
      <c r="CA322" s="27" t="s">
        <v>8</v>
      </c>
      <c r="DB322" s="27" t="s">
        <v>7</v>
      </c>
      <c r="DD322" s="27" t="s">
        <v>7</v>
      </c>
    </row>
    <row r="323" spans="1:108" x14ac:dyDescent="0.25">
      <c r="A323" s="30">
        <v>1.7429630372660238E-2</v>
      </c>
      <c r="B323"/>
      <c r="C323"/>
      <c r="D323"/>
      <c r="E323"/>
      <c r="BX323" s="27" t="s">
        <v>7</v>
      </c>
      <c r="BY323" s="27" t="s">
        <v>8</v>
      </c>
      <c r="BZ323" s="27" t="s">
        <v>7</v>
      </c>
      <c r="DD323" s="27" t="s">
        <v>7</v>
      </c>
    </row>
    <row r="324" spans="1:108" x14ac:dyDescent="0.25">
      <c r="A324" s="30">
        <v>1.6599647973962125E-2</v>
      </c>
      <c r="B324"/>
      <c r="C324"/>
      <c r="D324"/>
      <c r="E324"/>
      <c r="BX324" s="27" t="s">
        <v>7</v>
      </c>
      <c r="DD324" s="27" t="s">
        <v>7</v>
      </c>
    </row>
    <row r="325" spans="1:108" x14ac:dyDescent="0.25">
      <c r="A325" s="30">
        <v>1.580918854663059E-2</v>
      </c>
      <c r="B325"/>
      <c r="C325"/>
      <c r="D325"/>
      <c r="E325"/>
      <c r="DD325" s="27" t="s">
        <v>7</v>
      </c>
    </row>
    <row r="326" spans="1:108" x14ac:dyDescent="0.25">
      <c r="A326" s="30">
        <v>1.5056370044410079E-2</v>
      </c>
      <c r="B326"/>
      <c r="C326"/>
      <c r="D326"/>
      <c r="E326"/>
      <c r="DD326" s="27" t="s">
        <v>7</v>
      </c>
    </row>
    <row r="327" spans="1:108" x14ac:dyDescent="0.25">
      <c r="A327" s="30">
        <v>1.4339400042295308E-2</v>
      </c>
      <c r="B327"/>
      <c r="C327"/>
      <c r="D327"/>
      <c r="E327"/>
      <c r="DD327" s="27" t="s">
        <v>7</v>
      </c>
    </row>
    <row r="328" spans="1:108" x14ac:dyDescent="0.25">
      <c r="A328" s="30">
        <v>1.365657146885267E-2</v>
      </c>
      <c r="B328"/>
      <c r="C328"/>
      <c r="D328"/>
      <c r="E328"/>
      <c r="DD328" s="27" t="s">
        <v>7</v>
      </c>
    </row>
    <row r="329" spans="1:108" x14ac:dyDescent="0.25">
      <c r="A329" s="30">
        <v>1.3006258541764442E-2</v>
      </c>
      <c r="B329"/>
      <c r="C329"/>
      <c r="D329"/>
      <c r="E329"/>
    </row>
    <row r="330" spans="1:108" x14ac:dyDescent="0.25">
      <c r="A330" s="30">
        <v>1.2386912896918512E-2</v>
      </c>
      <c r="B330"/>
      <c r="C330"/>
      <c r="D330"/>
      <c r="E330"/>
    </row>
    <row r="331" spans="1:108" x14ac:dyDescent="0.25">
      <c r="A331" s="30">
        <v>1.179705990182715E-2</v>
      </c>
      <c r="B331"/>
      <c r="C331"/>
      <c r="D331"/>
      <c r="E331"/>
    </row>
    <row r="332" spans="1:108" x14ac:dyDescent="0.25">
      <c r="A332" s="30">
        <v>1.1235295144597281E-2</v>
      </c>
      <c r="B332"/>
      <c r="C332"/>
      <c r="D332"/>
      <c r="E332"/>
    </row>
    <row r="333" spans="1:108" x14ac:dyDescent="0.25">
      <c r="A333" s="30">
        <v>1.0700281090092644E-2</v>
      </c>
      <c r="B333"/>
      <c r="C333"/>
      <c r="D333"/>
      <c r="E333"/>
    </row>
    <row r="334" spans="1:108" x14ac:dyDescent="0.25">
      <c r="A334" s="30">
        <v>1.0190743895326324E-2</v>
      </c>
      <c r="B334"/>
      <c r="C334"/>
      <c r="D334"/>
      <c r="E334"/>
    </row>
    <row r="335" spans="1:108" x14ac:dyDescent="0.25">
      <c r="A335" s="30">
        <v>9.7054703765012563E-3</v>
      </c>
      <c r="B335"/>
      <c r="C335"/>
      <c r="D335"/>
      <c r="E335"/>
    </row>
    <row r="336" spans="1:108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1" operator="equal">
      <formula>$U$1</formula>
    </cfRule>
    <cfRule type="cellIs" dxfId="67" priority="912" operator="equal">
      <formula>$S$1</formula>
    </cfRule>
  </conditionalFormatting>
  <conditionalFormatting sqref="D136">
    <cfRule type="cellIs" dxfId="66" priority="909" operator="equal">
      <formula>$S$1</formula>
    </cfRule>
    <cfRule type="cellIs" dxfId="65" priority="910" operator="equal">
      <formula>$U$1</formula>
    </cfRule>
  </conditionalFormatting>
  <conditionalFormatting sqref="C162">
    <cfRule type="cellIs" dxfId="64" priority="907" operator="equal">
      <formula>$U$1</formula>
    </cfRule>
    <cfRule type="cellIs" dxfId="63" priority="908" operator="equal">
      <formula>$S$1</formula>
    </cfRule>
  </conditionalFormatting>
  <conditionalFormatting sqref="D162">
    <cfRule type="cellIs" dxfId="62" priority="905" operator="equal">
      <formula>$S$1</formula>
    </cfRule>
    <cfRule type="cellIs" dxfId="61" priority="906" operator="equal">
      <formula>$U$1</formula>
    </cfRule>
  </conditionalFormatting>
  <conditionalFormatting sqref="C187">
    <cfRule type="cellIs" dxfId="60" priority="903" operator="equal">
      <formula>$U$1</formula>
    </cfRule>
    <cfRule type="cellIs" dxfId="59" priority="904" operator="equal">
      <formula>$S$1</formula>
    </cfRule>
  </conditionalFormatting>
  <conditionalFormatting sqref="D187">
    <cfRule type="cellIs" dxfId="58" priority="901" operator="equal">
      <formula>$S$1</formula>
    </cfRule>
    <cfRule type="cellIs" dxfId="57" priority="902" operator="equal">
      <formula>$U$1</formula>
    </cfRule>
  </conditionalFormatting>
  <conditionalFormatting sqref="C212">
    <cfRule type="cellIs" dxfId="56" priority="899" operator="equal">
      <formula>$U$1</formula>
    </cfRule>
    <cfRule type="cellIs" dxfId="55" priority="900" operator="equal">
      <formula>$S$1</formula>
    </cfRule>
  </conditionalFormatting>
  <conditionalFormatting sqref="D212">
    <cfRule type="cellIs" dxfId="54" priority="897" operator="equal">
      <formula>$S$1</formula>
    </cfRule>
    <cfRule type="cellIs" dxfId="53" priority="898" operator="equal">
      <formula>$U$1</formula>
    </cfRule>
  </conditionalFormatting>
  <conditionalFormatting sqref="C237">
    <cfRule type="cellIs" dxfId="52" priority="895" operator="equal">
      <formula>$U$1</formula>
    </cfRule>
    <cfRule type="cellIs" dxfId="51" priority="896" operator="equal">
      <formula>$S$1</formula>
    </cfRule>
  </conditionalFormatting>
  <conditionalFormatting sqref="D237">
    <cfRule type="cellIs" dxfId="50" priority="893" operator="equal">
      <formula>$S$1</formula>
    </cfRule>
    <cfRule type="cellIs" dxfId="49" priority="894" operator="equal">
      <formula>$U$1</formula>
    </cfRule>
  </conditionalFormatting>
  <conditionalFormatting sqref="C106">
    <cfRule type="cellIs" dxfId="48" priority="891" operator="equal">
      <formula>$U$1</formula>
    </cfRule>
    <cfRule type="cellIs" dxfId="47" priority="892" operator="equal">
      <formula>$S$1</formula>
    </cfRule>
  </conditionalFormatting>
  <conditionalFormatting sqref="D106">
    <cfRule type="cellIs" dxfId="46" priority="889" operator="equal">
      <formula>$S$1</formula>
    </cfRule>
    <cfRule type="cellIs" dxfId="45" priority="890" operator="equal">
      <formula>$U$1</formula>
    </cfRule>
  </conditionalFormatting>
  <conditionalFormatting sqref="C81">
    <cfRule type="cellIs" dxfId="44" priority="887" operator="equal">
      <formula>$U$1</formula>
    </cfRule>
    <cfRule type="cellIs" dxfId="43" priority="888" operator="equal">
      <formula>$S$1</formula>
    </cfRule>
  </conditionalFormatting>
  <conditionalFormatting sqref="D81">
    <cfRule type="cellIs" dxfId="42" priority="885" operator="equal">
      <formula>$S$1</formula>
    </cfRule>
    <cfRule type="cellIs" dxfId="41" priority="886" operator="equal">
      <formula>$U$1</formula>
    </cfRule>
  </conditionalFormatting>
  <conditionalFormatting sqref="C56">
    <cfRule type="cellIs" dxfId="40" priority="883" operator="equal">
      <formula>$U$1</formula>
    </cfRule>
    <cfRule type="cellIs" dxfId="39" priority="884" operator="equal">
      <formula>$S$1</formula>
    </cfRule>
  </conditionalFormatting>
  <conditionalFormatting sqref="D56">
    <cfRule type="cellIs" dxfId="38" priority="881" operator="equal">
      <formula>$S$1</formula>
    </cfRule>
    <cfRule type="cellIs" dxfId="37" priority="882" operator="equal">
      <formula>$U$1</formula>
    </cfRule>
  </conditionalFormatting>
  <conditionalFormatting sqref="C31">
    <cfRule type="cellIs" dxfId="36" priority="879" operator="equal">
      <formula>$U$1</formula>
    </cfRule>
    <cfRule type="cellIs" dxfId="35" priority="880" operator="equal">
      <formula>$S$1</formula>
    </cfRule>
  </conditionalFormatting>
  <conditionalFormatting sqref="D31">
    <cfRule type="cellIs" dxfId="34" priority="877" operator="equal">
      <formula>$S$1</formula>
    </cfRule>
    <cfRule type="cellIs" dxfId="33" priority="8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T166" sqref="AT16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25" x14ac:dyDescent="0.25">
      <c r="A65" s="30">
        <v>207.96505671840671</v>
      </c>
      <c r="E65"/>
    </row>
    <row r="66" spans="1:25" x14ac:dyDescent="0.25">
      <c r="A66" s="30">
        <v>189.05914247127882</v>
      </c>
      <c r="E66"/>
    </row>
    <row r="67" spans="1:25" x14ac:dyDescent="0.25">
      <c r="A67" s="30">
        <v>171.87194770116255</v>
      </c>
      <c r="C67" s="1" t="s">
        <v>15</v>
      </c>
      <c r="E67"/>
    </row>
    <row r="68" spans="1:25" x14ac:dyDescent="0.25">
      <c r="A68" s="30">
        <v>156.24722518287504</v>
      </c>
      <c r="C68" s="7">
        <v>0.11167815779424731</v>
      </c>
      <c r="D68"/>
      <c r="E68"/>
    </row>
    <row r="69" spans="1:25" x14ac:dyDescent="0.25">
      <c r="A69" s="30">
        <v>142.04293198443185</v>
      </c>
      <c r="E69"/>
    </row>
    <row r="70" spans="1:25" x14ac:dyDescent="0.25">
      <c r="A70" s="30">
        <v>129.1299381676653</v>
      </c>
      <c r="C70" s="1" t="s">
        <v>11</v>
      </c>
      <c r="D70" s="1" t="s">
        <v>12</v>
      </c>
      <c r="E70"/>
    </row>
    <row r="71" spans="1:25" x14ac:dyDescent="0.25">
      <c r="A71" s="30">
        <v>117.39085287969573</v>
      </c>
      <c r="C71"/>
      <c r="D71"/>
      <c r="E71"/>
    </row>
    <row r="72" spans="1:25" x14ac:dyDescent="0.25">
      <c r="A72" s="30">
        <v>106.71895716335975</v>
      </c>
      <c r="E72"/>
    </row>
    <row r="73" spans="1:25" x14ac:dyDescent="0.25">
      <c r="A73" s="30">
        <v>97.017233784872488</v>
      </c>
      <c r="C73" s="1" t="s">
        <v>13</v>
      </c>
      <c r="E73"/>
    </row>
    <row r="74" spans="1:25" x14ac:dyDescent="0.25">
      <c r="A74" s="30">
        <v>88.197485258974979</v>
      </c>
      <c r="C74" s="1">
        <f>C63</f>
        <v>0</v>
      </c>
      <c r="E74"/>
    </row>
    <row r="75" spans="1:25" x14ac:dyDescent="0.25">
      <c r="A75" s="30">
        <v>80.179532053613613</v>
      </c>
      <c r="C75"/>
      <c r="D75"/>
      <c r="E75"/>
    </row>
    <row r="76" spans="1:25" x14ac:dyDescent="0.25">
      <c r="A76" s="30">
        <v>72.890483685103277</v>
      </c>
      <c r="C76" s="1" t="s">
        <v>14</v>
      </c>
      <c r="E76"/>
    </row>
    <row r="77" spans="1:2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25" x14ac:dyDescent="0.25">
      <c r="A78" s="30">
        <v>60.240069161242367</v>
      </c>
      <c r="E78"/>
    </row>
    <row r="79" spans="1:25" x14ac:dyDescent="0.25">
      <c r="A79" s="30">
        <v>54.763699237493057</v>
      </c>
      <c r="E79"/>
    </row>
    <row r="80" spans="1:25" x14ac:dyDescent="0.25">
      <c r="A80" s="30">
        <v>49.785181124993684</v>
      </c>
      <c r="E80"/>
      <c r="W80" s="27" t="s">
        <v>8</v>
      </c>
      <c r="Y80" s="27" t="s">
        <v>8</v>
      </c>
    </row>
    <row r="81" spans="1:34" x14ac:dyDescent="0.25">
      <c r="A81" s="30">
        <v>45.259255568176073</v>
      </c>
      <c r="E81"/>
      <c r="W81" s="27" t="s">
        <v>8</v>
      </c>
      <c r="X81" s="27" t="s">
        <v>7</v>
      </c>
      <c r="Y81" s="27" t="s">
        <v>8</v>
      </c>
      <c r="Z81" s="27" t="s">
        <v>7</v>
      </c>
    </row>
    <row r="82" spans="1:34" x14ac:dyDescent="0.25">
      <c r="A82" s="30">
        <v>41.144777789250973</v>
      </c>
      <c r="E82"/>
      <c r="W82" s="27" t="s">
        <v>8</v>
      </c>
      <c r="X82" s="27" t="s">
        <v>7</v>
      </c>
      <c r="Y82" s="27" t="s">
        <v>8</v>
      </c>
      <c r="Z82" s="27" t="s">
        <v>7</v>
      </c>
      <c r="AG82" s="27" t="s">
        <v>8</v>
      </c>
    </row>
    <row r="83" spans="1:34" x14ac:dyDescent="0.25">
      <c r="A83" s="30">
        <v>37.404343444773609</v>
      </c>
      <c r="E83"/>
      <c r="W83" s="27" t="s">
        <v>8</v>
      </c>
      <c r="X83" s="27" t="s">
        <v>7</v>
      </c>
      <c r="Z83" s="27" t="s">
        <v>7</v>
      </c>
      <c r="AA83" s="27" t="s">
        <v>8</v>
      </c>
      <c r="AG83" s="27" t="s">
        <v>8</v>
      </c>
      <c r="AH83" s="27" t="s">
        <v>7</v>
      </c>
    </row>
    <row r="84" spans="1:34" x14ac:dyDescent="0.25">
      <c r="A84" s="30">
        <v>34.003948586157826</v>
      </c>
      <c r="E84"/>
      <c r="U84" s="27" t="s">
        <v>8</v>
      </c>
      <c r="W84" s="27" t="s">
        <v>8</v>
      </c>
      <c r="Z84" s="27" t="s">
        <v>7</v>
      </c>
      <c r="AA84" s="27" t="s">
        <v>8</v>
      </c>
      <c r="AB84" s="27" t="s">
        <v>7</v>
      </c>
      <c r="AG84" s="27" t="s">
        <v>8</v>
      </c>
      <c r="AH84" s="27" t="s">
        <v>7</v>
      </c>
    </row>
    <row r="85" spans="1:34" x14ac:dyDescent="0.25">
      <c r="A85" s="30">
        <v>30.912680532870748</v>
      </c>
      <c r="E85"/>
      <c r="U85" s="27" t="s">
        <v>8</v>
      </c>
      <c r="V85" s="27" t="s">
        <v>7</v>
      </c>
      <c r="W85" s="27" t="s">
        <v>8</v>
      </c>
      <c r="Z85" s="27" t="s">
        <v>7</v>
      </c>
      <c r="AA85" s="27" t="s">
        <v>8</v>
      </c>
      <c r="AB85" s="27" t="s">
        <v>7</v>
      </c>
      <c r="AE85" s="27" t="s">
        <v>8</v>
      </c>
      <c r="AG85" s="27" t="s">
        <v>8</v>
      </c>
      <c r="AH85" s="27" t="s">
        <v>7</v>
      </c>
    </row>
    <row r="86" spans="1:34" x14ac:dyDescent="0.25">
      <c r="A86" s="30">
        <v>28.102436848064315</v>
      </c>
      <c r="E86"/>
      <c r="U86" s="27" t="s">
        <v>8</v>
      </c>
      <c r="V86" s="27" t="s">
        <v>7</v>
      </c>
      <c r="W86" s="27" t="s">
        <v>8</v>
      </c>
      <c r="Z86" s="27" t="s">
        <v>7</v>
      </c>
      <c r="AA86" s="27" t="s">
        <v>8</v>
      </c>
      <c r="AB86" s="27" t="s">
        <v>7</v>
      </c>
      <c r="AE86" s="27" t="s">
        <v>8</v>
      </c>
      <c r="AF86" s="27" t="s">
        <v>7</v>
      </c>
      <c r="AG86" s="27" t="s">
        <v>8</v>
      </c>
      <c r="AH86" s="27" t="s">
        <v>7</v>
      </c>
    </row>
    <row r="87" spans="1:34" x14ac:dyDescent="0.25">
      <c r="A87" s="30">
        <v>25.547669861876649</v>
      </c>
      <c r="E87"/>
      <c r="U87" s="27" t="s">
        <v>8</v>
      </c>
      <c r="V87" s="27" t="s">
        <v>7</v>
      </c>
      <c r="W87" s="27" t="s">
        <v>8</v>
      </c>
      <c r="Z87" s="27" t="s">
        <v>7</v>
      </c>
      <c r="AB87" s="27" t="s">
        <v>7</v>
      </c>
      <c r="AE87" s="27" t="s">
        <v>8</v>
      </c>
      <c r="AF87" s="27" t="s">
        <v>7</v>
      </c>
      <c r="AG87" s="27" t="s">
        <v>8</v>
      </c>
      <c r="AH87" s="27" t="s">
        <v>7</v>
      </c>
    </row>
    <row r="88" spans="1:34" x14ac:dyDescent="0.25">
      <c r="A88" s="30">
        <v>23.225154419887861</v>
      </c>
      <c r="E88"/>
      <c r="U88" s="27" t="s">
        <v>8</v>
      </c>
      <c r="V88" s="27" t="s">
        <v>7</v>
      </c>
      <c r="AB88" s="27" t="s">
        <v>7</v>
      </c>
      <c r="AE88" s="27" t="s">
        <v>8</v>
      </c>
      <c r="AF88" s="27" t="s">
        <v>7</v>
      </c>
      <c r="AH88" s="27" t="s">
        <v>7</v>
      </c>
    </row>
    <row r="89" spans="1:34" x14ac:dyDescent="0.25">
      <c r="A89" s="30">
        <v>21.113776745352599</v>
      </c>
      <c r="E89"/>
      <c r="U89" s="27" t="s">
        <v>8</v>
      </c>
      <c r="AB89" s="27" t="s">
        <v>7</v>
      </c>
      <c r="AC89" s="27" t="s">
        <v>8</v>
      </c>
      <c r="AE89" s="27" t="s">
        <v>8</v>
      </c>
      <c r="AH89" s="27" t="s">
        <v>7</v>
      </c>
    </row>
    <row r="90" spans="1:34" x14ac:dyDescent="0.25">
      <c r="A90" s="30">
        <v>19.194342495775089</v>
      </c>
      <c r="E90" t="s">
        <v>8</v>
      </c>
      <c r="G90" s="27" t="s">
        <v>8</v>
      </c>
      <c r="Q90" s="27" t="s">
        <v>8</v>
      </c>
      <c r="S90" s="27" t="s">
        <v>8</v>
      </c>
      <c r="U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H90" s="27" t="s">
        <v>7</v>
      </c>
    </row>
    <row r="91" spans="1:34" x14ac:dyDescent="0.25">
      <c r="A91" s="30">
        <v>17.449402268886445</v>
      </c>
      <c r="E91" t="s">
        <v>8</v>
      </c>
      <c r="F91" s="27" t="s">
        <v>7</v>
      </c>
      <c r="G91" s="27" t="s">
        <v>8</v>
      </c>
      <c r="H91" s="27" t="s">
        <v>7</v>
      </c>
      <c r="Q91" s="27" t="s">
        <v>8</v>
      </c>
      <c r="R91" s="27" t="s">
        <v>7</v>
      </c>
      <c r="S91" s="27" t="s">
        <v>8</v>
      </c>
      <c r="T91" s="27" t="s">
        <v>7</v>
      </c>
      <c r="U91" s="27" t="s">
        <v>8</v>
      </c>
      <c r="AB91" s="27" t="s">
        <v>7</v>
      </c>
      <c r="AC91" s="27" t="s">
        <v>8</v>
      </c>
      <c r="AD91" s="27" t="s">
        <v>7</v>
      </c>
      <c r="AE91" s="27" t="s">
        <v>8</v>
      </c>
      <c r="AH91" s="27" t="s">
        <v>7</v>
      </c>
    </row>
    <row r="92" spans="1:34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H92" s="27" t="s">
        <v>7</v>
      </c>
      <c r="Q92" s="27" t="s">
        <v>8</v>
      </c>
      <c r="R92" s="27" t="s">
        <v>7</v>
      </c>
      <c r="S92" s="27" t="s">
        <v>8</v>
      </c>
      <c r="T92" s="27" t="s">
        <v>7</v>
      </c>
      <c r="U92" s="27" t="s">
        <v>8</v>
      </c>
      <c r="AB92" s="27" t="s">
        <v>7</v>
      </c>
      <c r="AD92" s="27" t="s">
        <v>7</v>
      </c>
      <c r="AE92" s="27" t="s">
        <v>8</v>
      </c>
      <c r="AH92" s="27" t="s">
        <v>7</v>
      </c>
    </row>
    <row r="93" spans="1:34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H93" s="27" t="s">
        <v>7</v>
      </c>
      <c r="O93" s="27" t="s">
        <v>8</v>
      </c>
      <c r="Q93" s="27" t="s">
        <v>8</v>
      </c>
      <c r="R93" s="27" t="s">
        <v>7</v>
      </c>
      <c r="T93" s="27" t="s">
        <v>7</v>
      </c>
      <c r="U93" s="27" t="s">
        <v>8</v>
      </c>
      <c r="AD93" s="27" t="s">
        <v>7</v>
      </c>
      <c r="AH93" s="27" t="s">
        <v>7</v>
      </c>
    </row>
    <row r="94" spans="1:34" x14ac:dyDescent="0.25">
      <c r="A94" s="30">
        <v>13.109994191499954</v>
      </c>
      <c r="E94" t="s">
        <v>8</v>
      </c>
      <c r="H94" s="27" t="s">
        <v>7</v>
      </c>
      <c r="I94" s="27" t="s">
        <v>8</v>
      </c>
      <c r="K94" s="27" t="s">
        <v>8</v>
      </c>
      <c r="O94" s="27" t="s">
        <v>8</v>
      </c>
      <c r="P94" s="27" t="s">
        <v>7</v>
      </c>
      <c r="Q94" s="27" t="s">
        <v>8</v>
      </c>
      <c r="T94" s="27" t="s">
        <v>7</v>
      </c>
      <c r="U94" s="27" t="s">
        <v>8</v>
      </c>
      <c r="AH94" s="27" t="s">
        <v>7</v>
      </c>
    </row>
    <row r="95" spans="1:34" x14ac:dyDescent="0.25">
      <c r="A95" s="30">
        <v>11.918176537727231</v>
      </c>
      <c r="C95" s="1" t="s">
        <v>11</v>
      </c>
      <c r="D95" s="1" t="s">
        <v>12</v>
      </c>
      <c r="E95" t="s">
        <v>8</v>
      </c>
      <c r="H95" s="27" t="s">
        <v>7</v>
      </c>
      <c r="I95" s="27" t="s">
        <v>8</v>
      </c>
      <c r="J95" s="27" t="s">
        <v>7</v>
      </c>
      <c r="K95" s="27" t="s">
        <v>8</v>
      </c>
      <c r="L95" s="27" t="s">
        <v>7</v>
      </c>
      <c r="O95" s="27" t="s">
        <v>8</v>
      </c>
      <c r="P95" s="27" t="s">
        <v>7</v>
      </c>
      <c r="Q95" s="27" t="s">
        <v>8</v>
      </c>
      <c r="T95" s="27" t="s">
        <v>7</v>
      </c>
      <c r="AH95" s="27" t="s">
        <v>7</v>
      </c>
    </row>
    <row r="96" spans="1:34" x14ac:dyDescent="0.25">
      <c r="A96" s="30">
        <v>10.834705943388391</v>
      </c>
      <c r="C96"/>
      <c r="D96"/>
      <c r="E96" t="s">
        <v>8</v>
      </c>
      <c r="H96" s="27" t="s">
        <v>7</v>
      </c>
      <c r="I96" s="27" t="s">
        <v>8</v>
      </c>
      <c r="J96" s="27" t="s">
        <v>7</v>
      </c>
      <c r="K96" s="27" t="s">
        <v>8</v>
      </c>
      <c r="L96" s="27" t="s">
        <v>7</v>
      </c>
      <c r="O96" s="27" t="s">
        <v>8</v>
      </c>
      <c r="P96" s="27" t="s">
        <v>7</v>
      </c>
      <c r="Q96" s="27" t="s">
        <v>8</v>
      </c>
      <c r="AH96" s="27" t="s">
        <v>7</v>
      </c>
    </row>
    <row r="97" spans="1:34" x14ac:dyDescent="0.25">
      <c r="A97" s="30">
        <v>9.849732675807628</v>
      </c>
      <c r="E97" t="s">
        <v>8</v>
      </c>
      <c r="H97" s="27" t="s">
        <v>7</v>
      </c>
      <c r="I97" s="27" t="s">
        <v>8</v>
      </c>
      <c r="J97" s="27" t="s">
        <v>7</v>
      </c>
      <c r="K97" s="27" t="s">
        <v>8</v>
      </c>
      <c r="L97" s="27" t="s">
        <v>7</v>
      </c>
      <c r="O97" s="27" t="s">
        <v>8</v>
      </c>
      <c r="P97" s="27" t="s">
        <v>7</v>
      </c>
      <c r="AH97" s="27" t="s">
        <v>7</v>
      </c>
    </row>
    <row r="98" spans="1:34" x14ac:dyDescent="0.25">
      <c r="A98" s="30">
        <v>8.9543024325523888</v>
      </c>
      <c r="C98" s="1" t="s">
        <v>13</v>
      </c>
      <c r="E98" t="s">
        <v>8</v>
      </c>
      <c r="H98" s="27" t="s">
        <v>7</v>
      </c>
      <c r="I98" s="27" t="s">
        <v>8</v>
      </c>
      <c r="J98" s="27" t="s">
        <v>7</v>
      </c>
      <c r="L98" s="27" t="s">
        <v>7</v>
      </c>
      <c r="O98" s="27" t="s">
        <v>8</v>
      </c>
      <c r="AH98" s="27" t="s">
        <v>7</v>
      </c>
    </row>
    <row r="99" spans="1:34" x14ac:dyDescent="0.25">
      <c r="A99" s="30">
        <v>8.140274938683989</v>
      </c>
      <c r="C99" s="1">
        <f>C88</f>
        <v>0</v>
      </c>
      <c r="E99" t="s">
        <v>8</v>
      </c>
      <c r="H99" s="27" t="s">
        <v>7</v>
      </c>
      <c r="I99" s="27" t="s">
        <v>8</v>
      </c>
      <c r="L99" s="27" t="s">
        <v>7</v>
      </c>
      <c r="M99" s="27" t="s">
        <v>8</v>
      </c>
      <c r="O99" s="27" t="s">
        <v>8</v>
      </c>
      <c r="AH99" s="27" t="s">
        <v>7</v>
      </c>
    </row>
    <row r="100" spans="1:34" x14ac:dyDescent="0.25">
      <c r="A100" s="30">
        <v>7.4002499442581717</v>
      </c>
      <c r="C100"/>
      <c r="D100"/>
      <c r="E100" t="s">
        <v>8</v>
      </c>
      <c r="H100" s="27" t="s">
        <v>7</v>
      </c>
      <c r="L100" s="27" t="s">
        <v>7</v>
      </c>
      <c r="M100" s="27" t="s">
        <v>8</v>
      </c>
      <c r="N100" s="27" t="s">
        <v>7</v>
      </c>
      <c r="O100" s="27" t="s">
        <v>8</v>
      </c>
      <c r="AH100" s="27" t="s">
        <v>7</v>
      </c>
    </row>
    <row r="101" spans="1:34" x14ac:dyDescent="0.25">
      <c r="A101" s="30">
        <v>6.72749994932561</v>
      </c>
      <c r="C101" s="1" t="s">
        <v>14</v>
      </c>
      <c r="E101" t="s">
        <v>8</v>
      </c>
      <c r="L101" s="27" t="s">
        <v>7</v>
      </c>
      <c r="M101" s="27" t="s">
        <v>8</v>
      </c>
      <c r="N101" s="27" t="s">
        <v>7</v>
      </c>
      <c r="O101" s="27" t="s">
        <v>8</v>
      </c>
      <c r="AH101" s="27" t="s">
        <v>7</v>
      </c>
    </row>
    <row r="102" spans="1:3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L102" s="27" t="s">
        <v>7</v>
      </c>
      <c r="M102" s="27" t="s">
        <v>8</v>
      </c>
      <c r="N102" s="27" t="s">
        <v>7</v>
      </c>
      <c r="AH102" s="27" t="s">
        <v>7</v>
      </c>
    </row>
    <row r="103" spans="1:34" x14ac:dyDescent="0.25">
      <c r="A103" s="30">
        <v>5.5599173134922388</v>
      </c>
      <c r="E103" t="s">
        <v>8</v>
      </c>
      <c r="L103" s="27" t="s">
        <v>7</v>
      </c>
      <c r="AH103" s="27" t="s">
        <v>7</v>
      </c>
    </row>
    <row r="104" spans="1:34" x14ac:dyDescent="0.25">
      <c r="A104" s="30">
        <v>5.0544702849929442</v>
      </c>
      <c r="E104" t="s">
        <v>8</v>
      </c>
      <c r="AH104" s="27" t="s">
        <v>7</v>
      </c>
    </row>
    <row r="105" spans="1:34" x14ac:dyDescent="0.25">
      <c r="A105" s="30">
        <v>4.594972986357222</v>
      </c>
      <c r="E105" t="s">
        <v>8</v>
      </c>
      <c r="AH105" s="27" t="s">
        <v>7</v>
      </c>
    </row>
    <row r="106" spans="1:34" x14ac:dyDescent="0.25">
      <c r="A106" s="30">
        <v>4.1772481694156562</v>
      </c>
      <c r="E106" t="s">
        <v>8</v>
      </c>
      <c r="AH106" s="27" t="s">
        <v>7</v>
      </c>
    </row>
    <row r="107" spans="1:34" x14ac:dyDescent="0.25">
      <c r="A107" s="30">
        <v>3.7974983358324148</v>
      </c>
      <c r="E107" t="s">
        <v>8</v>
      </c>
      <c r="AH107" s="27" t="s">
        <v>7</v>
      </c>
    </row>
    <row r="108" spans="1:34" x14ac:dyDescent="0.25">
      <c r="A108" s="30">
        <v>3.4522712143931042</v>
      </c>
      <c r="E108" t="s">
        <v>8</v>
      </c>
      <c r="AH108" s="27" t="s">
        <v>7</v>
      </c>
    </row>
    <row r="109" spans="1:34" x14ac:dyDescent="0.25">
      <c r="A109" s="30">
        <v>3.1384283767210035</v>
      </c>
      <c r="E109" t="s">
        <v>8</v>
      </c>
      <c r="AH109" s="27" t="s">
        <v>7</v>
      </c>
    </row>
    <row r="110" spans="1:34" x14ac:dyDescent="0.25">
      <c r="A110" s="30">
        <v>2.8531167061100029</v>
      </c>
      <c r="E110" t="s">
        <v>8</v>
      </c>
      <c r="AH110" s="27" t="s">
        <v>7</v>
      </c>
    </row>
    <row r="111" spans="1:34" x14ac:dyDescent="0.25">
      <c r="A111" s="30">
        <v>2.5937424601000023</v>
      </c>
      <c r="C111" s="1" t="str">
        <f>ADDRESS(C121-1,1,1,1)</f>
        <v>$A$165</v>
      </c>
      <c r="D111" s="1" t="str">
        <f>ADDRESS(C121-1,D121,1,1)</f>
        <v>$AT$165</v>
      </c>
      <c r="E111" t="s">
        <v>8</v>
      </c>
      <c r="AH111" s="27" t="s">
        <v>7</v>
      </c>
    </row>
    <row r="112" spans="1:34" x14ac:dyDescent="0.25">
      <c r="A112" s="30">
        <v>2.3579476910000019</v>
      </c>
      <c r="C112" s="1" t="str">
        <f>ADDRESS(C121,1,1,1)</f>
        <v>$A$166</v>
      </c>
      <c r="D112" s="1" t="str">
        <f>ADDRESS(C121,D121-1,1,1)</f>
        <v>$AS$166</v>
      </c>
      <c r="E112" t="s">
        <v>8</v>
      </c>
      <c r="AH112" s="27" t="s">
        <v>7</v>
      </c>
    </row>
    <row r="113" spans="1:34" x14ac:dyDescent="0.25">
      <c r="A113" s="30">
        <v>2.1435888100000016</v>
      </c>
      <c r="C113" s="1" t="str">
        <f>ADDRESS(C121+1,1,1,1)</f>
        <v>$A$167</v>
      </c>
      <c r="D113" s="1" t="str">
        <f>ADDRESS(C121-1,D121+1,1,1)</f>
        <v>$AU$165</v>
      </c>
      <c r="E113" s="1" t="s">
        <v>8</v>
      </c>
      <c r="AH113" s="27" t="s">
        <v>7</v>
      </c>
    </row>
    <row r="114" spans="1:34" x14ac:dyDescent="0.25">
      <c r="A114" s="30">
        <v>1.9487171000000014</v>
      </c>
      <c r="C114" s="1" t="str">
        <f>ADDRESS(C121,D121,1,1)</f>
        <v>$AT$166</v>
      </c>
      <c r="D114" s="1" t="str">
        <f>ADDRESS(C121+1,D121+1,1,1)</f>
        <v>$AU$167</v>
      </c>
      <c r="E114" s="1" t="s">
        <v>8</v>
      </c>
      <c r="AH114" s="27" t="s">
        <v>7</v>
      </c>
    </row>
    <row r="115" spans="1:34" x14ac:dyDescent="0.25">
      <c r="A115" s="30">
        <v>1.7715610000000011</v>
      </c>
      <c r="C115" s="1" t="str">
        <f>ADDRESS(C121+1,D121,1,1)</f>
        <v>$AT$167</v>
      </c>
      <c r="E115" s="1" t="s">
        <v>8</v>
      </c>
      <c r="AH115" s="27" t="s">
        <v>7</v>
      </c>
    </row>
    <row r="116" spans="1:34" x14ac:dyDescent="0.25">
      <c r="A116" s="30">
        <v>1.6105100000000008</v>
      </c>
      <c r="C116" s="1">
        <f>C117-1</f>
        <v>165</v>
      </c>
      <c r="E116" s="1" t="s">
        <v>8</v>
      </c>
      <c r="AH116" s="27" t="s">
        <v>7</v>
      </c>
    </row>
    <row r="117" spans="1:34" x14ac:dyDescent="0.25">
      <c r="A117" s="30">
        <v>1.4641000000000006</v>
      </c>
      <c r="C117" s="1">
        <f>C121</f>
        <v>166</v>
      </c>
      <c r="D117" s="1">
        <f>D121</f>
        <v>46</v>
      </c>
      <c r="E117" s="1" t="s">
        <v>8</v>
      </c>
      <c r="AH117" s="27" t="s">
        <v>7</v>
      </c>
    </row>
    <row r="118" spans="1:34" x14ac:dyDescent="0.25">
      <c r="A118" s="30">
        <v>1.3310000000000004</v>
      </c>
      <c r="C118" s="1">
        <f>C117+1</f>
        <v>167</v>
      </c>
      <c r="D118" s="1">
        <f>D117+1</f>
        <v>47</v>
      </c>
      <c r="E118" s="1" t="s">
        <v>8</v>
      </c>
      <c r="AH118" s="27" t="s">
        <v>7</v>
      </c>
    </row>
    <row r="119" spans="1:34" x14ac:dyDescent="0.25">
      <c r="A119" s="30">
        <v>1.2100000000000002</v>
      </c>
      <c r="E119" s="1" t="s">
        <v>8</v>
      </c>
      <c r="AH119" s="27" t="s">
        <v>7</v>
      </c>
    </row>
    <row r="120" spans="1:34" x14ac:dyDescent="0.25">
      <c r="A120" s="30">
        <v>1.1000000000000001</v>
      </c>
      <c r="C120" s="1" t="s">
        <v>9</v>
      </c>
      <c r="E120" s="1" t="s">
        <v>8</v>
      </c>
      <c r="AH120" s="27" t="s">
        <v>7</v>
      </c>
    </row>
    <row r="121" spans="1:34" x14ac:dyDescent="0.25">
      <c r="A121" s="30">
        <v>1</v>
      </c>
      <c r="C121" s="18">
        <v>166</v>
      </c>
      <c r="D121" s="19">
        <v>46</v>
      </c>
      <c r="E121" s="18" t="s">
        <v>8</v>
      </c>
      <c r="AH121" s="27" t="s">
        <v>7</v>
      </c>
    </row>
    <row r="122" spans="1:34" x14ac:dyDescent="0.25">
      <c r="A122" s="30">
        <v>0.90909090909090895</v>
      </c>
      <c r="C122" s="1" t="str">
        <f>INDEX(1:1048576,C117,D117)</f>
        <v>O</v>
      </c>
      <c r="AH122" s="27" t="s">
        <v>7</v>
      </c>
    </row>
    <row r="123" spans="1:34" x14ac:dyDescent="0.25">
      <c r="A123" s="30">
        <v>0.82644628099173523</v>
      </c>
      <c r="C123" s="1" t="str">
        <f>"R"&amp;C121</f>
        <v>R166</v>
      </c>
      <c r="D123" s="1" t="str">
        <f>"C"&amp;D121</f>
        <v>C46</v>
      </c>
      <c r="AH123" s="27" t="s">
        <v>7</v>
      </c>
    </row>
    <row r="124" spans="1:34" x14ac:dyDescent="0.25">
      <c r="A124" s="30">
        <v>0.75131480090157732</v>
      </c>
      <c r="C124" s="1">
        <f>SUM(C130:D130)</f>
        <v>0</v>
      </c>
      <c r="D124" s="1">
        <f>IF(C124=0,0,1)</f>
        <v>0</v>
      </c>
      <c r="AH124" s="27" t="s">
        <v>7</v>
      </c>
    </row>
    <row r="125" spans="1:34" x14ac:dyDescent="0.25">
      <c r="A125" s="30">
        <v>0.68301345536507019</v>
      </c>
      <c r="AH125" s="27" t="s">
        <v>7</v>
      </c>
    </row>
    <row r="126" spans="1:34" x14ac:dyDescent="0.25">
      <c r="A126" s="30">
        <v>0.6209213230591546</v>
      </c>
      <c r="C126" s="1" t="s">
        <v>10</v>
      </c>
      <c r="AH126" s="27" t="s">
        <v>7</v>
      </c>
    </row>
    <row r="127" spans="1:34" x14ac:dyDescent="0.25">
      <c r="A127" s="30">
        <v>0.56447393005377677</v>
      </c>
      <c r="C127" s="30">
        <v>1.3719212021148477E-2</v>
      </c>
      <c r="D127"/>
      <c r="AH127" s="27" t="s">
        <v>7</v>
      </c>
    </row>
    <row r="128" spans="1:34" x14ac:dyDescent="0.25">
      <c r="A128" s="30">
        <v>0.51315811823070612</v>
      </c>
      <c r="AH128" s="27" t="s">
        <v>7</v>
      </c>
    </row>
    <row r="129" spans="1:34" x14ac:dyDescent="0.25">
      <c r="A129" s="30">
        <v>0.46650738020973276</v>
      </c>
      <c r="C129" s="1" t="s">
        <v>11</v>
      </c>
      <c r="D129" s="1" t="s">
        <v>12</v>
      </c>
      <c r="E129"/>
      <c r="AH129" s="27" t="s">
        <v>7</v>
      </c>
    </row>
    <row r="130" spans="1:34" x14ac:dyDescent="0.25">
      <c r="A130" s="30">
        <v>0.42409761837248428</v>
      </c>
      <c r="C130" s="6"/>
      <c r="D130" s="6"/>
      <c r="E130"/>
      <c r="AH130" s="27" t="s">
        <v>7</v>
      </c>
    </row>
    <row r="131" spans="1:34" x14ac:dyDescent="0.25">
      <c r="A131" s="30">
        <v>0.38554328942953109</v>
      </c>
      <c r="E131"/>
      <c r="AH131" s="27" t="s">
        <v>7</v>
      </c>
    </row>
    <row r="132" spans="1:34" x14ac:dyDescent="0.25">
      <c r="A132" s="30">
        <v>0.35049389948139187</v>
      </c>
      <c r="C132" s="1" t="s">
        <v>13</v>
      </c>
      <c r="E132"/>
      <c r="AH132" s="27" t="s">
        <v>7</v>
      </c>
    </row>
    <row r="133" spans="1:34" x14ac:dyDescent="0.25">
      <c r="A133" s="30">
        <v>0.31863081771035617</v>
      </c>
      <c r="C133" s="1" t="str">
        <f>C122</f>
        <v>O</v>
      </c>
      <c r="E133"/>
      <c r="AH133" s="27" t="s">
        <v>7</v>
      </c>
    </row>
    <row r="134" spans="1:34" x14ac:dyDescent="0.25">
      <c r="A134" s="30">
        <v>0.28966437973668741</v>
      </c>
      <c r="C134"/>
      <c r="D134"/>
      <c r="E134"/>
      <c r="AH134" s="27" t="s">
        <v>7</v>
      </c>
    </row>
    <row r="135" spans="1:34" x14ac:dyDescent="0.25">
      <c r="A135" s="30">
        <v>0.2633312543060794</v>
      </c>
      <c r="C135" s="1" t="s">
        <v>14</v>
      </c>
      <c r="E135"/>
      <c r="AH135" s="27" t="s">
        <v>7</v>
      </c>
    </row>
    <row r="136" spans="1:3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AH136" s="27" t="s">
        <v>7</v>
      </c>
    </row>
    <row r="137" spans="1:34" x14ac:dyDescent="0.25">
      <c r="A137" s="30">
        <v>0.2176291357901482</v>
      </c>
      <c r="E137"/>
      <c r="AH137" s="27" t="s">
        <v>7</v>
      </c>
    </row>
    <row r="138" spans="1:3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AH138" s="27" t="s">
        <v>7</v>
      </c>
    </row>
    <row r="139" spans="1:34" x14ac:dyDescent="0.25">
      <c r="A139" s="30">
        <v>0.17985878990921333</v>
      </c>
      <c r="E139"/>
      <c r="AH139" s="27" t="s">
        <v>7</v>
      </c>
    </row>
    <row r="140" spans="1:34" x14ac:dyDescent="0.25">
      <c r="A140" s="30">
        <v>0.16350799082655756</v>
      </c>
      <c r="C140" s="1">
        <v>0</v>
      </c>
      <c r="E140"/>
      <c r="AH140" s="27" t="s">
        <v>7</v>
      </c>
    </row>
    <row r="141" spans="1:34" x14ac:dyDescent="0.25">
      <c r="A141" s="30">
        <v>0.14864362802414322</v>
      </c>
      <c r="C141" s="1">
        <v>1</v>
      </c>
      <c r="E141"/>
      <c r="AH141" s="27" t="s">
        <v>7</v>
      </c>
    </row>
    <row r="142" spans="1:34" x14ac:dyDescent="0.25">
      <c r="A142" s="30">
        <v>0.13513057093103928</v>
      </c>
      <c r="C142" s="1">
        <v>2</v>
      </c>
      <c r="E142"/>
      <c r="AH142" s="27" t="s">
        <v>7</v>
      </c>
    </row>
    <row r="143" spans="1:34" x14ac:dyDescent="0.25">
      <c r="A143" s="30">
        <v>0.12284597357367205</v>
      </c>
      <c r="C143" s="1">
        <v>3</v>
      </c>
      <c r="E143"/>
      <c r="AH143" s="27" t="s">
        <v>7</v>
      </c>
    </row>
    <row r="144" spans="1:34" x14ac:dyDescent="0.25">
      <c r="A144" s="30">
        <v>0.11167815779424731</v>
      </c>
      <c r="C144" s="1">
        <v>4</v>
      </c>
      <c r="E144"/>
      <c r="AH144" s="27" t="s">
        <v>7</v>
      </c>
    </row>
    <row r="145" spans="1:46" x14ac:dyDescent="0.25">
      <c r="A145" s="30">
        <v>0.10152559799477026</v>
      </c>
      <c r="B145"/>
      <c r="C145"/>
      <c r="D145"/>
      <c r="E145"/>
      <c r="AH145" s="27" t="s">
        <v>7</v>
      </c>
    </row>
    <row r="146" spans="1:46" x14ac:dyDescent="0.25">
      <c r="A146" s="30">
        <v>9.2295998177063854E-2</v>
      </c>
      <c r="B146"/>
      <c r="C146"/>
      <c r="D146"/>
      <c r="E146"/>
      <c r="AH146" s="27" t="s">
        <v>7</v>
      </c>
    </row>
    <row r="147" spans="1:46" x14ac:dyDescent="0.25">
      <c r="A147" s="30">
        <v>8.3905452888239848E-2</v>
      </c>
      <c r="B147"/>
      <c r="C147"/>
      <c r="D147"/>
      <c r="E147"/>
      <c r="AH147" s="27" t="s">
        <v>7</v>
      </c>
    </row>
    <row r="148" spans="1:46" x14ac:dyDescent="0.25">
      <c r="A148" s="30">
        <v>7.6277684443854396E-2</v>
      </c>
      <c r="B148"/>
      <c r="C148"/>
      <c r="D148"/>
      <c r="E148"/>
      <c r="AH148" s="27" t="s">
        <v>7</v>
      </c>
    </row>
    <row r="149" spans="1:46" x14ac:dyDescent="0.25">
      <c r="A149" s="30">
        <v>6.9343349494413078E-2</v>
      </c>
      <c r="B149"/>
      <c r="C149"/>
      <c r="D149"/>
      <c r="E149"/>
      <c r="AH149" s="27" t="s">
        <v>7</v>
      </c>
    </row>
    <row r="150" spans="1:46" x14ac:dyDescent="0.25">
      <c r="A150" s="30">
        <v>6.3039408631284613E-2</v>
      </c>
      <c r="B150"/>
      <c r="C150"/>
      <c r="D150"/>
      <c r="E150"/>
      <c r="AH150" s="27" t="s">
        <v>7</v>
      </c>
    </row>
    <row r="151" spans="1:46" x14ac:dyDescent="0.25">
      <c r="A151" s="30">
        <v>5.7308553301167818E-2</v>
      </c>
      <c r="B151"/>
      <c r="C151"/>
      <c r="D151"/>
      <c r="E151"/>
      <c r="AH151" s="27" t="s">
        <v>7</v>
      </c>
    </row>
    <row r="152" spans="1:46" x14ac:dyDescent="0.25">
      <c r="A152" s="30">
        <v>5.2098684819243464E-2</v>
      </c>
      <c r="B152"/>
      <c r="C152"/>
      <c r="D152"/>
      <c r="E152"/>
      <c r="AH152" s="27" t="s">
        <v>7</v>
      </c>
      <c r="AK152" s="27" t="s">
        <v>8</v>
      </c>
      <c r="AQ152" s="27" t="s">
        <v>8</v>
      </c>
    </row>
    <row r="153" spans="1:46" x14ac:dyDescent="0.25">
      <c r="A153" s="30">
        <v>4.7362440744766775E-2</v>
      </c>
      <c r="B153"/>
      <c r="C153"/>
      <c r="D153"/>
      <c r="E153"/>
      <c r="AH153" s="27" t="s">
        <v>7</v>
      </c>
      <c r="AK153" s="27" t="s">
        <v>8</v>
      </c>
      <c r="AL153" s="27" t="s">
        <v>7</v>
      </c>
      <c r="AQ153" s="27" t="s">
        <v>8</v>
      </c>
      <c r="AR153" s="27" t="s">
        <v>7</v>
      </c>
    </row>
    <row r="154" spans="1:46" x14ac:dyDescent="0.25">
      <c r="A154" s="30">
        <v>4.3056764313424332E-2</v>
      </c>
      <c r="B154"/>
      <c r="C154"/>
      <c r="D154"/>
      <c r="E154"/>
      <c r="AH154" s="27" t="s">
        <v>7</v>
      </c>
      <c r="AK154" s="27" t="s">
        <v>8</v>
      </c>
      <c r="AL154" s="27" t="s">
        <v>7</v>
      </c>
      <c r="AM154" s="27" t="s">
        <v>8</v>
      </c>
      <c r="AO154" s="27" t="s">
        <v>8</v>
      </c>
      <c r="AQ154" s="27" t="s">
        <v>8</v>
      </c>
      <c r="AR154" s="27" t="s">
        <v>7</v>
      </c>
    </row>
    <row r="155" spans="1:46" x14ac:dyDescent="0.25">
      <c r="A155" s="30">
        <v>3.9142513012203929E-2</v>
      </c>
      <c r="B155"/>
      <c r="C155"/>
      <c r="D155"/>
      <c r="E155"/>
      <c r="AH155" s="27" t="s">
        <v>7</v>
      </c>
      <c r="AK155" s="27" t="s">
        <v>8</v>
      </c>
      <c r="AL155" s="27" t="s">
        <v>7</v>
      </c>
      <c r="AM155" s="27" t="s">
        <v>8</v>
      </c>
      <c r="AN155" s="27" t="s">
        <v>7</v>
      </c>
      <c r="AO155" s="27" t="s">
        <v>8</v>
      </c>
      <c r="AP155" s="27" t="s">
        <v>7</v>
      </c>
      <c r="AQ155" s="27" t="s">
        <v>8</v>
      </c>
      <c r="AR155" s="27" t="s">
        <v>7</v>
      </c>
    </row>
    <row r="156" spans="1:46" x14ac:dyDescent="0.25">
      <c r="A156" s="30">
        <v>3.55841027383672E-2</v>
      </c>
      <c r="B156"/>
      <c r="C156"/>
      <c r="D156"/>
      <c r="E156"/>
      <c r="AH156" s="27" t="s">
        <v>7</v>
      </c>
      <c r="AK156" s="27" t="s">
        <v>8</v>
      </c>
      <c r="AL156" s="27" t="s">
        <v>7</v>
      </c>
      <c r="AM156" s="27" t="s">
        <v>8</v>
      </c>
      <c r="AN156" s="27" t="s">
        <v>7</v>
      </c>
      <c r="AO156" s="27" t="s">
        <v>8</v>
      </c>
      <c r="AP156" s="27" t="s">
        <v>7</v>
      </c>
      <c r="AQ156" s="27" t="s">
        <v>8</v>
      </c>
      <c r="AR156" s="27" t="s">
        <v>7</v>
      </c>
    </row>
    <row r="157" spans="1:46" x14ac:dyDescent="0.25">
      <c r="A157" s="30">
        <v>3.2349184307606541E-2</v>
      </c>
      <c r="B157"/>
      <c r="C157"/>
      <c r="D157"/>
      <c r="E157"/>
      <c r="AH157" s="27" t="s">
        <v>7</v>
      </c>
      <c r="AK157" s="27" t="s">
        <v>8</v>
      </c>
      <c r="AL157" s="27" t="s">
        <v>7</v>
      </c>
      <c r="AM157" s="27" t="s">
        <v>8</v>
      </c>
      <c r="AN157" s="27" t="s">
        <v>7</v>
      </c>
      <c r="AO157" s="27" t="s">
        <v>8</v>
      </c>
      <c r="AP157" s="27" t="s">
        <v>7</v>
      </c>
      <c r="AQ157" s="27" t="s">
        <v>8</v>
      </c>
      <c r="AR157" s="27" t="s">
        <v>7</v>
      </c>
    </row>
    <row r="158" spans="1:46" x14ac:dyDescent="0.25">
      <c r="A158" s="30">
        <v>2.9408349370551395E-2</v>
      </c>
      <c r="B158"/>
      <c r="C158"/>
      <c r="D158"/>
      <c r="E158"/>
      <c r="AH158" s="27" t="s">
        <v>7</v>
      </c>
      <c r="AK158" s="27" t="s">
        <v>8</v>
      </c>
      <c r="AL158" s="27" t="s">
        <v>7</v>
      </c>
      <c r="AN158" s="27" t="s">
        <v>7</v>
      </c>
      <c r="AP158" s="27" t="s">
        <v>7</v>
      </c>
      <c r="AQ158" s="27" t="s">
        <v>8</v>
      </c>
      <c r="AR158" s="27" t="s">
        <v>7</v>
      </c>
      <c r="AS158" s="27" t="s">
        <v>8</v>
      </c>
    </row>
    <row r="159" spans="1:46" x14ac:dyDescent="0.25">
      <c r="A159" s="30">
        <v>2.6734863064137627E-2</v>
      </c>
      <c r="B159"/>
      <c r="C159"/>
      <c r="D159"/>
      <c r="E159"/>
      <c r="AH159" s="27" t="s">
        <v>7</v>
      </c>
      <c r="AI159" s="27" t="s">
        <v>8</v>
      </c>
      <c r="AK159" s="27" t="s">
        <v>8</v>
      </c>
      <c r="AP159" s="27" t="s">
        <v>7</v>
      </c>
      <c r="AQ159" s="27" t="s">
        <v>8</v>
      </c>
      <c r="AR159" s="27" t="s">
        <v>7</v>
      </c>
      <c r="AS159" s="27" t="s">
        <v>8</v>
      </c>
      <c r="AT159" s="27" t="s">
        <v>7</v>
      </c>
    </row>
    <row r="160" spans="1:46" x14ac:dyDescent="0.25">
      <c r="A160" s="30">
        <v>2.4304420967397839E-2</v>
      </c>
      <c r="B160"/>
      <c r="C160"/>
      <c r="D160"/>
      <c r="E160"/>
      <c r="AH160" s="27" t="s">
        <v>7</v>
      </c>
      <c r="AI160" s="27" t="s">
        <v>8</v>
      </c>
      <c r="AJ160" s="27" t="s">
        <v>7</v>
      </c>
      <c r="AK160" s="27" t="s">
        <v>8</v>
      </c>
      <c r="AP160" s="27" t="s">
        <v>7</v>
      </c>
      <c r="AR160" s="27" t="s">
        <v>7</v>
      </c>
      <c r="AS160" s="27" t="s">
        <v>8</v>
      </c>
      <c r="AT160" s="27" t="s">
        <v>7</v>
      </c>
    </row>
    <row r="161" spans="1:46" x14ac:dyDescent="0.25">
      <c r="A161" s="30">
        <v>2.2094928152179852E-2</v>
      </c>
      <c r="B161"/>
      <c r="C161"/>
      <c r="D161"/>
      <c r="E161"/>
      <c r="AH161" s="27" t="s">
        <v>7</v>
      </c>
      <c r="AI161" s="27" t="s">
        <v>8</v>
      </c>
      <c r="AJ161" s="27" t="s">
        <v>7</v>
      </c>
      <c r="AK161" s="27" t="s">
        <v>8</v>
      </c>
      <c r="AR161" s="27" t="s">
        <v>7</v>
      </c>
      <c r="AT161" s="27" t="s">
        <v>7</v>
      </c>
    </row>
    <row r="162" spans="1:46" x14ac:dyDescent="0.25">
      <c r="A162" s="30">
        <v>2.0086298320163499E-2</v>
      </c>
      <c r="B162"/>
      <c r="C162"/>
      <c r="D162"/>
      <c r="E162"/>
      <c r="AH162" s="27" t="s">
        <v>7</v>
      </c>
      <c r="AI162" s="27" t="s">
        <v>8</v>
      </c>
      <c r="AJ162" s="18" t="s">
        <v>7</v>
      </c>
      <c r="AK162" s="27" t="s">
        <v>8</v>
      </c>
      <c r="AT162" s="27" t="s">
        <v>7</v>
      </c>
    </row>
    <row r="163" spans="1:46" x14ac:dyDescent="0.25">
      <c r="A163" s="30">
        <v>1.8260271200148632E-2</v>
      </c>
      <c r="B163"/>
      <c r="C163"/>
      <c r="D163"/>
      <c r="E163"/>
      <c r="AH163" s="27" t="s">
        <v>7</v>
      </c>
      <c r="AI163" s="27" t="s">
        <v>8</v>
      </c>
      <c r="AJ163" s="27" t="s">
        <v>7</v>
      </c>
      <c r="AT163" s="27" t="s">
        <v>7</v>
      </c>
    </row>
    <row r="164" spans="1:46" x14ac:dyDescent="0.25">
      <c r="A164" s="30">
        <v>1.6600246545589663E-2</v>
      </c>
      <c r="B164"/>
      <c r="C164"/>
      <c r="D164"/>
      <c r="E164"/>
      <c r="AH164" s="27" t="s">
        <v>7</v>
      </c>
      <c r="AT164" s="27" t="s">
        <v>7</v>
      </c>
    </row>
    <row r="165" spans="1:46" x14ac:dyDescent="0.25">
      <c r="A165" s="30">
        <v>1.5091133223263328E-2</v>
      </c>
      <c r="B165"/>
      <c r="C165"/>
      <c r="D165"/>
      <c r="E165"/>
      <c r="AT165" s="27" t="s">
        <v>7</v>
      </c>
    </row>
    <row r="166" spans="1:46" x14ac:dyDescent="0.25">
      <c r="A166" s="30">
        <v>1.3719212021148477E-2</v>
      </c>
      <c r="B166"/>
      <c r="C166"/>
      <c r="D166"/>
      <c r="E166"/>
      <c r="AT166" s="27" t="s">
        <v>7</v>
      </c>
    </row>
    <row r="167" spans="1:46" x14ac:dyDescent="0.25">
      <c r="A167" s="30">
        <v>1.2472010928316795E-2</v>
      </c>
      <c r="B167"/>
      <c r="C167"/>
      <c r="D167"/>
      <c r="E167"/>
    </row>
    <row r="168" spans="1:46" x14ac:dyDescent="0.25">
      <c r="A168" s="30">
        <v>1.1338191753015267E-2</v>
      </c>
      <c r="B168"/>
      <c r="C168"/>
      <c r="D168"/>
      <c r="E168"/>
    </row>
    <row r="169" spans="1:46" x14ac:dyDescent="0.25">
      <c r="A169" s="30">
        <v>1.0307447048195697E-2</v>
      </c>
      <c r="B169"/>
      <c r="C169"/>
      <c r="D169"/>
      <c r="E169"/>
    </row>
    <row r="170" spans="1:46" x14ac:dyDescent="0.25">
      <c r="A170" s="30">
        <v>9.3704064074506318E-3</v>
      </c>
      <c r="B170"/>
      <c r="C170"/>
      <c r="D170"/>
      <c r="E170"/>
    </row>
    <row r="171" spans="1:46" x14ac:dyDescent="0.25">
      <c r="A171" s="30">
        <v>8.5185512795005747E-3</v>
      </c>
    </row>
    <row r="172" spans="1:46" x14ac:dyDescent="0.25">
      <c r="A172" s="30">
        <v>7.744137526818704E-3</v>
      </c>
    </row>
    <row r="173" spans="1:46" x14ac:dyDescent="0.25">
      <c r="A173" s="30">
        <v>7.0401250243806394E-3</v>
      </c>
    </row>
    <row r="174" spans="1:46" x14ac:dyDescent="0.25">
      <c r="A174" s="30">
        <v>6.4001136585278536E-3</v>
      </c>
    </row>
    <row r="175" spans="1:46" x14ac:dyDescent="0.25">
      <c r="A175" s="30">
        <v>5.8182851441162305E-3</v>
      </c>
    </row>
    <row r="176" spans="1:46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95" operator="equal">
      <formula>$U$1</formula>
    </cfRule>
    <cfRule type="cellIs" dxfId="30" priority="896" operator="equal">
      <formula>$S$1</formula>
    </cfRule>
  </conditionalFormatting>
  <conditionalFormatting sqref="D136">
    <cfRule type="cellIs" dxfId="29" priority="893" operator="equal">
      <formula>$S$1</formula>
    </cfRule>
    <cfRule type="cellIs" dxfId="28" priority="894" operator="equal">
      <formula>$U$1</formula>
    </cfRule>
  </conditionalFormatting>
  <conditionalFormatting sqref="C102">
    <cfRule type="cellIs" dxfId="27" priority="891" operator="equal">
      <formula>$U$1</formula>
    </cfRule>
    <cfRule type="cellIs" dxfId="26" priority="892" operator="equal">
      <formula>$S$1</formula>
    </cfRule>
  </conditionalFormatting>
  <conditionalFormatting sqref="D102">
    <cfRule type="cellIs" dxfId="25" priority="889" operator="equal">
      <formula>$S$1</formula>
    </cfRule>
    <cfRule type="cellIs" dxfId="24" priority="890" operator="equal">
      <formula>$U$1</formula>
    </cfRule>
  </conditionalFormatting>
  <conditionalFormatting sqref="C77">
    <cfRule type="cellIs" dxfId="23" priority="887" operator="equal">
      <formula>$U$1</formula>
    </cfRule>
    <cfRule type="cellIs" dxfId="22" priority="888" operator="equal">
      <formula>$S$1</formula>
    </cfRule>
  </conditionalFormatting>
  <conditionalFormatting sqref="D77">
    <cfRule type="cellIs" dxfId="21" priority="885" operator="equal">
      <formula>$S$1</formula>
    </cfRule>
    <cfRule type="cellIs" dxfId="20" priority="886" operator="equal">
      <formula>$U$1</formula>
    </cfRule>
  </conditionalFormatting>
  <conditionalFormatting sqref="C52">
    <cfRule type="cellIs" dxfId="19" priority="883" operator="equal">
      <formula>$U$1</formula>
    </cfRule>
    <cfRule type="cellIs" dxfId="18" priority="884" operator="equal">
      <formula>$S$1</formula>
    </cfRule>
  </conditionalFormatting>
  <conditionalFormatting sqref="D52">
    <cfRule type="cellIs" dxfId="17" priority="881" operator="equal">
      <formula>$S$1</formula>
    </cfRule>
    <cfRule type="cellIs" dxfId="16" priority="882" operator="equal">
      <formula>$U$1</formula>
    </cfRule>
  </conditionalFormatting>
  <conditionalFormatting sqref="C26">
    <cfRule type="cellIs" dxfId="15" priority="879" operator="equal">
      <formula>$U$1</formula>
    </cfRule>
    <cfRule type="cellIs" dxfId="14" priority="880" operator="equal">
      <formula>$S$1</formula>
    </cfRule>
  </conditionalFormatting>
  <conditionalFormatting sqref="D26">
    <cfRule type="cellIs" dxfId="13" priority="877" operator="equal">
      <formula>$S$1</formula>
    </cfRule>
    <cfRule type="cellIs" dxfId="12" priority="8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2022-01-28T01:21:41Z</dcterms:modified>
</cp:coreProperties>
</file>