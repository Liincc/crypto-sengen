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884E134-2A48-4B78-BF07-8F7BE2FB2AC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22" i="3"/>
  <c r="C133" i="3" s="1"/>
  <c r="D136" i="3" s="1"/>
  <c r="C118" i="3"/>
  <c r="C116" i="4"/>
  <c r="C118" i="4"/>
  <c r="R765" i="1"/>
  <c r="S766" i="1"/>
  <c r="T766" i="1" s="1"/>
  <c r="D136" i="5"/>
  <c r="C136" i="5"/>
  <c r="C136" i="4"/>
  <c r="D136" i="4"/>
  <c r="C136" i="3" l="1"/>
  <c r="C138" i="3" s="1"/>
  <c r="C138" i="5"/>
  <c r="C138" i="4"/>
  <c r="R764" i="1"/>
  <c r="S765" i="1"/>
  <c r="T765" i="1" s="1"/>
  <c r="R763" i="1" l="1"/>
  <c r="S764" i="1"/>
  <c r="T764" i="1" s="1"/>
  <c r="S763" i="1" l="1"/>
  <c r="T763" i="1" s="1"/>
  <c r="R762" i="1"/>
  <c r="R761" i="1" l="1"/>
  <c r="S762" i="1"/>
  <c r="T762" i="1" s="1"/>
  <c r="S761" i="1" l="1"/>
  <c r="T761" i="1" s="1"/>
  <c r="R760" i="1"/>
  <c r="R759" i="1" l="1"/>
  <c r="S760" i="1"/>
  <c r="T760" i="1" s="1"/>
  <c r="S759" i="1" l="1"/>
  <c r="T759" i="1" s="1"/>
  <c r="R758" i="1"/>
  <c r="R757" i="1" l="1"/>
  <c r="S758" i="1"/>
  <c r="T758" i="1" s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S753" i="1" l="1"/>
  <c r="T753" i="1" s="1"/>
  <c r="R752" i="1"/>
  <c r="R751" i="1" l="1"/>
  <c r="S752" i="1"/>
  <c r="T752" i="1" s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S747" i="1" l="1"/>
  <c r="T747" i="1" s="1"/>
  <c r="R746" i="1"/>
  <c r="R745" i="1" l="1"/>
  <c r="S746" i="1"/>
  <c r="T746" i="1" s="1"/>
  <c r="R744" i="1" l="1"/>
  <c r="S745" i="1"/>
  <c r="T745" i="1" s="1"/>
  <c r="S744" i="1" l="1"/>
  <c r="T744" i="1" s="1"/>
  <c r="R743" i="1"/>
  <c r="S743" i="1" l="1"/>
  <c r="T743" i="1" s="1"/>
  <c r="R742" i="1"/>
  <c r="S742" i="1" l="1"/>
  <c r="T742" i="1" s="1"/>
  <c r="R741" i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S735" i="1" l="1"/>
  <c r="T735" i="1" s="1"/>
  <c r="R734" i="1"/>
  <c r="S734" i="1" l="1"/>
  <c r="T734" i="1" s="1"/>
  <c r="R733" i="1"/>
  <c r="R732" i="1" l="1"/>
  <c r="S733" i="1"/>
  <c r="T733" i="1" s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S728" i="1" l="1"/>
  <c r="T728" i="1" s="1"/>
  <c r="R727" i="1"/>
  <c r="R726" i="1" l="1"/>
  <c r="S727" i="1"/>
  <c r="T727" i="1" s="1"/>
  <c r="R725" i="1" l="1"/>
  <c r="S726" i="1"/>
  <c r="T726" i="1" s="1"/>
  <c r="R724" i="1" l="1"/>
  <c r="S725" i="1"/>
  <c r="T725" i="1" s="1"/>
  <c r="S724" i="1" l="1"/>
  <c r="T724" i="1" s="1"/>
  <c r="R723" i="1"/>
  <c r="R722" i="1" l="1"/>
  <c r="S723" i="1"/>
  <c r="T723" i="1" s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S711" i="1" l="1"/>
  <c r="T711" i="1" s="1"/>
  <c r="R710" i="1"/>
  <c r="S710" i="1" l="1"/>
  <c r="T710" i="1" s="1"/>
  <c r="R709" i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S705" i="1" l="1"/>
  <c r="T705" i="1" s="1"/>
  <c r="R704" i="1"/>
  <c r="R703" i="1" l="1"/>
  <c r="S704" i="1"/>
  <c r="T704" i="1" s="1"/>
  <c r="S703" i="1" l="1"/>
  <c r="T703" i="1" s="1"/>
  <c r="R702" i="1"/>
  <c r="R701" i="1" l="1"/>
  <c r="S702" i="1"/>
  <c r="T702" i="1" s="1"/>
  <c r="S701" i="1" l="1"/>
  <c r="T701" i="1" s="1"/>
  <c r="R700" i="1"/>
  <c r="R699" i="1" l="1"/>
  <c r="S700" i="1"/>
  <c r="T700" i="1" s="1"/>
  <c r="S699" i="1" l="1"/>
  <c r="T699" i="1" s="1"/>
  <c r="R698" i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S694" i="1" l="1"/>
  <c r="T694" i="1" s="1"/>
  <c r="R693" i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S689" i="1" l="1"/>
  <c r="T689" i="1" s="1"/>
  <c r="R688" i="1"/>
  <c r="S688" i="1" l="1"/>
  <c r="T688" i="1" s="1"/>
  <c r="R687" i="1"/>
  <c r="S687" i="1" l="1"/>
  <c r="T687" i="1" s="1"/>
  <c r="R686" i="1"/>
  <c r="R685" i="1" l="1"/>
  <c r="S686" i="1"/>
  <c r="T686" i="1" s="1"/>
  <c r="S685" i="1" l="1"/>
  <c r="T685" i="1" s="1"/>
  <c r="R684" i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S680" i="1" l="1"/>
  <c r="T680" i="1" s="1"/>
  <c r="R679" i="1"/>
  <c r="R678" i="1" l="1"/>
  <c r="S679" i="1"/>
  <c r="T679" i="1" s="1"/>
  <c r="R677" i="1" l="1"/>
  <c r="S678" i="1"/>
  <c r="T678" i="1" s="1"/>
  <c r="R676" i="1" l="1"/>
  <c r="S677" i="1"/>
  <c r="T677" i="1" s="1"/>
  <c r="S676" i="1" l="1"/>
  <c r="T676" i="1" s="1"/>
  <c r="R675" i="1"/>
  <c r="R674" i="1" l="1"/>
  <c r="S675" i="1"/>
  <c r="T675" i="1" s="1"/>
  <c r="S674" i="1" l="1"/>
  <c r="T674" i="1" s="1"/>
  <c r="R673" i="1"/>
  <c r="R672" i="1" l="1"/>
  <c r="S673" i="1"/>
  <c r="T673" i="1" s="1"/>
  <c r="S672" i="1" l="1"/>
  <c r="T672" i="1" s="1"/>
  <c r="R671" i="1"/>
  <c r="R670" i="1" l="1"/>
  <c r="S671" i="1"/>
  <c r="T671" i="1" s="1"/>
  <c r="S670" i="1" l="1"/>
  <c r="T670" i="1" s="1"/>
  <c r="R669" i="1"/>
  <c r="S669" i="1" l="1"/>
  <c r="T669" i="1" s="1"/>
  <c r="R668" i="1"/>
  <c r="S668" i="1" l="1"/>
  <c r="T668" i="1" s="1"/>
  <c r="R667" i="1"/>
  <c r="S667" i="1" l="1"/>
  <c r="T667" i="1" s="1"/>
  <c r="R666" i="1"/>
  <c r="S666" i="1" l="1"/>
  <c r="T666" i="1" s="1"/>
  <c r="R665" i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R660" i="1" l="1"/>
  <c r="S661" i="1"/>
  <c r="T661" i="1" s="1"/>
  <c r="S660" i="1" l="1"/>
  <c r="T660" i="1" s="1"/>
  <c r="R659" i="1"/>
  <c r="R658" i="1" l="1"/>
  <c r="S659" i="1"/>
  <c r="T659" i="1" s="1"/>
  <c r="S658" i="1" l="1"/>
  <c r="T658" i="1" s="1"/>
  <c r="R657" i="1"/>
  <c r="S657" i="1" l="1"/>
  <c r="T657" i="1" s="1"/>
  <c r="R656" i="1"/>
  <c r="S656" i="1" l="1"/>
  <c r="T656" i="1" s="1"/>
  <c r="R655" i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S649" i="1" l="1"/>
  <c r="T649" i="1" s="1"/>
  <c r="R648" i="1"/>
  <c r="R647" i="1" l="1"/>
  <c r="S648" i="1"/>
  <c r="T648" i="1" s="1"/>
  <c r="R646" i="1" l="1"/>
  <c r="S647" i="1"/>
  <c r="T647" i="1" s="1"/>
  <c r="R645" i="1" l="1"/>
  <c r="S646" i="1"/>
  <c r="T646" i="1" s="1"/>
  <c r="S645" i="1" l="1"/>
  <c r="T645" i="1" s="1"/>
  <c r="R644" i="1"/>
  <c r="S644" i="1" l="1"/>
  <c r="T644" i="1" s="1"/>
  <c r="R643" i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S637" i="1" l="1"/>
  <c r="T637" i="1" s="1"/>
  <c r="R636" i="1"/>
  <c r="S636" i="1" l="1"/>
  <c r="T636" i="1" s="1"/>
  <c r="R635" i="1"/>
  <c r="S635" i="1" l="1"/>
  <c r="T635" i="1" s="1"/>
  <c r="R634" i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S628" i="1" l="1"/>
  <c r="T628" i="1" s="1"/>
  <c r="R627" i="1"/>
  <c r="R626" i="1" l="1"/>
  <c r="S627" i="1"/>
  <c r="T627" i="1" s="1"/>
  <c r="R625" i="1" l="1"/>
  <c r="S626" i="1"/>
  <c r="T626" i="1" s="1"/>
  <c r="R624" i="1" l="1"/>
  <c r="S625" i="1"/>
  <c r="T625" i="1" s="1"/>
  <c r="S624" i="1" l="1"/>
  <c r="T624" i="1" s="1"/>
  <c r="R623" i="1"/>
  <c r="S623" i="1" l="1"/>
  <c r="T623" i="1" s="1"/>
  <c r="R622" i="1"/>
  <c r="R621" i="1" l="1"/>
  <c r="S622" i="1"/>
  <c r="T622" i="1" s="1"/>
  <c r="S621" i="1" l="1"/>
  <c r="T621" i="1" s="1"/>
  <c r="R620" i="1"/>
  <c r="R619" i="1" l="1"/>
  <c r="S620" i="1"/>
  <c r="T620" i="1" s="1"/>
  <c r="S619" i="1" l="1"/>
  <c r="T619" i="1" s="1"/>
  <c r="R618" i="1"/>
  <c r="R617" i="1" l="1"/>
  <c r="S618" i="1"/>
  <c r="T618" i="1" s="1"/>
  <c r="S617" i="1" l="1"/>
  <c r="T617" i="1" s="1"/>
  <c r="R616" i="1"/>
  <c r="R615" i="1" l="1"/>
  <c r="S616" i="1"/>
  <c r="T616" i="1" s="1"/>
  <c r="S615" i="1" l="1"/>
  <c r="T615" i="1" s="1"/>
  <c r="R614" i="1"/>
  <c r="R613" i="1" l="1"/>
  <c r="S614" i="1"/>
  <c r="T614" i="1" s="1"/>
  <c r="S613" i="1" l="1"/>
  <c r="T613" i="1" s="1"/>
  <c r="R612" i="1"/>
  <c r="R611" i="1" l="1"/>
  <c r="S612" i="1"/>
  <c r="T612" i="1" s="1"/>
  <c r="S611" i="1" l="1"/>
  <c r="T611" i="1" s="1"/>
  <c r="R610" i="1"/>
  <c r="R609" i="1" l="1"/>
  <c r="S610" i="1"/>
  <c r="T610" i="1" s="1"/>
  <c r="S609" i="1" l="1"/>
  <c r="T609" i="1" s="1"/>
  <c r="R608" i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R591" i="1" l="1"/>
  <c r="S592" i="1"/>
  <c r="T592" i="1" s="1"/>
  <c r="S591" i="1" l="1"/>
  <c r="T591" i="1" s="1"/>
  <c r="R590" i="1"/>
  <c r="S590" i="1" l="1"/>
  <c r="T590" i="1" s="1"/>
  <c r="R589" i="1"/>
  <c r="S589" i="1" l="1"/>
  <c r="T589" i="1" s="1"/>
  <c r="R588" i="1"/>
  <c r="R587" i="1" l="1"/>
  <c r="S588" i="1"/>
  <c r="T588" i="1" s="1"/>
  <c r="R586" i="1" l="1"/>
  <c r="S587" i="1"/>
  <c r="T587" i="1" s="1"/>
  <c r="R585" i="1" l="1"/>
  <c r="S586" i="1"/>
  <c r="T586" i="1" s="1"/>
  <c r="S585" i="1" l="1"/>
  <c r="T585" i="1" s="1"/>
  <c r="R584" i="1"/>
  <c r="S584" i="1" l="1"/>
  <c r="T584" i="1" s="1"/>
  <c r="R583" i="1"/>
  <c r="S583" i="1" l="1"/>
  <c r="T583" i="1" s="1"/>
  <c r="R582" i="1"/>
  <c r="R581" i="1" l="1"/>
  <c r="S582" i="1"/>
  <c r="T582" i="1" s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S573" i="1" l="1"/>
  <c r="T573" i="1" s="1"/>
  <c r="R572" i="1"/>
  <c r="S572" i="1" l="1"/>
  <c r="T572" i="1" s="1"/>
  <c r="R571" i="1"/>
  <c r="S571" i="1" l="1"/>
  <c r="T571" i="1" s="1"/>
  <c r="R570" i="1"/>
  <c r="R569" i="1" l="1"/>
  <c r="S570" i="1"/>
  <c r="T570" i="1" s="1"/>
  <c r="R568" i="1" l="1"/>
  <c r="S569" i="1"/>
  <c r="T569" i="1" s="1"/>
  <c r="R567" i="1" l="1"/>
  <c r="S568" i="1"/>
  <c r="T568" i="1" s="1"/>
  <c r="S567" i="1" l="1"/>
  <c r="T567" i="1" s="1"/>
  <c r="R566" i="1"/>
  <c r="S566" i="1" l="1"/>
  <c r="T566" i="1" s="1"/>
  <c r="R565" i="1"/>
  <c r="S565" i="1" l="1"/>
  <c r="T565" i="1" s="1"/>
  <c r="R564" i="1"/>
  <c r="S564" i="1" l="1"/>
  <c r="T564" i="1" s="1"/>
  <c r="R563" i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S551" i="1" l="1"/>
  <c r="T551" i="1" s="1"/>
  <c r="R550" i="1"/>
  <c r="S550" i="1" l="1"/>
  <c r="T550" i="1" s="1"/>
  <c r="R549" i="1"/>
  <c r="S549" i="1" l="1"/>
  <c r="T549" i="1" s="1"/>
  <c r="R548" i="1"/>
  <c r="R547" i="1" l="1"/>
  <c r="S548" i="1"/>
  <c r="T548" i="1" s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S541" i="1" l="1"/>
  <c r="T541" i="1" s="1"/>
  <c r="R540" i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S536" i="1" l="1"/>
  <c r="T536" i="1" s="1"/>
  <c r="R535" i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S531" i="1" l="1"/>
  <c r="T531" i="1" s="1"/>
  <c r="R530" i="1"/>
  <c r="S530" i="1" l="1"/>
  <c r="T530" i="1" s="1"/>
  <c r="R529" i="1"/>
  <c r="S529" i="1" l="1"/>
  <c r="T529" i="1" s="1"/>
  <c r="R528" i="1"/>
  <c r="S528" i="1" l="1"/>
  <c r="T528" i="1" s="1"/>
  <c r="R527" i="1"/>
  <c r="S527" i="1" l="1"/>
  <c r="T527" i="1" s="1"/>
  <c r="R526" i="1"/>
  <c r="S526" i="1" l="1"/>
  <c r="T526" i="1" s="1"/>
  <c r="R525" i="1"/>
  <c r="R524" i="1" l="1"/>
  <c r="S525" i="1"/>
  <c r="T525" i="1" s="1"/>
  <c r="R523" i="1" l="1"/>
  <c r="S524" i="1"/>
  <c r="T524" i="1" s="1"/>
  <c r="S523" i="1" l="1"/>
  <c r="T523" i="1" s="1"/>
  <c r="R522" i="1"/>
  <c r="R521" i="1" l="1"/>
  <c r="S522" i="1"/>
  <c r="T522" i="1" s="1"/>
  <c r="R520" i="1" l="1"/>
  <c r="S521" i="1"/>
  <c r="T521" i="1" s="1"/>
  <c r="R519" i="1" l="1"/>
  <c r="S520" i="1"/>
  <c r="T520" i="1" s="1"/>
  <c r="S519" i="1" l="1"/>
  <c r="T519" i="1" s="1"/>
  <c r="R518" i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R509" i="1" l="1"/>
  <c r="S510" i="1"/>
  <c r="T510" i="1" s="1"/>
  <c r="R508" i="1" l="1"/>
  <c r="S509" i="1"/>
  <c r="T509" i="1" s="1"/>
  <c r="R507" i="1" l="1"/>
  <c r="S508" i="1"/>
  <c r="T508" i="1" s="1"/>
  <c r="S507" i="1" l="1"/>
  <c r="T507" i="1" s="1"/>
  <c r="R506" i="1"/>
  <c r="S506" i="1" l="1"/>
  <c r="T506" i="1" s="1"/>
  <c r="R505" i="1"/>
  <c r="S505" i="1" l="1"/>
  <c r="T505" i="1" s="1"/>
  <c r="R504" i="1"/>
  <c r="R503" i="1" l="1"/>
  <c r="S504" i="1"/>
  <c r="T504" i="1" s="1"/>
  <c r="R502" i="1" l="1"/>
  <c r="S503" i="1"/>
  <c r="T503" i="1" s="1"/>
  <c r="R501" i="1" l="1"/>
  <c r="S502" i="1"/>
  <c r="T502" i="1" s="1"/>
  <c r="S501" i="1" l="1"/>
  <c r="T501" i="1" s="1"/>
  <c r="R500" i="1"/>
  <c r="S500" i="1" l="1"/>
  <c r="T500" i="1" s="1"/>
  <c r="R499" i="1"/>
  <c r="R498" i="1" l="1"/>
  <c r="S499" i="1"/>
  <c r="T499" i="1" s="1"/>
  <c r="R497" i="1" l="1"/>
  <c r="S498" i="1"/>
  <c r="T498" i="1" s="1"/>
  <c r="S497" i="1" l="1"/>
  <c r="T497" i="1" s="1"/>
  <c r="R496" i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R491" i="1" l="1"/>
  <c r="S492" i="1"/>
  <c r="T492" i="1" s="1"/>
  <c r="S491" i="1" l="1"/>
  <c r="T491" i="1" s="1"/>
  <c r="R490" i="1"/>
  <c r="S490" i="1" l="1"/>
  <c r="T490" i="1" s="1"/>
  <c r="R489" i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S483" i="1" l="1"/>
  <c r="T483" i="1" s="1"/>
  <c r="R482" i="1"/>
  <c r="S482" i="1" l="1"/>
  <c r="T482" i="1" s="1"/>
  <c r="R481" i="1"/>
  <c r="S481" i="1" l="1"/>
  <c r="T481" i="1" s="1"/>
  <c r="R480" i="1"/>
  <c r="S480" i="1" l="1"/>
  <c r="T480" i="1" s="1"/>
  <c r="R479" i="1"/>
  <c r="R478" i="1" l="1"/>
  <c r="S479" i="1"/>
  <c r="T479" i="1" s="1"/>
  <c r="S478" i="1" l="1"/>
  <c r="T478" i="1" s="1"/>
  <c r="R477" i="1"/>
  <c r="R476" i="1" l="1"/>
  <c r="S477" i="1"/>
  <c r="T477" i="1" s="1"/>
  <c r="R475" i="1" l="1"/>
  <c r="S476" i="1"/>
  <c r="T476" i="1" s="1"/>
  <c r="R474" i="1" l="1"/>
  <c r="S475" i="1"/>
  <c r="T475" i="1" s="1"/>
  <c r="S474" i="1" l="1"/>
  <c r="T474" i="1" s="1"/>
  <c r="R473" i="1"/>
  <c r="R472" i="1" l="1"/>
  <c r="S473" i="1"/>
  <c r="T473" i="1" s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S468" i="1" l="1"/>
  <c r="T468" i="1" s="1"/>
  <c r="R467" i="1"/>
  <c r="R466" i="1" l="1"/>
  <c r="S467" i="1"/>
  <c r="T467" i="1" s="1"/>
  <c r="R465" i="1" l="1"/>
  <c r="S466" i="1"/>
  <c r="T466" i="1" s="1"/>
  <c r="R464" i="1" l="1"/>
  <c r="S465" i="1"/>
  <c r="T465" i="1" s="1"/>
  <c r="S464" i="1" l="1"/>
  <c r="T464" i="1" s="1"/>
  <c r="R463" i="1"/>
  <c r="S463" i="1" l="1"/>
  <c r="T463" i="1" s="1"/>
  <c r="R462" i="1"/>
  <c r="S462" i="1" l="1"/>
  <c r="T462" i="1" s="1"/>
  <c r="R461" i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S453" i="1" l="1"/>
  <c r="T453" i="1" s="1"/>
  <c r="R452" i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S441" i="1" l="1"/>
  <c r="T441" i="1" s="1"/>
  <c r="R440" i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S434" i="1" l="1"/>
  <c r="T434" i="1" s="1"/>
  <c r="R433" i="1"/>
  <c r="R432" i="1" l="1"/>
  <c r="S433" i="1"/>
  <c r="T433" i="1" s="1"/>
  <c r="S432" i="1" l="1"/>
  <c r="T432" i="1" s="1"/>
  <c r="R431" i="1"/>
  <c r="R430" i="1" l="1"/>
  <c r="S431" i="1"/>
  <c r="T431" i="1" s="1"/>
  <c r="R429" i="1" l="1"/>
  <c r="S430" i="1"/>
  <c r="T430" i="1" s="1"/>
  <c r="R428" i="1" l="1"/>
  <c r="S429" i="1"/>
  <c r="T429" i="1" s="1"/>
  <c r="S428" i="1" l="1"/>
  <c r="T428" i="1" s="1"/>
  <c r="R427" i="1"/>
  <c r="R426" i="1" l="1"/>
  <c r="S427" i="1"/>
  <c r="T427" i="1" s="1"/>
  <c r="S426" i="1" l="1"/>
  <c r="T426" i="1" s="1"/>
  <c r="R425" i="1"/>
  <c r="S425" i="1" l="1"/>
  <c r="T425" i="1" s="1"/>
  <c r="R424" i="1"/>
  <c r="R423" i="1" l="1"/>
  <c r="S424" i="1"/>
  <c r="T424" i="1" s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S417" i="1" l="1"/>
  <c r="T417" i="1" s="1"/>
  <c r="R416" i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S411" i="1" l="1"/>
  <c r="T411" i="1" s="1"/>
  <c r="R410" i="1"/>
  <c r="S410" i="1" l="1"/>
  <c r="T410" i="1" s="1"/>
  <c r="R409" i="1"/>
  <c r="S409" i="1" l="1"/>
  <c r="T409" i="1" s="1"/>
  <c r="R408" i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S399" i="1" l="1"/>
  <c r="T399" i="1" s="1"/>
  <c r="R398" i="1"/>
  <c r="S398" i="1" l="1"/>
  <c r="T398" i="1" s="1"/>
  <c r="R397" i="1"/>
  <c r="S397" i="1" l="1"/>
  <c r="T397" i="1" s="1"/>
  <c r="R396" i="1"/>
  <c r="R395" i="1" l="1"/>
  <c r="S396" i="1"/>
  <c r="T396" i="1" s="1"/>
  <c r="R394" i="1" l="1"/>
  <c r="S395" i="1"/>
  <c r="T395" i="1" s="1"/>
  <c r="R393" i="1" l="1"/>
  <c r="S394" i="1"/>
  <c r="T394" i="1" s="1"/>
  <c r="S393" i="1" l="1"/>
  <c r="T393" i="1" s="1"/>
  <c r="R392" i="1"/>
  <c r="S392" i="1" l="1"/>
  <c r="T392" i="1" s="1"/>
  <c r="R391" i="1"/>
  <c r="S391" i="1" l="1"/>
  <c r="T391" i="1" s="1"/>
  <c r="R390" i="1"/>
  <c r="R389" i="1" l="1"/>
  <c r="S390" i="1"/>
  <c r="T390" i="1" s="1"/>
  <c r="S389" i="1" l="1"/>
  <c r="T389" i="1" s="1"/>
  <c r="R388" i="1"/>
  <c r="R387" i="1" l="1"/>
  <c r="S388" i="1"/>
  <c r="T388" i="1" s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S383" i="1" l="1"/>
  <c r="T383" i="1" s="1"/>
  <c r="R382" i="1"/>
  <c r="S382" i="1" l="1"/>
  <c r="T382" i="1" s="1"/>
  <c r="R381" i="1"/>
  <c r="S381" i="1" l="1"/>
  <c r="T381" i="1" s="1"/>
  <c r="R380" i="1"/>
  <c r="R379" i="1" l="1"/>
  <c r="S380" i="1"/>
  <c r="T380" i="1" s="1"/>
  <c r="S379" i="1" l="1"/>
  <c r="T379" i="1" s="1"/>
  <c r="R378" i="1"/>
  <c r="R377" i="1" l="1"/>
  <c r="S378" i="1"/>
  <c r="T378" i="1" s="1"/>
  <c r="S377" i="1" l="1"/>
  <c r="T377" i="1" s="1"/>
  <c r="R376" i="1"/>
  <c r="R375" i="1" l="1"/>
  <c r="S376" i="1"/>
  <c r="T376" i="1" s="1"/>
  <c r="S375" i="1" l="1"/>
  <c r="T375" i="1" s="1"/>
  <c r="R374" i="1"/>
  <c r="R373" i="1" l="1"/>
  <c r="S374" i="1"/>
  <c r="T374" i="1" s="1"/>
  <c r="S373" i="1" l="1"/>
  <c r="T373" i="1" s="1"/>
  <c r="R372" i="1"/>
  <c r="R371" i="1" l="1"/>
  <c r="S372" i="1"/>
  <c r="T372" i="1" s="1"/>
  <c r="R370" i="1" l="1"/>
  <c r="S371" i="1"/>
  <c r="T371" i="1" s="1"/>
  <c r="S370" i="1" l="1"/>
  <c r="T370" i="1" s="1"/>
  <c r="R369" i="1"/>
  <c r="S369" i="1" l="1"/>
  <c r="T369" i="1" s="1"/>
  <c r="R368" i="1"/>
  <c r="S368" i="1" l="1"/>
  <c r="T368" i="1" s="1"/>
  <c r="R367" i="1"/>
  <c r="S367" i="1" l="1"/>
  <c r="T367" i="1" s="1"/>
  <c r="R366" i="1"/>
  <c r="R365" i="1" l="1"/>
  <c r="S366" i="1"/>
  <c r="T366" i="1" s="1"/>
  <c r="R364" i="1" l="1"/>
  <c r="S365" i="1"/>
  <c r="T365" i="1" s="1"/>
  <c r="R363" i="1" l="1"/>
  <c r="S364" i="1"/>
  <c r="T364" i="1" s="1"/>
  <c r="S363" i="1" l="1"/>
  <c r="T363" i="1" s="1"/>
  <c r="R362" i="1"/>
  <c r="S362" i="1" l="1"/>
  <c r="T362" i="1" s="1"/>
  <c r="R361" i="1"/>
  <c r="S361" i="1" l="1"/>
  <c r="T361" i="1" s="1"/>
  <c r="R360" i="1"/>
  <c r="R359" i="1" l="1"/>
  <c r="S360" i="1"/>
  <c r="T360" i="1" s="1"/>
  <c r="R358" i="1" l="1"/>
  <c r="S359" i="1"/>
  <c r="T359" i="1" s="1"/>
  <c r="S358" i="1" l="1"/>
  <c r="T358" i="1" s="1"/>
  <c r="R357" i="1"/>
  <c r="R356" i="1" l="1"/>
  <c r="S357" i="1"/>
  <c r="T357" i="1" s="1"/>
  <c r="S356" i="1" l="1"/>
  <c r="T356" i="1" s="1"/>
  <c r="R355" i="1"/>
  <c r="R354" i="1" l="1"/>
  <c r="S355" i="1"/>
  <c r="T355" i="1" s="1"/>
  <c r="S354" i="1" l="1"/>
  <c r="T354" i="1" s="1"/>
  <c r="R353" i="1"/>
  <c r="R352" i="1" l="1"/>
  <c r="S353" i="1"/>
  <c r="T353" i="1" s="1"/>
  <c r="S352" i="1" l="1"/>
  <c r="T352" i="1" s="1"/>
  <c r="R351" i="1"/>
  <c r="R350" i="1" l="1"/>
  <c r="S351" i="1"/>
  <c r="T351" i="1" s="1"/>
  <c r="S350" i="1" l="1"/>
  <c r="T350" i="1" s="1"/>
  <c r="R349" i="1"/>
  <c r="R348" i="1" l="1"/>
  <c r="S349" i="1"/>
  <c r="T349" i="1" s="1"/>
  <c r="R347" i="1" l="1"/>
  <c r="S348" i="1"/>
  <c r="T348" i="1" s="1"/>
  <c r="R346" i="1" l="1"/>
  <c r="S347" i="1"/>
  <c r="T347" i="1" s="1"/>
  <c r="S346" i="1" l="1"/>
  <c r="T346" i="1" s="1"/>
  <c r="R345" i="1"/>
  <c r="S345" i="1" l="1"/>
  <c r="T345" i="1" s="1"/>
  <c r="R344" i="1"/>
  <c r="R343" i="1" l="1"/>
  <c r="S344" i="1"/>
  <c r="T344" i="1" s="1"/>
  <c r="R342" i="1" l="1"/>
  <c r="S343" i="1"/>
  <c r="T343" i="1" s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R337" i="1" l="1"/>
  <c r="S338" i="1"/>
  <c r="T338" i="1" s="1"/>
  <c r="R336" i="1" l="1"/>
  <c r="S337" i="1"/>
  <c r="T337" i="1" s="1"/>
  <c r="S336" i="1" l="1"/>
  <c r="T336" i="1" s="1"/>
  <c r="R335" i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S331" i="1" l="1"/>
  <c r="T331" i="1" s="1"/>
  <c r="R330" i="1"/>
  <c r="S330" i="1" l="1"/>
  <c r="T330" i="1" s="1"/>
  <c r="R329" i="1"/>
  <c r="S329" i="1" l="1"/>
  <c r="T329" i="1" s="1"/>
  <c r="R328" i="1"/>
  <c r="R327" i="1" l="1"/>
  <c r="S328" i="1"/>
  <c r="T328" i="1" s="1"/>
  <c r="R326" i="1" l="1"/>
  <c r="S327" i="1"/>
  <c r="T327" i="1" s="1"/>
  <c r="R325" i="1" l="1"/>
  <c r="S326" i="1"/>
  <c r="T326" i="1" s="1"/>
  <c r="S325" i="1" l="1"/>
  <c r="T325" i="1" s="1"/>
  <c r="R324" i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S314" i="1" l="1"/>
  <c r="T314" i="1" s="1"/>
  <c r="R313" i="1"/>
  <c r="R312" i="1" l="1"/>
  <c r="S313" i="1"/>
  <c r="T313" i="1" s="1"/>
  <c r="R311" i="1" l="1"/>
  <c r="S312" i="1"/>
  <c r="T312" i="1" s="1"/>
  <c r="R310" i="1" l="1"/>
  <c r="S311" i="1"/>
  <c r="T311" i="1" s="1"/>
  <c r="S310" i="1" l="1"/>
  <c r="T310" i="1" s="1"/>
  <c r="R309" i="1"/>
  <c r="R308" i="1" l="1"/>
  <c r="S309" i="1"/>
  <c r="T309" i="1" s="1"/>
  <c r="S308" i="1" l="1"/>
  <c r="T308" i="1" s="1"/>
  <c r="R307" i="1"/>
  <c r="R306" i="1" l="1"/>
  <c r="S307" i="1"/>
  <c r="T307" i="1" s="1"/>
  <c r="S306" i="1" l="1"/>
  <c r="T306" i="1" s="1"/>
  <c r="R305" i="1"/>
  <c r="R304" i="1" l="1"/>
  <c r="S305" i="1"/>
  <c r="T305" i="1" s="1"/>
  <c r="S304" i="1" l="1"/>
  <c r="T304" i="1" s="1"/>
  <c r="R303" i="1"/>
  <c r="R302" i="1" l="1"/>
  <c r="S303" i="1"/>
  <c r="T303" i="1" s="1"/>
  <c r="S302" i="1" l="1"/>
  <c r="T302" i="1" s="1"/>
  <c r="R301" i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R296" i="1" l="1"/>
  <c r="S297" i="1"/>
  <c r="T297" i="1" s="1"/>
  <c r="S296" i="1" l="1"/>
  <c r="T296" i="1" s="1"/>
  <c r="R295" i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R289" i="1" l="1"/>
  <c r="S290" i="1"/>
  <c r="T290" i="1" s="1"/>
  <c r="S289" i="1" l="1"/>
  <c r="T289" i="1" s="1"/>
  <c r="R288" i="1"/>
  <c r="R287" i="1" l="1"/>
  <c r="S288" i="1"/>
  <c r="T288" i="1" s="1"/>
  <c r="S287" i="1" l="1"/>
  <c r="T287" i="1" s="1"/>
  <c r="R286" i="1"/>
  <c r="R285" i="1" l="1"/>
  <c r="S286" i="1"/>
  <c r="T286" i="1" s="1"/>
  <c r="S285" i="1" l="1"/>
  <c r="T285" i="1" s="1"/>
  <c r="R284" i="1"/>
  <c r="R283" i="1" l="1"/>
  <c r="S284" i="1"/>
  <c r="T284" i="1" s="1"/>
  <c r="S283" i="1" l="1"/>
  <c r="T283" i="1" s="1"/>
  <c r="R282" i="1"/>
  <c r="S282" i="1" l="1"/>
  <c r="T282" i="1" s="1"/>
  <c r="R281" i="1"/>
  <c r="S281" i="1" l="1"/>
  <c r="T281" i="1" s="1"/>
  <c r="R280" i="1"/>
  <c r="R279" i="1" l="1"/>
  <c r="S280" i="1"/>
  <c r="T280" i="1" s="1"/>
  <c r="R278" i="1" l="1"/>
  <c r="S279" i="1"/>
  <c r="T279" i="1" s="1"/>
  <c r="R277" i="1" l="1"/>
  <c r="S278" i="1"/>
  <c r="T278" i="1" s="1"/>
  <c r="S277" i="1" l="1"/>
  <c r="T277" i="1" s="1"/>
  <c r="R276" i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R262" i="1" l="1"/>
  <c r="S263" i="1"/>
  <c r="T263" i="1" s="1"/>
  <c r="S262" i="1" l="1"/>
  <c r="T262" i="1" s="1"/>
  <c r="R261" i="1"/>
  <c r="R260" i="1" l="1"/>
  <c r="S261" i="1"/>
  <c r="T261" i="1" s="1"/>
  <c r="S260" i="1" l="1"/>
  <c r="T260" i="1" s="1"/>
  <c r="R259" i="1"/>
  <c r="R258" i="1" l="1"/>
  <c r="S259" i="1"/>
  <c r="T259" i="1" s="1"/>
  <c r="S258" i="1" l="1"/>
  <c r="T258" i="1" s="1"/>
  <c r="R257" i="1"/>
  <c r="R256" i="1" l="1"/>
  <c r="S257" i="1"/>
  <c r="T257" i="1" s="1"/>
  <c r="R255" i="1" l="1"/>
  <c r="S256" i="1"/>
  <c r="T256" i="1" s="1"/>
  <c r="R254" i="1" l="1"/>
  <c r="S255" i="1"/>
  <c r="T255" i="1" s="1"/>
  <c r="S254" i="1" l="1"/>
  <c r="T254" i="1" s="1"/>
  <c r="R253" i="1"/>
  <c r="S253" i="1" l="1"/>
  <c r="T253" i="1" s="1"/>
  <c r="R252" i="1"/>
  <c r="R251" i="1" l="1"/>
  <c r="S252" i="1"/>
  <c r="T252" i="1" s="1"/>
  <c r="R250" i="1" l="1"/>
  <c r="S251" i="1"/>
  <c r="T251" i="1" s="1"/>
  <c r="R249" i="1" l="1"/>
  <c r="S250" i="1"/>
  <c r="T250" i="1" s="1"/>
  <c r="S249" i="1" l="1"/>
  <c r="T249" i="1" s="1"/>
  <c r="R248" i="1"/>
  <c r="S248" i="1" l="1"/>
  <c r="T248" i="1" s="1"/>
  <c r="R247" i="1"/>
  <c r="S247" i="1" l="1"/>
  <c r="T247" i="1" s="1"/>
  <c r="R246" i="1"/>
  <c r="S246" i="1" l="1"/>
  <c r="T246" i="1" s="1"/>
  <c r="R245" i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S238" i="1" l="1"/>
  <c r="T238" i="1" s="1"/>
  <c r="R237" i="1"/>
  <c r="S237" i="1" l="1"/>
  <c r="T237" i="1" s="1"/>
  <c r="R236" i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S230" i="1" l="1"/>
  <c r="T230" i="1" s="1"/>
  <c r="R229" i="1"/>
  <c r="R228" i="1" l="1"/>
  <c r="S229" i="1"/>
  <c r="T229" i="1" s="1"/>
  <c r="R227" i="1" l="1"/>
  <c r="S228" i="1"/>
  <c r="T228" i="1" s="1"/>
  <c r="S227" i="1" l="1"/>
  <c r="T227" i="1" s="1"/>
  <c r="R226" i="1"/>
  <c r="S226" i="1" l="1"/>
  <c r="T226" i="1" s="1"/>
  <c r="R225" i="1"/>
  <c r="S225" i="1" l="1"/>
  <c r="T225" i="1" s="1"/>
  <c r="R224" i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S219" i="1" l="1"/>
  <c r="T219" i="1" s="1"/>
  <c r="R218" i="1"/>
  <c r="S218" i="1" l="1"/>
  <c r="T218" i="1" s="1"/>
  <c r="R217" i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S206" i="1" l="1"/>
  <c r="T206" i="1" s="1"/>
  <c r="R205" i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S194" i="1" l="1"/>
  <c r="T194" i="1" s="1"/>
  <c r="R193" i="1"/>
  <c r="S193" i="1" l="1"/>
  <c r="T193" i="1" s="1"/>
  <c r="R192" i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S186" i="1" l="1"/>
  <c r="T186" i="1" s="1"/>
  <c r="R185" i="1"/>
  <c r="S185" i="1" l="1"/>
  <c r="T185" i="1" s="1"/>
  <c r="R184" i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S178" i="1" l="1"/>
  <c r="T178" i="1" s="1"/>
  <c r="R177" i="1"/>
  <c r="S177" i="1" l="1"/>
  <c r="T177" i="1" s="1"/>
  <c r="R176" i="1"/>
  <c r="R175" i="1" l="1"/>
  <c r="S176" i="1"/>
  <c r="T176" i="1" s="1"/>
  <c r="R174" i="1" l="1"/>
  <c r="S175" i="1"/>
  <c r="T175" i="1" s="1"/>
  <c r="S174" i="1" l="1"/>
  <c r="T174" i="1" s="1"/>
  <c r="R173" i="1"/>
  <c r="S173" i="1" l="1"/>
  <c r="T173" i="1" s="1"/>
  <c r="R172" i="1"/>
  <c r="S172" i="1" l="1"/>
  <c r="T172" i="1" s="1"/>
  <c r="R171" i="1"/>
  <c r="S171" i="1" l="1"/>
  <c r="T171" i="1" s="1"/>
  <c r="R170" i="1"/>
  <c r="S170" i="1" l="1"/>
  <c r="T170" i="1" s="1"/>
  <c r="R169" i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S165" i="1" l="1"/>
  <c r="T165" i="1" s="1"/>
  <c r="R164" i="1"/>
  <c r="R163" i="1" l="1"/>
  <c r="S164" i="1"/>
  <c r="T164" i="1" s="1"/>
  <c r="S163" i="1" l="1"/>
  <c r="T163" i="1" s="1"/>
  <c r="R162" i="1"/>
  <c r="R161" i="1" l="1"/>
  <c r="S162" i="1"/>
  <c r="T162" i="1" s="1"/>
  <c r="S161" i="1" l="1"/>
  <c r="T161" i="1" s="1"/>
  <c r="R160" i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S154" i="1" l="1"/>
  <c r="T154" i="1" s="1"/>
  <c r="R153" i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S142" i="1" l="1"/>
  <c r="T142" i="1" s="1"/>
  <c r="R141" i="1"/>
  <c r="R140" i="1" l="1"/>
  <c r="S141" i="1"/>
  <c r="T141" i="1" s="1"/>
  <c r="R139" i="1" l="1"/>
  <c r="S140" i="1"/>
  <c r="T140" i="1" s="1"/>
  <c r="R138" i="1" l="1"/>
  <c r="S139" i="1"/>
  <c r="T139" i="1" s="1"/>
  <c r="S138" i="1" l="1"/>
  <c r="T138" i="1" s="1"/>
  <c r="R137" i="1"/>
  <c r="S137" i="1" l="1"/>
  <c r="T137" i="1" s="1"/>
  <c r="R136" i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S126" i="1" l="1"/>
  <c r="T126" i="1" s="1"/>
  <c r="R125" i="1"/>
  <c r="S125" i="1" l="1"/>
  <c r="T125" i="1" s="1"/>
  <c r="R124" i="1"/>
  <c r="S124" i="1" l="1"/>
  <c r="T124" i="1" s="1"/>
  <c r="R123" i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S102" i="1" l="1"/>
  <c r="T102" i="1" s="1"/>
  <c r="R101" i="1"/>
  <c r="S101" i="1" l="1"/>
  <c r="T101" i="1" s="1"/>
  <c r="R100" i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R95" i="1" l="1"/>
  <c r="S96" i="1"/>
  <c r="T96" i="1" s="1"/>
  <c r="S95" i="1" l="1"/>
  <c r="T95" i="1" s="1"/>
  <c r="R94" i="1"/>
  <c r="S94" i="1" l="1"/>
  <c r="T94" i="1" s="1"/>
  <c r="R93" i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S85" i="1" l="1"/>
  <c r="T85" i="1" s="1"/>
  <c r="R84" i="1"/>
  <c r="R83" i="1" l="1"/>
  <c r="S84" i="1"/>
  <c r="T84" i="1" s="1"/>
  <c r="S83" i="1" l="1"/>
  <c r="T83" i="1" s="1"/>
  <c r="R82" i="1"/>
  <c r="R81" i="1" l="1"/>
  <c r="S82" i="1"/>
  <c r="T82" i="1" s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S76" i="1" l="1"/>
  <c r="T76" i="1" s="1"/>
  <c r="R75" i="1"/>
  <c r="S75" i="1" l="1"/>
  <c r="T75" i="1" s="1"/>
  <c r="R74" i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S70" i="1" l="1"/>
  <c r="T70" i="1" s="1"/>
  <c r="R69" i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S51" i="1" l="1"/>
  <c r="T51" i="1" s="1"/>
  <c r="R50" i="1"/>
  <c r="S50" i="1" l="1"/>
  <c r="T50" i="1" s="1"/>
  <c r="R49" i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S44" i="1" l="1"/>
  <c r="T44" i="1" s="1"/>
  <c r="R43" i="1"/>
  <c r="S43" i="1" l="1"/>
  <c r="T43" i="1" s="1"/>
  <c r="R42" i="1"/>
  <c r="R41" i="1" l="1"/>
  <c r="S42" i="1"/>
  <c r="T42" i="1" s="1"/>
  <c r="S41" i="1" l="1"/>
  <c r="T41" i="1" s="1"/>
  <c r="R40" i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S35" i="1" l="1"/>
  <c r="T35" i="1" s="1"/>
  <c r="R34" i="1"/>
  <c r="S34" i="1" l="1"/>
  <c r="T34" i="1" s="1"/>
  <c r="R33" i="1"/>
  <c r="R32" i="1" l="1"/>
  <c r="S33" i="1"/>
  <c r="T33" i="1" s="1"/>
  <c r="S32" i="1" l="1"/>
  <c r="T32" i="1" s="1"/>
  <c r="R31" i="1"/>
  <c r="S31" i="1" l="1"/>
  <c r="T31" i="1" s="1"/>
  <c r="R30" i="1"/>
  <c r="R29" i="1" l="1"/>
  <c r="S30" i="1"/>
  <c r="T30" i="1" s="1"/>
  <c r="S29" i="1" l="1"/>
  <c r="T29" i="1" s="1"/>
  <c r="R28" i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<sst xmlns="http://schemas.openxmlformats.org/spreadsheetml/2006/main" count="6278" uniqueCount="34">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</sst>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23.82</c:v>
                </c:pt>
                <c:pt idx="1">
                  <c:v>24.31</c:v>
                </c:pt>
                <c:pt idx="2">
                  <c:v>24.03</c:v>
                </c:pt>
                <c:pt idx="3">
                  <c:v>24.11</c:v>
                </c:pt>
                <c:pt idx="4">
                  <c:v>25.13</c:v>
                </c:pt>
                <c:pt idx="5">
                  <c:v>24.2</c:v>
                </c:pt>
                <c:pt idx="6">
                  <c:v>25.91</c:v>
                </c:pt>
                <c:pt idx="7">
                  <c:v>29.35</c:v>
                </c:pt>
                <c:pt idx="8">
                  <c:v>31.3</c:v>
                </c:pt>
                <c:pt idx="9">
                  <c:v>32.659999999999997</c:v>
                </c:pt>
                <c:pt idx="10">
                  <c:v>30.98</c:v>
                </c:pt>
                <c:pt idx="11">
                  <c:v>32.28</c:v>
                </c:pt>
                <c:pt idx="12">
                  <c:v>32.840000000000003</c:v>
                </c:pt>
                <c:pt idx="13">
                  <c:v>31.97</c:v>
                </c:pt>
                <c:pt idx="14">
                  <c:v>30.28</c:v>
                </c:pt>
                <c:pt idx="15">
                  <c:v>31.16</c:v>
                </c:pt>
                <c:pt idx="16">
                  <c:v>29.66</c:v>
                </c:pt>
                <c:pt idx="17">
                  <c:v>28.48</c:v>
                </c:pt>
                <c:pt idx="18">
                  <c:v>29.73</c:v>
                </c:pt>
                <c:pt idx="19">
                  <c:v>29.35</c:v>
                </c:pt>
                <c:pt idx="20">
                  <c:v>30.45</c:v>
                </c:pt>
                <c:pt idx="21">
                  <c:v>31.63</c:v>
                </c:pt>
                <c:pt idx="22">
                  <c:v>31.94</c:v>
                </c:pt>
                <c:pt idx="23">
                  <c:v>34.14</c:v>
                </c:pt>
                <c:pt idx="24">
                  <c:v>34.72</c:v>
                </c:pt>
                <c:pt idx="25">
                  <c:v>35.409999999999997</c:v>
                </c:pt>
                <c:pt idx="26">
                  <c:v>34.880000000000003</c:v>
                </c:pt>
                <c:pt idx="27">
                  <c:v>34.06</c:v>
                </c:pt>
                <c:pt idx="28">
                  <c:v>34.590000000000003</c:v>
                </c:pt>
                <c:pt idx="29">
                  <c:v>34.14</c:v>
                </c:pt>
                <c:pt idx="30">
                  <c:v>34.93</c:v>
                </c:pt>
                <c:pt idx="31">
                  <c:v>37.619999999999997</c:v>
                </c:pt>
                <c:pt idx="32">
                  <c:v>37.93</c:v>
                </c:pt>
                <c:pt idx="33">
                  <c:v>38.08</c:v>
                </c:pt>
                <c:pt idx="34">
                  <c:v>37.409999999999997</c:v>
                </c:pt>
                <c:pt idx="35">
                  <c:v>37.53</c:v>
                </c:pt>
                <c:pt idx="36">
                  <c:v>35.700000000000003</c:v>
                </c:pt>
                <c:pt idx="37">
                  <c:v>35.32</c:v>
                </c:pt>
                <c:pt idx="38">
                  <c:v>34.549999999999997</c:v>
                </c:pt>
                <c:pt idx="39">
                  <c:v>34.869999999999997</c:v>
                </c:pt>
                <c:pt idx="40">
                  <c:v>35.03</c:v>
                </c:pt>
                <c:pt idx="41">
                  <c:v>34.299999999999997</c:v>
                </c:pt>
                <c:pt idx="42">
                  <c:v>35.159999999999997</c:v>
                </c:pt>
                <c:pt idx="43">
                  <c:v>36.14</c:v>
                </c:pt>
                <c:pt idx="44">
                  <c:v>35.409999999999997</c:v>
                </c:pt>
                <c:pt idx="45">
                  <c:v>34.19</c:v>
                </c:pt>
                <c:pt idx="46">
                  <c:v>37.9</c:v>
                </c:pt>
                <c:pt idx="47">
                  <c:v>36.74</c:v>
                </c:pt>
                <c:pt idx="48">
                  <c:v>36.369999999999997</c:v>
                </c:pt>
                <c:pt idx="49">
                  <c:v>37.5</c:v>
                </c:pt>
                <c:pt idx="50">
                  <c:v>40.950000000000003</c:v>
                </c:pt>
                <c:pt idx="51">
                  <c:v>39.6</c:v>
                </c:pt>
                <c:pt idx="52">
                  <c:v>39.32</c:v>
                </c:pt>
                <c:pt idx="53">
                  <c:v>38.79</c:v>
                </c:pt>
                <c:pt idx="54">
                  <c:v>39.33</c:v>
                </c:pt>
                <c:pt idx="55">
                  <c:v>44.87</c:v>
                </c:pt>
                <c:pt idx="56">
                  <c:v>47.03</c:v>
                </c:pt>
                <c:pt idx="57">
                  <c:v>47.85</c:v>
                </c:pt>
                <c:pt idx="58">
                  <c:v>48.32</c:v>
                </c:pt>
                <c:pt idx="59">
                  <c:v>48.22</c:v>
                </c:pt>
                <c:pt idx="60">
                  <c:v>47.5</c:v>
                </c:pt>
                <c:pt idx="61">
                  <c:v>46.78</c:v>
                </c:pt>
                <c:pt idx="62">
                  <c:v>46.67</c:v>
                </c:pt>
                <c:pt idx="63">
                  <c:v>50.55</c:v>
                </c:pt>
                <c:pt idx="64">
                  <c:v>48.5</c:v>
                </c:pt>
                <c:pt idx="65">
                  <c:v>49.55</c:v>
                </c:pt>
                <c:pt idx="66">
                  <c:v>48.59</c:v>
                </c:pt>
                <c:pt idx="67">
                  <c:v>50.41</c:v>
                </c:pt>
                <c:pt idx="68">
                  <c:v>51.06</c:v>
                </c:pt>
                <c:pt idx="69">
                  <c:v>50.66</c:v>
                </c:pt>
                <c:pt idx="70">
                  <c:v>48.43</c:v>
                </c:pt>
                <c:pt idx="71">
                  <c:v>51.24</c:v>
                </c:pt>
                <c:pt idx="72">
                  <c:v>50.82</c:v>
                </c:pt>
                <c:pt idx="73">
                  <c:v>54.81</c:v>
                </c:pt>
                <c:pt idx="74">
                  <c:v>56.12</c:v>
                </c:pt>
                <c:pt idx="75">
                  <c:v>56.29</c:v>
                </c:pt>
                <c:pt idx="76">
                  <c:v>55.5</c:v>
                </c:pt>
                <c:pt idx="77">
                  <c:v>56.74</c:v>
                </c:pt>
                <c:pt idx="78">
                  <c:v>56.63</c:v>
                </c:pt>
                <c:pt idx="79">
                  <c:v>60.85</c:v>
                </c:pt>
                <c:pt idx="80">
                  <c:v>56.59</c:v>
                </c:pt>
                <c:pt idx="81">
                  <c:v>54.08</c:v>
                </c:pt>
                <c:pt idx="82">
                  <c:v>52.88</c:v>
                </c:pt>
                <c:pt idx="83">
                  <c:v>53.12</c:v>
                </c:pt>
                <c:pt idx="84">
                  <c:v>53.65</c:v>
                </c:pt>
                <c:pt idx="85">
                  <c:v>55.48</c:v>
                </c:pt>
                <c:pt idx="86">
                  <c:v>55.21</c:v>
                </c:pt>
                <c:pt idx="87">
                  <c:v>53.88</c:v>
                </c:pt>
                <c:pt idx="88">
                  <c:v>54.37</c:v>
                </c:pt>
                <c:pt idx="89">
                  <c:v>52.95</c:v>
                </c:pt>
                <c:pt idx="90">
                  <c:v>53.94</c:v>
                </c:pt>
                <c:pt idx="91">
                  <c:v>52.18</c:v>
                </c:pt>
                <c:pt idx="92">
                  <c:v>48.71</c:v>
                </c:pt>
                <c:pt idx="93">
                  <c:v>54.2</c:v>
                </c:pt>
                <c:pt idx="94">
                  <c:v>55.42</c:v>
                </c:pt>
                <c:pt idx="95">
                  <c:v>54.94</c:v>
                </c:pt>
                <c:pt idx="96">
                  <c:v>55.88</c:v>
                </c:pt>
                <c:pt idx="97">
                  <c:v>54.55</c:v>
                </c:pt>
                <c:pt idx="98">
                  <c:v>55.35</c:v>
                </c:pt>
                <c:pt idx="99">
                  <c:v>55.59</c:v>
                </c:pt>
                <c:pt idx="100">
                  <c:v>52.87</c:v>
                </c:pt>
                <c:pt idx="101">
                  <c:v>52.43</c:v>
                </c:pt>
                <c:pt idx="102">
                  <c:v>53.11</c:v>
                </c:pt>
                <c:pt idx="103">
                  <c:v>54.12</c:v>
                </c:pt>
                <c:pt idx="104">
                  <c:v>54.3</c:v>
                </c:pt>
                <c:pt idx="105">
                  <c:v>54.5</c:v>
                </c:pt>
                <c:pt idx="106">
                  <c:v>53.43</c:v>
                </c:pt>
                <c:pt idx="107">
                  <c:v>52.73</c:v>
                </c:pt>
                <c:pt idx="108">
                  <c:v>53.93</c:v>
                </c:pt>
                <c:pt idx="109">
                  <c:v>52.84</c:v>
                </c:pt>
                <c:pt idx="110">
                  <c:v>55.63</c:v>
                </c:pt>
                <c:pt idx="111">
                  <c:v>53.68</c:v>
                </c:pt>
                <c:pt idx="112">
                  <c:v>54.34</c:v>
                </c:pt>
                <c:pt idx="113">
                  <c:v>54.83</c:v>
                </c:pt>
                <c:pt idx="114">
                  <c:v>54.36</c:v>
                </c:pt>
                <c:pt idx="115">
                  <c:v>52.72</c:v>
                </c:pt>
                <c:pt idx="116">
                  <c:v>53.73</c:v>
                </c:pt>
                <c:pt idx="117">
                  <c:v>53.17</c:v>
                </c:pt>
                <c:pt idx="118">
                  <c:v>51.9</c:v>
                </c:pt>
                <c:pt idx="119">
                  <c:v>47.01</c:v>
                </c:pt>
                <c:pt idx="120">
                  <c:v>45.52</c:v>
                </c:pt>
                <c:pt idx="121">
                  <c:v>44.99</c:v>
                </c:pt>
                <c:pt idx="122">
                  <c:v>45.37</c:v>
                </c:pt>
                <c:pt idx="123">
                  <c:v>47.19</c:v>
                </c:pt>
                <c:pt idx="124">
                  <c:v>47.34</c:v>
                </c:pt>
                <c:pt idx="125">
                  <c:v>47.64</c:v>
                </c:pt>
                <c:pt idx="126">
                  <c:v>51.31</c:v>
                </c:pt>
                <c:pt idx="127">
                  <c:v>51.26</c:v>
                </c:pt>
                <c:pt idx="128">
                  <c:v>45.81</c:v>
                </c:pt>
                <c:pt idx="129">
                  <c:v>51.41</c:v>
                </c:pt>
                <c:pt idx="130">
                  <c:v>55.33</c:v>
                </c:pt>
                <c:pt idx="131">
                  <c:v>57.19</c:v>
                </c:pt>
                <c:pt idx="132">
                  <c:v>56.7</c:v>
                </c:pt>
                <c:pt idx="133">
                  <c:v>57.99</c:v>
                </c:pt>
                <c:pt idx="134">
                  <c:v>59.18</c:v>
                </c:pt>
                <c:pt idx="135">
                  <c:v>57.14</c:v>
                </c:pt>
                <c:pt idx="136">
                  <c:v>55.72</c:v>
                </c:pt>
                <c:pt idx="137">
                  <c:v>58.07</c:v>
                </c:pt>
                <c:pt idx="138">
                  <c:v>57.08</c:v>
                </c:pt>
                <c:pt idx="139">
                  <c:v>56.31</c:v>
                </c:pt>
                <c:pt idx="140">
                  <c:v>58.92</c:v>
                </c:pt>
                <c:pt idx="141">
                  <c:v>58.71</c:v>
                </c:pt>
                <c:pt idx="142">
                  <c:v>59.36</c:v>
                </c:pt>
                <c:pt idx="143">
                  <c:v>73.48</c:v>
                </c:pt>
                <c:pt idx="144">
                  <c:v>73.540000000000006</c:v>
                </c:pt>
                <c:pt idx="145">
                  <c:v>68.81</c:v>
                </c:pt>
                <c:pt idx="146">
                  <c:v>69.98</c:v>
                </c:pt>
                <c:pt idx="147">
                  <c:v>67.61</c:v>
                </c:pt>
                <c:pt idx="148">
                  <c:v>68.75</c:v>
                </c:pt>
                <c:pt idx="149">
                  <c:v>63.8</c:v>
                </c:pt>
                <c:pt idx="150">
                  <c:v>61.83</c:v>
                </c:pt>
                <c:pt idx="151">
                  <c:v>63.23</c:v>
                </c:pt>
                <c:pt idx="152">
                  <c:v>64.19</c:v>
                </c:pt>
                <c:pt idx="153">
                  <c:v>64.09</c:v>
                </c:pt>
                <c:pt idx="154">
                  <c:v>59.77</c:v>
                </c:pt>
                <c:pt idx="155">
                  <c:v>63.773000000000003</c:v>
                </c:pt>
                <c:pt idx="156">
                  <c:v>62.832000000000001</c:v>
                </c:pt>
                <c:pt idx="157">
                  <c:v>68.257000000000005</c:v>
                </c:pt>
                <c:pt idx="158">
                  <c:v>68.34</c:v>
                </c:pt>
                <c:pt idx="159">
                  <c:v>67.512</c:v>
                </c:pt>
                <c:pt idx="160">
                  <c:v>70.2</c:v>
                </c:pt>
                <c:pt idx="161">
                  <c:v>67.054000000000002</c:v>
                </c:pt>
                <c:pt idx="162">
                  <c:v>63.951999999999998</c:v>
                </c:pt>
                <c:pt idx="163">
                  <c:v>62.890999999999998</c:v>
                </c:pt>
                <c:pt idx="164">
                  <c:v>69.036000000000001</c:v>
                </c:pt>
                <c:pt idx="165">
                  <c:v>74.989000000000004</c:v>
                </c:pt>
                <c:pt idx="166">
                  <c:v>67.268000000000001</c:v>
                </c:pt>
                <c:pt idx="167">
                  <c:v>64.263999999999996</c:v>
                </c:pt>
                <c:pt idx="168">
                  <c:v>60</c:v>
                </c:pt>
                <c:pt idx="169">
                  <c:v>60.720999999999997</c:v>
                </c:pt>
                <c:pt idx="170">
                  <c:v>58.884</c:v>
                </c:pt>
                <c:pt idx="171">
                  <c:v>59.033999999999999</c:v>
                </c:pt>
                <c:pt idx="172">
                  <c:v>57.067999999999998</c:v>
                </c:pt>
                <c:pt idx="173">
                  <c:v>60.587000000000003</c:v>
                </c:pt>
                <c:pt idx="174">
                  <c:v>53.1</c:v>
                </c:pt>
                <c:pt idx="175">
                  <c:v>52.430999999999997</c:v>
                </c:pt>
                <c:pt idx="176">
                  <c:v>51.576000000000001</c:v>
                </c:pt>
                <c:pt idx="177">
                  <c:v>49.451000000000001</c:v>
                </c:pt>
                <c:pt idx="178">
                  <c:v>51.325000000000003</c:v>
                </c:pt>
                <c:pt idx="179">
                  <c:v>50.244999999999997</c:v>
                </c:pt>
                <c:pt idx="180">
                  <c:v>51.323999999999998</c:v>
                </c:pt>
                <c:pt idx="181">
                  <c:v>50.963000000000001</c:v>
                </c:pt>
                <c:pt idx="182">
                  <c:v>49.378999999999998</c:v>
                </c:pt>
                <c:pt idx="183">
                  <c:v>49.274999999999999</c:v>
                </c:pt>
                <c:pt idx="184">
                  <c:v>49.515000000000001</c:v>
                </c:pt>
                <c:pt idx="185">
                  <c:v>48.372999999999998</c:v>
                </c:pt>
                <c:pt idx="186">
                  <c:v>48.433</c:v>
                </c:pt>
                <c:pt idx="187">
                  <c:v>49.414000000000001</c:v>
                </c:pt>
                <c:pt idx="188">
                  <c:v>45.814</c:v>
                </c:pt>
                <c:pt idx="189">
                  <c:v>43.395000000000003</c:v>
                </c:pt>
                <c:pt idx="190">
                  <c:v>42.905000000000001</c:v>
                </c:pt>
                <c:pt idx="191">
                  <c:v>39.311</c:v>
                </c:pt>
                <c:pt idx="192">
                  <c:v>41.582000000000001</c:v>
                </c:pt>
                <c:pt idx="193">
                  <c:v>41.88</c:v>
                </c:pt>
                <c:pt idx="194">
                  <c:v>41.459000000000003</c:v>
                </c:pt>
                <c:pt idx="195">
                  <c:v>41.152999999999999</c:v>
                </c:pt>
                <c:pt idx="196">
                  <c:v>43.234999999999999</c:v>
                </c:pt>
                <c:pt idx="197">
                  <c:v>45.61</c:v>
                </c:pt>
                <c:pt idx="198">
                  <c:v>45.543999999999997</c:v>
                </c:pt>
                <c:pt idx="199">
                  <c:v>47.689</c:v>
                </c:pt>
                <c:pt idx="200">
                  <c:v>49.704000000000001</c:v>
                </c:pt>
                <c:pt idx="201">
                  <c:v>49.134999999999998</c:v>
                </c:pt>
                <c:pt idx="202">
                  <c:v>50.084000000000003</c:v>
                </c:pt>
                <c:pt idx="203">
                  <c:v>49.470999999999997</c:v>
                </c:pt>
                <c:pt idx="204">
                  <c:v>52.813000000000002</c:v>
                </c:pt>
                <c:pt idx="205">
                  <c:v>54.649000000000001</c:v>
                </c:pt>
                <c:pt idx="206">
                  <c:v>53.683</c:v>
                </c:pt>
                <c:pt idx="207">
                  <c:v>56.363</c:v>
                </c:pt>
                <c:pt idx="208">
                  <c:v>56.877000000000002</c:v>
                </c:pt>
                <c:pt idx="209">
                  <c:v>53.737000000000002</c:v>
                </c:pt>
                <c:pt idx="210">
                  <c:v>53.076000000000001</c:v>
                </c:pt>
                <c:pt idx="211">
                  <c:v>57.551000000000002</c:v>
                </c:pt>
                <c:pt idx="212">
                  <c:v>56.829000000000001</c:v>
                </c:pt>
                <c:pt idx="213">
                  <c:v>43.350999999999999</c:v>
                </c:pt>
                <c:pt idx="214">
                  <c:v>42.307000000000002</c:v>
                </c:pt>
                <c:pt idx="215">
                  <c:v>40.555</c:v>
                </c:pt>
                <c:pt idx="216">
                  <c:v>39.35</c:v>
                </c:pt>
                <c:pt idx="217">
                  <c:v>43.151000000000003</c:v>
                </c:pt>
                <c:pt idx="218">
                  <c:v>40.762999999999998</c:v>
                </c:pt>
                <c:pt idx="219">
                  <c:v>36.545000000000002</c:v>
                </c:pt>
                <c:pt idx="220">
                  <c:v>39.460999999999999</c:v>
                </c:pt>
                <c:pt idx="221">
                  <c:v>50.956000000000003</c:v>
                </c:pt>
                <c:pt idx="222">
                  <c:v>50.863999999999997</c:v>
                </c:pt>
                <c:pt idx="223">
                  <c:v>52.567999999999998</c:v>
                </c:pt>
                <c:pt idx="224">
                  <c:v>55.552</c:v>
                </c:pt>
                <c:pt idx="225">
                  <c:v>55.350999999999999</c:v>
                </c:pt>
                <c:pt idx="226">
                  <c:v>58.154000000000003</c:v>
                </c:pt>
                <c:pt idx="227">
                  <c:v>59.304000000000002</c:v>
                </c:pt>
                <c:pt idx="228">
                  <c:v>58.997999999999998</c:v>
                </c:pt>
                <c:pt idx="229">
                  <c:v>55.195</c:v>
                </c:pt>
                <c:pt idx="230">
                  <c:v>56.865000000000002</c:v>
                </c:pt>
                <c:pt idx="231">
                  <c:v>57.893999999999998</c:v>
                </c:pt>
                <c:pt idx="232">
                  <c:v>62.32</c:v>
                </c:pt>
                <c:pt idx="233">
                  <c:v>56.680999999999997</c:v>
                </c:pt>
                <c:pt idx="234">
                  <c:v>58.01</c:v>
                </c:pt>
                <c:pt idx="235">
                  <c:v>64.085999999999999</c:v>
                </c:pt>
                <c:pt idx="236">
                  <c:v>63.122</c:v>
                </c:pt>
                <c:pt idx="237">
                  <c:v>64.72</c:v>
                </c:pt>
                <c:pt idx="238">
                  <c:v>69.864000000000004</c:v>
                </c:pt>
                <c:pt idx="239">
                  <c:v>68.403000000000006</c:v>
                </c:pt>
                <c:pt idx="240">
                  <c:v>67.765000000000001</c:v>
                </c:pt>
                <c:pt idx="241">
                  <c:v>70.019000000000005</c:v>
                </c:pt>
                <c:pt idx="242">
                  <c:v>66.123999999999995</c:v>
                </c:pt>
                <c:pt idx="243">
                  <c:v>64.293000000000006</c:v>
                </c:pt>
                <c:pt idx="244">
                  <c:v>68.198999999999998</c:v>
                </c:pt>
                <c:pt idx="245">
                  <c:v>74.596000000000004</c:v>
                </c:pt>
                <c:pt idx="246">
                  <c:v>79.885999999999996</c:v>
                </c:pt>
                <c:pt idx="247">
                  <c:v>78.364000000000004</c:v>
                </c:pt>
                <c:pt idx="248">
                  <c:v>73.710999999999999</c:v>
                </c:pt>
                <c:pt idx="249">
                  <c:v>51.552999999999997</c:v>
                </c:pt>
                <c:pt idx="250">
                  <c:v>58.497999999999998</c:v>
                </c:pt>
                <c:pt idx="251">
                  <c:v>64.167000000000002</c:v>
                </c:pt>
                <c:pt idx="252">
                  <c:v>73.744</c:v>
                </c:pt>
                <c:pt idx="253">
                  <c:v>59.436</c:v>
                </c:pt>
                <c:pt idx="254">
                  <c:v>88.576999999999998</c:v>
                </c:pt>
                <c:pt idx="255">
                  <c:v>89.677000000000007</c:v>
                </c:pt>
                <c:pt idx="256">
                  <c:v>93.858999999999995</c:v>
                </c:pt>
                <c:pt idx="257">
                  <c:v>95.087999999999994</c:v>
                </c:pt>
                <c:pt idx="258">
                  <c:v>103.313</c:v>
                </c:pt>
                <c:pt idx="259">
                  <c:v>88.382999999999996</c:v>
                </c:pt>
                <c:pt idx="260">
                  <c:v>84.995999999999995</c:v>
                </c:pt>
                <c:pt idx="261">
                  <c:v>111.173</c:v>
                </c:pt>
                <c:pt idx="262">
                  <c:v>105.09399999999999</c:v>
                </c:pt>
                <c:pt idx="263">
                  <c:v>117.904</c:v>
                </c:pt>
                <c:pt idx="264">
                  <c:v>127.31699999999999</c:v>
                </c:pt>
                <c:pt idx="265">
                  <c:v>119.76300000000001</c:v>
                </c:pt>
                <c:pt idx="266">
                  <c:v>133.864</c:v>
                </c:pt>
                <c:pt idx="267">
                  <c:v>93.962000000000003</c:v>
                </c:pt>
                <c:pt idx="268">
                  <c:v>69.248999999999995</c:v>
                </c:pt>
                <c:pt idx="269">
                  <c:v>52.036999999999999</c:v>
                </c:pt>
                <c:pt idx="270">
                  <c:v>44.92</c:v>
                </c:pt>
                <c:pt idx="271">
                  <c:v>44.706000000000003</c:v>
                </c:pt>
                <c:pt idx="272">
                  <c:v>36.317</c:v>
                </c:pt>
                <c:pt idx="273">
                  <c:v>34.529000000000003</c:v>
                </c:pt>
                <c:pt idx="274">
                  <c:v>35.061</c:v>
                </c:pt>
                <c:pt idx="275">
                  <c:v>33.802999999999997</c:v>
                </c:pt>
                <c:pt idx="276">
                  <c:v>32.825000000000003</c:v>
                </c:pt>
                <c:pt idx="277">
                  <c:v>29.315000000000001</c:v>
                </c:pt>
                <c:pt idx="278">
                  <c:v>29.657699999999998</c:v>
                </c:pt>
                <c:pt idx="279">
                  <c:v>32.6158</c:v>
                </c:pt>
                <c:pt idx="280">
                  <c:v>33.510399999999997</c:v>
                </c:pt>
                <c:pt idx="281">
                  <c:v>31.9236</c:v>
                </c:pt>
                <c:pt idx="282">
                  <c:v>33.738999999999997</c:v>
                </c:pt>
                <c:pt idx="283">
                  <c:v>33.416600000000003</c:v>
                </c:pt>
                <c:pt idx="284">
                  <c:v>37.072800000000001</c:v>
                </c:pt>
                <c:pt idx="285">
                  <c:v>37.7258</c:v>
                </c:pt>
                <c:pt idx="286">
                  <c:v>38.273400000000002</c:v>
                </c:pt>
                <c:pt idx="287">
                  <c:v>28.6129</c:v>
                </c:pt>
                <c:pt idx="288">
                  <c:v>21.9193</c:v>
                </c:pt>
                <c:pt idx="289">
                  <c:v>21.206900000000001</c:v>
                </c:pt>
                <c:pt idx="290">
                  <c:v>19.522500000000001</c:v>
                </c:pt>
                <c:pt idx="291">
                  <c:v>20.370899999999999</c:v>
                </c:pt>
                <c:pt idx="292">
                  <c:v>20.443899999999999</c:v>
                </c:pt>
                <c:pt idx="293">
                  <c:v>18.770700000000001</c:v>
                </c:pt>
                <c:pt idx="294">
                  <c:v>19.629200000000001</c:v>
                </c:pt>
                <c:pt idx="295">
                  <c:v>19.1937</c:v>
                </c:pt>
                <c:pt idx="296">
                  <c:v>17.732900000000001</c:v>
                </c:pt>
                <c:pt idx="297">
                  <c:v>16.074400000000001</c:v>
                </c:pt>
                <c:pt idx="298">
                  <c:v>14.5489</c:v>
                </c:pt>
                <c:pt idx="299">
                  <c:v>13.571</c:v>
                </c:pt>
                <c:pt idx="300">
                  <c:v>15.2454</c:v>
                </c:pt>
                <c:pt idx="301">
                  <c:v>14.315</c:v>
                </c:pt>
                <c:pt idx="302">
                  <c:v>14.1287</c:v>
                </c:pt>
                <c:pt idx="303">
                  <c:v>13.016</c:v>
                </c:pt>
                <c:pt idx="304">
                  <c:v>12.6381</c:v>
                </c:pt>
                <c:pt idx="305">
                  <c:v>11.8644</c:v>
                </c:pt>
                <c:pt idx="306">
                  <c:v>11.7927</c:v>
                </c:pt>
                <c:pt idx="307">
                  <c:v>11.7593</c:v>
                </c:pt>
                <c:pt idx="308">
                  <c:v>11.0876</c:v>
                </c:pt>
                <c:pt idx="309">
                  <c:v>11.292</c:v>
                </c:pt>
                <c:pt idx="310">
                  <c:v>12.241300000000001</c:v>
                </c:pt>
                <c:pt idx="311">
                  <c:v>11.6556</c:v>
                </c:pt>
                <c:pt idx="312">
                  <c:v>11.9811</c:v>
                </c:pt>
                <c:pt idx="313">
                  <c:v>12.3108</c:v>
                </c:pt>
                <c:pt idx="314">
                  <c:v>12.2569</c:v>
                </c:pt>
                <c:pt idx="315">
                  <c:v>12.169</c:v>
                </c:pt>
                <c:pt idx="316">
                  <c:v>12.5671</c:v>
                </c:pt>
                <c:pt idx="317">
                  <c:v>12.4297</c:v>
                </c:pt>
                <c:pt idx="318">
                  <c:v>12.156000000000001</c:v>
                </c:pt>
                <c:pt idx="319">
                  <c:v>12.721399999999999</c:v>
                </c:pt>
                <c:pt idx="320">
                  <c:v>13.773300000000001</c:v>
                </c:pt>
                <c:pt idx="321">
                  <c:v>11.936500000000001</c:v>
                </c:pt>
                <c:pt idx="322">
                  <c:v>12.2593</c:v>
                </c:pt>
                <c:pt idx="323">
                  <c:v>11.958</c:v>
                </c:pt>
                <c:pt idx="324">
                  <c:v>12.3956</c:v>
                </c:pt>
                <c:pt idx="325">
                  <c:v>11.7082</c:v>
                </c:pt>
                <c:pt idx="326">
                  <c:v>11.5466</c:v>
                </c:pt>
                <c:pt idx="327">
                  <c:v>11.1134</c:v>
                </c:pt>
                <c:pt idx="328">
                  <c:v>10.9437</c:v>
                </c:pt>
                <c:pt idx="329">
                  <c:v>11.000400000000001</c:v>
                </c:pt>
                <c:pt idx="330">
                  <c:v>11.2516</c:v>
                </c:pt>
                <c:pt idx="331">
                  <c:v>10.908099999999999</c:v>
                </c:pt>
                <c:pt idx="332">
                  <c:v>11.0783</c:v>
                </c:pt>
                <c:pt idx="333">
                  <c:v>10.365600000000001</c:v>
                </c:pt>
                <c:pt idx="334">
                  <c:v>11.0991</c:v>
                </c:pt>
                <c:pt idx="335">
                  <c:v>10.715299999999999</c:v>
                </c:pt>
                <c:pt idx="336">
                  <c:v>11.039</c:v>
                </c:pt>
                <c:pt idx="337">
                  <c:v>11.8729</c:v>
                </c:pt>
                <c:pt idx="338">
                  <c:v>11.3651</c:v>
                </c:pt>
                <c:pt idx="339">
                  <c:v>13.9359</c:v>
                </c:pt>
                <c:pt idx="340">
                  <c:v>15.669</c:v>
                </c:pt>
                <c:pt idx="341">
                  <c:v>15.083299999999999</c:v>
                </c:pt>
                <c:pt idx="342">
                  <c:v>15.387600000000001</c:v>
                </c:pt>
                <c:pt idx="343">
                  <c:v>14.9458</c:v>
                </c:pt>
                <c:pt idx="344">
                  <c:v>15.301500000000001</c:v>
                </c:pt>
                <c:pt idx="345">
                  <c:v>14.390700000000001</c:v>
                </c:pt>
                <c:pt idx="346">
                  <c:v>14.682600000000001</c:v>
                </c:pt>
                <c:pt idx="347">
                  <c:v>16.071999999999999</c:v>
                </c:pt>
                <c:pt idx="348">
                  <c:v>16.637699999999999</c:v>
                </c:pt>
                <c:pt idx="349">
                  <c:v>11.926500000000001</c:v>
                </c:pt>
                <c:pt idx="350">
                  <c:v>11.720499999999999</c:v>
                </c:pt>
                <c:pt idx="351">
                  <c:v>10.375400000000001</c:v>
                </c:pt>
                <c:pt idx="352">
                  <c:v>9.5779999999999994</c:v>
                </c:pt>
                <c:pt idx="353">
                  <c:v>8.6941000000000006</c:v>
                </c:pt>
                <c:pt idx="354">
                  <c:v>8.2787000000000006</c:v>
                </c:pt>
                <c:pt idx="355">
                  <c:v>8.7690999999999999</c:v>
                </c:pt>
                <c:pt idx="356">
                  <c:v>8.5174000000000003</c:v>
                </c:pt>
                <c:pt idx="357">
                  <c:v>7.6584000000000003</c:v>
                </c:pt>
                <c:pt idx="358">
                  <c:v>7.9413</c:v>
                </c:pt>
                <c:pt idx="359">
                  <c:v>7.7835000000000001</c:v>
                </c:pt>
                <c:pt idx="360">
                  <c:v>7.5240999999999998</c:v>
                </c:pt>
                <c:pt idx="361">
                  <c:v>7.4154999999999998</c:v>
                </c:pt>
                <c:pt idx="362">
                  <c:v>7.5858999999999996</c:v>
                </c:pt>
                <c:pt idx="363">
                  <c:v>7.6132</c:v>
                </c:pt>
                <c:pt idx="364">
                  <c:v>7.6532999999999998</c:v>
                </c:pt>
                <c:pt idx="365">
                  <c:v>6.8712999999999997</c:v>
                </c:pt>
                <c:pt idx="366">
                  <c:v>7.4341999999999997</c:v>
                </c:pt>
                <c:pt idx="367">
                  <c:v>7.4976000000000003</c:v>
                </c:pt>
                <c:pt idx="368">
                  <c:v>7.6294000000000004</c:v>
                </c:pt>
                <c:pt idx="369">
                  <c:v>7.4488000000000003</c:v>
                </c:pt>
                <c:pt idx="370">
                  <c:v>7.4291999999999998</c:v>
                </c:pt>
                <c:pt idx="371">
                  <c:v>7.1345999999999998</c:v>
                </c:pt>
                <c:pt idx="372">
                  <c:v>7.9</c:v>
                </c:pt>
                <c:pt idx="373">
                  <c:v>7.8177000000000003</c:v>
                </c:pt>
                <c:pt idx="374">
                  <c:v>7.7077999999999998</c:v>
                </c:pt>
                <c:pt idx="375">
                  <c:v>7.6840000000000002</c:v>
                </c:pt>
                <c:pt idx="376">
                  <c:v>7.7798999999999996</c:v>
                </c:pt>
                <c:pt idx="377">
                  <c:v>7.5670000000000002</c:v>
                </c:pt>
                <c:pt idx="378">
                  <c:v>7.7880000000000003</c:v>
                </c:pt>
                <c:pt idx="379">
                  <c:v>7.5949999999999998</c:v>
                </c:pt>
                <c:pt idx="380">
                  <c:v>7.0544000000000002</c:v>
                </c:pt>
                <c:pt idx="381">
                  <c:v>7.2221000000000002</c:v>
                </c:pt>
                <c:pt idx="382">
                  <c:v>8.8346</c:v>
                </c:pt>
                <c:pt idx="383">
                  <c:v>7.7629999999999999</c:v>
                </c:pt>
                <c:pt idx="384">
                  <c:v>6.9565000000000001</c:v>
                </c:pt>
                <c:pt idx="385">
                  <c:v>7.2141999999999999</c:v>
                </c:pt>
                <c:pt idx="386">
                  <c:v>7.5723000000000003</c:v>
                </c:pt>
                <c:pt idx="387">
                  <c:v>7.2709999999999999</c:v>
                </c:pt>
                <c:pt idx="388">
                  <c:v>7.0373999999999999</c:v>
                </c:pt>
                <c:pt idx="389">
                  <c:v>6.5678000000000001</c:v>
                </c:pt>
                <c:pt idx="390">
                  <c:v>5.7763</c:v>
                </c:pt>
                <c:pt idx="391">
                  <c:v>5.6938000000000004</c:v>
                </c:pt>
                <c:pt idx="392">
                  <c:v>5.6562000000000001</c:v>
                </c:pt>
                <c:pt idx="393">
                  <c:v>5.6798999999999999</c:v>
                </c:pt>
                <c:pt idx="394">
                  <c:v>5.7190000000000003</c:v>
                </c:pt>
                <c:pt idx="395">
                  <c:v>5.9188000000000001</c:v>
                </c:pt>
                <c:pt idx="396">
                  <c:v>5.8101000000000003</c:v>
                </c:pt>
                <c:pt idx="397">
                  <c:v>5.8379000000000003</c:v>
                </c:pt>
                <c:pt idx="398">
                  <c:v>5.7568000000000001</c:v>
                </c:pt>
                <c:pt idx="399">
                  <c:v>5.6031000000000004</c:v>
                </c:pt>
                <c:pt idx="400">
                  <c:v>5.0990000000000002</c:v>
                </c:pt>
                <c:pt idx="401">
                  <c:v>6.1197999999999997</c:v>
                </c:pt>
                <c:pt idx="402">
                  <c:v>6.1074999999999999</c:v>
                </c:pt>
                <c:pt idx="403">
                  <c:v>6.4949000000000003</c:v>
                </c:pt>
                <c:pt idx="404">
                  <c:v>6.4149000000000003</c:v>
                </c:pt>
                <c:pt idx="405">
                  <c:v>6.3914999999999997</c:v>
                </c:pt>
                <c:pt idx="406">
                  <c:v>6.4786000000000001</c:v>
                </c:pt>
                <c:pt idx="407">
                  <c:v>6.4653999999999998</c:v>
                </c:pt>
                <c:pt idx="408">
                  <c:v>6.0499000000000001</c:v>
                </c:pt>
                <c:pt idx="409">
                  <c:v>6.0388000000000002</c:v>
                </c:pt>
                <c:pt idx="410">
                  <c:v>6.1208999999999998</c:v>
                </c:pt>
                <c:pt idx="411">
                  <c:v>5.9710000000000001</c:v>
                </c:pt>
                <c:pt idx="412">
                  <c:v>5.7895000000000003</c:v>
                </c:pt>
                <c:pt idx="413">
                  <c:v>5.8917999999999999</c:v>
                </c:pt>
                <c:pt idx="414">
                  <c:v>6.0625</c:v>
                </c:pt>
                <c:pt idx="415">
                  <c:v>5.7706999999999997</c:v>
                </c:pt>
                <c:pt idx="416">
                  <c:v>6.1524999999999999</c:v>
                </c:pt>
                <c:pt idx="417">
                  <c:v>6.1707999999999998</c:v>
                </c:pt>
                <c:pt idx="418">
                  <c:v>6.1921999999999997</c:v>
                </c:pt>
                <c:pt idx="419">
                  <c:v>5.9515000000000002</c:v>
                </c:pt>
                <c:pt idx="420">
                  <c:v>6.5869999999999997</c:v>
                </c:pt>
                <c:pt idx="421">
                  <c:v>6.2375999999999996</c:v>
                </c:pt>
                <c:pt idx="422">
                  <c:v>6.1466000000000003</c:v>
                </c:pt>
                <c:pt idx="423">
                  <c:v>6.7458</c:v>
                </c:pt>
                <c:pt idx="424">
                  <c:v>6.3925999999999998</c:v>
                </c:pt>
                <c:pt idx="425">
                  <c:v>6.3268000000000004</c:v>
                </c:pt>
                <c:pt idx="426">
                  <c:v>6.2115</c:v>
                </c:pt>
                <c:pt idx="427">
                  <c:v>6.1403999999999996</c:v>
                </c:pt>
                <c:pt idx="428">
                  <c:v>6.95</c:v>
                </c:pt>
                <c:pt idx="429">
                  <c:v>7.2766999999999999</c:v>
                </c:pt>
                <c:pt idx="430">
                  <c:v>6.5685000000000002</c:v>
                </c:pt>
                <c:pt idx="431">
                  <c:v>6.0316000000000001</c:v>
                </c:pt>
                <c:pt idx="432">
                  <c:v>6.5853000000000002</c:v>
                </c:pt>
                <c:pt idx="433">
                  <c:v>6.0635000000000003</c:v>
                </c:pt>
                <c:pt idx="434">
                  <c:v>5.9188000000000001</c:v>
                </c:pt>
                <c:pt idx="435">
                  <c:v>6.0430999999999999</c:v>
                </c:pt>
                <c:pt idx="436">
                  <c:v>5.7751000000000001</c:v>
                </c:pt>
                <c:pt idx="437">
                  <c:v>5.3949999999999996</c:v>
                </c:pt>
                <c:pt idx="438">
                  <c:v>5.0240999999999998</c:v>
                </c:pt>
                <c:pt idx="439">
                  <c:v>5.0332999999999997</c:v>
                </c:pt>
                <c:pt idx="440">
                  <c:v>5.1344000000000003</c:v>
                </c:pt>
                <c:pt idx="441">
                  <c:v>5.0448000000000004</c:v>
                </c:pt>
                <c:pt idx="442">
                  <c:v>5.0917000000000003</c:v>
                </c:pt>
                <c:pt idx="443">
                  <c:v>5.1323999999999996</c:v>
                </c:pt>
                <c:pt idx="444">
                  <c:v>5.0282999999999998</c:v>
                </c:pt>
                <c:pt idx="445">
                  <c:v>5.1801000000000004</c:v>
                </c:pt>
                <c:pt idx="446">
                  <c:v>5.0770999999999997</c:v>
                </c:pt>
                <c:pt idx="447">
                  <c:v>5.3597000000000001</c:v>
                </c:pt>
                <c:pt idx="448">
                  <c:v>5.0979000000000001</c:v>
                </c:pt>
                <c:pt idx="449">
                  <c:v>4.8773999999999997</c:v>
                </c:pt>
                <c:pt idx="450">
                  <c:v>4.8865999999999996</c:v>
                </c:pt>
                <c:pt idx="451">
                  <c:v>4.9961000000000002</c:v>
                </c:pt>
                <c:pt idx="452">
                  <c:v>5.2434000000000003</c:v>
                </c:pt>
                <c:pt idx="453">
                  <c:v>5.2733999999999996</c:v>
                </c:pt>
                <c:pt idx="454">
                  <c:v>5.2584</c:v>
                </c:pt>
                <c:pt idx="455">
                  <c:v>5.4065000000000003</c:v>
                </c:pt>
                <c:pt idx="456">
                  <c:v>5.2713999999999999</c:v>
                </c:pt>
                <c:pt idx="457">
                  <c:v>5.4581999999999997</c:v>
                </c:pt>
                <c:pt idx="458">
                  <c:v>5.4349999999999996</c:v>
                </c:pt>
                <c:pt idx="459">
                  <c:v>5.5585000000000004</c:v>
                </c:pt>
                <c:pt idx="460">
                  <c:v>5.5289999999999999</c:v>
                </c:pt>
                <c:pt idx="461">
                  <c:v>5.4820000000000002</c:v>
                </c:pt>
                <c:pt idx="462">
                  <c:v>5.6120000000000001</c:v>
                </c:pt>
                <c:pt idx="463">
                  <c:v>5.3379000000000003</c:v>
                </c:pt>
                <c:pt idx="464">
                  <c:v>5.0807000000000002</c:v>
                </c:pt>
                <c:pt idx="465">
                  <c:v>5.2085999999999997</c:v>
                </c:pt>
                <c:pt idx="466">
                  <c:v>5.2282000000000002</c:v>
                </c:pt>
                <c:pt idx="467">
                  <c:v>5.1938000000000004</c:v>
                </c:pt>
                <c:pt idx="468">
                  <c:v>5.1737000000000002</c:v>
                </c:pt>
                <c:pt idx="469">
                  <c:v>5.3320999999999996</c:v>
                </c:pt>
                <c:pt idx="470">
                  <c:v>5.3811999999999998</c:v>
                </c:pt>
                <c:pt idx="471">
                  <c:v>5.3502000000000001</c:v>
                </c:pt>
                <c:pt idx="472">
                  <c:v>5.4482999999999997</c:v>
                </c:pt>
                <c:pt idx="473">
                  <c:v>5.4279999999999999</c:v>
                </c:pt>
                <c:pt idx="474">
                  <c:v>5.2712000000000003</c:v>
                </c:pt>
                <c:pt idx="475">
                  <c:v>5.2674000000000003</c:v>
                </c:pt>
                <c:pt idx="476">
                  <c:v>5.1745000000000001</c:v>
                </c:pt>
                <c:pt idx="477">
                  <c:v>5.1736000000000004</c:v>
                </c:pt>
                <c:pt idx="478">
                  <c:v>5.2388000000000003</c:v>
                </c:pt>
                <c:pt idx="479">
                  <c:v>5.0997000000000003</c:v>
                </c:pt>
                <c:pt idx="480">
                  <c:v>5.1535000000000002</c:v>
                </c:pt>
                <c:pt idx="481">
                  <c:v>5.1341000000000001</c:v>
                </c:pt>
                <c:pt idx="482">
                  <c:v>5.1802000000000001</c:v>
                </c:pt>
                <c:pt idx="483">
                  <c:v>5.3287000000000004</c:v>
                </c:pt>
                <c:pt idx="484">
                  <c:v>5.3971999999999998</c:v>
                </c:pt>
                <c:pt idx="485">
                  <c:v>5.4137000000000004</c:v>
                </c:pt>
                <c:pt idx="486">
                  <c:v>5.4109999999999996</c:v>
                </c:pt>
                <c:pt idx="487">
                  <c:v>5.444</c:v>
                </c:pt>
                <c:pt idx="488">
                  <c:v>5.3620999999999999</c:v>
                </c:pt>
                <c:pt idx="489">
                  <c:v>4.9771999999999998</c:v>
                </c:pt>
                <c:pt idx="490">
                  <c:v>4.9687999999999999</c:v>
                </c:pt>
                <c:pt idx="491">
                  <c:v>4.8357000000000001</c:v>
                </c:pt>
                <c:pt idx="492">
                  <c:v>4.9452999999999996</c:v>
                </c:pt>
                <c:pt idx="493">
                  <c:v>4.8160999999999996</c:v>
                </c:pt>
                <c:pt idx="494">
                  <c:v>5.0895000000000001</c:v>
                </c:pt>
                <c:pt idx="495">
                  <c:v>5.2176999999999998</c:v>
                </c:pt>
                <c:pt idx="496">
                  <c:v>5.1853999999999996</c:v>
                </c:pt>
                <c:pt idx="497">
                  <c:v>5.2042999999999999</c:v>
                </c:pt>
                <c:pt idx="498">
                  <c:v>5.1178999999999997</c:v>
                </c:pt>
                <c:pt idx="499">
                  <c:v>5.1688000000000001</c:v>
                </c:pt>
                <c:pt idx="500">
                  <c:v>5.1494</c:v>
                </c:pt>
                <c:pt idx="501">
                  <c:v>5.0599999999999996</c:v>
                </c:pt>
                <c:pt idx="502">
                  <c:v>5.2316000000000003</c:v>
                </c:pt>
                <c:pt idx="503">
                  <c:v>5.2164000000000001</c:v>
                </c:pt>
                <c:pt idx="504">
                  <c:v>5.1856</c:v>
                </c:pt>
                <c:pt idx="505">
                  <c:v>5.0505000000000004</c:v>
                </c:pt>
                <c:pt idx="506">
                  <c:v>5.0881999999999996</c:v>
                </c:pt>
                <c:pt idx="507">
                  <c:v>5.0983000000000001</c:v>
                </c:pt>
                <c:pt idx="508">
                  <c:v>5.1492000000000004</c:v>
                </c:pt>
                <c:pt idx="509">
                  <c:v>5.0229999999999997</c:v>
                </c:pt>
                <c:pt idx="510">
                  <c:v>5.3018000000000001</c:v>
                </c:pt>
                <c:pt idx="511">
                  <c:v>5.4848999999999997</c:v>
                </c:pt>
                <c:pt idx="512">
                  <c:v>6.2946</c:v>
                </c:pt>
                <c:pt idx="513">
                  <c:v>6.7359</c:v>
                </c:pt>
                <c:pt idx="514">
                  <c:v>6.5857999999999999</c:v>
                </c:pt>
                <c:pt idx="515">
                  <c:v>6.6906999999999996</c:v>
                </c:pt>
                <c:pt idx="516">
                  <c:v>6.4926000000000004</c:v>
                </c:pt>
                <c:pt idx="517">
                  <c:v>6.5278</c:v>
                </c:pt>
                <c:pt idx="518">
                  <c:v>6.3544</c:v>
                </c:pt>
                <c:pt idx="519">
                  <c:v>6.46</c:v>
                </c:pt>
                <c:pt idx="520">
                  <c:v>6.4691999999999998</c:v>
                </c:pt>
                <c:pt idx="521">
                  <c:v>6.8536999999999999</c:v>
                </c:pt>
                <c:pt idx="522">
                  <c:v>6.7587999999999999</c:v>
                </c:pt>
                <c:pt idx="523">
                  <c:v>6.7702</c:v>
                </c:pt>
                <c:pt idx="524">
                  <c:v>6.6323999999999996</c:v>
                </c:pt>
                <c:pt idx="525">
                  <c:v>6.9695999999999998</c:v>
                </c:pt>
                <c:pt idx="526">
                  <c:v>6.798</c:v>
                </c:pt>
                <c:pt idx="527">
                  <c:v>7.2702</c:v>
                </c:pt>
                <c:pt idx="528">
                  <c:v>7.3883999999999999</c:v>
                </c:pt>
                <c:pt idx="529">
                  <c:v>7.2478999999999996</c:v>
                </c:pt>
                <c:pt idx="530">
                  <c:v>7.1731999999999996</c:v>
                </c:pt>
                <c:pt idx="531">
                  <c:v>6.8833000000000002</c:v>
                </c:pt>
                <c:pt idx="532">
                  <c:v>6.9236000000000004</c:v>
                </c:pt>
                <c:pt idx="533">
                  <c:v>6.7534999999999998</c:v>
                </c:pt>
                <c:pt idx="534">
                  <c:v>6.7430000000000003</c:v>
                </c:pt>
                <c:pt idx="535">
                  <c:v>7.0648999999999997</c:v>
                </c:pt>
                <c:pt idx="536">
                  <c:v>6.8798000000000004</c:v>
                </c:pt>
                <c:pt idx="537">
                  <c:v>6.9377000000000004</c:v>
                </c:pt>
                <c:pt idx="538">
                  <c:v>6.8756000000000004</c:v>
                </c:pt>
                <c:pt idx="539">
                  <c:v>7.0997000000000003</c:v>
                </c:pt>
                <c:pt idx="540">
                  <c:v>7.2239000000000004</c:v>
                </c:pt>
                <c:pt idx="541">
                  <c:v>7.1390000000000002</c:v>
                </c:pt>
                <c:pt idx="542">
                  <c:v>7.1657999999999999</c:v>
                </c:pt>
                <c:pt idx="543">
                  <c:v>7.1939000000000002</c:v>
                </c:pt>
                <c:pt idx="544">
                  <c:v>7.8330000000000002</c:v>
                </c:pt>
                <c:pt idx="545">
                  <c:v>7.3975999999999997</c:v>
                </c:pt>
                <c:pt idx="546">
                  <c:v>7.3422000000000001</c:v>
                </c:pt>
                <c:pt idx="547">
                  <c:v>7.2644000000000002</c:v>
                </c:pt>
                <c:pt idx="548">
                  <c:v>7.2125000000000004</c:v>
                </c:pt>
                <c:pt idx="549">
                  <c:v>7.1166999999999998</c:v>
                </c:pt>
                <c:pt idx="550">
                  <c:v>6.6357999999999997</c:v>
                </c:pt>
                <c:pt idx="551">
                  <c:v>6.7066999999999997</c:v>
                </c:pt>
                <c:pt idx="552">
                  <c:v>6.2548000000000004</c:v>
                </c:pt>
                <c:pt idx="553">
                  <c:v>6.4401999999999999</c:v>
                </c:pt>
                <c:pt idx="554">
                  <c:v>6.3569000000000004</c:v>
                </c:pt>
                <c:pt idx="555">
                  <c:v>6.1908000000000003</c:v>
                </c:pt>
                <c:pt idx="556">
                  <c:v>6.0289000000000001</c:v>
                </c:pt>
                <c:pt idx="557">
                  <c:v>6.1003999999999996</c:v>
                </c:pt>
                <c:pt idx="558">
                  <c:v>6.0518000000000001</c:v>
                </c:pt>
                <c:pt idx="559">
                  <c:v>6.0289999999999999</c:v>
                </c:pt>
                <c:pt idx="560">
                  <c:v>6.0316999999999998</c:v>
                </c:pt>
                <c:pt idx="561">
                  <c:v>6.2218999999999998</c:v>
                </c:pt>
                <c:pt idx="562">
                  <c:v>6.3273000000000001</c:v>
                </c:pt>
                <c:pt idx="563">
                  <c:v>6.3014999999999999</c:v>
                </c:pt>
                <c:pt idx="564">
                  <c:v>6.4603000000000002</c:v>
                </c:pt>
                <c:pt idx="565">
                  <c:v>6.5016999999999996</c:v>
                </c:pt>
                <c:pt idx="566">
                  <c:v>6.3821000000000003</c:v>
                </c:pt>
                <c:pt idx="567">
                  <c:v>6.6456</c:v>
                </c:pt>
                <c:pt idx="568">
                  <c:v>6.6340000000000003</c:v>
                </c:pt>
                <c:pt idx="569">
                  <c:v>6.2191999999999998</c:v>
                </c:pt>
                <c:pt idx="570">
                  <c:v>6.1047000000000002</c:v>
                </c:pt>
                <c:pt idx="571">
                  <c:v>5.6497999999999999</c:v>
                </c:pt>
                <c:pt idx="572">
                  <c:v>5.6977000000000002</c:v>
                </c:pt>
                <c:pt idx="573">
                  <c:v>5.6482999999999999</c:v>
                </c:pt>
                <c:pt idx="574">
                  <c:v>5.6407999999999996</c:v>
                </c:pt>
                <c:pt idx="575">
                  <c:v>5.7095000000000002</c:v>
                </c:pt>
                <c:pt idx="576">
                  <c:v>5.7283999999999997</c:v>
                </c:pt>
                <c:pt idx="577">
                  <c:v>5.8253000000000004</c:v>
                </c:pt>
                <c:pt idx="578">
                  <c:v>5.7511000000000001</c:v>
                </c:pt>
                <c:pt idx="579">
                  <c:v>5.5890000000000004</c:v>
                </c:pt>
                <c:pt idx="580">
                  <c:v>6.0439999999999996</c:v>
                </c:pt>
                <c:pt idx="581">
                  <c:v>6.1534000000000004</c:v>
                </c:pt>
                <c:pt idx="582">
                  <c:v>6.2228000000000003</c:v>
                </c:pt>
                <c:pt idx="583">
                  <c:v>6.3734999999999999</c:v>
                </c:pt>
                <c:pt idx="584">
                  <c:v>6.3745000000000003</c:v>
                </c:pt>
                <c:pt idx="585">
                  <c:v>6.2125000000000004</c:v>
                </c:pt>
                <c:pt idx="586">
                  <c:v>6.2618999999999998</c:v>
                </c:pt>
                <c:pt idx="587">
                  <c:v>6.3406000000000002</c:v>
                </c:pt>
                <c:pt idx="588">
                  <c:v>6.2084999999999999</c:v>
                </c:pt>
                <c:pt idx="589">
                  <c:v>6.2823000000000002</c:v>
                </c:pt>
                <c:pt idx="590">
                  <c:v>6.2526999999999999</c:v>
                </c:pt>
                <c:pt idx="591">
                  <c:v>6.2413999999999996</c:v>
                </c:pt>
                <c:pt idx="592">
                  <c:v>6.3164999999999996</c:v>
                </c:pt>
                <c:pt idx="593">
                  <c:v>6.4923000000000002</c:v>
                </c:pt>
                <c:pt idx="594">
                  <c:v>6.4047999999999998</c:v>
                </c:pt>
                <c:pt idx="595">
                  <c:v>6.2640000000000002</c:v>
                </c:pt>
                <c:pt idx="596">
                  <c:v>6.8083999999999998</c:v>
                </c:pt>
                <c:pt idx="597">
                  <c:v>6.7826000000000004</c:v>
                </c:pt>
                <c:pt idx="598">
                  <c:v>6.9004000000000003</c:v>
                </c:pt>
                <c:pt idx="599">
                  <c:v>6.8326000000000002</c:v>
                </c:pt>
                <c:pt idx="600">
                  <c:v>6.8620000000000001</c:v>
                </c:pt>
                <c:pt idx="601">
                  <c:v>6.8436000000000003</c:v>
                </c:pt>
                <c:pt idx="602">
                  <c:v>6.9151999999999996</c:v>
                </c:pt>
                <c:pt idx="603">
                  <c:v>6.9413</c:v>
                </c:pt>
                <c:pt idx="604">
                  <c:v>6.9781000000000004</c:v>
                </c:pt>
                <c:pt idx="605">
                  <c:v>7.2045000000000003</c:v>
                </c:pt>
                <c:pt idx="606">
                  <c:v>6.9387999999999996</c:v>
                </c:pt>
                <c:pt idx="607">
                  <c:v>7.4927999999999999</c:v>
                </c:pt>
                <c:pt idx="608">
                  <c:v>7.2253999999999996</c:v>
                </c:pt>
                <c:pt idx="609">
                  <c:v>6.8609</c:v>
                </c:pt>
                <c:pt idx="610">
                  <c:v>6.7756999999999996</c:v>
                </c:pt>
                <c:pt idx="611">
                  <c:v>6.7080000000000002</c:v>
                </c:pt>
                <c:pt idx="612">
                  <c:v>6.8067000000000002</c:v>
                </c:pt>
                <c:pt idx="613">
                  <c:v>6.5819000000000001</c:v>
                </c:pt>
                <c:pt idx="614">
                  <c:v>6.5575000000000001</c:v>
                </c:pt>
                <c:pt idx="615">
                  <c:v>6.4631999999999996</c:v>
                </c:pt>
                <c:pt idx="616">
                  <c:v>6.1254999999999997</c:v>
                </c:pt>
                <c:pt idx="617">
                  <c:v>6.4512999999999998</c:v>
                </c:pt>
                <c:pt idx="618">
                  <c:v>6.6711999999999998</c:v>
                </c:pt>
                <c:pt idx="619">
                  <c:v>6.7119999999999997</c:v>
                </c:pt>
                <c:pt idx="620">
                  <c:v>6.6574999999999998</c:v>
                </c:pt>
                <c:pt idx="621">
                  <c:v>6.6938000000000004</c:v>
                </c:pt>
                <c:pt idx="622">
                  <c:v>6.5011000000000001</c:v>
                </c:pt>
                <c:pt idx="623">
                  <c:v>6.2778999999999998</c:v>
                </c:pt>
                <c:pt idx="624">
                  <c:v>6.2145000000000001</c:v>
                </c:pt>
                <c:pt idx="625">
                  <c:v>6.0888</c:v>
                </c:pt>
                <c:pt idx="626">
                  <c:v>6.0164999999999997</c:v>
                </c:pt>
                <c:pt idx="627">
                  <c:v>6.1909000000000001</c:v>
                </c:pt>
                <c:pt idx="628">
                  <c:v>7.0544000000000002</c:v>
                </c:pt>
                <c:pt idx="629">
                  <c:v>7.1444999999999999</c:v>
                </c:pt>
                <c:pt idx="630">
                  <c:v>7.09</c:v>
                </c:pt>
                <c:pt idx="631">
                  <c:v>6.8379000000000003</c:v>
                </c:pt>
                <c:pt idx="632">
                  <c:v>7.1905000000000001</c:v>
                </c:pt>
                <c:pt idx="633">
                  <c:v>7.2140000000000004</c:v>
                </c:pt>
                <c:pt idx="634">
                  <c:v>7.2077</c:v>
                </c:pt>
                <c:pt idx="635">
                  <c:v>7.4718999999999998</c:v>
                </c:pt>
                <c:pt idx="636">
                  <c:v>6.6470000000000002</c:v>
                </c:pt>
                <c:pt idx="637">
                  <c:v>6.4417999999999997</c:v>
                </c:pt>
                <c:pt idx="638">
                  <c:v>6.7432999999999996</c:v>
                </c:pt>
                <c:pt idx="639">
                  <c:v>6.1422999999999996</c:v>
                </c:pt>
                <c:pt idx="640">
                  <c:v>6.1029999999999998</c:v>
                </c:pt>
                <c:pt idx="641">
                  <c:v>6.2159000000000004</c:v>
                </c:pt>
                <c:pt idx="642">
                  <c:v>5.75</c:v>
                </c:pt>
                <c:pt idx="643">
                  <c:v>5.5930999999999997</c:v>
                </c:pt>
                <c:pt idx="644">
                  <c:v>5.6028000000000002</c:v>
                </c:pt>
                <c:pt idx="645">
                  <c:v>5.3867000000000003</c:v>
                </c:pt>
                <c:pt idx="646">
                  <c:v>5.1993</c:v>
                </c:pt>
                <c:pt idx="647">
                  <c:v>5.2248999999999999</c:v>
                </c:pt>
                <c:pt idx="648">
                  <c:v>5.4795999999999996</c:v>
                </c:pt>
                <c:pt idx="649">
                  <c:v>5.6573000000000002</c:v>
                </c:pt>
                <c:pt idx="650">
                  <c:v>5.3707000000000003</c:v>
                </c:pt>
                <c:pt idx="651">
                  <c:v>5.4755000000000003</c:v>
                </c:pt>
                <c:pt idx="652">
                  <c:v>5.1002000000000001</c:v>
                </c:pt>
                <c:pt idx="653">
                  <c:v>5.2449000000000003</c:v>
                </c:pt>
                <c:pt idx="654">
                  <c:v>5.1805000000000003</c:v>
                </c:pt>
                <c:pt idx="655">
                  <c:v>5.3144999999999998</c:v>
                </c:pt>
                <c:pt idx="656">
                  <c:v>5.2804000000000002</c:v>
                </c:pt>
                <c:pt idx="657">
                  <c:v>5.2477999999999998</c:v>
                </c:pt>
                <c:pt idx="658">
                  <c:v>5.8893000000000004</c:v>
                </c:pt>
                <c:pt idx="659">
                  <c:v>5.8255999999999997</c:v>
                </c:pt>
                <c:pt idx="660">
                  <c:v>5.4748999999999999</c:v>
                </c:pt>
                <c:pt idx="661">
                  <c:v>5.6196999999999999</c:v>
                </c:pt>
                <c:pt idx="662">
                  <c:v>5.0296000000000003</c:v>
                </c:pt>
                <c:pt idx="663">
                  <c:v>5.1474000000000002</c:v>
                </c:pt>
                <c:pt idx="664">
                  <c:v>5.1163999999999996</c:v>
                </c:pt>
                <c:pt idx="665">
                  <c:v>5.0956999999999999</c:v>
                </c:pt>
                <c:pt idx="666">
                  <c:v>5.0254000000000003</c:v>
                </c:pt>
                <c:pt idx="667">
                  <c:v>4.9340999999999999</c:v>
                </c:pt>
                <c:pt idx="668">
                  <c:v>4.9528999999999996</c:v>
                </c:pt>
                <c:pt idx="669">
                  <c:v>4.8125999999999998</c:v>
                </c:pt>
                <c:pt idx="670">
                  <c:v>4.8132999999999999</c:v>
                </c:pt>
                <c:pt idx="671">
                  <c:v>4.9208999999999996</c:v>
                </c:pt>
                <c:pt idx="672">
                  <c:v>5.0968</c:v>
                </c:pt>
                <c:pt idx="673">
                  <c:v>5.0180999999999996</c:v>
                </c:pt>
                <c:pt idx="674">
                  <c:v>5.0656999999999996</c:v>
                </c:pt>
                <c:pt idx="675">
                  <c:v>4.9668999999999999</c:v>
                </c:pt>
                <c:pt idx="676">
                  <c:v>4.5934999999999997</c:v>
                </c:pt>
                <c:pt idx="677">
                  <c:v>5.008</c:v>
                </c:pt>
                <c:pt idx="678">
                  <c:v>4.8868999999999998</c:v>
                </c:pt>
                <c:pt idx="679">
                  <c:v>5.0403000000000002</c:v>
                </c:pt>
                <c:pt idx="680">
                  <c:v>4.6039000000000003</c:v>
                </c:pt>
                <c:pt idx="681">
                  <c:v>4.6047000000000002</c:v>
                </c:pt>
                <c:pt idx="682">
                  <c:v>4.4987000000000004</c:v>
                </c:pt>
                <c:pt idx="683">
                  <c:v>5.0484</c:v>
                </c:pt>
                <c:pt idx="684">
                  <c:v>4.5898000000000003</c:v>
                </c:pt>
                <c:pt idx="685">
                  <c:v>4.8432000000000004</c:v>
                </c:pt>
                <c:pt idx="686">
                  <c:v>3.7168000000000001</c:v>
                </c:pt>
                <c:pt idx="687">
                  <c:v>6.5922000000000001</c:v>
                </c:pt>
                <c:pt idx="688">
                  <c:v>6.8285</c:v>
                </c:pt>
                <c:pt idx="689">
                  <c:v>6.9302000000000001</c:v>
                </c:pt>
                <c:pt idx="690">
                  <c:v>6.4442000000000004</c:v>
                </c:pt>
                <c:pt idx="691">
                  <c:v>7.8017000000000003</c:v>
                </c:pt>
                <c:pt idx="692">
                  <c:v>8.2188999999999997</c:v>
                </c:pt>
                <c:pt idx="693">
                  <c:v>8.1747999999999994</c:v>
                </c:pt>
                <c:pt idx="694">
                  <c:v>7.9381000000000004</c:v>
                </c:pt>
                <c:pt idx="695">
                  <c:v>8.4781999999999993</c:v>
                </c:pt>
                <c:pt idx="696">
                  <c:v>8.4559999999999995</c:v>
                </c:pt>
                <c:pt idx="697">
                  <c:v>7.7346000000000004</c:v>
                </c:pt>
                <c:pt idx="698">
                  <c:v>7.3540000000000001</c:v>
                </c:pt>
                <c:pt idx="699">
                  <c:v>7.4528999999999996</c:v>
                </c:pt>
                <c:pt idx="700">
                  <c:v>7.7165999999999997</c:v>
                </c:pt>
                <c:pt idx="701">
                  <c:v>7.6822999999999997</c:v>
                </c:pt>
                <c:pt idx="702">
                  <c:v>9.1742000000000008</c:v>
                </c:pt>
                <c:pt idx="703">
                  <c:v>9.3481000000000005</c:v>
                </c:pt>
                <c:pt idx="704">
                  <c:v>9.7439</c:v>
                </c:pt>
                <c:pt idx="705">
                  <c:v>9.4957999999999991</c:v>
                </c:pt>
                <c:pt idx="706">
                  <c:v>9.4156999999999993</c:v>
                </c:pt>
                <c:pt idx="707">
                  <c:v>8.8702000000000005</c:v>
                </c:pt>
                <c:pt idx="708">
                  <c:v>8.8130000000000006</c:v>
                </c:pt>
                <c:pt idx="709">
                  <c:v>9.8628999999999998</c:v>
                </c:pt>
                <c:pt idx="710">
                  <c:v>9.6791999999999998</c:v>
                </c:pt>
                <c:pt idx="711">
                  <c:v>9.5637000000000008</c:v>
                </c:pt>
                <c:pt idx="712">
                  <c:v>10.406599999999999</c:v>
                </c:pt>
                <c:pt idx="713">
                  <c:v>12.009399999999999</c:v>
                </c:pt>
                <c:pt idx="714">
                  <c:v>12.055</c:v>
                </c:pt>
                <c:pt idx="715">
                  <c:v>12.2074</c:v>
                </c:pt>
                <c:pt idx="716">
                  <c:v>11.96</c:v>
                </c:pt>
                <c:pt idx="717">
                  <c:v>11.838699999999999</c:v>
                </c:pt>
                <c:pt idx="718">
                  <c:v>11.702500000000001</c:v>
                </c:pt>
                <c:pt idx="719">
                  <c:v>11.698399999999999</c:v>
                </c:pt>
                <c:pt idx="720">
                  <c:v>11.6967</c:v>
                </c:pt>
                <c:pt idx="721">
                  <c:v>12.113200000000001</c:v>
                </c:pt>
                <c:pt idx="722">
                  <c:v>12.3345</c:v>
                </c:pt>
                <c:pt idx="723">
                  <c:v>11.411099999999999</c:v>
                </c:pt>
                <c:pt idx="724">
                  <c:v>11.7782</c:v>
                </c:pt>
                <c:pt idx="725">
                  <c:v>11.3658</c:v>
                </c:pt>
                <c:pt idx="726">
                  <c:v>11.5282</c:v>
                </c:pt>
                <c:pt idx="727">
                  <c:v>11.337999999999999</c:v>
                </c:pt>
                <c:pt idx="728">
                  <c:v>12.2842</c:v>
                </c:pt>
                <c:pt idx="729">
                  <c:v>12.223100000000001</c:v>
                </c:pt>
                <c:pt idx="730">
                  <c:v>11.3697</c:v>
                </c:pt>
                <c:pt idx="731">
                  <c:v>10.4161</c:v>
                </c:pt>
                <c:pt idx="732">
                  <c:v>9.19</c:v>
                </c:pt>
                <c:pt idx="733">
                  <c:v>8.3965999999999994</c:v>
                </c:pt>
                <c:pt idx="734">
                  <c:v>8.6118000000000006</c:v>
                </c:pt>
                <c:pt idx="735">
                  <c:v>8.4420999999999999</c:v>
                </c:pt>
                <c:pt idx="736">
                  <c:v>9.3457000000000008</c:v>
                </c:pt>
                <c:pt idx="737">
                  <c:v>8.9429999999999996</c:v>
                </c:pt>
                <c:pt idx="738">
                  <c:v>8.6347000000000005</c:v>
                </c:pt>
                <c:pt idx="739">
                  <c:v>8.5267999999999997</c:v>
                </c:pt>
                <c:pt idx="740">
                  <c:v>8.2943999999999996</c:v>
                </c:pt>
                <c:pt idx="741">
                  <c:v>9.4792000000000005</c:v>
                </c:pt>
                <c:pt idx="742">
                  <c:v>8.4139999999999997</c:v>
                </c:pt>
                <c:pt idx="743">
                  <c:v>7.9911000000000003</c:v>
                </c:pt>
                <c:pt idx="744">
                  <c:v>6.7895000000000003</c:v>
                </c:pt>
                <c:pt idx="745">
                  <c:v>5.4676999999999998</c:v>
                </c:pt>
                <c:pt idx="746">
                  <c:v>5.5765000000000002</c:v>
                </c:pt>
                <c:pt idx="747">
                  <c:v>5.5704000000000002</c:v>
                </c:pt>
                <c:pt idx="748">
                  <c:v>5.36</c:v>
                </c:pt>
                <c:pt idx="749">
                  <c:v>5.1848000000000001</c:v>
                </c:pt>
                <c:pt idx="750">
                  <c:v>4.9520999999999997</c:v>
                </c:pt>
                <c:pt idx="751">
                  <c:v>4.8343999999999996</c:v>
                </c:pt>
                <c:pt idx="752">
                  <c:v>5.0332999999999997</c:v>
                </c:pt>
                <c:pt idx="753">
                  <c:v>4.8784000000000001</c:v>
                </c:pt>
                <c:pt idx="754">
                  <c:v>4.7598000000000003</c:v>
                </c:pt>
                <c:pt idx="755">
                  <c:v>4.5768000000000004</c:v>
                </c:pt>
                <c:pt idx="756">
                  <c:v>4.2282999999999999</c:v>
                </c:pt>
                <c:pt idx="757">
                  <c:v>4.5034999999999998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2-4861-9A5B-C5DF707936A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2.2593139491723147</c:v>
                </c:pt>
                <c:pt idx="1">
                  <c:v>2.260471013062558</c:v>
                </c:pt>
                <c:pt idx="2">
                  <c:v>2.2680111534888354</c:v>
                </c:pt>
                <c:pt idx="3">
                  <c:v>2.2599832318888358</c:v>
                </c:pt>
                <c:pt idx="4">
                  <c:v>2.2465931129934869</c:v>
                </c:pt>
                <c:pt idx="5">
                  <c:v>2.2297672406256708</c:v>
                </c:pt>
                <c:pt idx="6">
                  <c:v>2.2227052364585278</c:v>
                </c:pt>
                <c:pt idx="7">
                  <c:v>2.2421278284474098</c:v>
                </c:pt>
                <c:pt idx="8">
                  <c:v>2.2478644336667126</c:v>
                </c:pt>
                <c:pt idx="9">
                  <c:v>2.2771798577493212</c:v>
                </c:pt>
                <c:pt idx="10">
                  <c:v>2.2741902283567597</c:v>
                </c:pt>
                <c:pt idx="11">
                  <c:v>2.2767600512883654</c:v>
                </c:pt>
                <c:pt idx="12">
                  <c:v>2.2778981129474563</c:v>
                </c:pt>
                <c:pt idx="13">
                  <c:v>2.2752281068398617</c:v>
                </c:pt>
                <c:pt idx="14">
                  <c:v>2.2733048155793965</c:v>
                </c:pt>
                <c:pt idx="15">
                  <c:v>2.2785317090354407</c:v>
                </c:pt>
                <c:pt idx="16">
                  <c:v>2.2731957005178964</c:v>
                </c:pt>
                <c:pt idx="17">
                  <c:v>2.2686101604516313</c:v>
                </c:pt>
                <c:pt idx="18">
                  <c:v>2.2704600307103457</c:v>
                </c:pt>
                <c:pt idx="19">
                  <c:v>2.2701691933103452</c:v>
                </c:pt>
                <c:pt idx="20">
                  <c:v>2.2724424395863752</c:v>
                </c:pt>
                <c:pt idx="21">
                  <c:v>2.2726164673010469</c:v>
                </c:pt>
                <c:pt idx="22">
                  <c:v>2.2694405764902363</c:v>
                </c:pt>
                <c:pt idx="23">
                  <c:v>2.2727311000199166</c:v>
                </c:pt>
                <c:pt idx="24">
                  <c:v>2.2751899620461464</c:v>
                </c:pt>
                <c:pt idx="25">
                  <c:v>2.275668054738146</c:v>
                </c:pt>
                <c:pt idx="26">
                  <c:v>2.2741870027761211</c:v>
                </c:pt>
                <c:pt idx="27">
                  <c:v>2.2709370916678853</c:v>
                </c:pt>
                <c:pt idx="28">
                  <c:v>2.2743441565127287</c:v>
                </c:pt>
                <c:pt idx="29">
                  <c:v>2.2721200379655588</c:v>
                </c:pt>
                <c:pt idx="30">
                  <c:v>2.2760366476877807</c:v>
                </c:pt>
                <c:pt idx="31">
                  <c:v>2.2839448309348396</c:v>
                </c:pt>
                <c:pt idx="32">
                  <c:v>2.288536412227943</c:v>
                </c:pt>
                <c:pt idx="33">
                  <c:v>2.286403145987943</c:v>
                </c:pt>
                <c:pt idx="34">
                  <c:v>2.285843103370659</c:v>
                </c:pt>
                <c:pt idx="35">
                  <c:v>2.2891590555960111</c:v>
                </c:pt>
                <c:pt idx="36">
                  <c:v>2.2823224224850738</c:v>
                </c:pt>
                <c:pt idx="37">
                  <c:v>2.2838331036644854</c:v>
                </c:pt>
                <c:pt idx="38">
                  <c:v>2.280364046630587</c:v>
                </c:pt>
                <c:pt idx="39">
                  <c:v>2.2796774534054562</c:v>
                </c:pt>
                <c:pt idx="40">
                  <c:v>2.2844940082560892</c:v>
                </c:pt>
                <c:pt idx="41">
                  <c:v>2.2825089992607137</c:v>
                </c:pt>
                <c:pt idx="42">
                  <c:v>2.28312773097693</c:v>
                </c:pt>
                <c:pt idx="43">
                  <c:v>2.2895242302163585</c:v>
                </c:pt>
                <c:pt idx="44">
                  <c:v>2.2803135592388433</c:v>
                </c:pt>
                <c:pt idx="45">
                  <c:v>2.2771568727707585</c:v>
                </c:pt>
                <c:pt idx="46">
                  <c:v>2.2859241468985121</c:v>
                </c:pt>
                <c:pt idx="47">
                  <c:v>2.283990939069596</c:v>
                </c:pt>
                <c:pt idx="48">
                  <c:v>2.2831430284473742</c:v>
                </c:pt>
                <c:pt idx="49">
                  <c:v>2.2954709061865048</c:v>
                </c:pt>
                <c:pt idx="50">
                  <c:v>2.3049121120585747</c:v>
                </c:pt>
                <c:pt idx="51">
                  <c:v>2.2910382749060321</c:v>
                </c:pt>
                <c:pt idx="52">
                  <c:v>2.2907247621126987</c:v>
                </c:pt>
                <c:pt idx="53">
                  <c:v>2.2666868276126988</c:v>
                </c:pt>
                <c:pt idx="54">
                  <c:v>2.2653485643987623</c:v>
                </c:pt>
                <c:pt idx="55">
                  <c:v>2.2417918630057843</c:v>
                </c:pt>
                <c:pt idx="56">
                  <c:v>2.2457665735851102</c:v>
                </c:pt>
                <c:pt idx="57">
                  <c:v>2.2464892339315616</c:v>
                </c:pt>
                <c:pt idx="58">
                  <c:v>2.2498094571862493</c:v>
                </c:pt>
                <c:pt idx="59">
                  <c:v>2.248695849666094</c:v>
                </c:pt>
                <c:pt idx="60">
                  <c:v>2.2468305394132737</c:v>
                </c:pt>
                <c:pt idx="61">
                  <c:v>2.2383951305100478</c:v>
                </c:pt>
                <c:pt idx="62">
                  <c:v>2.2409946668987697</c:v>
                </c:pt>
                <c:pt idx="63">
                  <c:v>2.2497191807475989</c:v>
                </c:pt>
                <c:pt idx="64">
                  <c:v>2.2508526566155136</c:v>
                </c:pt>
                <c:pt idx="65">
                  <c:v>2.2528143546539749</c:v>
                </c:pt>
                <c:pt idx="66">
                  <c:v>2.2456339852460543</c:v>
                </c:pt>
                <c:pt idx="67">
                  <c:v>2.2503095520360183</c:v>
                </c:pt>
                <c:pt idx="68">
                  <c:v>2.2542980808915742</c:v>
                </c:pt>
                <c:pt idx="69">
                  <c:v>2.2474560439319249</c:v>
                </c:pt>
                <c:pt idx="70">
                  <c:v>2.2367099783965156</c:v>
                </c:pt>
                <c:pt idx="71">
                  <c:v>2.2430226730760334</c:v>
                </c:pt>
                <c:pt idx="72">
                  <c:v>2.2332059753435436</c:v>
                </c:pt>
                <c:pt idx="73">
                  <c:v>2.2353871704652368</c:v>
                </c:pt>
                <c:pt idx="74">
                  <c:v>2.2402175155181783</c:v>
                </c:pt>
                <c:pt idx="75">
                  <c:v>2.2381266920293927</c:v>
                </c:pt>
                <c:pt idx="76">
                  <c:v>2.2307244979489584</c:v>
                </c:pt>
                <c:pt idx="77">
                  <c:v>2.2327629661345005</c:v>
                </c:pt>
                <c:pt idx="78">
                  <c:v>2.2321480034208476</c:v>
                </c:pt>
                <c:pt idx="79">
                  <c:v>2.2493899619991256</c:v>
                </c:pt>
                <c:pt idx="80">
                  <c:v>2.2435777587829664</c:v>
                </c:pt>
                <c:pt idx="81">
                  <c:v>2.2292287285415981</c:v>
                </c:pt>
                <c:pt idx="82">
                  <c:v>2.2248776638741106</c:v>
                </c:pt>
                <c:pt idx="83">
                  <c:v>2.2207260909289048</c:v>
                </c:pt>
                <c:pt idx="84">
                  <c:v>2.2228931216136183</c:v>
                </c:pt>
                <c:pt idx="85">
                  <c:v>2.2275142180210654</c:v>
                </c:pt>
                <c:pt idx="86">
                  <c:v>2.2247755341387871</c:v>
                </c:pt>
                <c:pt idx="87">
                  <c:v>2.2191170268809741</c:v>
                </c:pt>
                <c:pt idx="88">
                  <c:v>2.2175051553070908</c:v>
                </c:pt>
                <c:pt idx="89">
                  <c:v>2.2305057758208631</c:v>
                </c:pt>
                <c:pt idx="90">
                  <c:v>2.2292533459146902</c:v>
                </c:pt>
                <c:pt idx="91">
                  <c:v>2.2184693835795444</c:v>
                </c:pt>
                <c:pt idx="92">
                  <c:v>2.2019255771626489</c:v>
                </c:pt>
                <c:pt idx="93">
                  <c:v>2.2020786622693684</c:v>
                </c:pt>
                <c:pt idx="94">
                  <c:v>2.2086274833767048</c:v>
                </c:pt>
                <c:pt idx="95">
                  <c:v>2.2096191338032947</c:v>
                </c:pt>
                <c:pt idx="96">
                  <c:v>2.2087128588813822</c:v>
                </c:pt>
                <c:pt idx="97">
                  <c:v>2.2014653956893819</c:v>
                </c:pt>
                <c:pt idx="98">
                  <c:v>2.2082905786062423</c:v>
                </c:pt>
                <c:pt idx="99">
                  <c:v>2.2356511550798155</c:v>
                </c:pt>
                <c:pt idx="100">
                  <c:v>2.225420826403345</c:v>
                </c:pt>
                <c:pt idx="101">
                  <c:v>2.2234876216151793</c:v>
                </c:pt>
                <c:pt idx="102">
                  <c:v>2.2268771563166716</c:v>
                </c:pt>
                <c:pt idx="103">
                  <c:v>2.224044136452112</c:v>
                </c:pt>
                <c:pt idx="104">
                  <c:v>2.2273829731521118</c:v>
                </c:pt>
                <c:pt idx="105">
                  <c:v>2.2315937826861876</c:v>
                </c:pt>
                <c:pt idx="106">
                  <c:v>2.2256691127892183</c:v>
                </c:pt>
                <c:pt idx="107">
                  <c:v>2.2166149716394403</c:v>
                </c:pt>
                <c:pt idx="108">
                  <c:v>2.2138039143491177</c:v>
                </c:pt>
                <c:pt idx="109">
                  <c:v>2.2123450270147713</c:v>
                </c:pt>
                <c:pt idx="110">
                  <c:v>2.2226424784553545</c:v>
                </c:pt>
                <c:pt idx="111">
                  <c:v>2.2200583793201436</c:v>
                </c:pt>
                <c:pt idx="112">
                  <c:v>2.2254916318957529</c:v>
                </c:pt>
                <c:pt idx="113">
                  <c:v>2.2272133071725322</c:v>
                </c:pt>
                <c:pt idx="114">
                  <c:v>2.2151213967227301</c:v>
                </c:pt>
                <c:pt idx="115">
                  <c:v>2.2056502512158329</c:v>
                </c:pt>
                <c:pt idx="116">
                  <c:v>2.2000192933229759</c:v>
                </c:pt>
                <c:pt idx="117">
                  <c:v>2.1969788876844665</c:v>
                </c:pt>
                <c:pt idx="118">
                  <c:v>2.1970318679042706</c:v>
                </c:pt>
                <c:pt idx="119">
                  <c:v>2.1784903055211884</c:v>
                </c:pt>
                <c:pt idx="120">
                  <c:v>2.1703495674122779</c:v>
                </c:pt>
                <c:pt idx="121">
                  <c:v>2.1724094149956108</c:v>
                </c:pt>
                <c:pt idx="122">
                  <c:v>2.189750961326264</c:v>
                </c:pt>
                <c:pt idx="123">
                  <c:v>2.2005751911762639</c:v>
                </c:pt>
                <c:pt idx="124">
                  <c:v>2.1927446330116456</c:v>
                </c:pt>
                <c:pt idx="125">
                  <c:v>2.197135183374864</c:v>
                </c:pt>
                <c:pt idx="126">
                  <c:v>2.1991836375247229</c:v>
                </c:pt>
                <c:pt idx="127">
                  <c:v>2.1910079640532945</c:v>
                </c:pt>
                <c:pt idx="128">
                  <c:v>2.1767370593842434</c:v>
                </c:pt>
                <c:pt idx="129">
                  <c:v>2.1895276607804672</c:v>
                </c:pt>
                <c:pt idx="130">
                  <c:v>2.1980326520964941</c:v>
                </c:pt>
                <c:pt idx="131">
                  <c:v>2.2020863611542634</c:v>
                </c:pt>
                <c:pt idx="132">
                  <c:v>2.2012057919233809</c:v>
                </c:pt>
                <c:pt idx="133">
                  <c:v>2.2072440206498327</c:v>
                </c:pt>
                <c:pt idx="134">
                  <c:v>2.2108434296875226</c:v>
                </c:pt>
                <c:pt idx="135">
                  <c:v>2.2003168607474572</c:v>
                </c:pt>
                <c:pt idx="136">
                  <c:v>2.1924747076735835</c:v>
                </c:pt>
                <c:pt idx="137">
                  <c:v>2.193617862876406</c:v>
                </c:pt>
                <c:pt idx="138">
                  <c:v>2.1900788959372308</c:v>
                </c:pt>
                <c:pt idx="139">
                  <c:v>2.1891713504868711</c:v>
                </c:pt>
                <c:pt idx="140">
                  <c:v>2.19696693666801</c:v>
                </c:pt>
                <c:pt idx="141">
                  <c:v>2.1965169412561125</c:v>
                </c:pt>
                <c:pt idx="142">
                  <c:v>2.1804988231525719</c:v>
                </c:pt>
                <c:pt idx="143">
                  <c:v>2.1896093130420455</c:v>
                </c:pt>
                <c:pt idx="144">
                  <c:v>2.1978160249338941</c:v>
                </c:pt>
                <c:pt idx="145">
                  <c:v>2.1728144365256026</c:v>
                </c:pt>
                <c:pt idx="146">
                  <c:v>2.1828415414965114</c:v>
                </c:pt>
                <c:pt idx="147">
                  <c:v>2.1748785541570728</c:v>
                </c:pt>
                <c:pt idx="148">
                  <c:v>2.1834310212973973</c:v>
                </c:pt>
                <c:pt idx="149">
                  <c:v>2.154500028858505</c:v>
                </c:pt>
                <c:pt idx="150">
                  <c:v>2.1453062951392226</c:v>
                </c:pt>
                <c:pt idx="151">
                  <c:v>2.1552101574018487</c:v>
                </c:pt>
                <c:pt idx="152">
                  <c:v>2.1644998454592814</c:v>
                </c:pt>
                <c:pt idx="153">
                  <c:v>2.169746147855645</c:v>
                </c:pt>
                <c:pt idx="154">
                  <c:v>2.1505945541501612</c:v>
                </c:pt>
                <c:pt idx="155">
                  <c:v>2.1622991713619828</c:v>
                </c:pt>
                <c:pt idx="156">
                  <c:v>2.1523711992723507</c:v>
                </c:pt>
                <c:pt idx="157">
                  <c:v>2.1631072026153593</c:v>
                </c:pt>
                <c:pt idx="158">
                  <c:v>2.1610274289235396</c:v>
                </c:pt>
                <c:pt idx="159">
                  <c:v>2.1592660855342158</c:v>
                </c:pt>
                <c:pt idx="160">
                  <c:v>2.1686069867497566</c:v>
                </c:pt>
                <c:pt idx="161">
                  <c:v>2.1474237573556061</c:v>
                </c:pt>
                <c:pt idx="162">
                  <c:v>2.1259640536366335</c:v>
                </c:pt>
                <c:pt idx="163">
                  <c:v>2.1170130706360317</c:v>
                </c:pt>
                <c:pt idx="164">
                  <c:v>2.140075936583258</c:v>
                </c:pt>
                <c:pt idx="165">
                  <c:v>2.1489083292726168</c:v>
                </c:pt>
                <c:pt idx="166">
                  <c:v>2.1078267470871794</c:v>
                </c:pt>
                <c:pt idx="167">
                  <c:v>2.0706623907174277</c:v>
                </c:pt>
                <c:pt idx="168">
                  <c:v>2.0489856482796744</c:v>
                </c:pt>
                <c:pt idx="169">
                  <c:v>2.0644585035855059</c:v>
                </c:pt>
                <c:pt idx="170">
                  <c:v>2.0718393833379847</c:v>
                </c:pt>
                <c:pt idx="171">
                  <c:v>2.0689690390908777</c:v>
                </c:pt>
                <c:pt idx="172">
                  <c:v>2.0551532073439276</c:v>
                </c:pt>
                <c:pt idx="173">
                  <c:v>2.0832842123026087</c:v>
                </c:pt>
                <c:pt idx="174">
                  <c:v>2.0389271955773989</c:v>
                </c:pt>
                <c:pt idx="175">
                  <c:v>2.0298569149771559</c:v>
                </c:pt>
                <c:pt idx="176">
                  <c:v>2.0172257568948959</c:v>
                </c:pt>
                <c:pt idx="177">
                  <c:v>2.0073319969383592</c:v>
                </c:pt>
                <c:pt idx="178">
                  <c:v>2.0143689738960044</c:v>
                </c:pt>
                <c:pt idx="179">
                  <c:v>2.008617413965736</c:v>
                </c:pt>
                <c:pt idx="180">
                  <c:v>2.0212723510151021</c:v>
                </c:pt>
                <c:pt idx="181">
                  <c:v>2.0172383620472552</c:v>
                </c:pt>
                <c:pt idx="182">
                  <c:v>2.0021714722264932</c:v>
                </c:pt>
                <c:pt idx="183">
                  <c:v>1.9995948971027788</c:v>
                </c:pt>
                <c:pt idx="184">
                  <c:v>2.0025764164482549</c:v>
                </c:pt>
                <c:pt idx="185">
                  <c:v>1.984254966802568</c:v>
                </c:pt>
                <c:pt idx="186">
                  <c:v>2.0243170682944576</c:v>
                </c:pt>
                <c:pt idx="187">
                  <c:v>2.0189785930978634</c:v>
                </c:pt>
                <c:pt idx="188">
                  <c:v>2.0085256666311313</c:v>
                </c:pt>
                <c:pt idx="189">
                  <c:v>1.9956915397686721</c:v>
                </c:pt>
                <c:pt idx="190">
                  <c:v>1.9895351119985945</c:v>
                </c:pt>
                <c:pt idx="191">
                  <c:v>1.9720484926279844</c:v>
                </c:pt>
                <c:pt idx="192">
                  <c:v>1.9784309622983285</c:v>
                </c:pt>
                <c:pt idx="193">
                  <c:v>1.9882888561098833</c:v>
                </c:pt>
                <c:pt idx="194">
                  <c:v>1.9903853725057081</c:v>
                </c:pt>
                <c:pt idx="195">
                  <c:v>1.9936344520650893</c:v>
                </c:pt>
                <c:pt idx="196">
                  <c:v>2.0035613981769655</c:v>
                </c:pt>
                <c:pt idx="197">
                  <c:v>2.0112565683380632</c:v>
                </c:pt>
                <c:pt idx="198">
                  <c:v>2.0083077418089905</c:v>
                </c:pt>
                <c:pt idx="199">
                  <c:v>2.0157186356184433</c:v>
                </c:pt>
                <c:pt idx="200">
                  <c:v>2.0215093079148065</c:v>
                </c:pt>
                <c:pt idx="201">
                  <c:v>2.0196351342030949</c:v>
                </c:pt>
                <c:pt idx="202">
                  <c:v>2.0239345686951564</c:v>
                </c:pt>
                <c:pt idx="203">
                  <c:v>2.0158771499458061</c:v>
                </c:pt>
                <c:pt idx="204">
                  <c:v>2.0271293858564414</c:v>
                </c:pt>
                <c:pt idx="205">
                  <c:v>2.0421963889877439</c:v>
                </c:pt>
                <c:pt idx="206">
                  <c:v>2.0477163582198497</c:v>
                </c:pt>
                <c:pt idx="207">
                  <c:v>2.0604402587453206</c:v>
                </c:pt>
                <c:pt idx="208">
                  <c:v>2.0755873026864817</c:v>
                </c:pt>
                <c:pt idx="209">
                  <c:v>2.0616330798614446</c:v>
                </c:pt>
                <c:pt idx="210">
                  <c:v>2.0527255966766891</c:v>
                </c:pt>
                <c:pt idx="211">
                  <c:v>2.0849872809070584</c:v>
                </c:pt>
                <c:pt idx="212">
                  <c:v>2.0786472309165585</c:v>
                </c:pt>
                <c:pt idx="213">
                  <c:v>2.021310297324121</c:v>
                </c:pt>
                <c:pt idx="214">
                  <c:v>2.016597144394217</c:v>
                </c:pt>
                <c:pt idx="215">
                  <c:v>2.0061623705716967</c:v>
                </c:pt>
                <c:pt idx="216">
                  <c:v>1.9940640544399875</c:v>
                </c:pt>
                <c:pt idx="217">
                  <c:v>2.0179364345303812</c:v>
                </c:pt>
                <c:pt idx="218">
                  <c:v>1.999210569445464</c:v>
                </c:pt>
                <c:pt idx="219">
                  <c:v>1.9813817206121891</c:v>
                </c:pt>
                <c:pt idx="220">
                  <c:v>1.9918242385371749</c:v>
                </c:pt>
                <c:pt idx="221">
                  <c:v>2.0261110566335563</c:v>
                </c:pt>
                <c:pt idx="222">
                  <c:v>2.0159923221134779</c:v>
                </c:pt>
                <c:pt idx="223">
                  <c:v>2.0221769470448518</c:v>
                </c:pt>
                <c:pt idx="224">
                  <c:v>2.0241493287393735</c:v>
                </c:pt>
                <c:pt idx="225">
                  <c:v>2.025098328914253</c:v>
                </c:pt>
                <c:pt idx="226">
                  <c:v>2.0326626533731478</c:v>
                </c:pt>
                <c:pt idx="227">
                  <c:v>2.0366073064847123</c:v>
                </c:pt>
                <c:pt idx="228">
                  <c:v>2.0317904528220221</c:v>
                </c:pt>
                <c:pt idx="229">
                  <c:v>2.0238660395285479</c:v>
                </c:pt>
                <c:pt idx="230">
                  <c:v>2.0224940994243452</c:v>
                </c:pt>
                <c:pt idx="231">
                  <c:v>2.034410219984542</c:v>
                </c:pt>
                <c:pt idx="232">
                  <c:v>2.0538180618168833</c:v>
                </c:pt>
                <c:pt idx="233">
                  <c:v>2.0202092100169953</c:v>
                </c:pt>
                <c:pt idx="234">
                  <c:v>2.0018235173276482</c:v>
                </c:pt>
                <c:pt idx="235">
                  <c:v>2.0166096328927456</c:v>
                </c:pt>
                <c:pt idx="236">
                  <c:v>2.0174948475655898</c:v>
                </c:pt>
                <c:pt idx="237">
                  <c:v>2.0275622585510518</c:v>
                </c:pt>
                <c:pt idx="238">
                  <c:v>2.0333396678534643</c:v>
                </c:pt>
                <c:pt idx="239">
                  <c:v>2.0336878571515999</c:v>
                </c:pt>
                <c:pt idx="240">
                  <c:v>2.0306323600800673</c:v>
                </c:pt>
                <c:pt idx="241">
                  <c:v>2.0392456667532382</c:v>
                </c:pt>
                <c:pt idx="242">
                  <c:v>2.0104932255425858</c:v>
                </c:pt>
                <c:pt idx="243">
                  <c:v>1.9958792112647403</c:v>
                </c:pt>
                <c:pt idx="244">
                  <c:v>2.0097610254786655</c:v>
                </c:pt>
                <c:pt idx="245">
                  <c:v>2.0390335520514777</c:v>
                </c:pt>
                <c:pt idx="246">
                  <c:v>2.0476684588644263</c:v>
                </c:pt>
                <c:pt idx="247">
                  <c:v>2.0308556165406579</c:v>
                </c:pt>
                <c:pt idx="248">
                  <c:v>1.9890561794297468</c:v>
                </c:pt>
                <c:pt idx="249">
                  <c:v>1.8821451498904409</c:v>
                </c:pt>
                <c:pt idx="250">
                  <c:v>1.8890886799430147</c:v>
                </c:pt>
                <c:pt idx="251">
                  <c:v>1.899630634392161</c:v>
                </c:pt>
                <c:pt idx="252">
                  <c:v>1.9166352992498601</c:v>
                </c:pt>
                <c:pt idx="253">
                  <c:v>1.8637331703019084</c:v>
                </c:pt>
                <c:pt idx="254">
                  <c:v>1.9003757930398382</c:v>
                </c:pt>
                <c:pt idx="255">
                  <c:v>1.9228681504012233</c:v>
                </c:pt>
                <c:pt idx="256">
                  <c:v>1.9045057717969209</c:v>
                </c:pt>
                <c:pt idx="257">
                  <c:v>1.9136684012506868</c:v>
                </c:pt>
                <c:pt idx="258">
                  <c:v>2.0001402713488607</c:v>
                </c:pt>
                <c:pt idx="259">
                  <c:v>1.9540110319975001</c:v>
                </c:pt>
                <c:pt idx="260">
                  <c:v>1.9186316064040922</c:v>
                </c:pt>
                <c:pt idx="261">
                  <c:v>1.9830810851654024</c:v>
                </c:pt>
                <c:pt idx="262">
                  <c:v>1.9694358418367366</c:v>
                </c:pt>
                <c:pt idx="263">
                  <c:v>2.005164100380739</c:v>
                </c:pt>
                <c:pt idx="264">
                  <c:v>2.0395295839683238</c:v>
                </c:pt>
                <c:pt idx="265">
                  <c:v>1.9746669461629667</c:v>
                </c:pt>
                <c:pt idx="266">
                  <c:v>2.0946515642595953</c:v>
                </c:pt>
                <c:pt idx="267">
                  <c:v>2.0881045747945839</c:v>
                </c:pt>
                <c:pt idx="268">
                  <c:v>1.8886588952876209</c:v>
                </c:pt>
                <c:pt idx="269">
                  <c:v>1.7180038356484926</c:v>
                </c:pt>
                <c:pt idx="270">
                  <c:v>1.6413686021786764</c:v>
                </c:pt>
                <c:pt idx="271">
                  <c:v>1.6236315114279423</c:v>
                </c:pt>
                <c:pt idx="272">
                  <c:v>1.5758903696020723</c:v>
                </c:pt>
                <c:pt idx="273">
                  <c:v>1.5567230862670327</c:v>
                </c:pt>
                <c:pt idx="274">
                  <c:v>1.5556041924890915</c:v>
                </c:pt>
                <c:pt idx="275">
                  <c:v>1.5395395111204273</c:v>
                </c:pt>
                <c:pt idx="276">
                  <c:v>1.5233042641492422</c:v>
                </c:pt>
                <c:pt idx="277">
                  <c:v>1.4892145018200817</c:v>
                </c:pt>
                <c:pt idx="278">
                  <c:v>1.4959171270565323</c:v>
                </c:pt>
                <c:pt idx="279">
                  <c:v>1.5208189676353627</c:v>
                </c:pt>
                <c:pt idx="280">
                  <c:v>1.4609908417260962</c:v>
                </c:pt>
                <c:pt idx="281">
                  <c:v>1.5141732135327994</c:v>
                </c:pt>
                <c:pt idx="282">
                  <c:v>1.5463146028882611</c:v>
                </c:pt>
                <c:pt idx="283">
                  <c:v>1.5237713439555054</c:v>
                </c:pt>
                <c:pt idx="284">
                  <c:v>1.5633350889821251</c:v>
                </c:pt>
                <c:pt idx="285">
                  <c:v>1.4975847544278795</c:v>
                </c:pt>
                <c:pt idx="286">
                  <c:v>1.6745355166994835</c:v>
                </c:pt>
                <c:pt idx="287">
                  <c:v>1.6517479157067394</c:v>
                </c:pt>
                <c:pt idx="288">
                  <c:v>1.585591182027561</c:v>
                </c:pt>
                <c:pt idx="289">
                  <c:v>1.5696935104605736</c:v>
                </c:pt>
                <c:pt idx="290">
                  <c:v>1.5562407024960783</c:v>
                </c:pt>
                <c:pt idx="291">
                  <c:v>1.5637542451102147</c:v>
                </c:pt>
                <c:pt idx="292">
                  <c:v>1.5755558828792613</c:v>
                </c:pt>
                <c:pt idx="293">
                  <c:v>1.5552052420837104</c:v>
                </c:pt>
                <c:pt idx="294">
                  <c:v>1.5744078148924925</c:v>
                </c:pt>
                <c:pt idx="295">
                  <c:v>1.5347435385437889</c:v>
                </c:pt>
                <c:pt idx="296">
                  <c:v>1.510774096845632</c:v>
                </c:pt>
                <c:pt idx="297">
                  <c:v>1.4864225887393421</c:v>
                </c:pt>
                <c:pt idx="298">
                  <c:v>1.4472962161581093</c:v>
                </c:pt>
                <c:pt idx="299">
                  <c:v>1.4244646686873859</c:v>
                </c:pt>
                <c:pt idx="300">
                  <c:v>1.4518062156829401</c:v>
                </c:pt>
                <c:pt idx="301">
                  <c:v>1.4346685361637637</c:v>
                </c:pt>
                <c:pt idx="302">
                  <c:v>1.4160062599506507</c:v>
                </c:pt>
                <c:pt idx="303">
                  <c:v>1.3877876737304828</c:v>
                </c:pt>
                <c:pt idx="304">
                  <c:v>1.3707735885016423</c:v>
                </c:pt>
                <c:pt idx="305">
                  <c:v>1.3562288556409385</c:v>
                </c:pt>
                <c:pt idx="306">
                  <c:v>1.3572130386434818</c:v>
                </c:pt>
                <c:pt idx="307">
                  <c:v>1.3535604266502492</c:v>
                </c:pt>
                <c:pt idx="308">
                  <c:v>1.3376646765877489</c:v>
                </c:pt>
                <c:pt idx="309">
                  <c:v>1.3390622021684893</c:v>
                </c:pt>
                <c:pt idx="310">
                  <c:v>1.3569807468682173</c:v>
                </c:pt>
                <c:pt idx="311">
                  <c:v>1.3509920747808739</c:v>
                </c:pt>
                <c:pt idx="312">
                  <c:v>1.3704185681304777</c:v>
                </c:pt>
                <c:pt idx="313">
                  <c:v>1.3822074514151217</c:v>
                </c:pt>
                <c:pt idx="314">
                  <c:v>1.3945190283661182</c:v>
                </c:pt>
                <c:pt idx="315">
                  <c:v>1.3903482904605815</c:v>
                </c:pt>
                <c:pt idx="316">
                  <c:v>1.401629221198385</c:v>
                </c:pt>
                <c:pt idx="317">
                  <c:v>1.3813745620628819</c:v>
                </c:pt>
                <c:pt idx="318">
                  <c:v>1.3632581598316247</c:v>
                </c:pt>
                <c:pt idx="319">
                  <c:v>1.3790936272905094</c:v>
                </c:pt>
                <c:pt idx="320">
                  <c:v>1.4069343763329492</c:v>
                </c:pt>
                <c:pt idx="321">
                  <c:v>1.3797329357320276</c:v>
                </c:pt>
                <c:pt idx="322">
                  <c:v>1.3817865427758196</c:v>
                </c:pt>
                <c:pt idx="323">
                  <c:v>1.3742122576814557</c:v>
                </c:pt>
                <c:pt idx="324">
                  <c:v>1.384864497118615</c:v>
                </c:pt>
                <c:pt idx="325">
                  <c:v>1.3668448761122429</c:v>
                </c:pt>
                <c:pt idx="326">
                  <c:v>1.356029568497525</c:v>
                </c:pt>
                <c:pt idx="327">
                  <c:v>1.3501289399533845</c:v>
                </c:pt>
                <c:pt idx="328">
                  <c:v>1.3422477988070427</c:v>
                </c:pt>
                <c:pt idx="329">
                  <c:v>1.3321436001582048</c:v>
                </c:pt>
                <c:pt idx="330">
                  <c:v>1.3420574297092955</c:v>
                </c:pt>
                <c:pt idx="331">
                  <c:v>1.3436251119656919</c:v>
                </c:pt>
                <c:pt idx="332">
                  <c:v>1.350528752638001</c:v>
                </c:pt>
                <c:pt idx="333">
                  <c:v>1.3342994585941466</c:v>
                </c:pt>
                <c:pt idx="334">
                  <c:v>1.3365908117280583</c:v>
                </c:pt>
                <c:pt idx="335">
                  <c:v>1.33744767263021</c:v>
                </c:pt>
                <c:pt idx="336">
                  <c:v>1.3333682077381825</c:v>
                </c:pt>
                <c:pt idx="337">
                  <c:v>1.3649547625050507</c:v>
                </c:pt>
                <c:pt idx="338">
                  <c:v>1.3523255228250288</c:v>
                </c:pt>
                <c:pt idx="339">
                  <c:v>1.3615110382534445</c:v>
                </c:pt>
                <c:pt idx="340">
                  <c:v>1.34464102893236</c:v>
                </c:pt>
                <c:pt idx="341">
                  <c:v>1.3412380078508295</c:v>
                </c:pt>
                <c:pt idx="342">
                  <c:v>1.384305882123815</c:v>
                </c:pt>
                <c:pt idx="343">
                  <c:v>1.3635892453521306</c:v>
                </c:pt>
                <c:pt idx="344">
                  <c:v>1.3777998212207545</c:v>
                </c:pt>
                <c:pt idx="345">
                  <c:v>1.3490647615110254</c:v>
                </c:pt>
                <c:pt idx="346">
                  <c:v>1.3597755689308531</c:v>
                </c:pt>
                <c:pt idx="347">
                  <c:v>1.3673408549682866</c:v>
                </c:pt>
                <c:pt idx="348">
                  <c:v>1.3855577906620187</c:v>
                </c:pt>
                <c:pt idx="349">
                  <c:v>1.3017850776041366</c:v>
                </c:pt>
                <c:pt idx="350">
                  <c:v>1.2876907197886123</c:v>
                </c:pt>
                <c:pt idx="351">
                  <c:v>1.2354094552658095</c:v>
                </c:pt>
                <c:pt idx="352">
                  <c:v>1.2523777082374061</c:v>
                </c:pt>
                <c:pt idx="353">
                  <c:v>1.2296062846591977</c:v>
                </c:pt>
                <c:pt idx="354">
                  <c:v>1.1977058069827808</c:v>
                </c:pt>
                <c:pt idx="355">
                  <c:v>1.2048404293454313</c:v>
                </c:pt>
                <c:pt idx="356">
                  <c:v>1.1909778880375852</c:v>
                </c:pt>
                <c:pt idx="357">
                  <c:v>1.1672374534184968</c:v>
                </c:pt>
                <c:pt idx="358">
                  <c:v>1.18726594639965</c:v>
                </c:pt>
                <c:pt idx="359">
                  <c:v>1.1681471813448043</c:v>
                </c:pt>
                <c:pt idx="360">
                  <c:v>1.1547659773446777</c:v>
                </c:pt>
                <c:pt idx="361">
                  <c:v>1.1447239614232834</c:v>
                </c:pt>
                <c:pt idx="362">
                  <c:v>1.1478176893243797</c:v>
                </c:pt>
                <c:pt idx="363">
                  <c:v>1.1457774374274321</c:v>
                </c:pt>
                <c:pt idx="364">
                  <c:v>1.1666171545103392</c:v>
                </c:pt>
                <c:pt idx="365">
                  <c:v>1.1644888871187373</c:v>
                </c:pt>
                <c:pt idx="366">
                  <c:v>1.174807453409793</c:v>
                </c:pt>
                <c:pt idx="367">
                  <c:v>1.1670470062479381</c:v>
                </c:pt>
                <c:pt idx="368">
                  <c:v>1.1872208828978394</c:v>
                </c:pt>
                <c:pt idx="369">
                  <c:v>1.1828611630718557</c:v>
                </c:pt>
                <c:pt idx="370">
                  <c:v>1.1757358180593689</c:v>
                </c:pt>
                <c:pt idx="371">
                  <c:v>1.1411083515375942</c:v>
                </c:pt>
                <c:pt idx="372">
                  <c:v>1.1814512797116785</c:v>
                </c:pt>
                <c:pt idx="373">
                  <c:v>1.1560947492272249</c:v>
                </c:pt>
                <c:pt idx="374">
                  <c:v>1.2013151324335445</c:v>
                </c:pt>
                <c:pt idx="375">
                  <c:v>1.1937973187368434</c:v>
                </c:pt>
                <c:pt idx="376">
                  <c:v>1.1889743601283786</c:v>
                </c:pt>
                <c:pt idx="377">
                  <c:v>1.1899333260993685</c:v>
                </c:pt>
                <c:pt idx="378">
                  <c:v>1.1917024381696937</c:v>
                </c:pt>
                <c:pt idx="379">
                  <c:v>1.1858687569753261</c:v>
                </c:pt>
                <c:pt idx="380">
                  <c:v>1.1491733459870894</c:v>
                </c:pt>
                <c:pt idx="381">
                  <c:v>1.1809108546468361</c:v>
                </c:pt>
                <c:pt idx="382">
                  <c:v>1.2221444224984317</c:v>
                </c:pt>
                <c:pt idx="383">
                  <c:v>1.2280572609450946</c:v>
                </c:pt>
                <c:pt idx="384">
                  <c:v>1.1840670203324213</c:v>
                </c:pt>
                <c:pt idx="385">
                  <c:v>1.187439712344972</c:v>
                </c:pt>
                <c:pt idx="386">
                  <c:v>1.2105799792118761</c:v>
                </c:pt>
                <c:pt idx="387">
                  <c:v>1.1844255555287218</c:v>
                </c:pt>
                <c:pt idx="388">
                  <c:v>1.1511185002436659</c:v>
                </c:pt>
                <c:pt idx="389">
                  <c:v>1.1374611239380825</c:v>
                </c:pt>
                <c:pt idx="390">
                  <c:v>1.0931053262737573</c:v>
                </c:pt>
                <c:pt idx="391">
                  <c:v>1.0920642975083281</c:v>
                </c:pt>
                <c:pt idx="392">
                  <c:v>1.0950962737259047</c:v>
                </c:pt>
                <c:pt idx="393">
                  <c:v>1.0983427888647495</c:v>
                </c:pt>
                <c:pt idx="394">
                  <c:v>1.1049680285932018</c:v>
                </c:pt>
                <c:pt idx="395">
                  <c:v>1.1068680533331108</c:v>
                </c:pt>
                <c:pt idx="396">
                  <c:v>1.1137536110810746</c:v>
                </c:pt>
                <c:pt idx="397">
                  <c:v>1.1130406513751061</c:v>
                </c:pt>
                <c:pt idx="398">
                  <c:v>1.0945992164599889</c:v>
                </c:pt>
                <c:pt idx="399">
                  <c:v>1.0799305147684002</c:v>
                </c:pt>
                <c:pt idx="400">
                  <c:v>1.030295205127342</c:v>
                </c:pt>
                <c:pt idx="401">
                  <c:v>1.0656098212194884</c:v>
                </c:pt>
                <c:pt idx="402">
                  <c:v>1.0402816077125285</c:v>
                </c:pt>
                <c:pt idx="403">
                  <c:v>1.085116271090625</c:v>
                </c:pt>
                <c:pt idx="404">
                  <c:v>1.0920463990975096</c:v>
                </c:pt>
                <c:pt idx="405">
                  <c:v>1.101396666906864</c:v>
                </c:pt>
                <c:pt idx="406">
                  <c:v>1.1111737475316501</c:v>
                </c:pt>
                <c:pt idx="407">
                  <c:v>1.127152750047981</c:v>
                </c:pt>
                <c:pt idx="408">
                  <c:v>1.0977409679375147</c:v>
                </c:pt>
                <c:pt idx="409">
                  <c:v>1.095231909626962</c:v>
                </c:pt>
                <c:pt idx="410">
                  <c:v>1.0953661827069621</c:v>
                </c:pt>
                <c:pt idx="411">
                  <c:v>1.0924624925909154</c:v>
                </c:pt>
                <c:pt idx="412">
                  <c:v>1.0872545695870821</c:v>
                </c:pt>
                <c:pt idx="413">
                  <c:v>1.0938456633900286</c:v>
                </c:pt>
                <c:pt idx="414">
                  <c:v>1.0992924889463196</c:v>
                </c:pt>
                <c:pt idx="415">
                  <c:v>1.0822831891535234</c:v>
                </c:pt>
                <c:pt idx="416">
                  <c:v>1.0928901182072788</c:v>
                </c:pt>
                <c:pt idx="417">
                  <c:v>1.0907548886946437</c:v>
                </c:pt>
                <c:pt idx="418">
                  <c:v>1.0873198299542053</c:v>
                </c:pt>
                <c:pt idx="419">
                  <c:v>1.0672861565135525</c:v>
                </c:pt>
                <c:pt idx="420">
                  <c:v>1.0930937329966404</c:v>
                </c:pt>
                <c:pt idx="421">
                  <c:v>1.0545111043916622</c:v>
                </c:pt>
                <c:pt idx="422">
                  <c:v>1.0491410555762417</c:v>
                </c:pt>
                <c:pt idx="423">
                  <c:v>1.0970193095729648</c:v>
                </c:pt>
                <c:pt idx="424">
                  <c:v>1.0592363381345669</c:v>
                </c:pt>
                <c:pt idx="425">
                  <c:v>1.0467524800361541</c:v>
                </c:pt>
                <c:pt idx="426">
                  <c:v>1.03891265761197</c:v>
                </c:pt>
                <c:pt idx="427">
                  <c:v>1.034792469910476</c:v>
                </c:pt>
                <c:pt idx="428">
                  <c:v>1.0749850987687453</c:v>
                </c:pt>
                <c:pt idx="429">
                  <c:v>1.1334392834913731</c:v>
                </c:pt>
                <c:pt idx="430">
                  <c:v>1.0523794241176367</c:v>
                </c:pt>
                <c:pt idx="431">
                  <c:v>0.9950075472685318</c:v>
                </c:pt>
                <c:pt idx="432">
                  <c:v>1.0158667797144612</c:v>
                </c:pt>
                <c:pt idx="433">
                  <c:v>0.93753330534019441</c:v>
                </c:pt>
                <c:pt idx="434">
                  <c:v>0.88511736121008566</c:v>
                </c:pt>
                <c:pt idx="435">
                  <c:v>0.88905198321822432</c:v>
                </c:pt>
                <c:pt idx="436">
                  <c:v>0.83489618253035947</c:v>
                </c:pt>
                <c:pt idx="437">
                  <c:v>0.82071412084745377</c:v>
                </c:pt>
                <c:pt idx="438">
                  <c:v>0.80542972644363819</c:v>
                </c:pt>
                <c:pt idx="439">
                  <c:v>0.8014702332746616</c:v>
                </c:pt>
                <c:pt idx="440">
                  <c:v>0.80532847392235629</c:v>
                </c:pt>
                <c:pt idx="441">
                  <c:v>0.79496029802841495</c:v>
                </c:pt>
                <c:pt idx="442">
                  <c:v>0.7944746319379713</c:v>
                </c:pt>
                <c:pt idx="443">
                  <c:v>0.80087619283034295</c:v>
                </c:pt>
                <c:pt idx="444">
                  <c:v>0.79664971227478742</c:v>
                </c:pt>
                <c:pt idx="445">
                  <c:v>0.79925272641581302</c:v>
                </c:pt>
                <c:pt idx="446">
                  <c:v>0.79629103915267352</c:v>
                </c:pt>
                <c:pt idx="447">
                  <c:v>0.80944254673191085</c:v>
                </c:pt>
                <c:pt idx="448">
                  <c:v>0.80096001419536134</c:v>
                </c:pt>
                <c:pt idx="449">
                  <c:v>0.78937465093574832</c:v>
                </c:pt>
                <c:pt idx="450">
                  <c:v>0.78439339666665198</c:v>
                </c:pt>
                <c:pt idx="451">
                  <c:v>0.78758096031144276</c:v>
                </c:pt>
                <c:pt idx="452">
                  <c:v>0.79513012612131428</c:v>
                </c:pt>
                <c:pt idx="453">
                  <c:v>0.79440504336618611</c:v>
                </c:pt>
                <c:pt idx="454">
                  <c:v>0.79386818259766145</c:v>
                </c:pt>
                <c:pt idx="455">
                  <c:v>0.79926258684070994</c:v>
                </c:pt>
                <c:pt idx="456">
                  <c:v>0.79534112671303125</c:v>
                </c:pt>
                <c:pt idx="457">
                  <c:v>0.80403030970931544</c:v>
                </c:pt>
                <c:pt idx="458">
                  <c:v>0.80600234991731556</c:v>
                </c:pt>
                <c:pt idx="459">
                  <c:v>0.81031102839560665</c:v>
                </c:pt>
                <c:pt idx="460">
                  <c:v>0.80910459815694602</c:v>
                </c:pt>
                <c:pt idx="461">
                  <c:v>0.80740461536373398</c:v>
                </c:pt>
                <c:pt idx="462">
                  <c:v>0.8099109916630931</c:v>
                </c:pt>
                <c:pt idx="463">
                  <c:v>0.80379878353040435</c:v>
                </c:pt>
                <c:pt idx="464">
                  <c:v>0.79667135513182774</c:v>
                </c:pt>
                <c:pt idx="465">
                  <c:v>0.80080171682211232</c:v>
                </c:pt>
                <c:pt idx="466">
                  <c:v>0.80259372430994635</c:v>
                </c:pt>
                <c:pt idx="467">
                  <c:v>0.80155108148960719</c:v>
                </c:pt>
                <c:pt idx="468">
                  <c:v>0.8024916185148202</c:v>
                </c:pt>
                <c:pt idx="469">
                  <c:v>0.80815154554459123</c:v>
                </c:pt>
                <c:pt idx="470">
                  <c:v>0.81073453697430209</c:v>
                </c:pt>
                <c:pt idx="471">
                  <c:v>0.8105470856085899</c:v>
                </c:pt>
                <c:pt idx="472">
                  <c:v>0.8166805612774517</c:v>
                </c:pt>
                <c:pt idx="473">
                  <c:v>0.81865820034876324</c:v>
                </c:pt>
                <c:pt idx="474">
                  <c:v>0.80874238919834507</c:v>
                </c:pt>
                <c:pt idx="475">
                  <c:v>0.8191656047279201</c:v>
                </c:pt>
                <c:pt idx="476">
                  <c:v>0.81369210941347947</c:v>
                </c:pt>
                <c:pt idx="477">
                  <c:v>0.81235460424504324</c:v>
                </c:pt>
                <c:pt idx="478">
                  <c:v>0.81811454025837649</c:v>
                </c:pt>
                <c:pt idx="479">
                  <c:v>0.81482445274299176</c:v>
                </c:pt>
                <c:pt idx="480">
                  <c:v>0.81782527172838659</c:v>
                </c:pt>
                <c:pt idx="481">
                  <c:v>0.81739010916275046</c:v>
                </c:pt>
                <c:pt idx="482">
                  <c:v>0.8187263311205617</c:v>
                </c:pt>
                <c:pt idx="483">
                  <c:v>0.81908348452586721</c:v>
                </c:pt>
                <c:pt idx="484">
                  <c:v>0.81966001075708106</c:v>
                </c:pt>
                <c:pt idx="485">
                  <c:v>0.81439666974244274</c:v>
                </c:pt>
                <c:pt idx="486">
                  <c:v>0.81133785194909258</c:v>
                </c:pt>
                <c:pt idx="487">
                  <c:v>0.82193556123616485</c:v>
                </c:pt>
                <c:pt idx="488">
                  <c:v>0.84129462635483054</c:v>
                </c:pt>
                <c:pt idx="489">
                  <c:v>0.82418496659333129</c:v>
                </c:pt>
                <c:pt idx="490">
                  <c:v>0.81877160374359426</c:v>
                </c:pt>
                <c:pt idx="491">
                  <c:v>0.81465593217133625</c:v>
                </c:pt>
                <c:pt idx="492">
                  <c:v>0.81719667735776835</c:v>
                </c:pt>
                <c:pt idx="493">
                  <c:v>0.81287886302973855</c:v>
                </c:pt>
                <c:pt idx="494">
                  <c:v>0.81539839978691964</c:v>
                </c:pt>
                <c:pt idx="495">
                  <c:v>0.81644360118784132</c:v>
                </c:pt>
                <c:pt idx="496">
                  <c:v>0.81362291915150764</c:v>
                </c:pt>
                <c:pt idx="497">
                  <c:v>0.80812937477646285</c:v>
                </c:pt>
                <c:pt idx="498">
                  <c:v>0.80311439861406508</c:v>
                </c:pt>
                <c:pt idx="499">
                  <c:v>0.80067324271876461</c:v>
                </c:pt>
                <c:pt idx="500">
                  <c:v>0.80473872516379785</c:v>
                </c:pt>
                <c:pt idx="501">
                  <c:v>0.79995742875669129</c:v>
                </c:pt>
                <c:pt idx="502">
                  <c:v>0.80506940476101818</c:v>
                </c:pt>
                <c:pt idx="503">
                  <c:v>0.79917861878693286</c:v>
                </c:pt>
                <c:pt idx="504">
                  <c:v>0.79133871877135242</c:v>
                </c:pt>
                <c:pt idx="505">
                  <c:v>0.78564451615696185</c:v>
                </c:pt>
                <c:pt idx="506">
                  <c:v>0.7860019563837749</c:v>
                </c:pt>
                <c:pt idx="507">
                  <c:v>0.78347510697153389</c:v>
                </c:pt>
                <c:pt idx="508">
                  <c:v>0.77658723754742987</c:v>
                </c:pt>
                <c:pt idx="509">
                  <c:v>0.76822039720549073</c:v>
                </c:pt>
                <c:pt idx="510">
                  <c:v>0.77639579404678027</c:v>
                </c:pt>
                <c:pt idx="511">
                  <c:v>0.76527806447293845</c:v>
                </c:pt>
                <c:pt idx="512">
                  <c:v>0.76338508950478323</c:v>
                </c:pt>
                <c:pt idx="513">
                  <c:v>0.77153410654771915</c:v>
                </c:pt>
                <c:pt idx="514">
                  <c:v>0.75846354112122161</c:v>
                </c:pt>
                <c:pt idx="515">
                  <c:v>0.7659734014504207</c:v>
                </c:pt>
                <c:pt idx="516">
                  <c:v>0.7517472388582479</c:v>
                </c:pt>
                <c:pt idx="517">
                  <c:v>0.7596516734606219</c:v>
                </c:pt>
                <c:pt idx="518">
                  <c:v>0.75323131973395141</c:v>
                </c:pt>
                <c:pt idx="519">
                  <c:v>0.76328532973463215</c:v>
                </c:pt>
                <c:pt idx="520">
                  <c:v>0.76610441757398062</c:v>
                </c:pt>
                <c:pt idx="521">
                  <c:v>0.77660552979558495</c:v>
                </c:pt>
                <c:pt idx="522">
                  <c:v>0.77228411698698274</c:v>
                </c:pt>
                <c:pt idx="523">
                  <c:v>0.76881836032415096</c:v>
                </c:pt>
                <c:pt idx="524">
                  <c:v>0.75995682233017936</c:v>
                </c:pt>
                <c:pt idx="525">
                  <c:v>0.77117421011798704</c:v>
                </c:pt>
                <c:pt idx="526">
                  <c:v>0.76664591023788176</c:v>
                </c:pt>
                <c:pt idx="527">
                  <c:v>0.77704901058604181</c:v>
                </c:pt>
                <c:pt idx="528">
                  <c:v>0.79066533584491994</c:v>
                </c:pt>
                <c:pt idx="529">
                  <c:v>0.78345349374181283</c:v>
                </c:pt>
                <c:pt idx="530">
                  <c:v>0.76880230959488982</c:v>
                </c:pt>
                <c:pt idx="531">
                  <c:v>0.75942917934061727</c:v>
                </c:pt>
                <c:pt idx="532">
                  <c:v>0.75888832925706595</c:v>
                </c:pt>
                <c:pt idx="533">
                  <c:v>0.7468625779444128</c:v>
                </c:pt>
                <c:pt idx="534">
                  <c:v>0.73990823626874402</c:v>
                </c:pt>
                <c:pt idx="535">
                  <c:v>0.74346990054663997</c:v>
                </c:pt>
                <c:pt idx="536">
                  <c:v>0.73204624145020702</c:v>
                </c:pt>
                <c:pt idx="537">
                  <c:v>0.73576309976377341</c:v>
                </c:pt>
                <c:pt idx="538">
                  <c:v>0.72931760516900512</c:v>
                </c:pt>
                <c:pt idx="539">
                  <c:v>0.73312677075333521</c:v>
                </c:pt>
                <c:pt idx="540">
                  <c:v>0.73721236857217121</c:v>
                </c:pt>
                <c:pt idx="541">
                  <c:v>0.73529111780522205</c:v>
                </c:pt>
                <c:pt idx="542">
                  <c:v>0.7352199375425279</c:v>
                </c:pt>
                <c:pt idx="543">
                  <c:v>0.74161375974006793</c:v>
                </c:pt>
                <c:pt idx="544">
                  <c:v>0.75366065274449046</c:v>
                </c:pt>
                <c:pt idx="545">
                  <c:v>0.72901745789034389</c:v>
                </c:pt>
                <c:pt idx="546">
                  <c:v>0.73129366193075096</c:v>
                </c:pt>
                <c:pt idx="547">
                  <c:v>0.72085648323319007</c:v>
                </c:pt>
                <c:pt idx="548">
                  <c:v>0.73347787242598728</c:v>
                </c:pt>
                <c:pt idx="549">
                  <c:v>0.71968795120589069</c:v>
                </c:pt>
                <c:pt idx="550">
                  <c:v>0.7021126584993107</c:v>
                </c:pt>
                <c:pt idx="551">
                  <c:v>0.70198133067157131</c:v>
                </c:pt>
                <c:pt idx="552">
                  <c:v>0.68256570369452219</c:v>
                </c:pt>
                <c:pt idx="553">
                  <c:v>0.68914948527462316</c:v>
                </c:pt>
                <c:pt idx="554">
                  <c:v>0.68300571312974878</c:v>
                </c:pt>
                <c:pt idx="555">
                  <c:v>0.67431312181651981</c:v>
                </c:pt>
                <c:pt idx="556">
                  <c:v>0.66360804040712384</c:v>
                </c:pt>
                <c:pt idx="557">
                  <c:v>0.67033037507522697</c:v>
                </c:pt>
                <c:pt idx="558">
                  <c:v>0.6641998682005863</c:v>
                </c:pt>
                <c:pt idx="559">
                  <c:v>0.66210955777111491</c:v>
                </c:pt>
                <c:pt idx="560">
                  <c:v>0.6635665128748085</c:v>
                </c:pt>
                <c:pt idx="561">
                  <c:v>0.66710392226300441</c:v>
                </c:pt>
                <c:pt idx="562">
                  <c:v>0.67168916412907775</c:v>
                </c:pt>
                <c:pt idx="563">
                  <c:v>0.66301007797625688</c:v>
                </c:pt>
                <c:pt idx="564">
                  <c:v>0.66757686225054258</c:v>
                </c:pt>
                <c:pt idx="565">
                  <c:v>0.6675054789949515</c:v>
                </c:pt>
                <c:pt idx="566">
                  <c:v>0.66520806499614948</c:v>
                </c:pt>
                <c:pt idx="567">
                  <c:v>0.6705877620476306</c:v>
                </c:pt>
                <c:pt idx="568">
                  <c:v>0.66314655008562684</c:v>
                </c:pt>
                <c:pt idx="569">
                  <c:v>0.639271591831851</c:v>
                </c:pt>
                <c:pt idx="570">
                  <c:v>0.63132968952547286</c:v>
                </c:pt>
                <c:pt idx="571">
                  <c:v>0.61940935826340382</c:v>
                </c:pt>
                <c:pt idx="572">
                  <c:v>0.61626481459905236</c:v>
                </c:pt>
                <c:pt idx="573">
                  <c:v>0.61550232109658842</c:v>
                </c:pt>
                <c:pt idx="574">
                  <c:v>0.61764193530348488</c:v>
                </c:pt>
                <c:pt idx="575">
                  <c:v>0.61988147606493071</c:v>
                </c:pt>
                <c:pt idx="576">
                  <c:v>0.61885517304362714</c:v>
                </c:pt>
                <c:pt idx="577">
                  <c:v>0.62129024813714617</c:v>
                </c:pt>
                <c:pt idx="578">
                  <c:v>0.61859271182890241</c:v>
                </c:pt>
                <c:pt idx="579">
                  <c:v>0.61545657369864304</c:v>
                </c:pt>
                <c:pt idx="580">
                  <c:v>0.62004751390708712</c:v>
                </c:pt>
                <c:pt idx="581">
                  <c:v>0.62426981920738178</c:v>
                </c:pt>
                <c:pt idx="582">
                  <c:v>0.62390923599825288</c:v>
                </c:pt>
                <c:pt idx="583">
                  <c:v>0.63059761276367088</c:v>
                </c:pt>
                <c:pt idx="584">
                  <c:v>0.62942446189801904</c:v>
                </c:pt>
                <c:pt idx="585">
                  <c:v>0.62379343191679826</c:v>
                </c:pt>
                <c:pt idx="586">
                  <c:v>0.62512815353108397</c:v>
                </c:pt>
                <c:pt idx="587">
                  <c:v>0.62516655981119806</c:v>
                </c:pt>
                <c:pt idx="588">
                  <c:v>0.61900791374660646</c:v>
                </c:pt>
                <c:pt idx="589">
                  <c:v>0.61798649369716829</c:v>
                </c:pt>
                <c:pt idx="590">
                  <c:v>0.61598329915498684</c:v>
                </c:pt>
                <c:pt idx="591">
                  <c:v>0.61443576759739338</c:v>
                </c:pt>
                <c:pt idx="592">
                  <c:v>0.60808204229412199</c:v>
                </c:pt>
                <c:pt idx="593">
                  <c:v>0.61034233115316805</c:v>
                </c:pt>
                <c:pt idx="594">
                  <c:v>0.60550002666845681</c:v>
                </c:pt>
                <c:pt idx="595">
                  <c:v>0.60201117945403249</c:v>
                </c:pt>
                <c:pt idx="596">
                  <c:v>0.60886771823876307</c:v>
                </c:pt>
                <c:pt idx="597">
                  <c:v>0.60472866344863507</c:v>
                </c:pt>
                <c:pt idx="598">
                  <c:v>0.6070148806008363</c:v>
                </c:pt>
                <c:pt idx="599">
                  <c:v>0.60157295572654479</c:v>
                </c:pt>
                <c:pt idx="600">
                  <c:v>0.59609898748691181</c:v>
                </c:pt>
                <c:pt idx="601">
                  <c:v>0.5943464329227609</c:v>
                </c:pt>
                <c:pt idx="602">
                  <c:v>0.59779718604635812</c:v>
                </c:pt>
                <c:pt idx="603">
                  <c:v>0.5969784449232467</c:v>
                </c:pt>
                <c:pt idx="604">
                  <c:v>0.59244748443153938</c:v>
                </c:pt>
                <c:pt idx="605">
                  <c:v>0.59236947074354096</c:v>
                </c:pt>
                <c:pt idx="606">
                  <c:v>0.57486519820545767</c:v>
                </c:pt>
                <c:pt idx="607">
                  <c:v>0.58112540716215166</c:v>
                </c:pt>
                <c:pt idx="608">
                  <c:v>0.56760796419425663</c:v>
                </c:pt>
                <c:pt idx="609">
                  <c:v>0.54930358403526069</c:v>
                </c:pt>
                <c:pt idx="610">
                  <c:v>0.53809398712158463</c:v>
                </c:pt>
                <c:pt idx="611">
                  <c:v>0.53395795265866608</c:v>
                </c:pt>
                <c:pt idx="612">
                  <c:v>0.53146964738100788</c:v>
                </c:pt>
                <c:pt idx="613">
                  <c:v>0.52191938133128712</c:v>
                </c:pt>
                <c:pt idx="614">
                  <c:v>0.53124572777018908</c:v>
                </c:pt>
                <c:pt idx="615">
                  <c:v>0.52597693372034715</c:v>
                </c:pt>
                <c:pt idx="616">
                  <c:v>0.51809321663062757</c:v>
                </c:pt>
                <c:pt idx="617">
                  <c:v>0.52455775718956621</c:v>
                </c:pt>
                <c:pt idx="618">
                  <c:v>0.52624085485087657</c:v>
                </c:pt>
                <c:pt idx="619">
                  <c:v>0.52244141023842394</c:v>
                </c:pt>
                <c:pt idx="620">
                  <c:v>0.52648339243451514</c:v>
                </c:pt>
                <c:pt idx="621">
                  <c:v>0.5249131025135948</c:v>
                </c:pt>
                <c:pt idx="622">
                  <c:v>0.51625911723226936</c:v>
                </c:pt>
                <c:pt idx="623">
                  <c:v>0.50511057135525284</c:v>
                </c:pt>
                <c:pt idx="624">
                  <c:v>0.49744513910985844</c:v>
                </c:pt>
                <c:pt idx="625">
                  <c:v>0.49012349905445673</c:v>
                </c:pt>
                <c:pt idx="626">
                  <c:v>0.48662969626821734</c:v>
                </c:pt>
                <c:pt idx="627">
                  <c:v>0.4814827066239048</c:v>
                </c:pt>
                <c:pt idx="628">
                  <c:v>0.49066744079011043</c:v>
                </c:pt>
                <c:pt idx="629">
                  <c:v>0.49966141746106102</c:v>
                </c:pt>
                <c:pt idx="630">
                  <c:v>0.49778934562330757</c:v>
                </c:pt>
                <c:pt idx="631">
                  <c:v>0.48842138362894422</c:v>
                </c:pt>
                <c:pt idx="632">
                  <c:v>0.50590664536927576</c:v>
                </c:pt>
                <c:pt idx="633">
                  <c:v>0.51256444496534126</c:v>
                </c:pt>
                <c:pt idx="634">
                  <c:v>0.48760486694227284</c:v>
                </c:pt>
                <c:pt idx="635">
                  <c:v>0.50573961510733356</c:v>
                </c:pt>
                <c:pt idx="636">
                  <c:v>0.47296028796991585</c:v>
                </c:pt>
                <c:pt idx="637">
                  <c:v>0.46120276066752314</c:v>
                </c:pt>
                <c:pt idx="638">
                  <c:v>0.47997943064114795</c:v>
                </c:pt>
                <c:pt idx="639">
                  <c:v>0.45551720676030188</c:v>
                </c:pt>
                <c:pt idx="640">
                  <c:v>0.44468361971421777</c:v>
                </c:pt>
                <c:pt idx="641">
                  <c:v>0.44461767003329034</c:v>
                </c:pt>
                <c:pt idx="642">
                  <c:v>0.41571672573459578</c:v>
                </c:pt>
                <c:pt idx="643">
                  <c:v>0.41079630046777721</c:v>
                </c:pt>
                <c:pt idx="644">
                  <c:v>0.41398985984127318</c:v>
                </c:pt>
                <c:pt idx="645">
                  <c:v>0.40861059027961327</c:v>
                </c:pt>
                <c:pt idx="646">
                  <c:v>0.40237381212924733</c:v>
                </c:pt>
                <c:pt idx="647">
                  <c:v>0.40403760897964397</c:v>
                </c:pt>
                <c:pt idx="648">
                  <c:v>0.41677429103825786</c:v>
                </c:pt>
                <c:pt idx="649">
                  <c:v>0.42410781533467379</c:v>
                </c:pt>
                <c:pt idx="650">
                  <c:v>0.41130464261244432</c:v>
                </c:pt>
                <c:pt idx="651">
                  <c:v>0.41652612310829684</c:v>
                </c:pt>
                <c:pt idx="652">
                  <c:v>0.39566533667229004</c:v>
                </c:pt>
                <c:pt idx="653">
                  <c:v>0.40541256044165619</c:v>
                </c:pt>
                <c:pt idx="654">
                  <c:v>0.40301950581765611</c:v>
                </c:pt>
                <c:pt idx="655">
                  <c:v>0.40190122100031028</c:v>
                </c:pt>
                <c:pt idx="656">
                  <c:v>0.40327756582285434</c:v>
                </c:pt>
                <c:pt idx="657">
                  <c:v>0.40112102680753708</c:v>
                </c:pt>
                <c:pt idx="658">
                  <c:v>0.4183978218271347</c:v>
                </c:pt>
                <c:pt idx="659">
                  <c:v>0.40434024921900075</c:v>
                </c:pt>
                <c:pt idx="660">
                  <c:v>0.38326219485986351</c:v>
                </c:pt>
                <c:pt idx="661">
                  <c:v>0.39819084073598388</c:v>
                </c:pt>
                <c:pt idx="662">
                  <c:v>0.36999469067288648</c:v>
                </c:pt>
                <c:pt idx="663">
                  <c:v>0.37230088270438494</c:v>
                </c:pt>
                <c:pt idx="664">
                  <c:v>0.3716796364675638</c:v>
                </c:pt>
                <c:pt idx="665">
                  <c:v>0.37137813228096428</c:v>
                </c:pt>
                <c:pt idx="666">
                  <c:v>0.380632953853067</c:v>
                </c:pt>
                <c:pt idx="667">
                  <c:v>0.35745806309062278</c:v>
                </c:pt>
                <c:pt idx="668">
                  <c:v>0.35806514293891611</c:v>
                </c:pt>
                <c:pt idx="669">
                  <c:v>0.35338611640058998</c:v>
                </c:pt>
                <c:pt idx="670">
                  <c:v>0.36869975196833971</c:v>
                </c:pt>
                <c:pt idx="671">
                  <c:v>0.36193485284904142</c:v>
                </c:pt>
                <c:pt idx="672">
                  <c:v>0.37219782796181938</c:v>
                </c:pt>
                <c:pt idx="673">
                  <c:v>0.35604425444580007</c:v>
                </c:pt>
                <c:pt idx="674">
                  <c:v>0.37030131225092833</c:v>
                </c:pt>
                <c:pt idx="675">
                  <c:v>0.3630683765477774</c:v>
                </c:pt>
                <c:pt idx="676">
                  <c:v>0.33965205617982036</c:v>
                </c:pt>
                <c:pt idx="677">
                  <c:v>0.38202292558629691</c:v>
                </c:pt>
                <c:pt idx="678">
                  <c:v>0.369190589305952</c:v>
                </c:pt>
                <c:pt idx="679">
                  <c:v>0.38463336956815264</c:v>
                </c:pt>
                <c:pt idx="680">
                  <c:v>0.36772222676118105</c:v>
                </c:pt>
                <c:pt idx="681">
                  <c:v>0.3492144224445381</c:v>
                </c:pt>
                <c:pt idx="682">
                  <c:v>0.36416432448703651</c:v>
                </c:pt>
                <c:pt idx="683">
                  <c:v>0.37208469987290416</c:v>
                </c:pt>
                <c:pt idx="684">
                  <c:v>0.35795752531754182</c:v>
                </c:pt>
                <c:pt idx="685">
                  <c:v>0.38191357912764728</c:v>
                </c:pt>
                <c:pt idx="686">
                  <c:v>0.30808239462636672</c:v>
                </c:pt>
                <c:pt idx="687">
                  <c:v>0.40268338997581887</c:v>
                </c:pt>
                <c:pt idx="688">
                  <c:v>0.39285949669293052</c:v>
                </c:pt>
                <c:pt idx="689">
                  <c:v>0.3857225559437818</c:v>
                </c:pt>
                <c:pt idx="690">
                  <c:v>0.33753002328369852</c:v>
                </c:pt>
                <c:pt idx="691">
                  <c:v>0.37118073273450158</c:v>
                </c:pt>
                <c:pt idx="692">
                  <c:v>0.38553297426848743</c:v>
                </c:pt>
                <c:pt idx="693">
                  <c:v>0.37326799279348738</c:v>
                </c:pt>
                <c:pt idx="694">
                  <c:v>0.37527505860936161</c:v>
                </c:pt>
                <c:pt idx="695">
                  <c:v>0.38512178057035928</c:v>
                </c:pt>
                <c:pt idx="696">
                  <c:v>0.36853312237741337</c:v>
                </c:pt>
                <c:pt idx="697">
                  <c:v>0.34345624641518524</c:v>
                </c:pt>
                <c:pt idx="698">
                  <c:v>0.33099978178704675</c:v>
                </c:pt>
                <c:pt idx="699">
                  <c:v>0.35039781524879127</c:v>
                </c:pt>
                <c:pt idx="700">
                  <c:v>0.35746474961949959</c:v>
                </c:pt>
                <c:pt idx="701">
                  <c:v>0.35492247514914455</c:v>
                </c:pt>
                <c:pt idx="702">
                  <c:v>0.3984903447170417</c:v>
                </c:pt>
                <c:pt idx="703">
                  <c:v>0.40005782766221948</c:v>
                </c:pt>
                <c:pt idx="704">
                  <c:v>0.40237447786927949</c:v>
                </c:pt>
                <c:pt idx="705">
                  <c:v>0.3999868512111891</c:v>
                </c:pt>
                <c:pt idx="706">
                  <c:v>0.40174619290429264</c:v>
                </c:pt>
                <c:pt idx="707">
                  <c:v>0.39523794453354294</c:v>
                </c:pt>
                <c:pt idx="708">
                  <c:v>0.37654015702803406</c:v>
                </c:pt>
                <c:pt idx="709">
                  <c:v>0.39865376488852583</c:v>
                </c:pt>
                <c:pt idx="710">
                  <c:v>0.37145821768013959</c:v>
                </c:pt>
                <c:pt idx="711">
                  <c:v>0.32562471569972368</c:v>
                </c:pt>
                <c:pt idx="712">
                  <c:v>0.34092347581032995</c:v>
                </c:pt>
                <c:pt idx="713">
                  <c:v>0.36701426203803728</c:v>
                </c:pt>
                <c:pt idx="714">
                  <c:v>0.35239705159900381</c:v>
                </c:pt>
                <c:pt idx="715">
                  <c:v>0.35095196326833317</c:v>
                </c:pt>
                <c:pt idx="716">
                  <c:v>0.35140072643327053</c:v>
                </c:pt>
                <c:pt idx="717">
                  <c:v>0.33787708540501582</c:v>
                </c:pt>
                <c:pt idx="718">
                  <c:v>0.32322768852759304</c:v>
                </c:pt>
                <c:pt idx="719">
                  <c:v>0.32391019328025716</c:v>
                </c:pt>
                <c:pt idx="720">
                  <c:v>0.3119362195171238</c:v>
                </c:pt>
                <c:pt idx="721">
                  <c:v>0.31922199565065595</c:v>
                </c:pt>
                <c:pt idx="722">
                  <c:v>0.31795370189262284</c:v>
                </c:pt>
                <c:pt idx="723">
                  <c:v>0.29217037312868988</c:v>
                </c:pt>
                <c:pt idx="724">
                  <c:v>0.30011442329761601</c:v>
                </c:pt>
                <c:pt idx="725">
                  <c:v>0.29762536158204522</c:v>
                </c:pt>
                <c:pt idx="726">
                  <c:v>0.3075975825634269</c:v>
                </c:pt>
                <c:pt idx="727">
                  <c:v>0.29439801998643472</c:v>
                </c:pt>
                <c:pt idx="728">
                  <c:v>0.30934547935048284</c:v>
                </c:pt>
                <c:pt idx="729">
                  <c:v>0.29387756484755934</c:v>
                </c:pt>
                <c:pt idx="730">
                  <c:v>0.27508375436796251</c:v>
                </c:pt>
                <c:pt idx="731">
                  <c:v>0.21654973879075068</c:v>
                </c:pt>
                <c:pt idx="732">
                  <c:v>0.19244665225578284</c:v>
                </c:pt>
                <c:pt idx="733">
                  <c:v>0.16755123438007594</c:v>
                </c:pt>
                <c:pt idx="734">
                  <c:v>0.16529647940582143</c:v>
                </c:pt>
                <c:pt idx="735">
                  <c:v>0.13247416879392884</c:v>
                </c:pt>
                <c:pt idx="736">
                  <c:v>0.16037636161833901</c:v>
                </c:pt>
                <c:pt idx="737">
                  <c:v>0.14287577332110135</c:v>
                </c:pt>
                <c:pt idx="738">
                  <c:v>0.1281608794287081</c:v>
                </c:pt>
                <c:pt idx="739">
                  <c:v>0.12045147715878277</c:v>
                </c:pt>
                <c:pt idx="740">
                  <c:v>0.13295919768287748</c:v>
                </c:pt>
                <c:pt idx="741">
                  <c:v>0.23456902343243333</c:v>
                </c:pt>
                <c:pt idx="742">
                  <c:v>0.29982428018652379</c:v>
                </c:pt>
                <c:pt idx="743">
                  <c:v>0.24402951382984006</c:v>
                </c:pt>
                <c:pt idx="744">
                  <c:v>0.15739356336991983</c:v>
                </c:pt>
                <c:pt idx="745">
                  <c:v>9.8368069560497096E-2</c:v>
                </c:pt>
                <c:pt idx="746">
                  <c:v>9.7361985975387769E-2</c:v>
                </c:pt>
                <c:pt idx="747">
                  <c:v>8.6541578325196267E-2</c:v>
                </c:pt>
                <c:pt idx="748">
                  <c:v>8.7020521846320781E-2</c:v>
                </c:pt>
                <c:pt idx="749">
                  <c:v>4.9574321104211165E-2</c:v>
                </c:pt>
                <c:pt idx="750">
                  <c:v>2.9120159650182709E-2</c:v>
                </c:pt>
                <c:pt idx="751">
                  <c:v>1.9022522070889454E-2</c:v>
                </c:pt>
                <c:pt idx="752">
                  <c:v>2.7616053371325441E-2</c:v>
                </c:pt>
                <c:pt idx="753">
                  <c:v>2.2211666897882034E-2</c:v>
                </c:pt>
                <c:pt idx="754">
                  <c:v>2.049651425563782E-2</c:v>
                </c:pt>
                <c:pt idx="755">
                  <c:v>6.8122245178389483E-3</c:v>
                </c:pt>
                <c:pt idx="756">
                  <c:v>-1.3984413918540859E-2</c:v>
                </c:pt>
                <c:pt idx="757">
                  <c:v>-2.0412946835132533E-3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2-4861-9A5B-C5DF70793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1067535"/>
        <c:axId val="981067951"/>
      </c:lineChart>
      <c:dateAx>
        <c:axId val="9810675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067951"/>
        <c:crosses val="autoZero"/>
        <c:auto val="1"/>
        <c:lblOffset val="100"/>
        <c:baseTimeUnit val="days"/>
      </c:dateAx>
      <c:valAx>
        <c:axId val="9810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067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D4DE8C7-068A-448F-8E07-F4DC551D19A9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2386DC-900A-4E1B-A8BB-0588205E651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179.83</v>
      </c>
      <c r="D2" s="4">
        <f>MIN(D3:D1912)</f>
        <v>3.0726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24.31</v>
      </c>
      <c r="C5">
        <v>24.62</v>
      </c>
      <c r="D5">
        <v>23.8</v>
      </c>
      <c r="E5">
        <v>23.82</v>
      </c>
      <c r="F5">
        <v>121640.05</v>
      </c>
      <c r="G5">
        <v>23.82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-0.95121951219512302</v>
      </c>
      <c r="Q5">
        <f t="shared" ref="Q5" si="1">F5*P5</f>
        <v>-115706.38902439037</v>
      </c>
      <c r="R5">
        <f t="shared" ref="R5" si="2">R6+Q5</f>
        <v>225931394.91723144</v>
      </c>
      <c r="S5">
        <f t="shared" ref="S5" si="3">R5/100000</f>
        <v>2259.3139491723146</v>
      </c>
      <c r="T5">
        <f t="shared" ref="T5" si="4">S5/1000</f>
        <v>2.2593139491723147</v>
      </c>
    </row>
    <row r="6" spans="1:20" x14ac:dyDescent="0.25">
      <c r="A6" s="5">
        <v>44587</v>
      </c>
      <c r="B6">
        <v>24.04</v>
      </c>
      <c r="C6">
        <v>26.32</v>
      </c>
      <c r="D6">
        <v>23.58</v>
      </c>
      <c r="E6">
        <v>24.31</v>
      </c>
      <c r="F6">
        <v>1614061.31</v>
      </c>
      <c r="G6">
        <v>24.31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-0.46715328467153294</v>
      </c>
      <c r="Q6">
        <f t="shared" ref="Q6" si="6">F6*P6</f>
        <v>-754014.04262773739</v>
      </c>
      <c r="R6">
        <f t="shared" ref="R6" si="7">R7+Q6</f>
        <v>226047101.30625582</v>
      </c>
      <c r="S6">
        <f t="shared" ref="S6" si="8">R6/100000</f>
        <v>2260.4710130625581</v>
      </c>
      <c r="T6">
        <f t="shared" ref="T6" si="9">S6/1000</f>
        <v>2.260471013062558</v>
      </c>
    </row>
    <row r="7" spans="1:20" x14ac:dyDescent="0.25">
      <c r="A7" s="5">
        <v>44586</v>
      </c>
      <c r="B7">
        <v>24.11</v>
      </c>
      <c r="C7">
        <v>24.3</v>
      </c>
      <c r="D7">
        <v>23.22</v>
      </c>
      <c r="E7">
        <v>24.03</v>
      </c>
      <c r="F7">
        <v>1605584.32</v>
      </c>
      <c r="G7">
        <v>24.03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0.50000000000000167</v>
      </c>
      <c r="Q7">
        <f t="shared" ref="Q7" si="11">F7*P7</f>
        <v>802792.16000000271</v>
      </c>
      <c r="R7">
        <f t="shared" ref="R7" si="12">R8+Q7</f>
        <v>226801115.34888357</v>
      </c>
      <c r="S7">
        <f t="shared" ref="S7" si="13">R7/100000</f>
        <v>2268.0111534888356</v>
      </c>
      <c r="T7">
        <f t="shared" ref="T7" si="14">S7/1000</f>
        <v>2.2680111534888354</v>
      </c>
    </row>
    <row r="8" spans="1:20" x14ac:dyDescent="0.25">
      <c r="A8" s="5">
        <v>44585</v>
      </c>
      <c r="B8">
        <v>25.12</v>
      </c>
      <c r="C8">
        <v>25.13</v>
      </c>
      <c r="D8">
        <v>21.69</v>
      </c>
      <c r="E8">
        <v>24.11</v>
      </c>
      <c r="F8">
        <v>3290143.5</v>
      </c>
      <c r="G8">
        <v>24.11</v>
      </c>
      <c r="L8" t="s">
        <v>7</v>
      </c>
      <c r="M8" t="s">
        <v>8</v>
      </c>
      <c r="N8" t="s">
        <v>7</v>
      </c>
      <c r="P8">
        <f t="shared" ref="P8" si="15">IF(C8=D8,0,((E8-D8)-(C8-E8))/(C8-D8))</f>
        <v>0.40697674418604635</v>
      </c>
      <c r="Q8">
        <f t="shared" ref="Q8" si="16">F8*P8</f>
        <v>1339011.8895348832</v>
      </c>
      <c r="R8">
        <f t="shared" ref="R8" si="17">R9+Q8</f>
        <v>225998323.18888357</v>
      </c>
      <c r="S8">
        <f t="shared" ref="S8" si="18">R8/100000</f>
        <v>2259.9832318888357</v>
      </c>
      <c r="T8">
        <f t="shared" ref="T8" si="19">S8/1000</f>
        <v>2.2599832318888358</v>
      </c>
    </row>
    <row r="9" spans="1:20" x14ac:dyDescent="0.25">
      <c r="A9" s="5">
        <v>44584</v>
      </c>
      <c r="B9">
        <v>24.19</v>
      </c>
      <c r="C9">
        <v>25.27</v>
      </c>
      <c r="D9">
        <v>23.53</v>
      </c>
      <c r="E9">
        <v>25.13</v>
      </c>
      <c r="F9">
        <v>2005275.2</v>
      </c>
      <c r="G9">
        <v>25.13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0.83908045977011414</v>
      </c>
      <c r="Q9">
        <f t="shared" ref="Q9" si="21">F9*P9</f>
        <v>1682587.2367816076</v>
      </c>
      <c r="R9">
        <f t="shared" ref="R9" si="22">R10+Q9</f>
        <v>224659311.29934868</v>
      </c>
      <c r="S9">
        <f t="shared" ref="S9" si="23">R9/100000</f>
        <v>2246.593112993487</v>
      </c>
      <c r="T9">
        <f t="shared" ref="T9" si="24">S9/1000</f>
        <v>2.2465931129934869</v>
      </c>
    </row>
    <row r="10" spans="1:20" x14ac:dyDescent="0.25">
      <c r="A10" s="5">
        <v>44583</v>
      </c>
      <c r="B10">
        <v>25.91</v>
      </c>
      <c r="C10">
        <v>26.45</v>
      </c>
      <c r="D10">
        <v>21.2</v>
      </c>
      <c r="E10">
        <v>24.2</v>
      </c>
      <c r="F10">
        <v>4943402.9170000004</v>
      </c>
      <c r="G10">
        <v>24.2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0.14285714285714285</v>
      </c>
      <c r="Q10">
        <f t="shared" ref="Q10" si="26">F10*P10</f>
        <v>706200.41671428573</v>
      </c>
      <c r="R10">
        <f t="shared" ref="R10" si="27">R11+Q10</f>
        <v>222976724.06256709</v>
      </c>
      <c r="S10">
        <f t="shared" ref="S10" si="28">R10/100000</f>
        <v>2229.7672406256706</v>
      </c>
      <c r="T10">
        <f t="shared" ref="T10" si="29">S10/1000</f>
        <v>2.2297672406256708</v>
      </c>
    </row>
    <row r="11" spans="1:20" x14ac:dyDescent="0.25">
      <c r="A11" s="5">
        <v>44582</v>
      </c>
      <c r="B11">
        <v>29.34</v>
      </c>
      <c r="C11">
        <v>29.7</v>
      </c>
      <c r="D11">
        <v>25.23</v>
      </c>
      <c r="E11">
        <v>25.91</v>
      </c>
      <c r="F11">
        <v>2791607.273</v>
      </c>
      <c r="G11">
        <v>25.91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-0.69574944071588374</v>
      </c>
      <c r="Q11">
        <f t="shared" ref="Q11" si="31">F11*P11</f>
        <v>-1942259.1988881433</v>
      </c>
      <c r="R11">
        <f t="shared" ref="R11" si="32">R12+Q11</f>
        <v>222270523.6458528</v>
      </c>
      <c r="S11">
        <f t="shared" ref="S11" si="33">R11/100000</f>
        <v>2222.7052364585279</v>
      </c>
      <c r="T11">
        <f t="shared" ref="T11" si="34">S11/1000</f>
        <v>2.2227052364585278</v>
      </c>
    </row>
    <row r="12" spans="1:20" x14ac:dyDescent="0.25">
      <c r="A12" s="5">
        <v>44581</v>
      </c>
      <c r="B12">
        <v>31.29</v>
      </c>
      <c r="C12">
        <v>32.03</v>
      </c>
      <c r="D12">
        <v>28.3</v>
      </c>
      <c r="E12">
        <v>29.35</v>
      </c>
      <c r="F12">
        <v>1312732.3600000001</v>
      </c>
      <c r="G12">
        <v>29.35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-0.43699731903485223</v>
      </c>
      <c r="Q12">
        <f t="shared" ref="Q12" si="36">F12*P12</f>
        <v>-573660.52193029458</v>
      </c>
      <c r="R12">
        <f t="shared" ref="R12" si="37">R13+Q12</f>
        <v>224212782.84474096</v>
      </c>
      <c r="S12">
        <f t="shared" ref="S12" si="38">R12/100000</f>
        <v>2242.1278284474097</v>
      </c>
      <c r="T12">
        <f t="shared" ref="T12" si="39">S12/1000</f>
        <v>2.2421278284474098</v>
      </c>
    </row>
    <row r="13" spans="1:20" x14ac:dyDescent="0.25">
      <c r="A13" s="5">
        <v>44580</v>
      </c>
      <c r="B13">
        <v>32.65</v>
      </c>
      <c r="C13">
        <v>34.74</v>
      </c>
      <c r="D13">
        <v>31.29</v>
      </c>
      <c r="E13">
        <v>31.3</v>
      </c>
      <c r="F13">
        <v>2948635.95</v>
      </c>
      <c r="G13">
        <v>31.3</v>
      </c>
      <c r="L13" t="s">
        <v>8</v>
      </c>
      <c r="M13" t="s">
        <v>8</v>
      </c>
      <c r="N13" t="s">
        <v>7</v>
      </c>
      <c r="P13">
        <f t="shared" ref="P13" si="40">IF(C13=D13,0,((E13-D13)-(C13-E13))/(C13-D13))</f>
        <v>-0.99420289855072375</v>
      </c>
      <c r="Q13">
        <f t="shared" ref="Q13" si="41">F13*P13</f>
        <v>-2931542.408260867</v>
      </c>
      <c r="R13">
        <f t="shared" ref="R13" si="42">R14+Q13</f>
        <v>224786443.36667126</v>
      </c>
      <c r="S13">
        <f t="shared" ref="S13" si="43">R13/100000</f>
        <v>2247.8644336667126</v>
      </c>
      <c r="T13">
        <f t="shared" ref="T13" si="44">S13/1000</f>
        <v>2.2478644336667126</v>
      </c>
    </row>
    <row r="14" spans="1:20" x14ac:dyDescent="0.25">
      <c r="A14" s="5">
        <v>44579</v>
      </c>
      <c r="B14">
        <v>30.99</v>
      </c>
      <c r="C14">
        <v>34.299999999999997</v>
      </c>
      <c r="D14">
        <v>30.67</v>
      </c>
      <c r="E14">
        <v>32.659999999999997</v>
      </c>
      <c r="F14">
        <v>3100672.77</v>
      </c>
      <c r="G14">
        <v>32.659999999999997</v>
      </c>
      <c r="L14" t="s">
        <v>8</v>
      </c>
      <c r="M14" t="s">
        <v>8</v>
      </c>
      <c r="N14" t="s">
        <v>7</v>
      </c>
      <c r="P14">
        <f t="shared" ref="P14" si="45">IF(C14=D14,0,((E14-D14)-(C14-E14))/(C14-D14))</f>
        <v>9.6418732782367705E-2</v>
      </c>
      <c r="Q14">
        <f t="shared" ref="Q14" si="46">F14*P14</f>
        <v>298962.93925619387</v>
      </c>
      <c r="R14">
        <f t="shared" ref="R14" si="47">R15+Q14</f>
        <v>227717985.77493215</v>
      </c>
      <c r="S14">
        <f t="shared" ref="S14" si="48">R14/100000</f>
        <v>2277.1798577493214</v>
      </c>
      <c r="T14">
        <f t="shared" ref="T14" si="49">S14/1000</f>
        <v>2.2771798577493212</v>
      </c>
    </row>
    <row r="15" spans="1:20" x14ac:dyDescent="0.25">
      <c r="A15" s="5">
        <v>44578</v>
      </c>
      <c r="B15">
        <v>32.28</v>
      </c>
      <c r="C15">
        <v>32.4</v>
      </c>
      <c r="D15">
        <v>30.47</v>
      </c>
      <c r="E15">
        <v>30.98</v>
      </c>
      <c r="F15">
        <v>545028.38</v>
      </c>
      <c r="G15">
        <v>30.98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-0.47150259067357342</v>
      </c>
      <c r="Q15">
        <f t="shared" ref="Q15" si="51">F15*P15</f>
        <v>-256982.29316062084</v>
      </c>
      <c r="R15">
        <f t="shared" ref="R15" si="52">R16+Q15</f>
        <v>227419022.83567595</v>
      </c>
      <c r="S15">
        <f t="shared" ref="S15" si="53">R15/100000</f>
        <v>2274.1902283567597</v>
      </c>
      <c r="T15">
        <f t="shared" ref="T15" si="54">S15/1000</f>
        <v>2.2741902283567597</v>
      </c>
    </row>
    <row r="16" spans="1:20" x14ac:dyDescent="0.25">
      <c r="A16" s="5">
        <v>44577</v>
      </c>
      <c r="B16">
        <v>32.83</v>
      </c>
      <c r="C16">
        <v>32.85</v>
      </c>
      <c r="D16">
        <v>31.97</v>
      </c>
      <c r="E16">
        <v>32.28</v>
      </c>
      <c r="F16">
        <v>385190.1</v>
      </c>
      <c r="G16">
        <v>32.28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-0.29545454545454236</v>
      </c>
      <c r="Q16">
        <f t="shared" ref="Q16" si="56">F16*P16</f>
        <v>-113806.16590908972</v>
      </c>
      <c r="R16">
        <f t="shared" ref="R16" si="57">R17+Q16</f>
        <v>227676005.12883657</v>
      </c>
      <c r="S16">
        <f t="shared" ref="S16" si="58">R16/100000</f>
        <v>2276.7600512883655</v>
      </c>
      <c r="T16">
        <f t="shared" ref="T16" si="59">S16/1000</f>
        <v>2.2767600512883654</v>
      </c>
    </row>
    <row r="17" spans="1:20" x14ac:dyDescent="0.25">
      <c r="A17" s="5">
        <v>44576</v>
      </c>
      <c r="B17">
        <v>31.96</v>
      </c>
      <c r="C17">
        <v>33.380000000000003</v>
      </c>
      <c r="D17">
        <v>31.8</v>
      </c>
      <c r="E17">
        <v>32.840000000000003</v>
      </c>
      <c r="F17">
        <v>843721.93</v>
      </c>
      <c r="G17">
        <v>32.840000000000003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0.3164556962025335</v>
      </c>
      <c r="Q17">
        <f t="shared" ref="Q17" si="61">F17*P17</f>
        <v>267000.61075949523</v>
      </c>
      <c r="R17">
        <f t="shared" ref="R17" si="62">R18+Q17</f>
        <v>227789811.29474565</v>
      </c>
      <c r="S17">
        <f t="shared" ref="S17" si="63">R17/100000</f>
        <v>2277.8981129474564</v>
      </c>
      <c r="T17">
        <f t="shared" ref="T17" si="64">S17/1000</f>
        <v>2.2778981129474563</v>
      </c>
    </row>
    <row r="18" spans="1:20" x14ac:dyDescent="0.25">
      <c r="A18" s="5">
        <v>44575</v>
      </c>
      <c r="B18">
        <v>30.26</v>
      </c>
      <c r="C18">
        <v>33.5</v>
      </c>
      <c r="D18">
        <v>30.06</v>
      </c>
      <c r="E18">
        <v>31.97</v>
      </c>
      <c r="F18">
        <v>1741084.72</v>
      </c>
      <c r="G18">
        <v>31.97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0.11046511627906944</v>
      </c>
      <c r="Q18">
        <f t="shared" ref="Q18" si="66">F18*P18</f>
        <v>192329.12604651105</v>
      </c>
      <c r="R18">
        <f t="shared" ref="R18" si="67">R19+Q18</f>
        <v>227522810.68398616</v>
      </c>
      <c r="S18">
        <f t="shared" ref="S18" si="68">R18/100000</f>
        <v>2275.2281068398615</v>
      </c>
      <c r="T18">
        <f t="shared" ref="T18" si="69">S18/1000</f>
        <v>2.2752281068398617</v>
      </c>
    </row>
    <row r="19" spans="1:20" x14ac:dyDescent="0.25">
      <c r="A19" s="5">
        <v>44574</v>
      </c>
      <c r="B19">
        <v>31.16</v>
      </c>
      <c r="C19">
        <v>31.92</v>
      </c>
      <c r="D19">
        <v>30.1</v>
      </c>
      <c r="E19">
        <v>30.28</v>
      </c>
      <c r="F19">
        <v>651571.65</v>
      </c>
      <c r="G19">
        <v>30.28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-0.80219780219780257</v>
      </c>
      <c r="Q19">
        <f t="shared" ref="Q19" si="71">F19*P19</f>
        <v>-522689.34560439584</v>
      </c>
      <c r="R19">
        <f t="shared" ref="R19" si="72">R20+Q19</f>
        <v>227330481.55793965</v>
      </c>
      <c r="S19">
        <f t="shared" ref="S19" si="73">R19/100000</f>
        <v>2273.3048155793963</v>
      </c>
      <c r="T19">
        <f t="shared" ref="T19" si="74">S19/1000</f>
        <v>2.2733048155793965</v>
      </c>
    </row>
    <row r="20" spans="1:20" x14ac:dyDescent="0.25">
      <c r="A20" s="5">
        <v>44573</v>
      </c>
      <c r="B20">
        <v>29.65</v>
      </c>
      <c r="C20">
        <v>31.24</v>
      </c>
      <c r="D20">
        <v>29.53</v>
      </c>
      <c r="E20">
        <v>31.16</v>
      </c>
      <c r="F20">
        <v>588682.23</v>
      </c>
      <c r="G20">
        <v>31.16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0.90643274853801359</v>
      </c>
      <c r="Q20">
        <f t="shared" ref="Q20" si="76">F20*P20</f>
        <v>533600.85175438703</v>
      </c>
      <c r="R20">
        <f t="shared" ref="R20" si="77">R21+Q20</f>
        <v>227853170.90354404</v>
      </c>
      <c r="S20">
        <f t="shared" ref="S20" si="78">R20/100000</f>
        <v>2278.5317090354406</v>
      </c>
      <c r="T20">
        <f t="shared" ref="T20" si="79">S20/1000</f>
        <v>2.2785317090354407</v>
      </c>
    </row>
    <row r="21" spans="1:20" x14ac:dyDescent="0.25">
      <c r="A21" s="5">
        <v>44572</v>
      </c>
      <c r="B21">
        <v>28.47</v>
      </c>
      <c r="C21">
        <v>30.04</v>
      </c>
      <c r="D21">
        <v>28.38</v>
      </c>
      <c r="E21">
        <v>29.66</v>
      </c>
      <c r="F21">
        <v>845777.39</v>
      </c>
      <c r="G21">
        <v>29.66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0.54216867469879637</v>
      </c>
      <c r="Q21">
        <f t="shared" ref="Q21" si="81">F21*P21</f>
        <v>458554.00662650703</v>
      </c>
      <c r="R21">
        <f t="shared" ref="R21" si="82">R22+Q21</f>
        <v>227319570.05178964</v>
      </c>
      <c r="S21">
        <f t="shared" ref="S21" si="83">R21/100000</f>
        <v>2273.1957005178965</v>
      </c>
      <c r="T21">
        <f t="shared" ref="T21" si="84">S21/1000</f>
        <v>2.2731957005178964</v>
      </c>
    </row>
    <row r="22" spans="1:20" x14ac:dyDescent="0.25">
      <c r="A22" s="5">
        <v>44571</v>
      </c>
      <c r="B22">
        <v>29.73</v>
      </c>
      <c r="C22">
        <v>30.06</v>
      </c>
      <c r="D22">
        <v>27.26</v>
      </c>
      <c r="E22">
        <v>28.48</v>
      </c>
      <c r="F22">
        <v>1438787.9790000001</v>
      </c>
      <c r="G22">
        <v>28.48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-0.1285714285714285</v>
      </c>
      <c r="Q22">
        <f t="shared" ref="Q22" si="86">F22*P22</f>
        <v>-184987.02587142849</v>
      </c>
      <c r="R22">
        <f t="shared" ref="R22" si="87">R23+Q22</f>
        <v>226861016.04516312</v>
      </c>
      <c r="S22">
        <f t="shared" ref="S22" si="88">R22/100000</f>
        <v>2268.6101604516311</v>
      </c>
      <c r="T22">
        <f t="shared" ref="T22" si="89">S22/1000</f>
        <v>2.2686101604516313</v>
      </c>
    </row>
    <row r="23" spans="1:20" x14ac:dyDescent="0.25">
      <c r="A23" s="5">
        <v>44570</v>
      </c>
      <c r="B23">
        <v>29.34</v>
      </c>
      <c r="C23">
        <v>30.27</v>
      </c>
      <c r="D23">
        <v>29.13</v>
      </c>
      <c r="E23">
        <v>29.73</v>
      </c>
      <c r="F23">
        <v>552591.06000000006</v>
      </c>
      <c r="G23">
        <v>29.73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5.2631578947370389E-2</v>
      </c>
      <c r="Q23">
        <f t="shared" ref="Q23" si="91">F23*P23</f>
        <v>29083.740000001089</v>
      </c>
      <c r="R23">
        <f t="shared" ref="R23" si="92">R24+Q23</f>
        <v>227046003.07103455</v>
      </c>
      <c r="S23">
        <f t="shared" ref="S23" si="93">R23/100000</f>
        <v>2270.4600307103456</v>
      </c>
      <c r="T23">
        <f t="shared" ref="T23" si="94">S23/1000</f>
        <v>2.2704600307103457</v>
      </c>
    </row>
    <row r="24" spans="1:20" x14ac:dyDescent="0.25">
      <c r="A24" s="5">
        <v>44569</v>
      </c>
      <c r="B24">
        <v>30.46</v>
      </c>
      <c r="C24">
        <v>31.04</v>
      </c>
      <c r="D24">
        <v>28.37</v>
      </c>
      <c r="E24">
        <v>29.35</v>
      </c>
      <c r="F24">
        <v>854868.67</v>
      </c>
      <c r="G24">
        <v>29.35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-0.26591760299625383</v>
      </c>
      <c r="Q24">
        <f t="shared" ref="Q24" si="96">F24*P24</f>
        <v>-227324.62760299555</v>
      </c>
      <c r="R24">
        <f t="shared" ref="R24" si="97">R25+Q24</f>
        <v>227016919.33103454</v>
      </c>
      <c r="S24">
        <f t="shared" ref="S24" si="98">R24/100000</f>
        <v>2270.1691933103452</v>
      </c>
      <c r="T24">
        <f t="shared" ref="T24" si="99">S24/1000</f>
        <v>2.2701691933103452</v>
      </c>
    </row>
    <row r="25" spans="1:20" x14ac:dyDescent="0.25">
      <c r="A25" s="5">
        <v>44568</v>
      </c>
      <c r="B25">
        <v>31.62</v>
      </c>
      <c r="C25">
        <v>31.76</v>
      </c>
      <c r="D25">
        <v>29.17</v>
      </c>
      <c r="E25">
        <v>30.45</v>
      </c>
      <c r="F25">
        <v>1502439.27</v>
      </c>
      <c r="G25">
        <v>30.45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-1.1583011583013393E-2</v>
      </c>
      <c r="Q25">
        <f t="shared" ref="Q25" si="101">F25*P25</f>
        <v>-17402.771467184186</v>
      </c>
      <c r="R25">
        <f t="shared" ref="R25" si="102">R26+Q25</f>
        <v>227244243.95863754</v>
      </c>
      <c r="S25">
        <f t="shared" ref="S25" si="103">R25/100000</f>
        <v>2272.4424395863753</v>
      </c>
      <c r="T25">
        <f t="shared" ref="T25" si="104">S25/1000</f>
        <v>2.2724424395863752</v>
      </c>
    </row>
    <row r="26" spans="1:20" x14ac:dyDescent="0.25">
      <c r="A26" s="5">
        <v>44567</v>
      </c>
      <c r="B26">
        <v>31.94</v>
      </c>
      <c r="C26">
        <v>32.130000000000003</v>
      </c>
      <c r="D26">
        <v>30.65</v>
      </c>
      <c r="E26">
        <v>31.63</v>
      </c>
      <c r="F26">
        <v>979233</v>
      </c>
      <c r="G26">
        <v>31.63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0.32432432432432134</v>
      </c>
      <c r="Q26">
        <f t="shared" ref="Q26" si="106">F26*P26</f>
        <v>317589.08108107815</v>
      </c>
      <c r="R26">
        <f t="shared" ref="R26" si="107">R27+Q26</f>
        <v>227261646.73010471</v>
      </c>
      <c r="S26">
        <f t="shared" ref="S26" si="108">R26/100000</f>
        <v>2272.6164673010471</v>
      </c>
      <c r="T26">
        <f t="shared" ref="T26" si="109">S26/1000</f>
        <v>2.2726164673010469</v>
      </c>
    </row>
    <row r="27" spans="1:20" x14ac:dyDescent="0.25">
      <c r="A27" s="5">
        <v>44566</v>
      </c>
      <c r="B27">
        <v>34.14</v>
      </c>
      <c r="C27">
        <v>34.83</v>
      </c>
      <c r="D27">
        <v>30.45</v>
      </c>
      <c r="E27">
        <v>31.94</v>
      </c>
      <c r="F27">
        <v>1029463.79</v>
      </c>
      <c r="G27">
        <v>31.94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-0.31963470319634596</v>
      </c>
      <c r="Q27">
        <f t="shared" ref="Q27" si="111">F27*P27</f>
        <v>-329052.35296803544</v>
      </c>
      <c r="R27">
        <f t="shared" ref="R27" si="112">R28+Q27</f>
        <v>226944057.64902362</v>
      </c>
      <c r="S27">
        <f t="shared" ref="S27" si="113">R27/100000</f>
        <v>2269.4405764902363</v>
      </c>
      <c r="T27">
        <f t="shared" ref="T27" si="114">S27/1000</f>
        <v>2.2694405764902363</v>
      </c>
    </row>
    <row r="28" spans="1:20" x14ac:dyDescent="0.25">
      <c r="A28" s="5">
        <v>44565</v>
      </c>
      <c r="B28">
        <v>34.72</v>
      </c>
      <c r="C28">
        <v>35.020000000000003</v>
      </c>
      <c r="D28">
        <v>33.799999999999997</v>
      </c>
      <c r="E28">
        <v>34.14</v>
      </c>
      <c r="F28">
        <v>555520.68000000005</v>
      </c>
      <c r="G28">
        <v>34.14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-0.44262295081966929</v>
      </c>
      <c r="Q28">
        <f t="shared" ref="Q28" si="116">F28*P28</f>
        <v>-245886.20262294926</v>
      </c>
      <c r="R28">
        <f t="shared" ref="R28" si="117">R29+Q28</f>
        <v>227273110.00199166</v>
      </c>
      <c r="S28">
        <f t="shared" ref="S28" si="118">R28/100000</f>
        <v>2272.7311000199165</v>
      </c>
      <c r="T28">
        <f t="shared" ref="T28" si="119">S28/1000</f>
        <v>2.2727311000199166</v>
      </c>
    </row>
    <row r="29" spans="1:20" x14ac:dyDescent="0.25">
      <c r="A29" s="5">
        <v>44564</v>
      </c>
      <c r="B29">
        <v>35.39</v>
      </c>
      <c r="C29">
        <v>35.4</v>
      </c>
      <c r="D29">
        <v>34.15</v>
      </c>
      <c r="E29">
        <v>34.72</v>
      </c>
      <c r="F29">
        <v>543287.15</v>
      </c>
      <c r="G29">
        <v>34.72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-8.7999999999999551E-2</v>
      </c>
      <c r="Q29">
        <f t="shared" ref="Q29" si="121">F29*P29</f>
        <v>-47809.269199999755</v>
      </c>
      <c r="R29">
        <f t="shared" ref="R29" si="122">R30+Q29</f>
        <v>227518996.20461461</v>
      </c>
      <c r="S29">
        <f t="shared" ref="S29" si="123">R29/100000</f>
        <v>2275.1899620461463</v>
      </c>
      <c r="T29">
        <f t="shared" ref="T29" si="124">S29/1000</f>
        <v>2.2751899620461464</v>
      </c>
    </row>
    <row r="30" spans="1:20" x14ac:dyDescent="0.25">
      <c r="A30" s="5">
        <v>44563</v>
      </c>
      <c r="B30">
        <v>34.9</v>
      </c>
      <c r="C30">
        <v>35.9</v>
      </c>
      <c r="D30">
        <v>34.32</v>
      </c>
      <c r="E30">
        <v>35.409999999999997</v>
      </c>
      <c r="F30">
        <v>390010.35</v>
      </c>
      <c r="G30">
        <v>35.409999999999997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0.37974683544303478</v>
      </c>
      <c r="Q30">
        <f t="shared" ref="Q30" si="126">F30*P30</f>
        <v>148105.19620253038</v>
      </c>
      <c r="R30">
        <f t="shared" ref="R30" si="127">R31+Q30</f>
        <v>227566805.47381461</v>
      </c>
      <c r="S30">
        <f t="shared" ref="S30" si="128">R30/100000</f>
        <v>2275.6680547381461</v>
      </c>
      <c r="T30">
        <f t="shared" ref="T30" si="129">S30/1000</f>
        <v>2.275668054738146</v>
      </c>
    </row>
    <row r="31" spans="1:20" x14ac:dyDescent="0.25">
      <c r="A31" s="5">
        <v>44562</v>
      </c>
      <c r="B31">
        <v>34.06</v>
      </c>
      <c r="C31">
        <v>34.909999999999997</v>
      </c>
      <c r="D31">
        <v>34.06</v>
      </c>
      <c r="E31">
        <v>34.880000000000003</v>
      </c>
      <c r="F31">
        <v>349673.98</v>
      </c>
      <c r="G31">
        <v>34.880000000000003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0.92941176470589593</v>
      </c>
      <c r="Q31">
        <f t="shared" ref="Q31" si="131">F31*P31</f>
        <v>324991.11082353414</v>
      </c>
      <c r="R31">
        <f t="shared" ref="R31" si="132">R32+Q31</f>
        <v>227418700.27761209</v>
      </c>
      <c r="S31">
        <f t="shared" ref="S31" si="133">R31/100000</f>
        <v>2274.1870027761211</v>
      </c>
      <c r="T31">
        <f t="shared" ref="T31" si="134">S31/1000</f>
        <v>2.2741870027761211</v>
      </c>
    </row>
    <row r="32" spans="1:20" x14ac:dyDescent="0.25">
      <c r="A32" s="5">
        <v>44561</v>
      </c>
      <c r="B32">
        <v>34.57</v>
      </c>
      <c r="C32">
        <v>35.67</v>
      </c>
      <c r="D32">
        <v>33.44</v>
      </c>
      <c r="E32">
        <v>34.06</v>
      </c>
      <c r="F32">
        <v>767449.96</v>
      </c>
      <c r="G32">
        <v>34.06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-0.44394618834080407</v>
      </c>
      <c r="Q32">
        <f t="shared" ref="Q32" si="136">F32*P32</f>
        <v>-340706.48448430252</v>
      </c>
      <c r="R32">
        <f t="shared" ref="R32" si="137">R33+Q32</f>
        <v>227093709.16678855</v>
      </c>
      <c r="S32">
        <f t="shared" ref="S32" si="138">R32/100000</f>
        <v>2270.9370916678854</v>
      </c>
      <c r="T32">
        <f t="shared" ref="T32" si="139">S32/1000</f>
        <v>2.2709370916678853</v>
      </c>
    </row>
    <row r="33" spans="1:20" x14ac:dyDescent="0.25">
      <c r="A33" s="5">
        <v>44560</v>
      </c>
      <c r="B33">
        <v>34.15</v>
      </c>
      <c r="C33">
        <v>35.090000000000003</v>
      </c>
      <c r="D33">
        <v>33.5</v>
      </c>
      <c r="E33">
        <v>34.590000000000003</v>
      </c>
      <c r="F33">
        <v>599381.1</v>
      </c>
      <c r="G33">
        <v>34.590000000000003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0.37106918238993847</v>
      </c>
      <c r="Q33">
        <f t="shared" ref="Q33" si="141">F33*P33</f>
        <v>222411.85471698194</v>
      </c>
      <c r="R33">
        <f t="shared" ref="R33" si="142">R34+Q33</f>
        <v>227434415.65127286</v>
      </c>
      <c r="S33">
        <f t="shared" ref="S33" si="143">R33/100000</f>
        <v>2274.3441565127287</v>
      </c>
      <c r="T33">
        <f t="shared" ref="T33" si="144">S33/1000</f>
        <v>2.2743441565127287</v>
      </c>
    </row>
    <row r="34" spans="1:20" x14ac:dyDescent="0.25">
      <c r="A34" s="5">
        <v>44559</v>
      </c>
      <c r="B34">
        <v>34.93</v>
      </c>
      <c r="C34">
        <v>35.47</v>
      </c>
      <c r="D34">
        <v>33.76</v>
      </c>
      <c r="E34">
        <v>34.14</v>
      </c>
      <c r="F34">
        <v>704989.75</v>
      </c>
      <c r="G34">
        <v>34.14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-0.5555555555555528</v>
      </c>
      <c r="Q34">
        <f t="shared" ref="Q34" si="146">F34*P34</f>
        <v>-391660.97222222027</v>
      </c>
      <c r="R34">
        <f t="shared" ref="R34" si="147">R35+Q34</f>
        <v>227212003.79655588</v>
      </c>
      <c r="S34">
        <f t="shared" ref="S34" si="148">R34/100000</f>
        <v>2272.1200379655588</v>
      </c>
      <c r="T34">
        <f t="shared" ref="T34" si="149">S34/1000</f>
        <v>2.2721200379655588</v>
      </c>
    </row>
    <row r="35" spans="1:20" x14ac:dyDescent="0.25">
      <c r="A35" s="5">
        <v>44558</v>
      </c>
      <c r="B35">
        <v>37.61</v>
      </c>
      <c r="C35">
        <v>37.630000000000003</v>
      </c>
      <c r="D35">
        <v>34.57</v>
      </c>
      <c r="E35">
        <v>34.93</v>
      </c>
      <c r="F35">
        <v>1034147.04</v>
      </c>
      <c r="G35">
        <v>34.93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-0.76470588235294168</v>
      </c>
      <c r="Q35">
        <f t="shared" ref="Q35" si="151">F35*P35</f>
        <v>-790818.32470588293</v>
      </c>
      <c r="R35">
        <f t="shared" ref="R35" si="152">R36+Q35</f>
        <v>227603664.76877809</v>
      </c>
      <c r="S35">
        <f t="shared" ref="S35" si="153">R35/100000</f>
        <v>2276.0366476877807</v>
      </c>
      <c r="T35">
        <f t="shared" ref="T35" si="154">S35/1000</f>
        <v>2.2760366476877807</v>
      </c>
    </row>
    <row r="36" spans="1:20" x14ac:dyDescent="0.25">
      <c r="A36" s="5">
        <v>44557</v>
      </c>
      <c r="B36">
        <v>37.94</v>
      </c>
      <c r="C36">
        <v>38.700000000000003</v>
      </c>
      <c r="D36">
        <v>37.54</v>
      </c>
      <c r="E36">
        <v>37.619999999999997</v>
      </c>
      <c r="F36">
        <v>532623.43000000005</v>
      </c>
      <c r="G36">
        <v>37.619999999999997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-0.86206896551724477</v>
      </c>
      <c r="Q36">
        <f t="shared" ref="Q36" si="156">F36*P36</f>
        <v>-459158.12931034667</v>
      </c>
      <c r="R36">
        <f t="shared" ref="R36" si="157">R37+Q36</f>
        <v>228394483.09348395</v>
      </c>
      <c r="S36">
        <f t="shared" ref="S36" si="158">R36/100000</f>
        <v>2283.9448309348395</v>
      </c>
      <c r="T36">
        <f t="shared" ref="T36" si="159">S36/1000</f>
        <v>2.2839448309348396</v>
      </c>
    </row>
    <row r="37" spans="1:20" x14ac:dyDescent="0.25">
      <c r="A37" s="5">
        <v>44556</v>
      </c>
      <c r="B37">
        <v>38.07</v>
      </c>
      <c r="C37">
        <v>38.35</v>
      </c>
      <c r="D37">
        <v>36.950000000000003</v>
      </c>
      <c r="E37">
        <v>37.93</v>
      </c>
      <c r="F37">
        <v>533316.56000000006</v>
      </c>
      <c r="G37">
        <v>37.93</v>
      </c>
      <c r="L37" t="s">
        <v>8</v>
      </c>
      <c r="M37" t="s">
        <v>7</v>
      </c>
      <c r="N37" t="s">
        <v>8</v>
      </c>
      <c r="P37">
        <f t="shared" ref="P37" si="160">IF(C37=D37,0,((E37-D37)-(C37-E37))/(C37-D37))</f>
        <v>0.39999999999999697</v>
      </c>
      <c r="Q37">
        <f t="shared" ref="Q37" si="161">F37*P37</f>
        <v>213326.62399999841</v>
      </c>
      <c r="R37">
        <f t="shared" ref="R37" si="162">R38+Q37</f>
        <v>228853641.22279429</v>
      </c>
      <c r="S37">
        <f t="shared" ref="S37" si="163">R37/100000</f>
        <v>2288.5364122279429</v>
      </c>
      <c r="T37">
        <f t="shared" ref="T37" si="164">S37/1000</f>
        <v>2.288536412227943</v>
      </c>
    </row>
    <row r="38" spans="1:20" x14ac:dyDescent="0.25">
      <c r="A38" s="5">
        <v>44555</v>
      </c>
      <c r="B38">
        <v>37.42</v>
      </c>
      <c r="C38">
        <v>38.79</v>
      </c>
      <c r="D38">
        <v>37.17</v>
      </c>
      <c r="E38">
        <v>38.08</v>
      </c>
      <c r="F38">
        <v>453634.52</v>
      </c>
      <c r="G38">
        <v>38.08</v>
      </c>
      <c r="L38" t="s">
        <v>8</v>
      </c>
      <c r="M38" t="s">
        <v>7</v>
      </c>
      <c r="N38" t="s">
        <v>8</v>
      </c>
      <c r="P38">
        <f t="shared" ref="P38" si="165">IF(C38=D38,0,((E38-D38)-(C38-E38))/(C38-D38))</f>
        <v>0.12345679012345435</v>
      </c>
      <c r="Q38">
        <f t="shared" ref="Q38" si="166">F38*P38</f>
        <v>56004.261728393962</v>
      </c>
      <c r="R38">
        <f t="shared" ref="R38" si="167">R39+Q38</f>
        <v>228640314.59879428</v>
      </c>
      <c r="S38">
        <f t="shared" ref="S38" si="168">R38/100000</f>
        <v>2286.4031459879429</v>
      </c>
      <c r="T38">
        <f t="shared" ref="T38" si="169">S38/1000</f>
        <v>2.286403145987943</v>
      </c>
    </row>
    <row r="39" spans="1:20" x14ac:dyDescent="0.25">
      <c r="A39" s="5">
        <v>44554</v>
      </c>
      <c r="B39">
        <v>37.56</v>
      </c>
      <c r="C39">
        <v>38.42</v>
      </c>
      <c r="D39">
        <v>37</v>
      </c>
      <c r="E39">
        <v>37.409999999999997</v>
      </c>
      <c r="F39">
        <v>784775.36</v>
      </c>
      <c r="G39">
        <v>37.409999999999997</v>
      </c>
      <c r="L39" t="s">
        <v>8</v>
      </c>
      <c r="M39" t="s">
        <v>7</v>
      </c>
      <c r="N39" t="s">
        <v>8</v>
      </c>
      <c r="P39">
        <f t="shared" ref="P39" si="170">IF(C39=D39,0,((E39-D39)-(C39-E39))/(C39-D39))</f>
        <v>-0.42253521126761112</v>
      </c>
      <c r="Q39">
        <f t="shared" ref="Q39" si="171">F39*P39</f>
        <v>-331595.22253521555</v>
      </c>
      <c r="R39">
        <f t="shared" ref="R39" si="172">R40+Q39</f>
        <v>228584310.33706588</v>
      </c>
      <c r="S39">
        <f t="shared" ref="S39" si="173">R39/100000</f>
        <v>2285.8431033706588</v>
      </c>
      <c r="T39">
        <f t="shared" ref="T39" si="174">S39/1000</f>
        <v>2.285843103370659</v>
      </c>
    </row>
    <row r="40" spans="1:20" x14ac:dyDescent="0.25">
      <c r="A40" s="5">
        <v>44553</v>
      </c>
      <c r="B40">
        <v>35.69</v>
      </c>
      <c r="C40">
        <v>37.72</v>
      </c>
      <c r="D40">
        <v>35.159999999999997</v>
      </c>
      <c r="E40">
        <v>37.53</v>
      </c>
      <c r="F40">
        <v>802833.98</v>
      </c>
      <c r="G40">
        <v>37.53</v>
      </c>
      <c r="L40" t="s">
        <v>8</v>
      </c>
      <c r="M40" t="s">
        <v>7</v>
      </c>
      <c r="N40" t="s">
        <v>8</v>
      </c>
      <c r="P40">
        <f t="shared" ref="P40" si="175">IF(C40=D40,0,((E40-D40)-(C40-E40))/(C40-D40))</f>
        <v>0.85156250000000189</v>
      </c>
      <c r="Q40">
        <f t="shared" ref="Q40" si="176">F40*P40</f>
        <v>683663.31109375146</v>
      </c>
      <c r="R40">
        <f t="shared" ref="R40" si="177">R41+Q40</f>
        <v>228915905.5596011</v>
      </c>
      <c r="S40">
        <f t="shared" ref="S40" si="178">R40/100000</f>
        <v>2289.1590555960111</v>
      </c>
      <c r="T40">
        <f t="shared" ref="T40" si="179">S40/1000</f>
        <v>2.2891590555960111</v>
      </c>
    </row>
    <row r="41" spans="1:20" x14ac:dyDescent="0.25">
      <c r="A41" s="5">
        <v>44552</v>
      </c>
      <c r="B41">
        <v>35.32</v>
      </c>
      <c r="C41">
        <v>36.520000000000003</v>
      </c>
      <c r="D41">
        <v>35.159999999999997</v>
      </c>
      <c r="E41">
        <v>35.700000000000003</v>
      </c>
      <c r="F41">
        <v>733759.43</v>
      </c>
      <c r="G41">
        <v>35.700000000000003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-0.2058823529411711</v>
      </c>
      <c r="Q41">
        <f t="shared" ref="Q41" si="181">F41*P41</f>
        <v>-151068.11794117253</v>
      </c>
      <c r="R41">
        <f t="shared" ref="R41" si="182">R42+Q41</f>
        <v>228232242.24850735</v>
      </c>
      <c r="S41">
        <f t="shared" ref="S41" si="183">R41/100000</f>
        <v>2282.3224224850737</v>
      </c>
      <c r="T41">
        <f t="shared" ref="T41" si="184">S41/1000</f>
        <v>2.2823224224850738</v>
      </c>
    </row>
    <row r="42" spans="1:20" x14ac:dyDescent="0.25">
      <c r="A42" s="5">
        <v>44551</v>
      </c>
      <c r="B42">
        <v>34.56</v>
      </c>
      <c r="C42">
        <v>35.53</v>
      </c>
      <c r="D42">
        <v>34.35</v>
      </c>
      <c r="E42">
        <v>35.32</v>
      </c>
      <c r="F42">
        <v>538616.75</v>
      </c>
      <c r="G42">
        <v>35.32</v>
      </c>
      <c r="L42" t="s">
        <v>7</v>
      </c>
      <c r="M42" t="s">
        <v>7</v>
      </c>
      <c r="N42" t="s">
        <v>8</v>
      </c>
      <c r="P42">
        <f t="shared" ref="P42" si="185">IF(C42=D42,0,((E42-D42)-(C42-E42))/(C42-D42))</f>
        <v>0.644067796610168</v>
      </c>
      <c r="Q42">
        <f t="shared" ref="Q42" si="186">F42*P42</f>
        <v>346905.70338982972</v>
      </c>
      <c r="R42">
        <f t="shared" ref="R42" si="187">R43+Q42</f>
        <v>228383310.36644852</v>
      </c>
      <c r="S42">
        <f t="shared" ref="S42" si="188">R42/100000</f>
        <v>2283.8331036644854</v>
      </c>
      <c r="T42">
        <f t="shared" ref="T42" si="189">S42/1000</f>
        <v>2.2838331036644854</v>
      </c>
    </row>
    <row r="43" spans="1:20" x14ac:dyDescent="0.25">
      <c r="A43" s="5">
        <v>44550</v>
      </c>
      <c r="B43">
        <v>34.86</v>
      </c>
      <c r="C43">
        <v>35.43</v>
      </c>
      <c r="D43">
        <v>33.520000000000003</v>
      </c>
      <c r="E43">
        <v>34.549999999999997</v>
      </c>
      <c r="F43">
        <v>874262.04</v>
      </c>
      <c r="G43">
        <v>34.549999999999997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7.8534031413608235E-2</v>
      </c>
      <c r="Q43">
        <f t="shared" ref="Q43" si="191">F43*P43</f>
        <v>68659.322513085222</v>
      </c>
      <c r="R43">
        <f t="shared" ref="R43" si="192">R44+Q43</f>
        <v>228036404.6630587</v>
      </c>
      <c r="S43">
        <f t="shared" ref="S43" si="193">R43/100000</f>
        <v>2280.3640466305869</v>
      </c>
      <c r="T43">
        <f t="shared" ref="T43" si="194">S43/1000</f>
        <v>2.280364046630587</v>
      </c>
    </row>
    <row r="44" spans="1:20" x14ac:dyDescent="0.25">
      <c r="A44" s="5">
        <v>44549</v>
      </c>
      <c r="B44">
        <v>35.03</v>
      </c>
      <c r="C44">
        <v>36.32</v>
      </c>
      <c r="D44">
        <v>34.74</v>
      </c>
      <c r="E44">
        <v>34.869999999999997</v>
      </c>
      <c r="F44">
        <v>576527.02</v>
      </c>
      <c r="G44">
        <v>34.869999999999997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-0.83544303797468911</v>
      </c>
      <c r="Q44">
        <f t="shared" ref="Q44" si="196">F44*P44</f>
        <v>-481655.48506329436</v>
      </c>
      <c r="R44">
        <f t="shared" ref="R44" si="197">R45+Q44</f>
        <v>227967745.34054562</v>
      </c>
      <c r="S44">
        <f t="shared" ref="S44" si="198">R44/100000</f>
        <v>2279.6774534054562</v>
      </c>
      <c r="T44">
        <f t="shared" ref="T44" si="199">S44/1000</f>
        <v>2.2796774534054562</v>
      </c>
    </row>
    <row r="45" spans="1:20" x14ac:dyDescent="0.25">
      <c r="A45" s="5">
        <v>44548</v>
      </c>
      <c r="B45">
        <v>34.299999999999997</v>
      </c>
      <c r="C45">
        <v>35.53</v>
      </c>
      <c r="D45">
        <v>33.799999999999997</v>
      </c>
      <c r="E45">
        <v>35.03</v>
      </c>
      <c r="F45">
        <v>470419.94</v>
      </c>
      <c r="G45">
        <v>35.03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0.42196531791907649</v>
      </c>
      <c r="Q45">
        <f t="shared" ref="Q45" si="201">F45*P45</f>
        <v>198500.8995375729</v>
      </c>
      <c r="R45">
        <f t="shared" ref="R45" si="202">R46+Q45</f>
        <v>228449400.82560891</v>
      </c>
      <c r="S45">
        <f t="shared" ref="S45" si="203">R45/100000</f>
        <v>2284.4940082560893</v>
      </c>
      <c r="T45">
        <f t="shared" ref="T45" si="204">S45/1000</f>
        <v>2.2844940082560892</v>
      </c>
    </row>
    <row r="46" spans="1:20" x14ac:dyDescent="0.25">
      <c r="A46" s="5">
        <v>44547</v>
      </c>
      <c r="B46">
        <v>35.15</v>
      </c>
      <c r="C46">
        <v>35.5</v>
      </c>
      <c r="D46">
        <v>33.28</v>
      </c>
      <c r="E46">
        <v>34.299999999999997</v>
      </c>
      <c r="F46">
        <v>763102.45</v>
      </c>
      <c r="G46">
        <v>34.299999999999997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-8.1081081081084194E-2</v>
      </c>
      <c r="Q46">
        <f t="shared" ref="Q46" si="206">F46*P46</f>
        <v>-61873.171621623995</v>
      </c>
      <c r="R46">
        <f t="shared" ref="R46" si="207">R47+Q46</f>
        <v>228250899.92607135</v>
      </c>
      <c r="S46">
        <f t="shared" ref="S46" si="208">R46/100000</f>
        <v>2282.5089992607136</v>
      </c>
      <c r="T46">
        <f t="shared" ref="T46" si="209">S46/1000</f>
        <v>2.2825089992607137</v>
      </c>
    </row>
    <row r="47" spans="1:20" x14ac:dyDescent="0.25">
      <c r="A47" s="5">
        <v>44546</v>
      </c>
      <c r="B47">
        <v>36.130000000000003</v>
      </c>
      <c r="C47">
        <v>36.799999999999997</v>
      </c>
      <c r="D47">
        <v>35.049999999999997</v>
      </c>
      <c r="E47">
        <v>35.159999999999997</v>
      </c>
      <c r="F47">
        <v>731625.73</v>
      </c>
      <c r="G47">
        <v>35.159999999999997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-0.87428571428571489</v>
      </c>
      <c r="Q47">
        <f t="shared" ref="Q47" si="211">F47*P47</f>
        <v>-639649.92394285754</v>
      </c>
      <c r="R47">
        <f t="shared" ref="R47" si="212">R48+Q47</f>
        <v>228312773.09769297</v>
      </c>
      <c r="S47">
        <f t="shared" ref="S47" si="213">R47/100000</f>
        <v>2283.1277309769298</v>
      </c>
      <c r="T47">
        <f t="shared" ref="T47" si="214">S47/1000</f>
        <v>2.28312773097693</v>
      </c>
    </row>
    <row r="48" spans="1:20" x14ac:dyDescent="0.25">
      <c r="A48" s="5">
        <v>44545</v>
      </c>
      <c r="B48">
        <v>35.4</v>
      </c>
      <c r="C48">
        <v>36.64</v>
      </c>
      <c r="D48">
        <v>33.26</v>
      </c>
      <c r="E48">
        <v>36.14</v>
      </c>
      <c r="F48">
        <v>1308070.08</v>
      </c>
      <c r="G48">
        <v>36.14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0.70414201183431979</v>
      </c>
      <c r="Q48">
        <f t="shared" ref="Q48" si="216">F48*P48</f>
        <v>921067.09775147971</v>
      </c>
      <c r="R48">
        <f t="shared" ref="R48" si="217">R49+Q48</f>
        <v>228952423.02163583</v>
      </c>
      <c r="S48">
        <f t="shared" ref="S48" si="218">R48/100000</f>
        <v>2289.5242302163583</v>
      </c>
      <c r="T48">
        <f t="shared" ref="T48" si="219">S48/1000</f>
        <v>2.2895242302163585</v>
      </c>
    </row>
    <row r="49" spans="1:20" x14ac:dyDescent="0.25">
      <c r="A49" s="5">
        <v>44544</v>
      </c>
      <c r="B49">
        <v>34.200000000000003</v>
      </c>
      <c r="C49">
        <v>36.520000000000003</v>
      </c>
      <c r="D49">
        <v>33.700000000000003</v>
      </c>
      <c r="E49">
        <v>35.409999999999997</v>
      </c>
      <c r="F49">
        <v>1483642.64</v>
      </c>
      <c r="G49">
        <v>35.409999999999997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0.21276595744680396</v>
      </c>
      <c r="Q49">
        <f t="shared" ref="Q49" si="221">F49*P49</f>
        <v>315668.64680850389</v>
      </c>
      <c r="R49">
        <f t="shared" ref="R49" si="222">R50+Q49</f>
        <v>228031355.92388436</v>
      </c>
      <c r="S49">
        <f t="shared" ref="S49" si="223">R49/100000</f>
        <v>2280.3135592388435</v>
      </c>
      <c r="T49">
        <f t="shared" ref="T49" si="224">S49/1000</f>
        <v>2.2803135592388433</v>
      </c>
    </row>
    <row r="50" spans="1:20" x14ac:dyDescent="0.25">
      <c r="A50" s="5">
        <v>44543</v>
      </c>
      <c r="B50">
        <v>37.89</v>
      </c>
      <c r="C50">
        <v>38.11</v>
      </c>
      <c r="D50">
        <v>33.57</v>
      </c>
      <c r="E50">
        <v>34.19</v>
      </c>
      <c r="F50">
        <v>1206164.3799999999</v>
      </c>
      <c r="G50">
        <v>34.19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-0.72687224669603634</v>
      </c>
      <c r="Q50">
        <f t="shared" ref="Q50" si="226">F50*P50</f>
        <v>-876727.41277533164</v>
      </c>
      <c r="R50">
        <f t="shared" ref="R50" si="227">R51+Q50</f>
        <v>227715687.27707586</v>
      </c>
      <c r="S50">
        <f t="shared" ref="S50" si="228">R50/100000</f>
        <v>2277.1568727707586</v>
      </c>
      <c r="T50">
        <f t="shared" ref="T50" si="229">S50/1000</f>
        <v>2.2771568727707585</v>
      </c>
    </row>
    <row r="51" spans="1:20" x14ac:dyDescent="0.25">
      <c r="A51" s="5">
        <v>44542</v>
      </c>
      <c r="B51">
        <v>38</v>
      </c>
      <c r="C51">
        <v>38.4</v>
      </c>
      <c r="D51">
        <v>36.74</v>
      </c>
      <c r="E51">
        <v>37.9</v>
      </c>
      <c r="F51">
        <v>486231.06</v>
      </c>
      <c r="G51">
        <v>37.9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0.39759036144578191</v>
      </c>
      <c r="Q51">
        <f t="shared" ref="Q51" si="231">F51*P51</f>
        <v>193320.78289156567</v>
      </c>
      <c r="R51">
        <f t="shared" ref="R51" si="232">R52+Q51</f>
        <v>228592414.68985119</v>
      </c>
      <c r="S51">
        <f t="shared" ref="S51" si="233">R51/100000</f>
        <v>2285.9241468985119</v>
      </c>
      <c r="T51">
        <f t="shared" ref="T51" si="234">S51/1000</f>
        <v>2.2859241468985121</v>
      </c>
    </row>
    <row r="52" spans="1:20" x14ac:dyDescent="0.25">
      <c r="A52" s="5">
        <v>44541</v>
      </c>
      <c r="B52">
        <v>36.340000000000003</v>
      </c>
      <c r="C52">
        <v>36.880000000000003</v>
      </c>
      <c r="D52">
        <v>35.619999999999997</v>
      </c>
      <c r="E52">
        <v>36.74</v>
      </c>
      <c r="F52">
        <v>109017.08</v>
      </c>
      <c r="G52">
        <v>36.74</v>
      </c>
      <c r="L52" t="s">
        <v>7</v>
      </c>
      <c r="M52" t="s">
        <v>8</v>
      </c>
      <c r="N52" t="s">
        <v>8</v>
      </c>
      <c r="P52">
        <f t="shared" ref="P52" si="235">IF(C52=D52,0,((E52-D52)-(C52-E52))/(C52-D52))</f>
        <v>0.77777777777777779</v>
      </c>
      <c r="Q52">
        <f t="shared" ref="Q52" si="236">F52*P52</f>
        <v>84791.06222222223</v>
      </c>
      <c r="R52">
        <f t="shared" ref="R52" si="237">R53+Q52</f>
        <v>228399093.90695962</v>
      </c>
      <c r="S52">
        <f t="shared" ref="S52" si="238">R52/100000</f>
        <v>2283.9909390695962</v>
      </c>
      <c r="T52">
        <f t="shared" ref="T52" si="239">S52/1000</f>
        <v>2.283990939069596</v>
      </c>
    </row>
    <row r="53" spans="1:20" x14ac:dyDescent="0.25">
      <c r="A53" s="5">
        <v>44540</v>
      </c>
      <c r="B53">
        <v>37.51</v>
      </c>
      <c r="C53">
        <v>38.950000000000003</v>
      </c>
      <c r="D53">
        <v>36.19</v>
      </c>
      <c r="E53">
        <v>36.369999999999997</v>
      </c>
      <c r="F53">
        <v>1417705.94</v>
      </c>
      <c r="G53">
        <v>36.369999999999997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-0.86956521739130477</v>
      </c>
      <c r="Q53">
        <f t="shared" ref="Q53" si="241">F53*P53</f>
        <v>-1232787.773913044</v>
      </c>
      <c r="R53">
        <f t="shared" ref="R53" si="242">R54+Q53</f>
        <v>228314302.84473741</v>
      </c>
      <c r="S53">
        <f t="shared" ref="S53" si="243">R53/100000</f>
        <v>2283.143028447374</v>
      </c>
      <c r="T53">
        <f t="shared" ref="T53" si="244">S53/1000</f>
        <v>2.2831430284473742</v>
      </c>
    </row>
    <row r="54" spans="1:20" x14ac:dyDescent="0.25">
      <c r="A54" s="5">
        <v>44539</v>
      </c>
      <c r="B54">
        <v>40.94</v>
      </c>
      <c r="C54">
        <v>41.36</v>
      </c>
      <c r="D54">
        <v>37.35</v>
      </c>
      <c r="E54">
        <v>37.5</v>
      </c>
      <c r="F54">
        <v>1020464.57</v>
      </c>
      <c r="G54">
        <v>37.5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-0.92518703241895328</v>
      </c>
      <c r="Q54">
        <f t="shared" ref="Q54" si="246">F54*P54</f>
        <v>-944120.58720698312</v>
      </c>
      <c r="R54">
        <f t="shared" ref="R54" si="247">R55+Q54</f>
        <v>229547090.61865047</v>
      </c>
      <c r="S54">
        <f t="shared" ref="S54" si="248">R54/100000</f>
        <v>2295.4709061865046</v>
      </c>
      <c r="T54">
        <f t="shared" ref="T54" si="249">S54/1000</f>
        <v>2.2954709061865048</v>
      </c>
    </row>
    <row r="55" spans="1:20" x14ac:dyDescent="0.25">
      <c r="A55" s="5">
        <v>44538</v>
      </c>
      <c r="B55">
        <v>39.6</v>
      </c>
      <c r="C55">
        <v>41.9</v>
      </c>
      <c r="D55">
        <v>36</v>
      </c>
      <c r="E55">
        <v>40.950000000000003</v>
      </c>
      <c r="F55">
        <v>2046390.98</v>
      </c>
      <c r="G55">
        <v>40.950000000000003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0.67796610169491667</v>
      </c>
      <c r="Q55">
        <f t="shared" ref="Q55" si="251">F55*P55</f>
        <v>1387383.7152542402</v>
      </c>
      <c r="R55">
        <f t="shared" ref="R55" si="252">R56+Q55</f>
        <v>230491211.20585746</v>
      </c>
      <c r="S55">
        <f t="shared" ref="S55" si="253">R55/100000</f>
        <v>2304.9121120585746</v>
      </c>
      <c r="T55">
        <f t="shared" ref="T55" si="254">S55/1000</f>
        <v>2.3049121120585747</v>
      </c>
    </row>
    <row r="56" spans="1:20" x14ac:dyDescent="0.25">
      <c r="A56" s="5">
        <v>44537</v>
      </c>
      <c r="B56">
        <v>39.32</v>
      </c>
      <c r="C56">
        <v>40.479999999999997</v>
      </c>
      <c r="D56">
        <v>38.68</v>
      </c>
      <c r="E56">
        <v>39.6</v>
      </c>
      <c r="F56">
        <v>1410807.57</v>
      </c>
      <c r="G56">
        <v>39.6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2.2222222222225731E-2</v>
      </c>
      <c r="Q56">
        <f t="shared" ref="Q56" si="256">F56*P56</f>
        <v>31351.279333338283</v>
      </c>
      <c r="R56">
        <f t="shared" ref="R56" si="257">R57+Q56</f>
        <v>229103827.49060321</v>
      </c>
      <c r="S56">
        <f t="shared" ref="S56" si="258">R56/100000</f>
        <v>2291.0382749060323</v>
      </c>
      <c r="T56">
        <f t="shared" ref="T56" si="259">S56/1000</f>
        <v>2.2910382749060321</v>
      </c>
    </row>
    <row r="57" spans="1:20" x14ac:dyDescent="0.25">
      <c r="A57" s="5">
        <v>44536</v>
      </c>
      <c r="B57">
        <v>38.82</v>
      </c>
      <c r="C57">
        <v>39.89</v>
      </c>
      <c r="D57">
        <v>35.090000000000003</v>
      </c>
      <c r="E57">
        <v>39.32</v>
      </c>
      <c r="F57">
        <v>3152516</v>
      </c>
      <c r="G57">
        <v>39.32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0.76249999999999973</v>
      </c>
      <c r="Q57">
        <f t="shared" ref="Q57" si="261">F57*P57</f>
        <v>2403793.4499999993</v>
      </c>
      <c r="R57">
        <f t="shared" ref="R57" si="262">R58+Q57</f>
        <v>229072476.21126986</v>
      </c>
      <c r="S57">
        <f t="shared" ref="S57" si="263">R57/100000</f>
        <v>2290.7247621126985</v>
      </c>
      <c r="T57">
        <f t="shared" ref="T57" si="264">S57/1000</f>
        <v>2.2907247621126987</v>
      </c>
    </row>
    <row r="58" spans="1:20" x14ac:dyDescent="0.25">
      <c r="A58" s="5">
        <v>44535</v>
      </c>
      <c r="B58">
        <v>39.299999999999997</v>
      </c>
      <c r="C58">
        <v>40.75</v>
      </c>
      <c r="D58">
        <v>36.659999999999997</v>
      </c>
      <c r="E58">
        <v>38.79</v>
      </c>
      <c r="F58">
        <v>3219703.85</v>
      </c>
      <c r="G58">
        <v>38.79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4.1564792176039499E-2</v>
      </c>
      <c r="Q58">
        <f t="shared" ref="Q58" si="266">F58*P58</f>
        <v>133826.32139364426</v>
      </c>
      <c r="R58">
        <f t="shared" ref="R58" si="267">R59+Q58</f>
        <v>226668682.76126987</v>
      </c>
      <c r="S58">
        <f t="shared" ref="S58" si="268">R58/100000</f>
        <v>2266.6868276126988</v>
      </c>
      <c r="T58">
        <f t="shared" ref="T58" si="269">S58/1000</f>
        <v>2.2666868276126988</v>
      </c>
    </row>
    <row r="59" spans="1:20" x14ac:dyDescent="0.25">
      <c r="A59" s="5">
        <v>44534</v>
      </c>
      <c r="B59">
        <v>44.85</v>
      </c>
      <c r="C59">
        <v>45.01</v>
      </c>
      <c r="D59">
        <v>28.12</v>
      </c>
      <c r="E59">
        <v>39.33</v>
      </c>
      <c r="F59">
        <v>7194804.4579999996</v>
      </c>
      <c r="G59">
        <v>39.33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0.32741267021906445</v>
      </c>
      <c r="Q59">
        <f t="shared" ref="Q59" si="271">F59*P59</f>
        <v>2355670.1392978085</v>
      </c>
      <c r="R59">
        <f t="shared" ref="R59" si="272">R60+Q59</f>
        <v>226534856.43987623</v>
      </c>
      <c r="S59">
        <f t="shared" ref="S59" si="273">R59/100000</f>
        <v>2265.3485643987624</v>
      </c>
      <c r="T59">
        <f t="shared" ref="T59" si="274">S59/1000</f>
        <v>2.2653485643987623</v>
      </c>
    </row>
    <row r="60" spans="1:20" x14ac:dyDescent="0.25">
      <c r="A60" s="5">
        <v>44533</v>
      </c>
      <c r="B60">
        <v>47.03</v>
      </c>
      <c r="C60">
        <v>47.81</v>
      </c>
      <c r="D60">
        <v>43.36</v>
      </c>
      <c r="E60">
        <v>44.87</v>
      </c>
      <c r="F60">
        <v>1236885.46</v>
      </c>
      <c r="G60">
        <v>44.87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-0.3213483146067429</v>
      </c>
      <c r="Q60">
        <f t="shared" ref="Q60" si="276">F60*P60</f>
        <v>-397471.05793258589</v>
      </c>
      <c r="R60">
        <f t="shared" ref="R60" si="277">R61+Q60</f>
        <v>224179186.30057842</v>
      </c>
      <c r="S60">
        <f t="shared" ref="S60" si="278">R60/100000</f>
        <v>2241.7918630057843</v>
      </c>
      <c r="T60">
        <f t="shared" ref="T60" si="279">S60/1000</f>
        <v>2.2417918630057843</v>
      </c>
    </row>
    <row r="61" spans="1:20" x14ac:dyDescent="0.25">
      <c r="A61" s="5">
        <v>44532</v>
      </c>
      <c r="B61">
        <v>47.85</v>
      </c>
      <c r="C61">
        <v>47.87</v>
      </c>
      <c r="D61">
        <v>46.32</v>
      </c>
      <c r="E61">
        <v>47.03</v>
      </c>
      <c r="F61">
        <v>861633.49</v>
      </c>
      <c r="G61">
        <v>47.03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-8.38709677419327E-2</v>
      </c>
      <c r="Q61">
        <f t="shared" ref="Q61" si="281">F61*P61</f>
        <v>-72266.034645158885</v>
      </c>
      <c r="R61">
        <f t="shared" ref="R61" si="282">R62+Q61</f>
        <v>224576657.358511</v>
      </c>
      <c r="S61">
        <f t="shared" ref="S61" si="283">R61/100000</f>
        <v>2245.7665735851101</v>
      </c>
      <c r="T61">
        <f t="shared" ref="T61" si="284">S61/1000</f>
        <v>2.2457665735851102</v>
      </c>
    </row>
    <row r="62" spans="1:20" x14ac:dyDescent="0.25">
      <c r="A62" s="5">
        <v>44531</v>
      </c>
      <c r="B62">
        <v>48.32</v>
      </c>
      <c r="C62">
        <v>49.59</v>
      </c>
      <c r="D62">
        <v>47.03</v>
      </c>
      <c r="E62">
        <v>47.85</v>
      </c>
      <c r="F62">
        <v>923888.21</v>
      </c>
      <c r="G62">
        <v>47.85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-0.35937500000000033</v>
      </c>
      <c r="Q62">
        <f t="shared" ref="Q62" si="286">F62*P62</f>
        <v>-332022.32546875032</v>
      </c>
      <c r="R62">
        <f t="shared" ref="R62" si="287">R63+Q62</f>
        <v>224648923.39315617</v>
      </c>
      <c r="S62">
        <f t="shared" ref="S62" si="288">R62/100000</f>
        <v>2246.4892339315616</v>
      </c>
      <c r="T62">
        <f t="shared" ref="T62" si="289">S62/1000</f>
        <v>2.2464892339315616</v>
      </c>
    </row>
    <row r="63" spans="1:20" x14ac:dyDescent="0.25">
      <c r="A63" s="5">
        <v>44530</v>
      </c>
      <c r="B63">
        <v>48.21</v>
      </c>
      <c r="C63">
        <v>50.09</v>
      </c>
      <c r="D63">
        <v>46.22</v>
      </c>
      <c r="E63">
        <v>48.32</v>
      </c>
      <c r="F63">
        <v>1305957.9099999999</v>
      </c>
      <c r="G63">
        <v>48.32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8.5271317829456822E-2</v>
      </c>
      <c r="Q63">
        <f t="shared" ref="Q63" si="291">F63*P63</f>
        <v>111360.75201550317</v>
      </c>
      <c r="R63">
        <f t="shared" ref="R63" si="292">R64+Q63</f>
        <v>224980945.71862492</v>
      </c>
      <c r="S63">
        <f t="shared" ref="S63" si="293">R63/100000</f>
        <v>2249.8094571862493</v>
      </c>
      <c r="T63">
        <f t="shared" ref="T63" si="294">S63/1000</f>
        <v>2.2498094571862493</v>
      </c>
    </row>
    <row r="64" spans="1:20" x14ac:dyDescent="0.25">
      <c r="A64" s="5">
        <v>44529</v>
      </c>
      <c r="B64">
        <v>47.5</v>
      </c>
      <c r="C64">
        <v>48.98</v>
      </c>
      <c r="D64">
        <v>47.03</v>
      </c>
      <c r="E64">
        <v>48.22</v>
      </c>
      <c r="F64">
        <v>845896.51</v>
      </c>
      <c r="G64">
        <v>48.22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0.22051282051282084</v>
      </c>
      <c r="Q64">
        <f t="shared" ref="Q64" si="296">F64*P64</f>
        <v>186531.02528205156</v>
      </c>
      <c r="R64">
        <f t="shared" ref="R64" si="297">R65+Q64</f>
        <v>224869584.96660942</v>
      </c>
      <c r="S64">
        <f t="shared" ref="S64" si="298">R64/100000</f>
        <v>2248.6958496660941</v>
      </c>
      <c r="T64">
        <f t="shared" ref="T64" si="299">S64/1000</f>
        <v>2.248695849666094</v>
      </c>
    </row>
    <row r="65" spans="1:20" x14ac:dyDescent="0.25">
      <c r="A65" s="5">
        <v>44528</v>
      </c>
      <c r="B65">
        <v>46.77</v>
      </c>
      <c r="C65">
        <v>47.55</v>
      </c>
      <c r="D65">
        <v>44.45</v>
      </c>
      <c r="E65">
        <v>47.5</v>
      </c>
      <c r="F65">
        <v>871658.92</v>
      </c>
      <c r="G65">
        <v>47.5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0.96774193548387277</v>
      </c>
      <c r="Q65">
        <f t="shared" ref="Q65" si="301">F65*P65</f>
        <v>843540.89032258221</v>
      </c>
      <c r="R65">
        <f t="shared" ref="R65" si="302">R66+Q65</f>
        <v>224683053.94132736</v>
      </c>
      <c r="S65">
        <f t="shared" ref="S65" si="303">R65/100000</f>
        <v>2246.8305394132735</v>
      </c>
      <c r="T65">
        <f t="shared" ref="T65" si="304">S65/1000</f>
        <v>2.2468305394132737</v>
      </c>
    </row>
    <row r="66" spans="1:20" x14ac:dyDescent="0.25">
      <c r="A66" s="5">
        <v>44527</v>
      </c>
      <c r="B66">
        <v>46.66</v>
      </c>
      <c r="C66">
        <v>47.71</v>
      </c>
      <c r="D66">
        <v>46.38</v>
      </c>
      <c r="E66">
        <v>46.78</v>
      </c>
      <c r="F66">
        <v>652336.49</v>
      </c>
      <c r="G66">
        <v>46.78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-0.39849624060150513</v>
      </c>
      <c r="Q66">
        <f t="shared" ref="Q66" si="306">F66*P66</f>
        <v>-259953.63887218133</v>
      </c>
      <c r="R66">
        <f t="shared" ref="R66" si="307">R67+Q66</f>
        <v>223839513.05100477</v>
      </c>
      <c r="S66">
        <f t="shared" ref="S66" si="308">R66/100000</f>
        <v>2238.3951305100477</v>
      </c>
      <c r="T66">
        <f t="shared" ref="T66" si="309">S66/1000</f>
        <v>2.2383951305100478</v>
      </c>
    </row>
    <row r="67" spans="1:20" x14ac:dyDescent="0.25">
      <c r="A67" s="5">
        <v>44526</v>
      </c>
      <c r="B67">
        <v>50.56</v>
      </c>
      <c r="C67">
        <v>50.68</v>
      </c>
      <c r="D67">
        <v>44.7</v>
      </c>
      <c r="E67">
        <v>46.67</v>
      </c>
      <c r="F67">
        <v>2557480.04</v>
      </c>
      <c r="G67">
        <v>46.67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-0.34113712374581945</v>
      </c>
      <c r="Q67">
        <f t="shared" ref="Q67" si="311">F67*P67</f>
        <v>-872451.38488294324</v>
      </c>
      <c r="R67">
        <f t="shared" ref="R67" si="312">R68+Q67</f>
        <v>224099466.68987694</v>
      </c>
      <c r="S67">
        <f t="shared" ref="S67" si="313">R67/100000</f>
        <v>2240.9946668987695</v>
      </c>
      <c r="T67">
        <f t="shared" ref="T67" si="314">S67/1000</f>
        <v>2.2409946668987697</v>
      </c>
    </row>
    <row r="68" spans="1:20" x14ac:dyDescent="0.25">
      <c r="A68" s="5">
        <v>44525</v>
      </c>
      <c r="B68">
        <v>48.27</v>
      </c>
      <c r="C68">
        <v>53.49</v>
      </c>
      <c r="D68">
        <v>47.88</v>
      </c>
      <c r="E68">
        <v>50.55</v>
      </c>
      <c r="F68">
        <v>2355110.9700000002</v>
      </c>
      <c r="G68">
        <v>50.55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-4.8128342245991135E-2</v>
      </c>
      <c r="Q68">
        <f t="shared" ref="Q68" si="316">F68*P68</f>
        <v>-113347.58679144816</v>
      </c>
      <c r="R68">
        <f t="shared" ref="R68" si="317">R69+Q68</f>
        <v>224971918.0747599</v>
      </c>
      <c r="S68">
        <f t="shared" ref="S68" si="318">R68/100000</f>
        <v>2249.7191807475988</v>
      </c>
      <c r="T68">
        <f t="shared" ref="T68" si="319">S68/1000</f>
        <v>2.2497191807475989</v>
      </c>
    </row>
    <row r="69" spans="1:20" x14ac:dyDescent="0.25">
      <c r="A69" s="5">
        <v>44524</v>
      </c>
      <c r="B69">
        <v>49.55</v>
      </c>
      <c r="C69">
        <v>49.77</v>
      </c>
      <c r="D69">
        <v>48.21</v>
      </c>
      <c r="E69">
        <v>48.5</v>
      </c>
      <c r="F69">
        <v>312270.3</v>
      </c>
      <c r="G69">
        <v>48.5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-0.62820512820512986</v>
      </c>
      <c r="Q69">
        <f t="shared" ref="Q69" si="321">F69*P69</f>
        <v>-196169.80384615436</v>
      </c>
      <c r="R69">
        <f t="shared" ref="R69" si="322">R70+Q69</f>
        <v>225085265.66155136</v>
      </c>
      <c r="S69">
        <f t="shared" ref="S69" si="323">R69/100000</f>
        <v>2250.8526566155138</v>
      </c>
      <c r="T69">
        <f t="shared" ref="T69" si="324">S69/1000</f>
        <v>2.2508526566155136</v>
      </c>
    </row>
    <row r="70" spans="1:20" x14ac:dyDescent="0.25">
      <c r="A70" s="5">
        <v>44523</v>
      </c>
      <c r="B70">
        <v>48.58</v>
      </c>
      <c r="C70">
        <v>49.87</v>
      </c>
      <c r="D70">
        <v>47.85</v>
      </c>
      <c r="E70">
        <v>49.55</v>
      </c>
      <c r="F70">
        <v>1051039.58</v>
      </c>
      <c r="G70">
        <v>49.55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0.68316831683168222</v>
      </c>
      <c r="Q70">
        <f t="shared" ref="Q70" si="326">F70*P70</f>
        <v>718036.94079207827</v>
      </c>
      <c r="R70">
        <f t="shared" ref="R70" si="327">R71+Q70</f>
        <v>225281435.46539751</v>
      </c>
      <c r="S70">
        <f t="shared" ref="S70" si="328">R70/100000</f>
        <v>2252.814354653975</v>
      </c>
      <c r="T70">
        <f t="shared" ref="T70" si="329">S70/1000</f>
        <v>2.2528143546539749</v>
      </c>
    </row>
    <row r="71" spans="1:20" x14ac:dyDescent="0.25">
      <c r="A71" s="5">
        <v>44522</v>
      </c>
      <c r="B71">
        <v>50.43</v>
      </c>
      <c r="C71">
        <v>50.5</v>
      </c>
      <c r="D71">
        <v>47.71</v>
      </c>
      <c r="E71">
        <v>48.59</v>
      </c>
      <c r="F71">
        <v>1266488.48</v>
      </c>
      <c r="G71">
        <v>48.59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-0.36917562724014136</v>
      </c>
      <c r="Q71">
        <f t="shared" ref="Q71" si="331">F71*P71</f>
        <v>-467556.67899641319</v>
      </c>
      <c r="R71">
        <f t="shared" ref="R71" si="332">R72+Q71</f>
        <v>224563398.52460542</v>
      </c>
      <c r="S71">
        <f t="shared" ref="S71" si="333">R71/100000</f>
        <v>2245.6339852460542</v>
      </c>
      <c r="T71">
        <f t="shared" ref="T71" si="334">S71/1000</f>
        <v>2.2456339852460543</v>
      </c>
    </row>
    <row r="72" spans="1:20" x14ac:dyDescent="0.25">
      <c r="A72" s="5">
        <v>44521</v>
      </c>
      <c r="B72">
        <v>51.07</v>
      </c>
      <c r="C72">
        <v>51.79</v>
      </c>
      <c r="D72">
        <v>49.9</v>
      </c>
      <c r="E72">
        <v>50.41</v>
      </c>
      <c r="F72">
        <v>866473.51</v>
      </c>
      <c r="G72">
        <v>50.41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-0.46031746031746257</v>
      </c>
      <c r="Q72">
        <f t="shared" ref="Q72" si="336">F72*P72</f>
        <v>-398852.8855555575</v>
      </c>
      <c r="R72">
        <f t="shared" ref="R72" si="337">R73+Q72</f>
        <v>225030955.20360184</v>
      </c>
      <c r="S72">
        <f t="shared" ref="S72" si="338">R72/100000</f>
        <v>2250.3095520360184</v>
      </c>
      <c r="T72">
        <f t="shared" ref="T72" si="339">S72/1000</f>
        <v>2.2503095520360183</v>
      </c>
    </row>
    <row r="73" spans="1:20" x14ac:dyDescent="0.25">
      <c r="A73" s="5">
        <v>44520</v>
      </c>
      <c r="B73">
        <v>50.65</v>
      </c>
      <c r="C73">
        <v>51.34</v>
      </c>
      <c r="D73">
        <v>49.06</v>
      </c>
      <c r="E73">
        <v>51.06</v>
      </c>
      <c r="F73">
        <v>906967.69</v>
      </c>
      <c r="G73">
        <v>51.06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0.75438596491227983</v>
      </c>
      <c r="Q73">
        <f t="shared" ref="Q73" si="341">F73*P73</f>
        <v>684203.69596491149</v>
      </c>
      <c r="R73">
        <f t="shared" ref="R73" si="342">R74+Q73</f>
        <v>225429808.0891574</v>
      </c>
      <c r="S73">
        <f t="shared" ref="S73" si="343">R73/100000</f>
        <v>2254.298080891574</v>
      </c>
      <c r="T73">
        <f t="shared" ref="T73" si="344">S73/1000</f>
        <v>2.2542980808915742</v>
      </c>
    </row>
    <row r="74" spans="1:20" x14ac:dyDescent="0.25">
      <c r="A74" s="5">
        <v>44519</v>
      </c>
      <c r="B74">
        <v>48.42</v>
      </c>
      <c r="C74">
        <v>50.84</v>
      </c>
      <c r="D74">
        <v>47.79</v>
      </c>
      <c r="E74">
        <v>50.66</v>
      </c>
      <c r="F74">
        <v>1218420.07</v>
      </c>
      <c r="G74">
        <v>50.66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0.88196721311474979</v>
      </c>
      <c r="Q74">
        <f t="shared" ref="Q74" si="346">F74*P74</f>
        <v>1074606.5535409783</v>
      </c>
      <c r="R74">
        <f t="shared" ref="R74" si="347">R75+Q74</f>
        <v>224745604.3931925</v>
      </c>
      <c r="S74">
        <f t="shared" ref="S74" si="348">R74/100000</f>
        <v>2247.4560439319248</v>
      </c>
      <c r="T74">
        <f t="shared" ref="T74" si="349">S74/1000</f>
        <v>2.2474560439319249</v>
      </c>
    </row>
    <row r="75" spans="1:20" x14ac:dyDescent="0.25">
      <c r="A75" s="5">
        <v>44518</v>
      </c>
      <c r="B75">
        <v>51.24</v>
      </c>
      <c r="C75">
        <v>51.78</v>
      </c>
      <c r="D75">
        <v>46.8</v>
      </c>
      <c r="E75">
        <v>48.43</v>
      </c>
      <c r="F75">
        <v>1827745.32</v>
      </c>
      <c r="G75">
        <v>48.43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-0.34538152610441719</v>
      </c>
      <c r="Q75">
        <f t="shared" ref="Q75" si="351">F75*P75</f>
        <v>-631269.46795180638</v>
      </c>
      <c r="R75">
        <f t="shared" ref="R75" si="352">R76+Q75</f>
        <v>223670997.83965153</v>
      </c>
      <c r="S75">
        <f t="shared" ref="S75" si="353">R75/100000</f>
        <v>2236.7099783965155</v>
      </c>
      <c r="T75">
        <f t="shared" ref="T75" si="354">S75/1000</f>
        <v>2.2367099783965156</v>
      </c>
    </row>
    <row r="76" spans="1:20" x14ac:dyDescent="0.25">
      <c r="A76" s="5">
        <v>44517</v>
      </c>
      <c r="B76">
        <v>50.79</v>
      </c>
      <c r="C76">
        <v>51.47</v>
      </c>
      <c r="D76">
        <v>49.1</v>
      </c>
      <c r="E76">
        <v>51.24</v>
      </c>
      <c r="F76">
        <v>1218092.8600000001</v>
      </c>
      <c r="G76">
        <v>51.24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0.80590717299578307</v>
      </c>
      <c r="Q76">
        <f t="shared" ref="Q76" si="356">F76*P76</f>
        <v>981669.77324894827</v>
      </c>
      <c r="R76">
        <f t="shared" ref="R76" si="357">R77+Q76</f>
        <v>224302267.30760333</v>
      </c>
      <c r="S76">
        <f t="shared" ref="S76" si="358">R76/100000</f>
        <v>2243.0226730760332</v>
      </c>
      <c r="T76">
        <f t="shared" ref="T76" si="359">S76/1000</f>
        <v>2.2430226730760334</v>
      </c>
    </row>
    <row r="77" spans="1:20" x14ac:dyDescent="0.25">
      <c r="A77" s="5">
        <v>44516</v>
      </c>
      <c r="B77">
        <v>54.79</v>
      </c>
      <c r="C77">
        <v>54.82</v>
      </c>
      <c r="D77">
        <v>47.26</v>
      </c>
      <c r="E77">
        <v>50.82</v>
      </c>
      <c r="F77">
        <v>3747689.8</v>
      </c>
      <c r="G77">
        <v>50.82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-5.8201058201057886E-2</v>
      </c>
      <c r="Q77">
        <f t="shared" ref="Q77" si="361">F77*P77</f>
        <v>-218119.51216931097</v>
      </c>
      <c r="R77">
        <f t="shared" ref="R77" si="362">R78+Q77</f>
        <v>223320597.53435439</v>
      </c>
      <c r="S77">
        <f t="shared" ref="S77" si="363">R77/100000</f>
        <v>2233.2059753435437</v>
      </c>
      <c r="T77">
        <f t="shared" ref="T77" si="364">S77/1000</f>
        <v>2.2332059753435436</v>
      </c>
    </row>
    <row r="78" spans="1:20" x14ac:dyDescent="0.25">
      <c r="A78" s="5">
        <v>44515</v>
      </c>
      <c r="B78">
        <v>56.13</v>
      </c>
      <c r="C78">
        <v>56.73</v>
      </c>
      <c r="D78">
        <v>54.18</v>
      </c>
      <c r="E78">
        <v>54.81</v>
      </c>
      <c r="F78">
        <v>954835.65</v>
      </c>
      <c r="G78">
        <v>54.81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-0.5058823529411739</v>
      </c>
      <c r="Q78">
        <f t="shared" ref="Q78" si="366">F78*P78</f>
        <v>-483034.50529411522</v>
      </c>
      <c r="R78">
        <f t="shared" ref="R78" si="367">R79+Q78</f>
        <v>223538717.04652369</v>
      </c>
      <c r="S78">
        <f t="shared" ref="S78" si="368">R78/100000</f>
        <v>2235.387170465237</v>
      </c>
      <c r="T78">
        <f t="shared" ref="T78" si="369">S78/1000</f>
        <v>2.2353871704652368</v>
      </c>
    </row>
    <row r="79" spans="1:20" x14ac:dyDescent="0.25">
      <c r="A79" s="5">
        <v>44514</v>
      </c>
      <c r="B79">
        <v>56.29</v>
      </c>
      <c r="C79">
        <v>56.9</v>
      </c>
      <c r="D79">
        <v>54.76</v>
      </c>
      <c r="E79">
        <v>56.12</v>
      </c>
      <c r="F79">
        <v>771441.77</v>
      </c>
      <c r="G79">
        <v>56.12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0.27102803738317671</v>
      </c>
      <c r="Q79">
        <f t="shared" ref="Q79" si="371">F79*P79</f>
        <v>209082.34887850401</v>
      </c>
      <c r="R79">
        <f t="shared" ref="R79" si="372">R80+Q79</f>
        <v>224021751.5518178</v>
      </c>
      <c r="S79">
        <f t="shared" ref="S79" si="373">R79/100000</f>
        <v>2240.2175155181781</v>
      </c>
      <c r="T79">
        <f t="shared" ref="T79" si="374">S79/1000</f>
        <v>2.2402175155181783</v>
      </c>
    </row>
    <row r="80" spans="1:20" x14ac:dyDescent="0.25">
      <c r="A80" s="5">
        <v>44513</v>
      </c>
      <c r="B80">
        <v>55.49</v>
      </c>
      <c r="C80">
        <v>56.63</v>
      </c>
      <c r="D80">
        <v>54.79</v>
      </c>
      <c r="E80">
        <v>56.29</v>
      </c>
      <c r="F80">
        <v>1174141.1299999999</v>
      </c>
      <c r="G80">
        <v>56.29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0.63043478260869268</v>
      </c>
      <c r="Q80">
        <f t="shared" ref="Q80" si="376">F80*P80</f>
        <v>740219.40804347466</v>
      </c>
      <c r="R80">
        <f t="shared" ref="R80" si="377">R81+Q80</f>
        <v>223812669.2029393</v>
      </c>
      <c r="S80">
        <f t="shared" ref="S80" si="378">R80/100000</f>
        <v>2238.1266920293929</v>
      </c>
      <c r="T80">
        <f t="shared" ref="T80" si="379">S80/1000</f>
        <v>2.2381266920293927</v>
      </c>
    </row>
    <row r="81" spans="1:20" x14ac:dyDescent="0.25">
      <c r="A81" s="5">
        <v>44512</v>
      </c>
      <c r="B81">
        <v>56.72</v>
      </c>
      <c r="C81">
        <v>57.8</v>
      </c>
      <c r="D81">
        <v>53.65</v>
      </c>
      <c r="E81">
        <v>55.5</v>
      </c>
      <c r="F81">
        <v>1879920.66</v>
      </c>
      <c r="G81">
        <v>55.5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-0.10843373493975804</v>
      </c>
      <c r="Q81">
        <f t="shared" ref="Q81" si="381">F81*P81</f>
        <v>-203846.81855421499</v>
      </c>
      <c r="R81">
        <f t="shared" ref="R81" si="382">R82+Q81</f>
        <v>223072449.79489583</v>
      </c>
      <c r="S81">
        <f t="shared" ref="S81" si="383">R81/100000</f>
        <v>2230.7244979489583</v>
      </c>
      <c r="T81">
        <f t="shared" ref="T81" si="384">S81/1000</f>
        <v>2.2307244979489584</v>
      </c>
    </row>
    <row r="82" spans="1:20" x14ac:dyDescent="0.25">
      <c r="A82" s="5">
        <v>44511</v>
      </c>
      <c r="B82">
        <v>56.62</v>
      </c>
      <c r="C82">
        <v>58.05</v>
      </c>
      <c r="D82">
        <v>55.34</v>
      </c>
      <c r="E82">
        <v>56.74</v>
      </c>
      <c r="F82">
        <v>1851721.06</v>
      </c>
      <c r="G82">
        <v>56.74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3.3210332103322367E-2</v>
      </c>
      <c r="Q82">
        <f t="shared" ref="Q82" si="386">F82*P82</f>
        <v>61496.271365316126</v>
      </c>
      <c r="R82">
        <f t="shared" ref="R82" si="387">R83+Q82</f>
        <v>223276296.61345005</v>
      </c>
      <c r="S82">
        <f t="shared" ref="S82" si="388">R82/100000</f>
        <v>2232.7629661345004</v>
      </c>
      <c r="T82">
        <f t="shared" ref="T82" si="389">S82/1000</f>
        <v>2.2327629661345005</v>
      </c>
    </row>
    <row r="83" spans="1:20" x14ac:dyDescent="0.25">
      <c r="A83" s="5">
        <v>44510</v>
      </c>
      <c r="B83">
        <v>60.86</v>
      </c>
      <c r="C83">
        <v>64.430000000000007</v>
      </c>
      <c r="D83">
        <v>52</v>
      </c>
      <c r="E83">
        <v>56.63</v>
      </c>
      <c r="F83">
        <v>6760805.8399999999</v>
      </c>
      <c r="G83">
        <v>56.63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-0.25502815768302495</v>
      </c>
      <c r="Q83">
        <f t="shared" ref="Q83" si="391">F83*P83</f>
        <v>-1724195.8578278359</v>
      </c>
      <c r="R83">
        <f t="shared" ref="R83" si="392">R84+Q83</f>
        <v>223214800.34208474</v>
      </c>
      <c r="S83">
        <f t="shared" ref="S83" si="393">R83/100000</f>
        <v>2232.1480034208475</v>
      </c>
      <c r="T83">
        <f t="shared" ref="T83" si="394">S83/1000</f>
        <v>2.2321480034208476</v>
      </c>
    </row>
    <row r="84" spans="1:20" x14ac:dyDescent="0.25">
      <c r="A84" s="5">
        <v>44509</v>
      </c>
      <c r="B84">
        <v>56.61</v>
      </c>
      <c r="C84">
        <v>65.31</v>
      </c>
      <c r="D84">
        <v>55.78</v>
      </c>
      <c r="E84">
        <v>60.85</v>
      </c>
      <c r="F84">
        <v>9080376.5</v>
      </c>
      <c r="G84">
        <v>60.85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6.4008394543546621E-2</v>
      </c>
      <c r="Q84">
        <f t="shared" ref="Q84" si="396">F84*P84</f>
        <v>581220.32161594892</v>
      </c>
      <c r="R84">
        <f t="shared" ref="R84" si="397">R85+Q84</f>
        <v>224938996.19991258</v>
      </c>
      <c r="S84">
        <f t="shared" ref="S84" si="398">R84/100000</f>
        <v>2249.3899619991257</v>
      </c>
      <c r="T84">
        <f t="shared" ref="T84" si="399">S84/1000</f>
        <v>2.2493899619991256</v>
      </c>
    </row>
    <row r="85" spans="1:20" x14ac:dyDescent="0.25">
      <c r="A85" s="5">
        <v>44508</v>
      </c>
      <c r="B85">
        <v>54.08</v>
      </c>
      <c r="C85">
        <v>56.82</v>
      </c>
      <c r="D85">
        <v>53.75</v>
      </c>
      <c r="E85">
        <v>56.59</v>
      </c>
      <c r="F85">
        <v>1687797.81</v>
      </c>
      <c r="G85">
        <v>56.59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0.85016286644951344</v>
      </c>
      <c r="Q85">
        <f t="shared" ref="Q85" si="401">F85*P85</f>
        <v>1434903.0241368113</v>
      </c>
      <c r="R85">
        <f t="shared" ref="R85" si="402">R86+Q85</f>
        <v>224357775.87829664</v>
      </c>
      <c r="S85">
        <f t="shared" ref="S85" si="403">R85/100000</f>
        <v>2243.5777587829666</v>
      </c>
      <c r="T85">
        <f t="shared" ref="T85" si="404">S85/1000</f>
        <v>2.2435777587829664</v>
      </c>
    </row>
    <row r="86" spans="1:20" x14ac:dyDescent="0.25">
      <c r="A86" s="5">
        <v>44507</v>
      </c>
      <c r="B86">
        <v>52.88</v>
      </c>
      <c r="C86">
        <v>54.54</v>
      </c>
      <c r="D86">
        <v>52.51</v>
      </c>
      <c r="E86">
        <v>54.08</v>
      </c>
      <c r="F86">
        <v>795735.25</v>
      </c>
      <c r="G86">
        <v>54.08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0.54679802955664969</v>
      </c>
      <c r="Q86">
        <f t="shared" ref="Q86" si="406">F86*P86</f>
        <v>435106.46674876806</v>
      </c>
      <c r="R86">
        <f t="shared" ref="R86" si="407">R87+Q86</f>
        <v>222922872.85415983</v>
      </c>
      <c r="S86">
        <f t="shared" ref="S86" si="408">R86/100000</f>
        <v>2229.2287285415982</v>
      </c>
      <c r="T86">
        <f t="shared" ref="T86" si="409">S86/1000</f>
        <v>2.2292287285415981</v>
      </c>
    </row>
    <row r="87" spans="1:20" x14ac:dyDescent="0.25">
      <c r="A87" s="5">
        <v>44506</v>
      </c>
      <c r="B87">
        <v>53.12</v>
      </c>
      <c r="C87">
        <v>53.52</v>
      </c>
      <c r="D87">
        <v>50.6</v>
      </c>
      <c r="E87">
        <v>52.88</v>
      </c>
      <c r="F87">
        <v>739182.5</v>
      </c>
      <c r="G87">
        <v>52.88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0.56164383561643827</v>
      </c>
      <c r="Q87">
        <f t="shared" ref="Q87" si="411">F87*P87</f>
        <v>415157.2945205479</v>
      </c>
      <c r="R87">
        <f t="shared" ref="R87" si="412">R88+Q87</f>
        <v>222487766.38741106</v>
      </c>
      <c r="S87">
        <f t="shared" ref="S87" si="413">R87/100000</f>
        <v>2224.8776638741106</v>
      </c>
      <c r="T87">
        <f t="shared" ref="T87" si="414">S87/1000</f>
        <v>2.2248776638741106</v>
      </c>
    </row>
    <row r="88" spans="1:20" x14ac:dyDescent="0.25">
      <c r="A88" s="5">
        <v>44505</v>
      </c>
      <c r="B88">
        <v>53.64</v>
      </c>
      <c r="C88">
        <v>54.08</v>
      </c>
      <c r="D88">
        <v>52.51</v>
      </c>
      <c r="E88">
        <v>53.12</v>
      </c>
      <c r="F88">
        <v>972068.05</v>
      </c>
      <c r="G88">
        <v>53.12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-0.22292993630573335</v>
      </c>
      <c r="Q88">
        <f t="shared" ref="Q88" si="416">F88*P88</f>
        <v>-216703.06847133843</v>
      </c>
      <c r="R88">
        <f t="shared" ref="R88" si="417">R89+Q88</f>
        <v>222072609.0928905</v>
      </c>
      <c r="S88">
        <f t="shared" ref="S88" si="418">R88/100000</f>
        <v>2220.7260909289048</v>
      </c>
      <c r="T88">
        <f t="shared" ref="T88" si="419">S88/1000</f>
        <v>2.2207260909289048</v>
      </c>
    </row>
    <row r="89" spans="1:20" x14ac:dyDescent="0.25">
      <c r="A89" s="5">
        <v>44504</v>
      </c>
      <c r="B89">
        <v>55.5</v>
      </c>
      <c r="C89">
        <v>56.24</v>
      </c>
      <c r="D89">
        <v>52.48</v>
      </c>
      <c r="E89">
        <v>53.65</v>
      </c>
      <c r="F89">
        <v>1223614.26</v>
      </c>
      <c r="G89">
        <v>53.65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-0.37765957446808507</v>
      </c>
      <c r="Q89">
        <f t="shared" ref="Q89" si="421">F89*P89</f>
        <v>-462109.64074468083</v>
      </c>
      <c r="R89">
        <f t="shared" ref="R89" si="422">R90+Q89</f>
        <v>222289312.16136184</v>
      </c>
      <c r="S89">
        <f t="shared" ref="S89" si="423">R89/100000</f>
        <v>2222.8931216136184</v>
      </c>
      <c r="T89">
        <f t="shared" ref="T89" si="424">S89/1000</f>
        <v>2.2228931216136183</v>
      </c>
    </row>
    <row r="90" spans="1:20" x14ac:dyDescent="0.25">
      <c r="A90" s="5">
        <v>44503</v>
      </c>
      <c r="B90">
        <v>55.23</v>
      </c>
      <c r="C90">
        <v>57.16</v>
      </c>
      <c r="D90">
        <v>53.21</v>
      </c>
      <c r="E90">
        <v>55.48</v>
      </c>
      <c r="F90">
        <v>1833525.65</v>
      </c>
      <c r="G90">
        <v>55.48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0.14936708860759415</v>
      </c>
      <c r="Q90">
        <f t="shared" ref="Q90" si="426">F90*P90</f>
        <v>273868.38822784665</v>
      </c>
      <c r="R90">
        <f t="shared" ref="R90" si="427">R91+Q90</f>
        <v>222751421.80210653</v>
      </c>
      <c r="S90">
        <f t="shared" ref="S90" si="428">R90/100000</f>
        <v>2227.5142180210655</v>
      </c>
      <c r="T90">
        <f t="shared" ref="T90" si="429">S90/1000</f>
        <v>2.2275142180210654</v>
      </c>
    </row>
    <row r="91" spans="1:20" x14ac:dyDescent="0.25">
      <c r="A91" s="5">
        <v>44502</v>
      </c>
      <c r="B91">
        <v>53.85</v>
      </c>
      <c r="C91">
        <v>55.8</v>
      </c>
      <c r="D91">
        <v>53.24</v>
      </c>
      <c r="E91">
        <v>55.21</v>
      </c>
      <c r="F91">
        <v>1049694.1000000001</v>
      </c>
      <c r="G91">
        <v>55.21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0.539062500000002</v>
      </c>
      <c r="Q91">
        <f t="shared" ref="Q91" si="431">F91*P91</f>
        <v>565850.72578125214</v>
      </c>
      <c r="R91">
        <f t="shared" ref="R91" si="432">R92+Q91</f>
        <v>222477553.41387868</v>
      </c>
      <c r="S91">
        <f t="shared" ref="S91" si="433">R91/100000</f>
        <v>2224.775534138787</v>
      </c>
      <c r="T91">
        <f t="shared" ref="T91" si="434">S91/1000</f>
        <v>2.2247755341387871</v>
      </c>
    </row>
    <row r="92" spans="1:20" x14ac:dyDescent="0.25">
      <c r="A92" s="5">
        <v>44501</v>
      </c>
      <c r="B92">
        <v>54.38</v>
      </c>
      <c r="C92">
        <v>55.16</v>
      </c>
      <c r="D92">
        <v>52.25</v>
      </c>
      <c r="E92">
        <v>53.88</v>
      </c>
      <c r="F92">
        <v>1340156.08</v>
      </c>
      <c r="G92">
        <v>53.88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0.12027491408935015</v>
      </c>
      <c r="Q92">
        <f t="shared" ref="Q92" si="436">F92*P92</f>
        <v>161187.15738832028</v>
      </c>
      <c r="R92">
        <f t="shared" ref="R92" si="437">R93+Q92</f>
        <v>221911702.68809742</v>
      </c>
      <c r="S92">
        <f t="shared" ref="S92" si="438">R92/100000</f>
        <v>2219.1170268809742</v>
      </c>
      <c r="T92">
        <f t="shared" ref="T92" si="439">S92/1000</f>
        <v>2.2191170268809741</v>
      </c>
    </row>
    <row r="93" spans="1:20" x14ac:dyDescent="0.25">
      <c r="A93" s="5">
        <v>44500</v>
      </c>
      <c r="B93">
        <v>52.94</v>
      </c>
      <c r="C93">
        <v>58.79</v>
      </c>
      <c r="D93">
        <v>52.11</v>
      </c>
      <c r="E93">
        <v>54.37</v>
      </c>
      <c r="F93">
        <v>4020562.27</v>
      </c>
      <c r="G93">
        <v>54.37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-0.3233532934131742</v>
      </c>
      <c r="Q93">
        <f t="shared" ref="Q93" si="441">F93*P93</f>
        <v>-1300062.0513772478</v>
      </c>
      <c r="R93">
        <f t="shared" ref="R93" si="442">R94+Q93</f>
        <v>221750515.53070909</v>
      </c>
      <c r="S93">
        <f t="shared" ref="S93" si="443">R93/100000</f>
        <v>2217.5051553070907</v>
      </c>
      <c r="T93">
        <f t="shared" ref="T93" si="444">S93/1000</f>
        <v>2.2175051553070908</v>
      </c>
    </row>
    <row r="94" spans="1:20" x14ac:dyDescent="0.25">
      <c r="A94" s="5">
        <v>44499</v>
      </c>
      <c r="B94">
        <v>53.94</v>
      </c>
      <c r="C94">
        <v>54</v>
      </c>
      <c r="D94">
        <v>51.57</v>
      </c>
      <c r="E94">
        <v>52.95</v>
      </c>
      <c r="F94">
        <v>922243.84</v>
      </c>
      <c r="G94">
        <v>52.95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0.13580246913580471</v>
      </c>
      <c r="Q94">
        <f t="shared" ref="Q94" si="446">F94*P94</f>
        <v>125242.99061728601</v>
      </c>
      <c r="R94">
        <f t="shared" ref="R94" si="447">R95+Q94</f>
        <v>223050577.58208632</v>
      </c>
      <c r="S94">
        <f t="shared" ref="S94" si="448">R94/100000</f>
        <v>2230.5057758208632</v>
      </c>
      <c r="T94">
        <f t="shared" ref="T94" si="449">S94/1000</f>
        <v>2.2305057758208631</v>
      </c>
    </row>
    <row r="95" spans="1:20" x14ac:dyDescent="0.25">
      <c r="A95" s="5">
        <v>44498</v>
      </c>
      <c r="B95">
        <v>52.19</v>
      </c>
      <c r="C95">
        <v>54.1</v>
      </c>
      <c r="D95">
        <v>51.71</v>
      </c>
      <c r="E95">
        <v>53.94</v>
      </c>
      <c r="F95">
        <v>1245104.83</v>
      </c>
      <c r="G95">
        <v>53.94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0.86610878661087565</v>
      </c>
      <c r="Q95">
        <f t="shared" ref="Q95" si="451">F95*P95</f>
        <v>1078396.2335146407</v>
      </c>
      <c r="R95">
        <f t="shared" ref="R95" si="452">R96+Q95</f>
        <v>222925334.59146905</v>
      </c>
      <c r="S95">
        <f t="shared" ref="S95" si="453">R95/100000</f>
        <v>2229.2533459146903</v>
      </c>
      <c r="T95">
        <f t="shared" ref="T95" si="454">S95/1000</f>
        <v>2.2292533459146902</v>
      </c>
    </row>
    <row r="96" spans="1:20" x14ac:dyDescent="0.25">
      <c r="A96" s="5">
        <v>44497</v>
      </c>
      <c r="B96">
        <v>48.71</v>
      </c>
      <c r="C96">
        <v>52.68</v>
      </c>
      <c r="D96">
        <v>48.3</v>
      </c>
      <c r="E96">
        <v>52.18</v>
      </c>
      <c r="F96">
        <v>2143842.37</v>
      </c>
      <c r="G96">
        <v>52.18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0.7716894977168951</v>
      </c>
      <c r="Q96">
        <f t="shared" ref="Q96" si="456">F96*P96</f>
        <v>1654380.641689498</v>
      </c>
      <c r="R96">
        <f t="shared" ref="R96" si="457">R97+Q96</f>
        <v>221846938.35795441</v>
      </c>
      <c r="S96">
        <f t="shared" ref="S96" si="458">R96/100000</f>
        <v>2218.4693835795442</v>
      </c>
      <c r="T96">
        <f t="shared" ref="T96" si="459">S96/1000</f>
        <v>2.2184693835795444</v>
      </c>
    </row>
    <row r="97" spans="1:20" x14ac:dyDescent="0.25">
      <c r="A97" s="5">
        <v>44496</v>
      </c>
      <c r="B97">
        <v>54.21</v>
      </c>
      <c r="C97">
        <v>55.32</v>
      </c>
      <c r="D97">
        <v>42.15</v>
      </c>
      <c r="E97">
        <v>48.71</v>
      </c>
      <c r="F97">
        <v>4032261.7110000001</v>
      </c>
      <c r="G97">
        <v>48.71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-3.7965072133634889E-3</v>
      </c>
      <c r="Q97">
        <f t="shared" ref="Q97" si="461">F97*P97</f>
        <v>-15308.510671980905</v>
      </c>
      <c r="R97">
        <f t="shared" ref="R97" si="462">R98+Q97</f>
        <v>220192557.7162649</v>
      </c>
      <c r="S97">
        <f t="shared" ref="S97" si="463">R97/100000</f>
        <v>2201.925577162649</v>
      </c>
      <c r="T97">
        <f t="shared" ref="T97" si="464">S97/1000</f>
        <v>2.2019255771626489</v>
      </c>
    </row>
    <row r="98" spans="1:20" x14ac:dyDescent="0.25">
      <c r="A98" s="5">
        <v>44495</v>
      </c>
      <c r="B98">
        <v>55.42</v>
      </c>
      <c r="C98">
        <v>56.2</v>
      </c>
      <c r="D98">
        <v>53.61</v>
      </c>
      <c r="E98">
        <v>54.2</v>
      </c>
      <c r="F98">
        <v>1202939.48</v>
      </c>
      <c r="G98">
        <v>54.2</v>
      </c>
      <c r="L98" t="s">
        <v>7</v>
      </c>
      <c r="M98" t="s">
        <v>8</v>
      </c>
      <c r="N98" t="s">
        <v>7</v>
      </c>
      <c r="P98">
        <f t="shared" ref="P98" si="465">IF(C98=D98,0,((E98-D98)-(C98-E98))/(C98-D98))</f>
        <v>-0.54440154440154231</v>
      </c>
      <c r="Q98">
        <f t="shared" ref="Q98" si="466">F98*P98</f>
        <v>-654882.11073358823</v>
      </c>
      <c r="R98">
        <f t="shared" ref="R98" si="467">R99+Q98</f>
        <v>220207866.22693688</v>
      </c>
      <c r="S98">
        <f t="shared" ref="S98" si="468">R98/100000</f>
        <v>2202.0786622693686</v>
      </c>
      <c r="T98">
        <f t="shared" ref="T98" si="469">S98/1000</f>
        <v>2.2020786622693684</v>
      </c>
    </row>
    <row r="99" spans="1:20" x14ac:dyDescent="0.25">
      <c r="A99" s="5">
        <v>44494</v>
      </c>
      <c r="B99">
        <v>54.95</v>
      </c>
      <c r="C99">
        <v>56.37</v>
      </c>
      <c r="D99">
        <v>54.64</v>
      </c>
      <c r="E99">
        <v>55.42</v>
      </c>
      <c r="F99">
        <v>1009150.14</v>
      </c>
      <c r="G99">
        <v>55.42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-9.8265895953754276E-2</v>
      </c>
      <c r="Q99">
        <f t="shared" ref="Q99" si="471">F99*P99</f>
        <v>-99165.042658956561</v>
      </c>
      <c r="R99">
        <f t="shared" ref="R99" si="472">R100+Q99</f>
        <v>220862748.33767048</v>
      </c>
      <c r="S99">
        <f t="shared" ref="S99" si="473">R99/100000</f>
        <v>2208.6274833767047</v>
      </c>
      <c r="T99">
        <f t="shared" ref="T99" si="474">S99/1000</f>
        <v>2.2086274833767048</v>
      </c>
    </row>
    <row r="100" spans="1:20" x14ac:dyDescent="0.25">
      <c r="A100" s="5">
        <v>44493</v>
      </c>
      <c r="B100">
        <v>55.88</v>
      </c>
      <c r="C100">
        <v>56.06</v>
      </c>
      <c r="D100">
        <v>53.55</v>
      </c>
      <c r="E100">
        <v>54.94</v>
      </c>
      <c r="F100">
        <v>842500.02</v>
      </c>
      <c r="G100">
        <v>54.94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0.10756972111553605</v>
      </c>
      <c r="Q100">
        <f t="shared" ref="Q100" si="476">F100*P100</f>
        <v>90627.492191233541</v>
      </c>
      <c r="R100">
        <f t="shared" ref="R100" si="477">R101+Q100</f>
        <v>220961913.38032943</v>
      </c>
      <c r="S100">
        <f t="shared" ref="S100" si="478">R100/100000</f>
        <v>2209.6191338032945</v>
      </c>
      <c r="T100">
        <f t="shared" ref="T100" si="479">S100/1000</f>
        <v>2.2096191338032947</v>
      </c>
    </row>
    <row r="101" spans="1:20" x14ac:dyDescent="0.25">
      <c r="A101" s="5">
        <v>44492</v>
      </c>
      <c r="B101">
        <v>54.53</v>
      </c>
      <c r="C101">
        <v>56.09</v>
      </c>
      <c r="D101">
        <v>53.84</v>
      </c>
      <c r="E101">
        <v>55.88</v>
      </c>
      <c r="F101">
        <v>891081.54</v>
      </c>
      <c r="G101">
        <v>55.88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0.81333333333333258</v>
      </c>
      <c r="Q101">
        <f t="shared" ref="Q101" si="481">F101*P101</f>
        <v>724746.31919999933</v>
      </c>
      <c r="R101">
        <f t="shared" ref="R101" si="482">R102+Q101</f>
        <v>220871285.8881382</v>
      </c>
      <c r="S101">
        <f t="shared" ref="S101" si="483">R101/100000</f>
        <v>2208.7128588813821</v>
      </c>
      <c r="T101">
        <f t="shared" ref="T101" si="484">S101/1000</f>
        <v>2.2087128588813822</v>
      </c>
    </row>
    <row r="102" spans="1:20" x14ac:dyDescent="0.25">
      <c r="A102" s="5">
        <v>44491</v>
      </c>
      <c r="B102">
        <v>55.36</v>
      </c>
      <c r="C102">
        <v>57</v>
      </c>
      <c r="D102">
        <v>53.56</v>
      </c>
      <c r="E102">
        <v>54.55</v>
      </c>
      <c r="F102">
        <v>1608125.29</v>
      </c>
      <c r="G102">
        <v>54.55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-0.42441860465116538</v>
      </c>
      <c r="Q102">
        <f t="shared" ref="Q102" si="486">F102*P102</f>
        <v>-682518.29168605071</v>
      </c>
      <c r="R102">
        <f t="shared" ref="R102" si="487">R103+Q102</f>
        <v>220146539.5689382</v>
      </c>
      <c r="S102">
        <f t="shared" ref="S102" si="488">R102/100000</f>
        <v>2201.4653956893821</v>
      </c>
      <c r="T102">
        <f t="shared" ref="T102" si="489">S102/1000</f>
        <v>2.2014653956893819</v>
      </c>
    </row>
    <row r="103" spans="1:20" x14ac:dyDescent="0.25">
      <c r="A103" s="5">
        <v>44490</v>
      </c>
      <c r="B103">
        <v>55.58</v>
      </c>
      <c r="C103">
        <v>60</v>
      </c>
      <c r="D103">
        <v>55.27</v>
      </c>
      <c r="E103">
        <v>55.35</v>
      </c>
      <c r="F103">
        <v>2831849.6</v>
      </c>
      <c r="G103">
        <v>55.35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-0.96617336152219946</v>
      </c>
      <c r="Q103">
        <f t="shared" ref="Q103" si="491">F103*P103</f>
        <v>-2736057.6473572962</v>
      </c>
      <c r="R103">
        <f t="shared" ref="R103" si="492">R104+Q103</f>
        <v>220829057.86062425</v>
      </c>
      <c r="S103">
        <f t="shared" ref="S103" si="493">R103/100000</f>
        <v>2208.2905786062424</v>
      </c>
      <c r="T103">
        <f t="shared" ref="T103" si="494">S103/1000</f>
        <v>2.2082905786062423</v>
      </c>
    </row>
    <row r="104" spans="1:20" x14ac:dyDescent="0.25">
      <c r="A104" s="5">
        <v>44489</v>
      </c>
      <c r="B104">
        <v>52.88</v>
      </c>
      <c r="C104">
        <v>55.8</v>
      </c>
      <c r="D104">
        <v>52.23</v>
      </c>
      <c r="E104">
        <v>55.59</v>
      </c>
      <c r="F104">
        <v>1159437.25</v>
      </c>
      <c r="G104">
        <v>55.59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0.88235294117647411</v>
      </c>
      <c r="Q104">
        <f t="shared" ref="Q104" si="496">F104*P104</f>
        <v>1023032.8676470629</v>
      </c>
      <c r="R104">
        <f t="shared" ref="R104" si="497">R105+Q104</f>
        <v>223565115.50798154</v>
      </c>
      <c r="S104">
        <f t="shared" ref="S104" si="498">R104/100000</f>
        <v>2235.6511550798155</v>
      </c>
      <c r="T104">
        <f t="shared" ref="T104" si="499">S104/1000</f>
        <v>2.2356511550798155</v>
      </c>
    </row>
    <row r="105" spans="1:20" x14ac:dyDescent="0.25">
      <c r="A105" s="5">
        <v>44488</v>
      </c>
      <c r="B105">
        <v>52.43</v>
      </c>
      <c r="C105">
        <v>53.5</v>
      </c>
      <c r="D105">
        <v>51.81</v>
      </c>
      <c r="E105">
        <v>52.87</v>
      </c>
      <c r="F105">
        <v>759794.44</v>
      </c>
      <c r="G105">
        <v>52.87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0.25443786982248118</v>
      </c>
      <c r="Q105">
        <f t="shared" ref="Q105" si="501">F105*P105</f>
        <v>193320.47881656498</v>
      </c>
      <c r="R105">
        <f t="shared" ref="R105" si="502">R106+Q105</f>
        <v>222542082.64033449</v>
      </c>
      <c r="S105">
        <f t="shared" ref="S105" si="503">R105/100000</f>
        <v>2225.420826403345</v>
      </c>
      <c r="T105">
        <f t="shared" ref="T105" si="504">S105/1000</f>
        <v>2.225420826403345</v>
      </c>
    </row>
    <row r="106" spans="1:20" x14ac:dyDescent="0.25">
      <c r="A106" s="5">
        <v>44487</v>
      </c>
      <c r="B106">
        <v>53.1</v>
      </c>
      <c r="C106">
        <v>53.79</v>
      </c>
      <c r="D106">
        <v>51.78</v>
      </c>
      <c r="E106">
        <v>52.43</v>
      </c>
      <c r="F106">
        <v>959572.5</v>
      </c>
      <c r="G106">
        <v>52.43</v>
      </c>
      <c r="L106" t="s">
        <v>8</v>
      </c>
      <c r="M106" t="s">
        <v>8</v>
      </c>
      <c r="N106" t="s">
        <v>7</v>
      </c>
      <c r="P106">
        <f t="shared" ref="P106" si="505">IF(C106=D106,0,((E106-D106)-(C106-E106))/(C106-D106))</f>
        <v>-0.35323383084577192</v>
      </c>
      <c r="Q106">
        <f t="shared" ref="Q106" si="506">F106*P106</f>
        <v>-338953.47014925448</v>
      </c>
      <c r="R106">
        <f t="shared" ref="R106" si="507">R107+Q106</f>
        <v>222348762.16151792</v>
      </c>
      <c r="S106">
        <f t="shared" ref="S106" si="508">R106/100000</f>
        <v>2223.4876216151793</v>
      </c>
      <c r="T106">
        <f t="shared" ref="T106" si="509">S106/1000</f>
        <v>2.2234876216151793</v>
      </c>
    </row>
    <row r="107" spans="1:20" x14ac:dyDescent="0.25">
      <c r="A107" s="5">
        <v>44486</v>
      </c>
      <c r="B107">
        <v>54.12</v>
      </c>
      <c r="C107">
        <v>54.7</v>
      </c>
      <c r="D107">
        <v>50.27</v>
      </c>
      <c r="E107">
        <v>53.11</v>
      </c>
      <c r="F107">
        <v>1004022.24</v>
      </c>
      <c r="G107">
        <v>53.11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0.28216704288938893</v>
      </c>
      <c r="Q107">
        <f t="shared" ref="Q107" si="511">F107*P107</f>
        <v>283301.98645598034</v>
      </c>
      <c r="R107">
        <f t="shared" ref="R107" si="512">R108+Q107</f>
        <v>222687715.63166717</v>
      </c>
      <c r="S107">
        <f t="shared" ref="S107" si="513">R107/100000</f>
        <v>2226.8771563166715</v>
      </c>
      <c r="T107">
        <f t="shared" ref="T107" si="514">S107/1000</f>
        <v>2.2268771563166716</v>
      </c>
    </row>
    <row r="108" spans="1:20" x14ac:dyDescent="0.25">
      <c r="A108" s="5">
        <v>44485</v>
      </c>
      <c r="B108">
        <v>54.3</v>
      </c>
      <c r="C108">
        <v>55.38</v>
      </c>
      <c r="D108">
        <v>53.49</v>
      </c>
      <c r="E108">
        <v>54.12</v>
      </c>
      <c r="F108">
        <v>1001651.01</v>
      </c>
      <c r="G108">
        <v>54.12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-0.33333333333333837</v>
      </c>
      <c r="Q108">
        <f t="shared" ref="Q108" si="516">F108*P108</f>
        <v>-333883.67000000505</v>
      </c>
      <c r="R108">
        <f t="shared" ref="R108" si="517">R109+Q108</f>
        <v>222404413.64521119</v>
      </c>
      <c r="S108">
        <f t="shared" ref="S108" si="518">R108/100000</f>
        <v>2224.0441364521121</v>
      </c>
      <c r="T108">
        <f t="shared" ref="T108" si="519">S108/1000</f>
        <v>2.224044136452112</v>
      </c>
    </row>
    <row r="109" spans="1:20" x14ac:dyDescent="0.25">
      <c r="A109" s="5">
        <v>44484</v>
      </c>
      <c r="B109">
        <v>54.5</v>
      </c>
      <c r="C109">
        <v>56.96</v>
      </c>
      <c r="D109">
        <v>52.47</v>
      </c>
      <c r="E109">
        <v>54.3</v>
      </c>
      <c r="F109">
        <v>2277895.7599999998</v>
      </c>
      <c r="G109">
        <v>54.3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-0.18485523385300781</v>
      </c>
      <c r="Q109">
        <f t="shared" ref="Q109" si="521">F109*P109</f>
        <v>-421080.95340757491</v>
      </c>
      <c r="R109">
        <f t="shared" ref="R109" si="522">R110+Q109</f>
        <v>222738297.31521121</v>
      </c>
      <c r="S109">
        <f t="shared" ref="S109" si="523">R109/100000</f>
        <v>2227.3829731521118</v>
      </c>
      <c r="T109">
        <f t="shared" ref="T109" si="524">S109/1000</f>
        <v>2.2273829731521118</v>
      </c>
    </row>
    <row r="110" spans="1:20" x14ac:dyDescent="0.25">
      <c r="A110" s="5">
        <v>44483</v>
      </c>
      <c r="B110">
        <v>53.43</v>
      </c>
      <c r="C110">
        <v>54.98</v>
      </c>
      <c r="D110">
        <v>53</v>
      </c>
      <c r="E110">
        <v>54.5</v>
      </c>
      <c r="F110">
        <v>1150082.98</v>
      </c>
      <c r="G110">
        <v>54.5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0.51515151515151758</v>
      </c>
      <c r="Q110">
        <f t="shared" ref="Q110" si="526">F110*P110</f>
        <v>592466.98969697254</v>
      </c>
      <c r="R110">
        <f t="shared" ref="R110" si="527">R111+Q110</f>
        <v>223159378.26861879</v>
      </c>
      <c r="S110">
        <f t="shared" ref="S110" si="528">R110/100000</f>
        <v>2231.5937826861878</v>
      </c>
      <c r="T110">
        <f t="shared" ref="T110" si="529">S110/1000</f>
        <v>2.2315937826861876</v>
      </c>
    </row>
    <row r="111" spans="1:20" x14ac:dyDescent="0.25">
      <c r="A111" s="5">
        <v>44482</v>
      </c>
      <c r="B111">
        <v>52.73</v>
      </c>
      <c r="C111">
        <v>53.59</v>
      </c>
      <c r="D111">
        <v>51.34</v>
      </c>
      <c r="E111">
        <v>53.43</v>
      </c>
      <c r="F111">
        <v>1055534.5900000001</v>
      </c>
      <c r="G111">
        <v>53.43</v>
      </c>
      <c r="L111" t="s">
        <v>7</v>
      </c>
      <c r="M111" t="s">
        <v>8</v>
      </c>
      <c r="N111" t="s">
        <v>7</v>
      </c>
      <c r="P111">
        <f t="shared" ref="P111" si="530">IF(C111=D111,0,((E111-D111)-(C111-E111))/(C111-D111))</f>
        <v>0.85777777777777453</v>
      </c>
      <c r="Q111">
        <f t="shared" ref="Q111" si="531">F111*P111</f>
        <v>905414.11497777444</v>
      </c>
      <c r="R111">
        <f t="shared" ref="R111" si="532">R112+Q111</f>
        <v>222566911.27892181</v>
      </c>
      <c r="S111">
        <f t="shared" ref="S111" si="533">R111/100000</f>
        <v>2225.6691127892182</v>
      </c>
      <c r="T111">
        <f t="shared" ref="T111" si="534">S111/1000</f>
        <v>2.2256691127892183</v>
      </c>
    </row>
    <row r="112" spans="1:20" x14ac:dyDescent="0.25">
      <c r="A112" s="5">
        <v>44481</v>
      </c>
      <c r="B112">
        <v>53.93</v>
      </c>
      <c r="C112">
        <v>53.93</v>
      </c>
      <c r="D112">
        <v>50.83</v>
      </c>
      <c r="E112">
        <v>52.73</v>
      </c>
      <c r="F112">
        <v>1244896.8</v>
      </c>
      <c r="G112">
        <v>52.73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0.22580645161290175</v>
      </c>
      <c r="Q112">
        <f t="shared" ref="Q112" si="536">F112*P112</f>
        <v>281105.72903225623</v>
      </c>
      <c r="R112">
        <f t="shared" ref="R112" si="537">R113+Q112</f>
        <v>221661497.16394404</v>
      </c>
      <c r="S112">
        <f t="shared" ref="S112" si="538">R112/100000</f>
        <v>2216.6149716394402</v>
      </c>
      <c r="T112">
        <f t="shared" ref="T112" si="539">S112/1000</f>
        <v>2.2166149716394403</v>
      </c>
    </row>
    <row r="113" spans="1:20" x14ac:dyDescent="0.25">
      <c r="A113" s="5">
        <v>44480</v>
      </c>
      <c r="B113">
        <v>52.83</v>
      </c>
      <c r="C113">
        <v>55.35</v>
      </c>
      <c r="D113">
        <v>52.06</v>
      </c>
      <c r="E113">
        <v>53.93</v>
      </c>
      <c r="F113">
        <v>1066608.74</v>
      </c>
      <c r="G113">
        <v>53.93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0.1367781155015185</v>
      </c>
      <c r="Q113">
        <f t="shared" ref="Q113" si="541">F113*P113</f>
        <v>145888.73343464913</v>
      </c>
      <c r="R113">
        <f t="shared" ref="R113" si="542">R114+Q113</f>
        <v>221380391.43491179</v>
      </c>
      <c r="S113">
        <f t="shared" ref="S113" si="543">R113/100000</f>
        <v>2213.8039143491178</v>
      </c>
      <c r="T113">
        <f t="shared" ref="T113" si="544">S113/1000</f>
        <v>2.2138039143491177</v>
      </c>
    </row>
    <row r="114" spans="1:20" x14ac:dyDescent="0.25">
      <c r="A114" s="5">
        <v>44479</v>
      </c>
      <c r="B114">
        <v>55.64</v>
      </c>
      <c r="C114">
        <v>56.36</v>
      </c>
      <c r="D114">
        <v>52.59</v>
      </c>
      <c r="E114">
        <v>52.84</v>
      </c>
      <c r="F114">
        <v>1187198.53</v>
      </c>
      <c r="G114">
        <v>52.84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-0.86737400530503961</v>
      </c>
      <c r="Q114">
        <f t="shared" ref="Q114" si="546">F114*P114</f>
        <v>-1029745.1440583552</v>
      </c>
      <c r="R114">
        <f t="shared" ref="R114" si="547">R115+Q114</f>
        <v>221234502.70147714</v>
      </c>
      <c r="S114">
        <f t="shared" ref="S114" si="548">R114/100000</f>
        <v>2212.3450270147714</v>
      </c>
      <c r="T114">
        <f t="shared" ref="T114" si="549">S114/1000</f>
        <v>2.2123450270147713</v>
      </c>
    </row>
    <row r="115" spans="1:20" x14ac:dyDescent="0.25">
      <c r="A115" s="5">
        <v>44478</v>
      </c>
      <c r="B115">
        <v>53.69</v>
      </c>
      <c r="C115">
        <v>57.45</v>
      </c>
      <c r="D115">
        <v>53.19</v>
      </c>
      <c r="E115">
        <v>55.63</v>
      </c>
      <c r="F115">
        <v>1775526.18</v>
      </c>
      <c r="G115">
        <v>55.63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0.14553990610328726</v>
      </c>
      <c r="Q115">
        <f t="shared" ref="Q115" si="551">F115*P115</f>
        <v>258409.9135211283</v>
      </c>
      <c r="R115">
        <f t="shared" ref="R115" si="552">R116+Q115</f>
        <v>222264247.84553549</v>
      </c>
      <c r="S115">
        <f t="shared" ref="S115" si="553">R115/100000</f>
        <v>2222.6424784553546</v>
      </c>
      <c r="T115">
        <f t="shared" ref="T115" si="554">S115/1000</f>
        <v>2.2226424784553545</v>
      </c>
    </row>
    <row r="116" spans="1:20" x14ac:dyDescent="0.25">
      <c r="A116" s="5">
        <v>44477</v>
      </c>
      <c r="B116">
        <v>54.36</v>
      </c>
      <c r="C116">
        <v>55.13</v>
      </c>
      <c r="D116">
        <v>53.08</v>
      </c>
      <c r="E116">
        <v>53.68</v>
      </c>
      <c r="F116">
        <v>1310372.68</v>
      </c>
      <c r="G116">
        <v>53.68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-0.41463414634146323</v>
      </c>
      <c r="Q116">
        <f t="shared" ref="Q116" si="556">F116*P116</f>
        <v>-543325.25756097538</v>
      </c>
      <c r="R116">
        <f t="shared" ref="R116" si="557">R117+Q116</f>
        <v>222005837.93201435</v>
      </c>
      <c r="S116">
        <f t="shared" ref="S116" si="558">R116/100000</f>
        <v>2220.0583793201436</v>
      </c>
      <c r="T116">
        <f t="shared" ref="T116" si="559">S116/1000</f>
        <v>2.2200583793201436</v>
      </c>
    </row>
    <row r="117" spans="1:20" x14ac:dyDescent="0.25">
      <c r="A117" s="5">
        <v>44476</v>
      </c>
      <c r="B117">
        <v>54.83</v>
      </c>
      <c r="C117">
        <v>55.79</v>
      </c>
      <c r="D117">
        <v>53.12</v>
      </c>
      <c r="E117">
        <v>54.34</v>
      </c>
      <c r="F117">
        <v>1998640.43</v>
      </c>
      <c r="G117">
        <v>54.34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-8.6142322097374394E-2</v>
      </c>
      <c r="Q117">
        <f t="shared" ref="Q117" si="561">F117*P117</f>
        <v>-172167.52767789486</v>
      </c>
      <c r="R117">
        <f t="shared" ref="R117" si="562">R118+Q117</f>
        <v>222549163.18957531</v>
      </c>
      <c r="S117">
        <f t="shared" ref="S117" si="563">R117/100000</f>
        <v>2225.491631895753</v>
      </c>
      <c r="T117">
        <f t="shared" ref="T117" si="564">S117/1000</f>
        <v>2.2254916318957529</v>
      </c>
    </row>
    <row r="118" spans="1:20" x14ac:dyDescent="0.25">
      <c r="A118" s="5">
        <v>44475</v>
      </c>
      <c r="B118">
        <v>54.37</v>
      </c>
      <c r="C118">
        <v>56.07</v>
      </c>
      <c r="D118">
        <v>51.01</v>
      </c>
      <c r="E118">
        <v>54.83</v>
      </c>
      <c r="F118">
        <v>2371514.2200000002</v>
      </c>
      <c r="G118">
        <v>54.83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0.50988142292490057</v>
      </c>
      <c r="Q118">
        <f t="shared" ref="Q118" si="566">F118*P118</f>
        <v>1209191.0449802359</v>
      </c>
      <c r="R118">
        <f t="shared" ref="R118" si="567">R119+Q118</f>
        <v>222721330.71725321</v>
      </c>
      <c r="S118">
        <f t="shared" ref="S118" si="568">R118/100000</f>
        <v>2227.213307172532</v>
      </c>
      <c r="T118">
        <f t="shared" ref="T118" si="569">S118/1000</f>
        <v>2.2272133071725322</v>
      </c>
    </row>
    <row r="119" spans="1:20" x14ac:dyDescent="0.25">
      <c r="A119" s="5">
        <v>44474</v>
      </c>
      <c r="B119">
        <v>52.59</v>
      </c>
      <c r="C119">
        <v>54.87</v>
      </c>
      <c r="D119">
        <v>52.26</v>
      </c>
      <c r="E119">
        <v>54.36</v>
      </c>
      <c r="F119">
        <v>1554697.47</v>
      </c>
      <c r="G119">
        <v>54.36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0.60919540229885205</v>
      </c>
      <c r="Q119">
        <f t="shared" ref="Q119" si="571">F119*P119</f>
        <v>947114.55068965745</v>
      </c>
      <c r="R119">
        <f t="shared" ref="R119" si="572">R120+Q119</f>
        <v>221512139.67227298</v>
      </c>
      <c r="S119">
        <f t="shared" ref="S119" si="573">R119/100000</f>
        <v>2215.12139672273</v>
      </c>
      <c r="T119">
        <f t="shared" ref="T119" si="574">S119/1000</f>
        <v>2.2151213967227301</v>
      </c>
    </row>
    <row r="120" spans="1:20" x14ac:dyDescent="0.25">
      <c r="A120" s="5">
        <v>44473</v>
      </c>
      <c r="B120">
        <v>53.69</v>
      </c>
      <c r="C120">
        <v>53.8</v>
      </c>
      <c r="D120">
        <v>50.44</v>
      </c>
      <c r="E120">
        <v>52.72</v>
      </c>
      <c r="F120">
        <v>1576668.21</v>
      </c>
      <c r="G120">
        <v>52.72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0.35714285714285804</v>
      </c>
      <c r="Q120">
        <f t="shared" ref="Q120" si="576">F120*P120</f>
        <v>563095.78928571567</v>
      </c>
      <c r="R120">
        <f t="shared" ref="R120" si="577">R121+Q120</f>
        <v>220565025.12158331</v>
      </c>
      <c r="S120">
        <f t="shared" ref="S120" si="578">R120/100000</f>
        <v>2205.6502512158331</v>
      </c>
      <c r="T120">
        <f t="shared" ref="T120" si="579">S120/1000</f>
        <v>2.2056502512158329</v>
      </c>
    </row>
    <row r="121" spans="1:20" x14ac:dyDescent="0.25">
      <c r="A121" s="5">
        <v>44472</v>
      </c>
      <c r="B121">
        <v>53.16</v>
      </c>
      <c r="C121">
        <v>55.03</v>
      </c>
      <c r="D121">
        <v>51.81</v>
      </c>
      <c r="E121">
        <v>53.73</v>
      </c>
      <c r="F121">
        <v>1579049.38</v>
      </c>
      <c r="G121">
        <v>53.73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0.19254658385092874</v>
      </c>
      <c r="Q121">
        <f t="shared" ref="Q121" si="581">F121*P121</f>
        <v>304040.56385092699</v>
      </c>
      <c r="R121">
        <f t="shared" ref="R121" si="582">R122+Q121</f>
        <v>220001929.33229759</v>
      </c>
      <c r="S121">
        <f t="shared" ref="S121" si="583">R121/100000</f>
        <v>2200.019293322976</v>
      </c>
      <c r="T121">
        <f t="shared" ref="T121" si="584">S121/1000</f>
        <v>2.2000192933229759</v>
      </c>
    </row>
    <row r="122" spans="1:20" x14ac:dyDescent="0.25">
      <c r="A122" s="5">
        <v>44471</v>
      </c>
      <c r="B122">
        <v>51.9</v>
      </c>
      <c r="C122">
        <v>55.22</v>
      </c>
      <c r="D122">
        <v>51.13</v>
      </c>
      <c r="E122">
        <v>53.17</v>
      </c>
      <c r="F122">
        <v>2166890.9900000002</v>
      </c>
      <c r="G122">
        <v>53.17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-2.4449877750606403E-3</v>
      </c>
      <c r="Q122">
        <f t="shared" ref="Q122" si="586">F122*P122</f>
        <v>-5298.021980439049</v>
      </c>
      <c r="R122">
        <f t="shared" ref="R122" si="587">R123+Q122</f>
        <v>219697888.76844665</v>
      </c>
      <c r="S122">
        <f t="shared" ref="S122" si="588">R122/100000</f>
        <v>2196.9788876844664</v>
      </c>
      <c r="T122">
        <f t="shared" ref="T122" si="589">S122/1000</f>
        <v>2.1969788876844665</v>
      </c>
    </row>
    <row r="123" spans="1:20" x14ac:dyDescent="0.25">
      <c r="A123" s="5">
        <v>44470</v>
      </c>
      <c r="B123">
        <v>47.03</v>
      </c>
      <c r="C123">
        <v>52.57</v>
      </c>
      <c r="D123">
        <v>46.6</v>
      </c>
      <c r="E123">
        <v>51.9</v>
      </c>
      <c r="F123">
        <v>2390780.29</v>
      </c>
      <c r="G123">
        <v>51.9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0.77554438860971464</v>
      </c>
      <c r="Q123">
        <f t="shared" ref="Q123" si="591">F123*P123</f>
        <v>1854156.2383082062</v>
      </c>
      <c r="R123">
        <f t="shared" ref="R123" si="592">R124+Q123</f>
        <v>219703186.79042709</v>
      </c>
      <c r="S123">
        <f t="shared" ref="S123" si="593">R123/100000</f>
        <v>2197.0318679042707</v>
      </c>
      <c r="T123">
        <f t="shared" ref="T123" si="594">S123/1000</f>
        <v>2.1970318679042706</v>
      </c>
    </row>
    <row r="124" spans="1:20" x14ac:dyDescent="0.25">
      <c r="A124" s="5">
        <v>44469</v>
      </c>
      <c r="B124">
        <v>45.5</v>
      </c>
      <c r="C124">
        <v>47.29</v>
      </c>
      <c r="D124">
        <v>45.27</v>
      </c>
      <c r="E124">
        <v>47.01</v>
      </c>
      <c r="F124">
        <v>1126321.3</v>
      </c>
      <c r="G124">
        <v>47.01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0.72277227722772108</v>
      </c>
      <c r="Q124">
        <f t="shared" ref="Q124" si="596">F124*P124</f>
        <v>814073.81089108728</v>
      </c>
      <c r="R124">
        <f t="shared" ref="R124" si="597">R125+Q124</f>
        <v>217849030.55211887</v>
      </c>
      <c r="S124">
        <f t="shared" ref="S124" si="598">R124/100000</f>
        <v>2178.4903055211885</v>
      </c>
      <c r="T124">
        <f t="shared" ref="T124" si="599">S124/1000</f>
        <v>2.1784903055211884</v>
      </c>
    </row>
    <row r="125" spans="1:20" x14ac:dyDescent="0.25">
      <c r="A125" s="5">
        <v>44468</v>
      </c>
      <c r="B125">
        <v>44.99</v>
      </c>
      <c r="C125">
        <v>46.85</v>
      </c>
      <c r="D125">
        <v>44.57</v>
      </c>
      <c r="E125">
        <v>45.52</v>
      </c>
      <c r="F125">
        <v>1235908.55</v>
      </c>
      <c r="G125">
        <v>45.52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-0.16666666666666458</v>
      </c>
      <c r="Q125">
        <f t="shared" ref="Q125" si="601">F125*P125</f>
        <v>-205984.75833333077</v>
      </c>
      <c r="R125">
        <f t="shared" ref="R125" si="602">R126+Q125</f>
        <v>217034956.74122778</v>
      </c>
      <c r="S125">
        <f t="shared" ref="S125" si="603">R125/100000</f>
        <v>2170.3495674122778</v>
      </c>
      <c r="T125">
        <f t="shared" ref="T125" si="604">S125/1000</f>
        <v>2.1703495674122779</v>
      </c>
    </row>
    <row r="126" spans="1:20" x14ac:dyDescent="0.25">
      <c r="A126" s="5">
        <v>44467</v>
      </c>
      <c r="B126">
        <v>45.35</v>
      </c>
      <c r="C126">
        <v>48.76</v>
      </c>
      <c r="D126">
        <v>44.78</v>
      </c>
      <c r="E126">
        <v>44.99</v>
      </c>
      <c r="F126">
        <v>1938745.91</v>
      </c>
      <c r="G126">
        <v>44.99</v>
      </c>
      <c r="L126" t="s">
        <v>8</v>
      </c>
      <c r="M126" t="s">
        <v>7</v>
      </c>
      <c r="N126" t="s">
        <v>7</v>
      </c>
      <c r="P126">
        <f t="shared" ref="P126" si="605">IF(C126=D126,0,((E126-D126)-(C126-E126))/(C126-D126))</f>
        <v>-0.89447236180904477</v>
      </c>
      <c r="Q126">
        <f t="shared" ref="Q126" si="606">F126*P126</f>
        <v>-1734154.6330653257</v>
      </c>
      <c r="R126">
        <f t="shared" ref="R126" si="607">R127+Q126</f>
        <v>217240941.4995611</v>
      </c>
      <c r="S126">
        <f t="shared" ref="S126" si="608">R126/100000</f>
        <v>2172.4094149956109</v>
      </c>
      <c r="T126">
        <f t="shared" ref="T126" si="609">S126/1000</f>
        <v>2.1724094149956108</v>
      </c>
    </row>
    <row r="127" spans="1:20" x14ac:dyDescent="0.25">
      <c r="A127" s="5">
        <v>44466</v>
      </c>
      <c r="B127">
        <v>47.19</v>
      </c>
      <c r="C127">
        <v>48.4</v>
      </c>
      <c r="D127">
        <v>45.28</v>
      </c>
      <c r="E127">
        <v>45.37</v>
      </c>
      <c r="F127">
        <v>1148693.78</v>
      </c>
      <c r="G127">
        <v>45.37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-0.94230769230769462</v>
      </c>
      <c r="Q127">
        <f t="shared" ref="Q127" si="611">F127*P127</f>
        <v>-1082422.9850000027</v>
      </c>
      <c r="R127">
        <f t="shared" ref="R127" si="612">R128+Q127</f>
        <v>218975096.13262641</v>
      </c>
      <c r="S127">
        <f t="shared" ref="S127" si="613">R127/100000</f>
        <v>2189.7509613262641</v>
      </c>
      <c r="T127">
        <f t="shared" ref="T127" si="614">S127/1000</f>
        <v>2.189750961326264</v>
      </c>
    </row>
    <row r="128" spans="1:20" x14ac:dyDescent="0.25">
      <c r="A128" s="5">
        <v>44465</v>
      </c>
      <c r="B128">
        <v>47.31</v>
      </c>
      <c r="C128">
        <v>48.3</v>
      </c>
      <c r="D128">
        <v>43.97</v>
      </c>
      <c r="E128">
        <v>47.19</v>
      </c>
      <c r="F128">
        <v>1606934.4480000001</v>
      </c>
      <c r="G128">
        <v>47.19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0.48729792147806011</v>
      </c>
      <c r="Q128">
        <f t="shared" ref="Q128" si="616">F128*P128</f>
        <v>783055.81646189396</v>
      </c>
      <c r="R128">
        <f t="shared" ref="R128" si="617">R129+Q128</f>
        <v>220057519.11762643</v>
      </c>
      <c r="S128">
        <f t="shared" ref="S128" si="618">R128/100000</f>
        <v>2200.5751911762641</v>
      </c>
      <c r="T128">
        <f t="shared" ref="T128" si="619">S128/1000</f>
        <v>2.2005751911762639</v>
      </c>
    </row>
    <row r="129" spans="1:20" x14ac:dyDescent="0.25">
      <c r="A129" s="5">
        <v>44464</v>
      </c>
      <c r="B129">
        <v>47.64</v>
      </c>
      <c r="C129">
        <v>49.64</v>
      </c>
      <c r="D129">
        <v>46.16</v>
      </c>
      <c r="E129">
        <v>47.34</v>
      </c>
      <c r="F129">
        <v>1364206.72</v>
      </c>
      <c r="G129">
        <v>47.34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-0.32183908045976695</v>
      </c>
      <c r="Q129">
        <f t="shared" ref="Q129" si="621">F129*P129</f>
        <v>-439055.03632183478</v>
      </c>
      <c r="R129">
        <f t="shared" ref="R129" si="622">R130+Q129</f>
        <v>219274463.30116454</v>
      </c>
      <c r="S129">
        <f t="shared" ref="S129" si="623">R129/100000</f>
        <v>2192.7446330116454</v>
      </c>
      <c r="T129">
        <f t="shared" ref="T129" si="624">S129/1000</f>
        <v>2.1927446330116456</v>
      </c>
    </row>
    <row r="130" spans="1:20" x14ac:dyDescent="0.25">
      <c r="A130" s="5">
        <v>44463</v>
      </c>
      <c r="B130">
        <v>51.31</v>
      </c>
      <c r="C130">
        <v>51.88</v>
      </c>
      <c r="D130">
        <v>44.07</v>
      </c>
      <c r="E130">
        <v>47.64</v>
      </c>
      <c r="F130">
        <v>2387824.912</v>
      </c>
      <c r="G130">
        <v>47.64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-8.5787451984635277E-2</v>
      </c>
      <c r="Q130">
        <f t="shared" ref="Q130" si="626">F130*P130</f>
        <v>-204845.41498591597</v>
      </c>
      <c r="R130">
        <f t="shared" ref="R130" si="627">R131+Q130</f>
        <v>219713518.33748639</v>
      </c>
      <c r="S130">
        <f t="shared" ref="S130" si="628">R130/100000</f>
        <v>2197.135183374864</v>
      </c>
      <c r="T130">
        <f t="shared" ref="T130" si="629">S130/1000</f>
        <v>2.197135183374864</v>
      </c>
    </row>
    <row r="131" spans="1:20" x14ac:dyDescent="0.25">
      <c r="A131" s="5">
        <v>44462</v>
      </c>
      <c r="B131">
        <v>51.23</v>
      </c>
      <c r="C131">
        <v>51.56</v>
      </c>
      <c r="D131">
        <v>49.39</v>
      </c>
      <c r="E131">
        <v>51.31</v>
      </c>
      <c r="F131">
        <v>1062347.99</v>
      </c>
      <c r="G131">
        <v>51.31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0.76958525345622142</v>
      </c>
      <c r="Q131">
        <f t="shared" ref="Q131" si="631">F131*P131</f>
        <v>817567.34714285738</v>
      </c>
      <c r="R131">
        <f t="shared" ref="R131" si="632">R132+Q131</f>
        <v>219918363.75247231</v>
      </c>
      <c r="S131">
        <f t="shared" ref="S131" si="633">R131/100000</f>
        <v>2199.1836375247231</v>
      </c>
      <c r="T131">
        <f t="shared" ref="T131" si="634">S131/1000</f>
        <v>2.1991836375247229</v>
      </c>
    </row>
    <row r="132" spans="1:20" x14ac:dyDescent="0.25">
      <c r="A132" s="5">
        <v>44461</v>
      </c>
      <c r="B132">
        <v>45.81</v>
      </c>
      <c r="C132">
        <v>51.31</v>
      </c>
      <c r="D132">
        <v>44.88</v>
      </c>
      <c r="E132">
        <v>51.26</v>
      </c>
      <c r="F132">
        <v>1449635.34</v>
      </c>
      <c r="G132">
        <v>51.26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0.98444790046656161</v>
      </c>
      <c r="Q132">
        <f t="shared" ref="Q132" si="636">F132*P132</f>
        <v>1427090.4669051303</v>
      </c>
      <c r="R132">
        <f t="shared" ref="R132" si="637">R133+Q132</f>
        <v>219100796.40532947</v>
      </c>
      <c r="S132">
        <f t="shared" ref="S132" si="638">R132/100000</f>
        <v>2191.0079640532945</v>
      </c>
      <c r="T132">
        <f t="shared" ref="T132" si="639">S132/1000</f>
        <v>2.1910079640532945</v>
      </c>
    </row>
    <row r="133" spans="1:20" x14ac:dyDescent="0.25">
      <c r="A133" s="5">
        <v>44460</v>
      </c>
      <c r="B133">
        <v>49.1</v>
      </c>
      <c r="C133">
        <v>50.41</v>
      </c>
      <c r="D133">
        <v>44.69</v>
      </c>
      <c r="E133">
        <v>45.81</v>
      </c>
      <c r="F133">
        <v>2102363.2179999999</v>
      </c>
      <c r="G133">
        <v>45.81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-0.60839160839160678</v>
      </c>
      <c r="Q133">
        <f t="shared" ref="Q133" si="641">F133*P133</f>
        <v>-1279060.1396223742</v>
      </c>
      <c r="R133">
        <f t="shared" ref="R133" si="642">R134+Q133</f>
        <v>217673705.93842435</v>
      </c>
      <c r="S133">
        <f t="shared" ref="S133" si="643">R133/100000</f>
        <v>2176.7370593842434</v>
      </c>
      <c r="T133">
        <f t="shared" ref="T133" si="644">S133/1000</f>
        <v>2.1767370593842434</v>
      </c>
    </row>
    <row r="134" spans="1:20" x14ac:dyDescent="0.25">
      <c r="A134" s="5">
        <v>44459</v>
      </c>
      <c r="B134">
        <v>55.33</v>
      </c>
      <c r="C134">
        <v>55.43</v>
      </c>
      <c r="D134">
        <v>51</v>
      </c>
      <c r="E134">
        <v>51.41</v>
      </c>
      <c r="F134">
        <v>1043687.3</v>
      </c>
      <c r="G134">
        <v>51.41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-0.81489841986456135</v>
      </c>
      <c r="Q134">
        <f t="shared" ref="Q134" si="646">F134*P134</f>
        <v>-850499.13160271046</v>
      </c>
      <c r="R134">
        <f t="shared" ref="R134" si="647">R135+Q134</f>
        <v>218952766.07804671</v>
      </c>
      <c r="S134">
        <f t="shared" ref="S134" si="648">R134/100000</f>
        <v>2189.5276607804672</v>
      </c>
      <c r="T134">
        <f t="shared" ref="T134" si="649">S134/1000</f>
        <v>2.1895276607804672</v>
      </c>
    </row>
    <row r="135" spans="1:20" x14ac:dyDescent="0.25">
      <c r="A135" s="5">
        <v>44458</v>
      </c>
      <c r="B135">
        <v>57.19</v>
      </c>
      <c r="C135">
        <v>57.26</v>
      </c>
      <c r="D135">
        <v>54.75</v>
      </c>
      <c r="E135">
        <v>55.33</v>
      </c>
      <c r="F135">
        <v>753689.61</v>
      </c>
      <c r="G135">
        <v>55.33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-0.53784860557769021</v>
      </c>
      <c r="Q135">
        <f t="shared" ref="Q135" si="651">F135*P135</f>
        <v>-405370.90577689314</v>
      </c>
      <c r="R135">
        <f t="shared" ref="R135" si="652">R136+Q135</f>
        <v>219803265.20964941</v>
      </c>
      <c r="S135">
        <f t="shared" ref="S135" si="653">R135/100000</f>
        <v>2198.0326520964941</v>
      </c>
      <c r="T135">
        <f t="shared" ref="T135" si="654">S135/1000</f>
        <v>2.1980326520964941</v>
      </c>
    </row>
    <row r="136" spans="1:20" x14ac:dyDescent="0.25">
      <c r="A136" s="5">
        <v>44457</v>
      </c>
      <c r="B136">
        <v>56.69</v>
      </c>
      <c r="C136">
        <v>58.41</v>
      </c>
      <c r="D136">
        <v>55.69</v>
      </c>
      <c r="E136">
        <v>57.19</v>
      </c>
      <c r="F136">
        <v>855410.11</v>
      </c>
      <c r="G136">
        <v>57.19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0.1029411764705887</v>
      </c>
      <c r="Q136">
        <f t="shared" ref="Q136" si="656">F136*P136</f>
        <v>88056.923088235693</v>
      </c>
      <c r="R136">
        <f t="shared" ref="R136" si="657">R137+Q136</f>
        <v>220208636.1154263</v>
      </c>
      <c r="S136">
        <f t="shared" ref="S136" si="658">R136/100000</f>
        <v>2202.0863611542632</v>
      </c>
      <c r="T136">
        <f t="shared" ref="T136" si="659">S136/1000</f>
        <v>2.2020863611542634</v>
      </c>
    </row>
    <row r="137" spans="1:20" x14ac:dyDescent="0.25">
      <c r="A137" s="5">
        <v>44456</v>
      </c>
      <c r="B137">
        <v>58</v>
      </c>
      <c r="C137">
        <v>59.11</v>
      </c>
      <c r="D137">
        <v>56.01</v>
      </c>
      <c r="E137">
        <v>56.7</v>
      </c>
      <c r="F137">
        <v>1088285.4099999999</v>
      </c>
      <c r="G137">
        <v>56.7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-0.55483870967741644</v>
      </c>
      <c r="Q137">
        <f t="shared" ref="Q137" si="661">F137*P137</f>
        <v>-603822.87264515809</v>
      </c>
      <c r="R137">
        <f t="shared" ref="R137" si="662">R138+Q137</f>
        <v>220120579.19233808</v>
      </c>
      <c r="S137">
        <f t="shared" ref="S137" si="663">R137/100000</f>
        <v>2201.2057919233807</v>
      </c>
      <c r="T137">
        <f t="shared" ref="T137" si="664">S137/1000</f>
        <v>2.2012057919233809</v>
      </c>
    </row>
    <row r="138" spans="1:20" x14ac:dyDescent="0.25">
      <c r="A138" s="5">
        <v>44455</v>
      </c>
      <c r="B138">
        <v>59.2</v>
      </c>
      <c r="C138">
        <v>60.08</v>
      </c>
      <c r="D138">
        <v>56.79</v>
      </c>
      <c r="E138">
        <v>57.99</v>
      </c>
      <c r="F138">
        <v>1330568.06</v>
      </c>
      <c r="G138">
        <v>57.99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-0.27051671732522603</v>
      </c>
      <c r="Q138">
        <f t="shared" ref="Q138" si="666">F138*P138</f>
        <v>-359940.90376899438</v>
      </c>
      <c r="R138">
        <f t="shared" ref="R138" si="667">R139+Q138</f>
        <v>220724402.06498325</v>
      </c>
      <c r="S138">
        <f t="shared" ref="S138" si="668">R138/100000</f>
        <v>2207.2440206498327</v>
      </c>
      <c r="T138">
        <f t="shared" ref="T138" si="669">S138/1000</f>
        <v>2.2072440206498327</v>
      </c>
    </row>
    <row r="139" spans="1:20" x14ac:dyDescent="0.25">
      <c r="A139" s="5">
        <v>44454</v>
      </c>
      <c r="B139">
        <v>57.14</v>
      </c>
      <c r="C139">
        <v>59.35</v>
      </c>
      <c r="D139">
        <v>56.28</v>
      </c>
      <c r="E139">
        <v>59.18</v>
      </c>
      <c r="F139">
        <v>1183757.02</v>
      </c>
      <c r="G139">
        <v>59.18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0.88925081433224651</v>
      </c>
      <c r="Q139">
        <f t="shared" ref="Q139" si="671">F139*P139</f>
        <v>1052656.8940065135</v>
      </c>
      <c r="R139">
        <f t="shared" ref="R139" si="672">R140+Q139</f>
        <v>221084342.96875224</v>
      </c>
      <c r="S139">
        <f t="shared" ref="S139" si="673">R139/100000</f>
        <v>2210.8434296875225</v>
      </c>
      <c r="T139">
        <f t="shared" ref="T139" si="674">S139/1000</f>
        <v>2.2108434296875226</v>
      </c>
    </row>
    <row r="140" spans="1:20" x14ac:dyDescent="0.25">
      <c r="A140" s="5">
        <v>44453</v>
      </c>
      <c r="B140">
        <v>55.74</v>
      </c>
      <c r="C140">
        <v>57.34</v>
      </c>
      <c r="D140">
        <v>55.12</v>
      </c>
      <c r="E140">
        <v>57.14</v>
      </c>
      <c r="F140">
        <v>956570.32</v>
      </c>
      <c r="G140">
        <v>57.14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0.81981981981981777</v>
      </c>
      <c r="Q140">
        <f t="shared" ref="Q140" si="676">F140*P140</f>
        <v>784215.3073873854</v>
      </c>
      <c r="R140">
        <f t="shared" ref="R140" si="677">R141+Q140</f>
        <v>220031686.07474571</v>
      </c>
      <c r="S140">
        <f t="shared" ref="S140" si="678">R140/100000</f>
        <v>2200.3168607474572</v>
      </c>
      <c r="T140">
        <f t="shared" ref="T140" si="679">S140/1000</f>
        <v>2.2003168607474572</v>
      </c>
    </row>
    <row r="141" spans="1:20" x14ac:dyDescent="0.25">
      <c r="A141" s="5">
        <v>44452</v>
      </c>
      <c r="B141">
        <v>58.07</v>
      </c>
      <c r="C141">
        <v>58.39</v>
      </c>
      <c r="D141">
        <v>53.43</v>
      </c>
      <c r="E141">
        <v>55.72</v>
      </c>
      <c r="F141">
        <v>1492118.37</v>
      </c>
      <c r="G141">
        <v>55.72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-7.6612903225806953E-2</v>
      </c>
      <c r="Q141">
        <f t="shared" ref="Q141" si="681">F141*P141</f>
        <v>-114315.52028225882</v>
      </c>
      <c r="R141">
        <f t="shared" ref="R141" si="682">R142+Q141</f>
        <v>219247470.76735833</v>
      </c>
      <c r="S141">
        <f t="shared" ref="S141" si="683">R141/100000</f>
        <v>2192.4747076735835</v>
      </c>
      <c r="T141">
        <f t="shared" ref="T141" si="684">S141/1000</f>
        <v>2.1924747076735835</v>
      </c>
    </row>
    <row r="142" spans="1:20" x14ac:dyDescent="0.25">
      <c r="A142" s="5">
        <v>44451</v>
      </c>
      <c r="B142">
        <v>57.07</v>
      </c>
      <c r="C142">
        <v>58.98</v>
      </c>
      <c r="D142">
        <v>56.07</v>
      </c>
      <c r="E142">
        <v>58.07</v>
      </c>
      <c r="F142">
        <v>944806.77</v>
      </c>
      <c r="G142">
        <v>58.07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0.3745704467353968</v>
      </c>
      <c r="Q142">
        <f t="shared" ref="Q142" si="686">F142*P142</f>
        <v>353896.69391752733</v>
      </c>
      <c r="R142">
        <f t="shared" ref="R142" si="687">R143+Q142</f>
        <v>219361786.2876406</v>
      </c>
      <c r="S142">
        <f t="shared" ref="S142" si="688">R142/100000</f>
        <v>2193.617862876406</v>
      </c>
      <c r="T142">
        <f t="shared" ref="T142" si="689">S142/1000</f>
        <v>2.193617862876406</v>
      </c>
    </row>
    <row r="143" spans="1:20" x14ac:dyDescent="0.25">
      <c r="A143" s="5">
        <v>44450</v>
      </c>
      <c r="B143">
        <v>56.29</v>
      </c>
      <c r="C143">
        <v>58.34</v>
      </c>
      <c r="D143">
        <v>55.56</v>
      </c>
      <c r="E143">
        <v>57.08</v>
      </c>
      <c r="F143">
        <v>970375.52</v>
      </c>
      <c r="G143">
        <v>57.08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9.3525179856111793E-2</v>
      </c>
      <c r="Q143">
        <f t="shared" ref="Q143" si="691">F143*P143</f>
        <v>90754.545035968011</v>
      </c>
      <c r="R143">
        <f t="shared" ref="R143" si="692">R144+Q143</f>
        <v>219007889.59372309</v>
      </c>
      <c r="S143">
        <f t="shared" ref="S143" si="693">R143/100000</f>
        <v>2190.0788959372308</v>
      </c>
      <c r="T143">
        <f t="shared" ref="T143" si="694">S143/1000</f>
        <v>2.1900788959372308</v>
      </c>
    </row>
    <row r="144" spans="1:20" x14ac:dyDescent="0.25">
      <c r="A144" s="5">
        <v>44449</v>
      </c>
      <c r="B144">
        <v>58.93</v>
      </c>
      <c r="C144">
        <v>60.43</v>
      </c>
      <c r="D144">
        <v>54.81</v>
      </c>
      <c r="E144">
        <v>56.31</v>
      </c>
      <c r="F144">
        <v>1672182.99</v>
      </c>
      <c r="G144">
        <v>56.31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-0.46619217081850511</v>
      </c>
      <c r="Q144">
        <f t="shared" ref="Q144" si="696">F144*P144</f>
        <v>-779558.61811387865</v>
      </c>
      <c r="R144">
        <f t="shared" ref="R144" si="697">R145+Q144</f>
        <v>218917135.04868713</v>
      </c>
      <c r="S144">
        <f t="shared" ref="S144" si="698">R144/100000</f>
        <v>2189.1713504868712</v>
      </c>
      <c r="T144">
        <f t="shared" ref="T144" si="699">S144/1000</f>
        <v>2.1891713504868711</v>
      </c>
    </row>
    <row r="145" spans="1:20" x14ac:dyDescent="0.25">
      <c r="A145" s="5">
        <v>44448</v>
      </c>
      <c r="B145">
        <v>58.74</v>
      </c>
      <c r="C145">
        <v>60.44</v>
      </c>
      <c r="D145">
        <v>57.33</v>
      </c>
      <c r="E145">
        <v>58.92</v>
      </c>
      <c r="F145">
        <v>1999265.33</v>
      </c>
      <c r="G145">
        <v>58.92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2.2508038585211384E-2</v>
      </c>
      <c r="Q145">
        <f t="shared" ref="Q145" si="701">F145*P145</f>
        <v>44999.541189715375</v>
      </c>
      <c r="R145">
        <f t="shared" ref="R145" si="702">R146+Q145</f>
        <v>219696693.66680101</v>
      </c>
      <c r="S145">
        <f t="shared" ref="S145" si="703">R145/100000</f>
        <v>2196.96693666801</v>
      </c>
      <c r="T145">
        <f t="shared" ref="T145" si="704">S145/1000</f>
        <v>2.19696693666801</v>
      </c>
    </row>
    <row r="146" spans="1:20" x14ac:dyDescent="0.25">
      <c r="A146" s="5">
        <v>44447</v>
      </c>
      <c r="B146">
        <v>59.39</v>
      </c>
      <c r="C146">
        <v>61.46</v>
      </c>
      <c r="D146">
        <v>53.27</v>
      </c>
      <c r="E146">
        <v>58.71</v>
      </c>
      <c r="F146">
        <v>4876891.72</v>
      </c>
      <c r="G146">
        <v>58.71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0.32844932844932828</v>
      </c>
      <c r="Q146">
        <f t="shared" ref="Q146" si="706">F146*P146</f>
        <v>1601811.8103540894</v>
      </c>
      <c r="R146">
        <f t="shared" ref="R146" si="707">R147+Q146</f>
        <v>219651694.12561128</v>
      </c>
      <c r="S146">
        <f t="shared" ref="S146" si="708">R146/100000</f>
        <v>2196.5169412561127</v>
      </c>
      <c r="T146">
        <f t="shared" ref="T146" si="709">S146/1000</f>
        <v>2.1965169412561125</v>
      </c>
    </row>
    <row r="147" spans="1:20" x14ac:dyDescent="0.25">
      <c r="A147" s="5">
        <v>44446</v>
      </c>
      <c r="B147">
        <v>73.48</v>
      </c>
      <c r="C147">
        <v>73.849999999999994</v>
      </c>
      <c r="D147">
        <v>47.63</v>
      </c>
      <c r="E147">
        <v>59.36</v>
      </c>
      <c r="F147">
        <v>8654965.3949999996</v>
      </c>
      <c r="G147">
        <v>59.36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-0.10526315789473679</v>
      </c>
      <c r="Q147">
        <f t="shared" ref="Q147" si="711">F147*P147</f>
        <v>-911048.98894736799</v>
      </c>
      <c r="R147">
        <f t="shared" ref="R147" si="712">R148+Q147</f>
        <v>218049882.31525719</v>
      </c>
      <c r="S147">
        <f t="shared" ref="S147" si="713">R147/100000</f>
        <v>2180.4988231525717</v>
      </c>
      <c r="T147">
        <f t="shared" ref="T147" si="714">S147/1000</f>
        <v>2.1804988231525719</v>
      </c>
    </row>
    <row r="148" spans="1:20" x14ac:dyDescent="0.25">
      <c r="A148" s="5">
        <v>44445</v>
      </c>
      <c r="B148">
        <v>73.52</v>
      </c>
      <c r="C148">
        <v>77.36</v>
      </c>
      <c r="D148">
        <v>71.03</v>
      </c>
      <c r="E148">
        <v>73.48</v>
      </c>
      <c r="F148">
        <v>3632761.2779999999</v>
      </c>
      <c r="G148">
        <v>73.48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-0.22590837282780299</v>
      </c>
      <c r="Q148">
        <f t="shared" ref="Q148" si="716">F148*P148</f>
        <v>-820671.18918483006</v>
      </c>
      <c r="R148">
        <f t="shared" ref="R148" si="717">R149+Q148</f>
        <v>218960931.30420455</v>
      </c>
      <c r="S148">
        <f t="shared" ref="S148" si="718">R148/100000</f>
        <v>2189.6093130420454</v>
      </c>
      <c r="T148">
        <f t="shared" ref="T148" si="719">S148/1000</f>
        <v>2.1896093130420455</v>
      </c>
    </row>
    <row r="149" spans="1:20" x14ac:dyDescent="0.25">
      <c r="A149" s="5">
        <v>44444</v>
      </c>
      <c r="B149">
        <v>68.81</v>
      </c>
      <c r="C149">
        <v>73.959999999999994</v>
      </c>
      <c r="D149">
        <v>67.989999999999995</v>
      </c>
      <c r="E149">
        <v>73.540000000000006</v>
      </c>
      <c r="F149">
        <v>2909541.5750000002</v>
      </c>
      <c r="G149">
        <v>73.540000000000006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0.85929648241206447</v>
      </c>
      <c r="Q149">
        <f t="shared" ref="Q149" si="721">F149*P149</f>
        <v>2500158.8408291582</v>
      </c>
      <c r="R149">
        <f t="shared" ref="R149" si="722">R150+Q149</f>
        <v>219781602.4933894</v>
      </c>
      <c r="S149">
        <f t="shared" ref="S149" si="723">R149/100000</f>
        <v>2197.8160249338939</v>
      </c>
      <c r="T149">
        <f t="shared" ref="T149" si="724">S149/1000</f>
        <v>2.1978160249338941</v>
      </c>
    </row>
    <row r="150" spans="1:20" x14ac:dyDescent="0.25">
      <c r="A150" s="5">
        <v>44443</v>
      </c>
      <c r="B150">
        <v>69.98</v>
      </c>
      <c r="C150">
        <v>71.27</v>
      </c>
      <c r="D150">
        <v>67.97</v>
      </c>
      <c r="E150">
        <v>68.81</v>
      </c>
      <c r="F150">
        <v>2042558.42</v>
      </c>
      <c r="G150">
        <v>68.81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-0.49090909090908841</v>
      </c>
      <c r="Q150">
        <f t="shared" ref="Q150" si="726">F150*P150</f>
        <v>-1002710.4970909039</v>
      </c>
      <c r="R150">
        <f t="shared" ref="R150" si="727">R151+Q150</f>
        <v>217281443.65256023</v>
      </c>
      <c r="S150">
        <f t="shared" ref="S150" si="728">R150/100000</f>
        <v>2172.8144365256026</v>
      </c>
      <c r="T150">
        <f t="shared" ref="T150" si="729">S150/1000</f>
        <v>2.1728144365256026</v>
      </c>
    </row>
    <row r="151" spans="1:20" x14ac:dyDescent="0.25">
      <c r="A151" s="5">
        <v>44442</v>
      </c>
      <c r="B151">
        <v>67.62</v>
      </c>
      <c r="C151">
        <v>72.44</v>
      </c>
      <c r="D151">
        <v>66.03</v>
      </c>
      <c r="E151">
        <v>69.98</v>
      </c>
      <c r="F151">
        <v>3425687.8420000002</v>
      </c>
      <c r="G151">
        <v>69.98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0.23244929797192043</v>
      </c>
      <c r="Q151">
        <f t="shared" ref="Q151" si="731">F151*P151</f>
        <v>796298.73394384317</v>
      </c>
      <c r="R151">
        <f t="shared" ref="R151" si="732">R152+Q151</f>
        <v>218284154.14965114</v>
      </c>
      <c r="S151">
        <f t="shared" ref="S151" si="733">R151/100000</f>
        <v>2182.8415414965116</v>
      </c>
      <c r="T151">
        <f t="shared" ref="T151" si="734">S151/1000</f>
        <v>2.1828415414965114</v>
      </c>
    </row>
    <row r="152" spans="1:20" x14ac:dyDescent="0.25">
      <c r="A152" s="5">
        <v>44441</v>
      </c>
      <c r="B152">
        <v>68.739999999999995</v>
      </c>
      <c r="C152">
        <v>70.221000000000004</v>
      </c>
      <c r="D152">
        <v>66.430000000000007</v>
      </c>
      <c r="E152">
        <v>67.61</v>
      </c>
      <c r="F152">
        <v>2265716.4870000002</v>
      </c>
      <c r="G152">
        <v>67.61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-0.37747296227908539</v>
      </c>
      <c r="Q152">
        <f t="shared" ref="Q152" si="736">F152*P152</f>
        <v>-855246.7140324529</v>
      </c>
      <c r="R152">
        <f t="shared" ref="R152" si="737">R153+Q152</f>
        <v>217487855.41570729</v>
      </c>
      <c r="S152">
        <f t="shared" ref="S152" si="738">R152/100000</f>
        <v>2174.8785541570728</v>
      </c>
      <c r="T152">
        <f t="shared" ref="T152" si="739">S152/1000</f>
        <v>2.1748785541570728</v>
      </c>
    </row>
    <row r="153" spans="1:20" x14ac:dyDescent="0.25">
      <c r="A153" s="5">
        <v>44440</v>
      </c>
      <c r="B153">
        <v>63.8</v>
      </c>
      <c r="C153">
        <v>69</v>
      </c>
      <c r="D153">
        <v>62.14</v>
      </c>
      <c r="E153">
        <v>68.75</v>
      </c>
      <c r="F153">
        <v>3120544.1529999999</v>
      </c>
      <c r="G153">
        <v>68.75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0.92711370262390669</v>
      </c>
      <c r="Q153">
        <f t="shared" ref="Q153" si="741">F153*P153</f>
        <v>2893099.2438892126</v>
      </c>
      <c r="R153">
        <f t="shared" ref="R153" si="742">R154+Q153</f>
        <v>218343102.12973973</v>
      </c>
      <c r="S153">
        <f t="shared" ref="S153" si="743">R153/100000</f>
        <v>2183.4310212973974</v>
      </c>
      <c r="T153">
        <f t="shared" ref="T153" si="744">S153/1000</f>
        <v>2.1834310212973973</v>
      </c>
    </row>
    <row r="154" spans="1:20" x14ac:dyDescent="0.25">
      <c r="A154" s="5">
        <v>44439</v>
      </c>
      <c r="B154">
        <v>61.82</v>
      </c>
      <c r="C154">
        <v>65</v>
      </c>
      <c r="D154">
        <v>60.54</v>
      </c>
      <c r="E154">
        <v>63.8</v>
      </c>
      <c r="F154">
        <v>1990487.98</v>
      </c>
      <c r="G154">
        <v>63.8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0.46188340807174771</v>
      </c>
      <c r="Q154">
        <f t="shared" ref="Q154" si="746">F154*P154</f>
        <v>919373.37192824879</v>
      </c>
      <c r="R154">
        <f t="shared" ref="R154" si="747">R155+Q154</f>
        <v>215450002.88585052</v>
      </c>
      <c r="S154">
        <f t="shared" ref="S154" si="748">R154/100000</f>
        <v>2154.5000288585052</v>
      </c>
      <c r="T154">
        <f t="shared" ref="T154" si="749">S154/1000</f>
        <v>2.154500028858505</v>
      </c>
    </row>
    <row r="155" spans="1:20" x14ac:dyDescent="0.25">
      <c r="A155" s="5">
        <v>44438</v>
      </c>
      <c r="B155">
        <v>63.24</v>
      </c>
      <c r="C155">
        <v>64.959999999999994</v>
      </c>
      <c r="D155">
        <v>61</v>
      </c>
      <c r="E155">
        <v>61.83</v>
      </c>
      <c r="F155">
        <v>1705186.72</v>
      </c>
      <c r="G155">
        <v>61.83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-0.580808080808081</v>
      </c>
      <c r="Q155">
        <f t="shared" ref="Q155" si="751">F155*P155</f>
        <v>-990386.22626262659</v>
      </c>
      <c r="R155">
        <f t="shared" ref="R155" si="752">R156+Q155</f>
        <v>214530629.51392227</v>
      </c>
      <c r="S155">
        <f t="shared" ref="S155" si="753">R155/100000</f>
        <v>2145.3062951392226</v>
      </c>
      <c r="T155">
        <f t="shared" ref="T155" si="754">S155/1000</f>
        <v>2.1453062951392226</v>
      </c>
    </row>
    <row r="156" spans="1:20" x14ac:dyDescent="0.25">
      <c r="A156" s="5">
        <v>44437</v>
      </c>
      <c r="B156">
        <v>64.2</v>
      </c>
      <c r="C156">
        <v>65.760000000000005</v>
      </c>
      <c r="D156">
        <v>62.8</v>
      </c>
      <c r="E156">
        <v>63.23</v>
      </c>
      <c r="F156">
        <v>1309403.6499999999</v>
      </c>
      <c r="G156">
        <v>63.23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-0.70945945945946043</v>
      </c>
      <c r="Q156">
        <f t="shared" ref="Q156" si="756">F156*P156</f>
        <v>-928968.80574324448</v>
      </c>
      <c r="R156">
        <f t="shared" ref="R156" si="757">R157+Q156</f>
        <v>215521015.7401849</v>
      </c>
      <c r="S156">
        <f t="shared" ref="S156" si="758">R156/100000</f>
        <v>2155.2101574018488</v>
      </c>
      <c r="T156">
        <f t="shared" ref="T156" si="759">S156/1000</f>
        <v>2.1552101574018487</v>
      </c>
    </row>
    <row r="157" spans="1:20" x14ac:dyDescent="0.25">
      <c r="A157" s="5">
        <v>44436</v>
      </c>
      <c r="B157">
        <v>64.12</v>
      </c>
      <c r="C157">
        <v>66.64</v>
      </c>
      <c r="D157">
        <v>62.79</v>
      </c>
      <c r="E157">
        <v>64.19</v>
      </c>
      <c r="F157">
        <v>1923644.2120000001</v>
      </c>
      <c r="G157">
        <v>64.19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-0.27272727272727371</v>
      </c>
      <c r="Q157">
        <f t="shared" ref="Q157" si="761">F157*P157</f>
        <v>-524630.23963636556</v>
      </c>
      <c r="R157">
        <f t="shared" ref="R157" si="762">R158+Q157</f>
        <v>216449984.54592815</v>
      </c>
      <c r="S157">
        <f t="shared" ref="S157" si="763">R157/100000</f>
        <v>2164.4998454592815</v>
      </c>
      <c r="T157">
        <f t="shared" ref="T157" si="764">S157/1000</f>
        <v>2.1644998454592814</v>
      </c>
    </row>
    <row r="158" spans="1:20" x14ac:dyDescent="0.25">
      <c r="A158" s="5">
        <v>44435</v>
      </c>
      <c r="B158">
        <v>59.78</v>
      </c>
      <c r="C158">
        <v>64.209999999999994</v>
      </c>
      <c r="D158">
        <v>58.63</v>
      </c>
      <c r="E158">
        <v>64.09</v>
      </c>
      <c r="F158">
        <v>2001233.949</v>
      </c>
      <c r="G158">
        <v>64.09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0.95698924731183133</v>
      </c>
      <c r="Q158">
        <f t="shared" ref="Q158" si="766">F158*P158</f>
        <v>1915159.3705483938</v>
      </c>
      <c r="R158">
        <f t="shared" ref="R158" si="767">R159+Q158</f>
        <v>216974614.78556451</v>
      </c>
      <c r="S158">
        <f t="shared" ref="S158" si="768">R158/100000</f>
        <v>2169.7461478556452</v>
      </c>
      <c r="T158">
        <f t="shared" ref="T158" si="769">S158/1000</f>
        <v>2.169746147855645</v>
      </c>
    </row>
    <row r="159" spans="1:20" x14ac:dyDescent="0.25">
      <c r="A159" s="5">
        <v>44434</v>
      </c>
      <c r="B159">
        <v>63.756999999999998</v>
      </c>
      <c r="C159">
        <v>64.400000000000006</v>
      </c>
      <c r="D159">
        <v>58.58</v>
      </c>
      <c r="E159">
        <v>59.77</v>
      </c>
      <c r="F159">
        <v>1980257.912</v>
      </c>
      <c r="G159">
        <v>59.77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-0.59106529209621883</v>
      </c>
      <c r="Q159">
        <f t="shared" ref="Q159" si="771">F159*P159</f>
        <v>-1170461.7211821284</v>
      </c>
      <c r="R159">
        <f t="shared" ref="R159" si="772">R160+Q159</f>
        <v>215059455.41501611</v>
      </c>
      <c r="S159">
        <f t="shared" ref="S159" si="773">R159/100000</f>
        <v>2150.594554150161</v>
      </c>
      <c r="T159">
        <f t="shared" ref="T159" si="774">S159/1000</f>
        <v>2.1505945541501612</v>
      </c>
    </row>
    <row r="160" spans="1:20" x14ac:dyDescent="0.25">
      <c r="A160" s="5">
        <v>44433</v>
      </c>
      <c r="B160">
        <v>62.81</v>
      </c>
      <c r="C160">
        <v>64.811999999999998</v>
      </c>
      <c r="D160">
        <v>60.792000000000002</v>
      </c>
      <c r="E160">
        <v>63.773000000000003</v>
      </c>
      <c r="F160">
        <v>2055120.8959999999</v>
      </c>
      <c r="G160">
        <v>63.773000000000003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0.48308457711443015</v>
      </c>
      <c r="Q160">
        <f t="shared" ref="Q160" si="776">F160*P160</f>
        <v>992797.20896318881</v>
      </c>
      <c r="R160">
        <f t="shared" ref="R160" si="777">R161+Q160</f>
        <v>216229917.13619825</v>
      </c>
      <c r="S160">
        <f t="shared" ref="S160" si="778">R160/100000</f>
        <v>2162.2991713619826</v>
      </c>
      <c r="T160">
        <f t="shared" ref="T160" si="779">S160/1000</f>
        <v>2.1622991713619828</v>
      </c>
    </row>
    <row r="161" spans="1:20" x14ac:dyDescent="0.25">
      <c r="A161" s="5">
        <v>44432</v>
      </c>
      <c r="B161">
        <v>68.244</v>
      </c>
      <c r="C161">
        <v>68.649000000000001</v>
      </c>
      <c r="D161">
        <v>60.811999999999998</v>
      </c>
      <c r="E161">
        <v>62.832000000000001</v>
      </c>
      <c r="F161">
        <v>2215908.8280000002</v>
      </c>
      <c r="G161">
        <v>62.832000000000001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-0.48449661860405707</v>
      </c>
      <c r="Q161">
        <f t="shared" ref="Q161" si="781">F161*P161</f>
        <v>-1073600.3343008792</v>
      </c>
      <c r="R161">
        <f t="shared" ref="R161" si="782">R162+Q161</f>
        <v>215237119.92723507</v>
      </c>
      <c r="S161">
        <f t="shared" ref="S161" si="783">R161/100000</f>
        <v>2152.3711992723506</v>
      </c>
      <c r="T161">
        <f t="shared" ref="T161" si="784">S161/1000</f>
        <v>2.1523711992723507</v>
      </c>
    </row>
    <row r="162" spans="1:20" x14ac:dyDescent="0.25">
      <c r="A162" s="5">
        <v>44431</v>
      </c>
      <c r="B162">
        <v>67.369</v>
      </c>
      <c r="C162">
        <v>69.5</v>
      </c>
      <c r="D162">
        <v>66.72</v>
      </c>
      <c r="E162">
        <v>68.257000000000005</v>
      </c>
      <c r="F162">
        <v>1966588.7290000001</v>
      </c>
      <c r="G162">
        <v>68.257000000000005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0.1057553956834572</v>
      </c>
      <c r="Q162">
        <f t="shared" ref="Q162" si="786">F162*P162</f>
        <v>207977.36918202217</v>
      </c>
      <c r="R162">
        <f t="shared" ref="R162" si="787">R163+Q162</f>
        <v>216310720.26153594</v>
      </c>
      <c r="S162">
        <f t="shared" ref="S162" si="788">R162/100000</f>
        <v>2163.1072026153593</v>
      </c>
      <c r="T162">
        <f t="shared" ref="T162" si="789">S162/1000</f>
        <v>2.1631072026153593</v>
      </c>
    </row>
    <row r="163" spans="1:20" x14ac:dyDescent="0.25">
      <c r="A163" s="5">
        <v>44430</v>
      </c>
      <c r="B163">
        <v>67.489999999999995</v>
      </c>
      <c r="C163">
        <v>68.567999999999998</v>
      </c>
      <c r="D163">
        <v>67.149000000000001</v>
      </c>
      <c r="E163">
        <v>68.34</v>
      </c>
      <c r="F163">
        <v>259537.51500000001</v>
      </c>
      <c r="G163">
        <v>68.34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0.67864693446089508</v>
      </c>
      <c r="Q163">
        <f t="shared" ref="Q163" si="791">F163*P163</f>
        <v>176134.33893234859</v>
      </c>
      <c r="R163">
        <f t="shared" ref="R163" si="792">R164+Q163</f>
        <v>216102742.89235392</v>
      </c>
      <c r="S163">
        <f t="shared" ref="S163" si="793">R163/100000</f>
        <v>2161.0274289235394</v>
      </c>
      <c r="T163">
        <f t="shared" ref="T163" si="794">S163/1000</f>
        <v>2.1610274289235396</v>
      </c>
    </row>
    <row r="164" spans="1:20" x14ac:dyDescent="0.25">
      <c r="A164" s="5">
        <v>44429</v>
      </c>
      <c r="B164">
        <v>70.198999999999998</v>
      </c>
      <c r="C164">
        <v>70.361000000000004</v>
      </c>
      <c r="D164">
        <v>66.69</v>
      </c>
      <c r="E164">
        <v>67.512</v>
      </c>
      <c r="F164">
        <v>1691684.675</v>
      </c>
      <c r="G164">
        <v>67.512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-0.55216562244619927</v>
      </c>
      <c r="Q164">
        <f t="shared" ref="Q164" si="796">F164*P164</f>
        <v>-934090.12155407132</v>
      </c>
      <c r="R164">
        <f t="shared" ref="R164" si="797">R165+Q164</f>
        <v>215926608.55342159</v>
      </c>
      <c r="S164">
        <f t="shared" ref="S164" si="798">R164/100000</f>
        <v>2159.266085534216</v>
      </c>
      <c r="T164">
        <f t="shared" ref="T164" si="799">S164/1000</f>
        <v>2.1592660855342158</v>
      </c>
    </row>
    <row r="165" spans="1:20" x14ac:dyDescent="0.25">
      <c r="A165" s="5">
        <v>44428</v>
      </c>
      <c r="B165">
        <v>67.093999999999994</v>
      </c>
      <c r="C165">
        <v>70.491</v>
      </c>
      <c r="D165">
        <v>66.100999999999999</v>
      </c>
      <c r="E165">
        <v>70.2</v>
      </c>
      <c r="F165">
        <v>2442079.2289999998</v>
      </c>
      <c r="G165">
        <v>70.2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0.86742596810934092</v>
      </c>
      <c r="Q165">
        <f t="shared" ref="Q165" si="801">F165*P165</f>
        <v>2118322.9394150376</v>
      </c>
      <c r="R165">
        <f t="shared" ref="R165" si="802">R166+Q165</f>
        <v>216860698.67497566</v>
      </c>
      <c r="S165">
        <f t="shared" ref="S165" si="803">R165/100000</f>
        <v>2168.6069867497567</v>
      </c>
      <c r="T165">
        <f t="shared" ref="T165" si="804">S165/1000</f>
        <v>2.1686069867497566</v>
      </c>
    </row>
    <row r="166" spans="1:20" x14ac:dyDescent="0.25">
      <c r="A166" s="5">
        <v>44427</v>
      </c>
      <c r="B166">
        <v>63.912999999999997</v>
      </c>
      <c r="C166">
        <v>67.111000000000004</v>
      </c>
      <c r="D166">
        <v>60.570999999999998</v>
      </c>
      <c r="E166">
        <v>67.054000000000002</v>
      </c>
      <c r="F166">
        <v>2184040.8080000002</v>
      </c>
      <c r="G166">
        <v>67.054000000000002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0.98256880733944885</v>
      </c>
      <c r="Q166">
        <f t="shared" ref="Q166" si="806">F166*P166</f>
        <v>2145970.3718972462</v>
      </c>
      <c r="R166">
        <f t="shared" ref="R166" si="807">R167+Q166</f>
        <v>214742375.73556063</v>
      </c>
      <c r="S166">
        <f t="shared" ref="S166" si="808">R166/100000</f>
        <v>2147.4237573556061</v>
      </c>
      <c r="T166">
        <f t="shared" ref="T166" si="809">S166/1000</f>
        <v>2.1474237573556061</v>
      </c>
    </row>
    <row r="167" spans="1:20" x14ac:dyDescent="0.25">
      <c r="A167" s="5">
        <v>44426</v>
      </c>
      <c r="B167">
        <v>62.884999999999998</v>
      </c>
      <c r="C167">
        <v>66.183000000000007</v>
      </c>
      <c r="D167">
        <v>59.637999999999998</v>
      </c>
      <c r="E167">
        <v>63.951999999999998</v>
      </c>
      <c r="F167">
        <v>2812490.818</v>
      </c>
      <c r="G167">
        <v>63.951999999999998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0.31825821237585766</v>
      </c>
      <c r="Q167">
        <f t="shared" ref="Q167" si="811">F167*P167</f>
        <v>895098.30006019364</v>
      </c>
      <c r="R167">
        <f t="shared" ref="R167" si="812">R168+Q167</f>
        <v>212596405.36366338</v>
      </c>
      <c r="S167">
        <f t="shared" ref="S167" si="813">R167/100000</f>
        <v>2125.9640536366337</v>
      </c>
      <c r="T167">
        <f t="shared" ref="T167" si="814">S167/1000</f>
        <v>2.1259640536366335</v>
      </c>
    </row>
    <row r="168" spans="1:20" x14ac:dyDescent="0.25">
      <c r="A168" s="5">
        <v>44425</v>
      </c>
      <c r="B168">
        <v>69.024000000000001</v>
      </c>
      <c r="C168">
        <v>71.744</v>
      </c>
      <c r="D168">
        <v>60.939</v>
      </c>
      <c r="E168">
        <v>62.890999999999998</v>
      </c>
      <c r="F168">
        <v>3610987.7779999999</v>
      </c>
      <c r="G168">
        <v>62.890999999999998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-0.63868579361406785</v>
      </c>
      <c r="Q168">
        <f t="shared" ref="Q168" si="816">F168*P168</f>
        <v>-2306286.5947226295</v>
      </c>
      <c r="R168">
        <f t="shared" ref="R168" si="817">R169+Q168</f>
        <v>211701307.06360319</v>
      </c>
      <c r="S168">
        <f t="shared" ref="S168" si="818">R168/100000</f>
        <v>2117.0130706360319</v>
      </c>
      <c r="T168">
        <f t="shared" ref="T168" si="819">S168/1000</f>
        <v>2.1170130706360317</v>
      </c>
    </row>
    <row r="169" spans="1:20" x14ac:dyDescent="0.25">
      <c r="A169" s="5">
        <v>44424</v>
      </c>
      <c r="B169">
        <v>74.977000000000004</v>
      </c>
      <c r="C169">
        <v>75.796999999999997</v>
      </c>
      <c r="D169">
        <v>64.757999999999996</v>
      </c>
      <c r="E169">
        <v>69.036000000000001</v>
      </c>
      <c r="F169">
        <v>3926733.1009999998</v>
      </c>
      <c r="G169">
        <v>69.036000000000001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-0.2249297943654307</v>
      </c>
      <c r="Q169">
        <f t="shared" ref="Q169" si="821">F169*P169</f>
        <v>-883239.26893586002</v>
      </c>
      <c r="R169">
        <f t="shared" ref="R169" si="822">R170+Q169</f>
        <v>214007593.65832582</v>
      </c>
      <c r="S169">
        <f t="shared" ref="S169" si="823">R169/100000</f>
        <v>2140.0759365832582</v>
      </c>
      <c r="T169">
        <f t="shared" ref="T169" si="824">S169/1000</f>
        <v>2.140075936583258</v>
      </c>
    </row>
    <row r="170" spans="1:20" x14ac:dyDescent="0.25">
      <c r="A170" s="5">
        <v>44423</v>
      </c>
      <c r="B170">
        <v>67.274000000000001</v>
      </c>
      <c r="C170">
        <v>77.111000000000004</v>
      </c>
      <c r="D170">
        <v>66.974000000000004</v>
      </c>
      <c r="E170">
        <v>74.989000000000004</v>
      </c>
      <c r="F170">
        <v>7066757.1459999997</v>
      </c>
      <c r="G170">
        <v>74.989000000000004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0.58133570089770148</v>
      </c>
      <c r="Q170">
        <f t="shared" ref="Q170" si="826">F170*P170</f>
        <v>4108158.2185437502</v>
      </c>
      <c r="R170">
        <f t="shared" ref="R170" si="827">R171+Q170</f>
        <v>214890832.92726168</v>
      </c>
      <c r="S170">
        <f t="shared" ref="S170" si="828">R170/100000</f>
        <v>2148.9083292726168</v>
      </c>
      <c r="T170">
        <f t="shared" ref="T170" si="829">S170/1000</f>
        <v>2.1489083292726168</v>
      </c>
    </row>
    <row r="171" spans="1:20" x14ac:dyDescent="0.25">
      <c r="A171" s="5">
        <v>44422</v>
      </c>
      <c r="B171">
        <v>64.271000000000001</v>
      </c>
      <c r="C171">
        <v>67.626000000000005</v>
      </c>
      <c r="D171">
        <v>61.704999999999998</v>
      </c>
      <c r="E171">
        <v>67.268000000000001</v>
      </c>
      <c r="F171">
        <v>4227668.6660000002</v>
      </c>
      <c r="G171">
        <v>67.268000000000001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0.87907448066204907</v>
      </c>
      <c r="Q171">
        <f t="shared" ref="Q171" si="831">F171*P171</f>
        <v>3716435.6369751678</v>
      </c>
      <c r="R171">
        <f t="shared" ref="R171" si="832">R172+Q171</f>
        <v>210782674.70871794</v>
      </c>
      <c r="S171">
        <f t="shared" ref="S171" si="833">R171/100000</f>
        <v>2107.8267470871792</v>
      </c>
      <c r="T171">
        <f t="shared" ref="T171" si="834">S171/1000</f>
        <v>2.1078267470871794</v>
      </c>
    </row>
    <row r="172" spans="1:20" x14ac:dyDescent="0.25">
      <c r="A172" s="5">
        <v>44421</v>
      </c>
      <c r="B172">
        <v>60.027999999999999</v>
      </c>
      <c r="C172">
        <v>64.438000000000002</v>
      </c>
      <c r="D172">
        <v>59.337000000000003</v>
      </c>
      <c r="E172">
        <v>64.263999999999996</v>
      </c>
      <c r="F172">
        <v>2326384.6660000002</v>
      </c>
      <c r="G172">
        <v>64.263999999999996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0.93177808272887408</v>
      </c>
      <c r="Q172">
        <f t="shared" ref="Q172" si="836">F172*P172</f>
        <v>2167674.2437753323</v>
      </c>
      <c r="R172">
        <f t="shared" ref="R172" si="837">R173+Q172</f>
        <v>207066239.07174277</v>
      </c>
      <c r="S172">
        <f t="shared" ref="S172" si="838">R172/100000</f>
        <v>2070.6623907174276</v>
      </c>
      <c r="T172">
        <f t="shared" ref="T172" si="839">S172/1000</f>
        <v>2.0706623907174277</v>
      </c>
    </row>
    <row r="173" spans="1:20" x14ac:dyDescent="0.25">
      <c r="A173" s="5">
        <v>44420</v>
      </c>
      <c r="B173">
        <v>60.731999999999999</v>
      </c>
      <c r="C173">
        <v>65.894000000000005</v>
      </c>
      <c r="D173">
        <v>57.515000000000001</v>
      </c>
      <c r="E173">
        <v>60</v>
      </c>
      <c r="F173">
        <v>3803081.6839999999</v>
      </c>
      <c r="G173">
        <v>60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-0.40685045948203891</v>
      </c>
      <c r="Q173">
        <f t="shared" ref="Q173" si="841">F173*P173</f>
        <v>-1547285.5305831262</v>
      </c>
      <c r="R173">
        <f t="shared" ref="R173" si="842">R174+Q173</f>
        <v>204898564.82796744</v>
      </c>
      <c r="S173">
        <f t="shared" ref="S173" si="843">R173/100000</f>
        <v>2048.9856482796745</v>
      </c>
      <c r="T173">
        <f t="shared" ref="T173" si="844">S173/1000</f>
        <v>2.0489856482796744</v>
      </c>
    </row>
    <row r="174" spans="1:20" x14ac:dyDescent="0.25">
      <c r="A174" s="5">
        <v>44419</v>
      </c>
      <c r="B174">
        <v>58.88</v>
      </c>
      <c r="C174">
        <v>63.94</v>
      </c>
      <c r="D174">
        <v>58.603000000000002</v>
      </c>
      <c r="E174">
        <v>60.720999999999997</v>
      </c>
      <c r="F174">
        <v>3577816.0980000002</v>
      </c>
      <c r="G174">
        <v>60.720999999999997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-0.20629567172568991</v>
      </c>
      <c r="Q174">
        <f t="shared" ref="Q174" si="846">F174*P174</f>
        <v>-738087.97524789686</v>
      </c>
      <c r="R174">
        <f t="shared" ref="R174" si="847">R175+Q174</f>
        <v>206445850.35855055</v>
      </c>
      <c r="S174">
        <f t="shared" ref="S174" si="848">R174/100000</f>
        <v>2064.4585035855057</v>
      </c>
      <c r="T174">
        <f t="shared" ref="T174" si="849">S174/1000</f>
        <v>2.0644585035855059</v>
      </c>
    </row>
    <row r="175" spans="1:20" x14ac:dyDescent="0.25">
      <c r="A175" s="5">
        <v>44418</v>
      </c>
      <c r="B175">
        <v>59.015000000000001</v>
      </c>
      <c r="C175">
        <v>60.366</v>
      </c>
      <c r="D175">
        <v>56.944000000000003</v>
      </c>
      <c r="E175">
        <v>58.884</v>
      </c>
      <c r="F175">
        <v>2144610.92</v>
      </c>
      <c r="G175">
        <v>58.884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0.13383985973115103</v>
      </c>
      <c r="Q175">
        <f t="shared" ref="Q175" si="851">F175*P175</f>
        <v>287034.42471069476</v>
      </c>
      <c r="R175">
        <f t="shared" ref="R175" si="852">R176+Q175</f>
        <v>207183938.33379844</v>
      </c>
      <c r="S175">
        <f t="shared" ref="S175" si="853">R175/100000</f>
        <v>2071.8393833379846</v>
      </c>
      <c r="T175">
        <f t="shared" ref="T175" si="854">S175/1000</f>
        <v>2.0718393833379847</v>
      </c>
    </row>
    <row r="176" spans="1:20" x14ac:dyDescent="0.25">
      <c r="A176" s="5">
        <v>44417</v>
      </c>
      <c r="B176">
        <v>57.087000000000003</v>
      </c>
      <c r="C176">
        <v>60.41</v>
      </c>
      <c r="D176">
        <v>55</v>
      </c>
      <c r="E176">
        <v>59.033999999999999</v>
      </c>
      <c r="F176">
        <v>2812025.95</v>
      </c>
      <c r="G176">
        <v>59.033999999999999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0.4913123844731983</v>
      </c>
      <c r="Q176">
        <f t="shared" ref="Q176" si="856">F176*P176</f>
        <v>1381583.1746950108</v>
      </c>
      <c r="R176">
        <f t="shared" ref="R176" si="857">R177+Q176</f>
        <v>206896903.90908775</v>
      </c>
      <c r="S176">
        <f t="shared" ref="S176" si="858">R176/100000</f>
        <v>2068.9690390908777</v>
      </c>
      <c r="T176">
        <f t="shared" ref="T176" si="859">S176/1000</f>
        <v>2.0689690390908777</v>
      </c>
    </row>
    <row r="177" spans="1:20" x14ac:dyDescent="0.25">
      <c r="A177" s="5">
        <v>44416</v>
      </c>
      <c r="B177">
        <v>60.585000000000001</v>
      </c>
      <c r="C177">
        <v>63.256</v>
      </c>
      <c r="D177">
        <v>55.851999999999997</v>
      </c>
      <c r="E177">
        <v>57.067999999999998</v>
      </c>
      <c r="F177">
        <v>4189098.1639999999</v>
      </c>
      <c r="G177">
        <v>57.067999999999998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-0.67152890329551584</v>
      </c>
      <c r="Q177">
        <f t="shared" ref="Q177" si="861">F177*P177</f>
        <v>-2813100.495868179</v>
      </c>
      <c r="R177">
        <f t="shared" ref="R177" si="862">R178+Q177</f>
        <v>205515320.73439273</v>
      </c>
      <c r="S177">
        <f t="shared" ref="S177" si="863">R177/100000</f>
        <v>2055.1532073439275</v>
      </c>
      <c r="T177">
        <f t="shared" ref="T177" si="864">S177/1000</f>
        <v>2.0551532073439276</v>
      </c>
    </row>
    <row r="178" spans="1:20" x14ac:dyDescent="0.25">
      <c r="A178" s="5">
        <v>44415</v>
      </c>
      <c r="B178">
        <v>53.09</v>
      </c>
      <c r="C178">
        <v>61.2</v>
      </c>
      <c r="D178">
        <v>52.643999999999998</v>
      </c>
      <c r="E178">
        <v>60.587000000000003</v>
      </c>
      <c r="F178">
        <v>5177607.5729999999</v>
      </c>
      <c r="G178">
        <v>60.587000000000003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0.85670874240299222</v>
      </c>
      <c r="Q178">
        <f t="shared" ref="Q178" si="866">F178*P178</f>
        <v>4435701.6725210389</v>
      </c>
      <c r="R178">
        <f t="shared" ref="R178" si="867">R179+Q178</f>
        <v>208328421.23026091</v>
      </c>
      <c r="S178">
        <f t="shared" ref="S178" si="868">R178/100000</f>
        <v>2083.2842123026089</v>
      </c>
      <c r="T178">
        <f t="shared" ref="T178" si="869">S178/1000</f>
        <v>2.0832842123026087</v>
      </c>
    </row>
    <row r="179" spans="1:20" x14ac:dyDescent="0.25">
      <c r="A179" s="5">
        <v>44414</v>
      </c>
      <c r="B179">
        <v>52.445</v>
      </c>
      <c r="C179">
        <v>53.694000000000003</v>
      </c>
      <c r="D179">
        <v>51.222999999999999</v>
      </c>
      <c r="E179">
        <v>53.1</v>
      </c>
      <c r="F179">
        <v>1746895.04</v>
      </c>
      <c r="G179">
        <v>53.1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0.51922298664508271</v>
      </c>
      <c r="Q179">
        <f t="shared" ref="Q179" si="871">F179*P179</f>
        <v>907028.06002428127</v>
      </c>
      <c r="R179">
        <f t="shared" ref="R179" si="872">R180+Q179</f>
        <v>203892719.55773988</v>
      </c>
      <c r="S179">
        <f t="shared" ref="S179" si="873">R179/100000</f>
        <v>2038.9271955773988</v>
      </c>
      <c r="T179">
        <f t="shared" ref="T179" si="874">S179/1000</f>
        <v>2.0389271955773989</v>
      </c>
    </row>
    <row r="180" spans="1:20" x14ac:dyDescent="0.25">
      <c r="A180" s="5">
        <v>44413</v>
      </c>
      <c r="B180">
        <v>51.588999999999999</v>
      </c>
      <c r="C180">
        <v>53.558</v>
      </c>
      <c r="D180">
        <v>48.744</v>
      </c>
      <c r="E180">
        <v>52.430999999999997</v>
      </c>
      <c r="F180">
        <v>2375249.8050000002</v>
      </c>
      <c r="G180">
        <v>52.430999999999997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0.53178230162027318</v>
      </c>
      <c r="Q180">
        <f t="shared" ref="Q180" si="876">F180*P180</f>
        <v>1263115.8082260052</v>
      </c>
      <c r="R180">
        <f t="shared" ref="R180" si="877">R181+Q180</f>
        <v>202985691.49771559</v>
      </c>
      <c r="S180">
        <f t="shared" ref="S180" si="878">R180/100000</f>
        <v>2029.8569149771558</v>
      </c>
      <c r="T180">
        <f t="shared" ref="T180" si="879">S180/1000</f>
        <v>2.0298569149771559</v>
      </c>
    </row>
    <row r="181" spans="1:20" x14ac:dyDescent="0.25">
      <c r="A181" s="5">
        <v>44412</v>
      </c>
      <c r="B181">
        <v>49.454999999999998</v>
      </c>
      <c r="C181">
        <v>52.24</v>
      </c>
      <c r="D181">
        <v>48.521000000000001</v>
      </c>
      <c r="E181">
        <v>51.576000000000001</v>
      </c>
      <c r="F181">
        <v>1538891.3959999999</v>
      </c>
      <c r="G181">
        <v>51.576000000000001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0.64291476203280384</v>
      </c>
      <c r="Q181">
        <f t="shared" ref="Q181" si="881">F181*P181</f>
        <v>989375.99565366923</v>
      </c>
      <c r="R181">
        <f t="shared" ref="R181" si="882">R182+Q181</f>
        <v>201722575.68948957</v>
      </c>
      <c r="S181">
        <f t="shared" ref="S181" si="883">R181/100000</f>
        <v>2017.2257568948958</v>
      </c>
      <c r="T181">
        <f t="shared" ref="T181" si="884">S181/1000</f>
        <v>2.0172257568948959</v>
      </c>
    </row>
    <row r="182" spans="1:20" x14ac:dyDescent="0.25">
      <c r="A182" s="5">
        <v>44411</v>
      </c>
      <c r="B182">
        <v>51.307000000000002</v>
      </c>
      <c r="C182">
        <v>52.222000000000001</v>
      </c>
      <c r="D182">
        <v>48.374000000000002</v>
      </c>
      <c r="E182">
        <v>49.451000000000001</v>
      </c>
      <c r="F182">
        <v>1598482.1329999999</v>
      </c>
      <c r="G182">
        <v>49.451000000000001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-0.44022869022869104</v>
      </c>
      <c r="Q182">
        <f t="shared" ref="Q182" si="886">F182*P182</f>
        <v>-703697.69576455432</v>
      </c>
      <c r="R182">
        <f t="shared" ref="R182" si="887">R183+Q182</f>
        <v>200733199.69383591</v>
      </c>
      <c r="S182">
        <f t="shared" ref="S182" si="888">R182/100000</f>
        <v>2007.3319969383592</v>
      </c>
      <c r="T182">
        <f t="shared" ref="T182" si="889">S182/1000</f>
        <v>2.0073319969383592</v>
      </c>
    </row>
    <row r="183" spans="1:20" x14ac:dyDescent="0.25">
      <c r="A183" s="5">
        <v>44410</v>
      </c>
      <c r="B183">
        <v>50.238</v>
      </c>
      <c r="C183">
        <v>52.29</v>
      </c>
      <c r="D183">
        <v>49.273000000000003</v>
      </c>
      <c r="E183">
        <v>51.325000000000003</v>
      </c>
      <c r="F183">
        <v>1596362.1259999999</v>
      </c>
      <c r="G183">
        <v>51.325000000000003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0.36029168047729693</v>
      </c>
      <c r="Q183">
        <f t="shared" ref="Q183" si="891">F183*P183</f>
        <v>575155.9930268504</v>
      </c>
      <c r="R183">
        <f t="shared" ref="R183" si="892">R184+Q183</f>
        <v>201436897.38960046</v>
      </c>
      <c r="S183">
        <f t="shared" ref="S183" si="893">R183/100000</f>
        <v>2014.3689738960045</v>
      </c>
      <c r="T183">
        <f t="shared" ref="T183" si="894">S183/1000</f>
        <v>2.0143689738960044</v>
      </c>
    </row>
    <row r="184" spans="1:20" x14ac:dyDescent="0.25">
      <c r="A184" s="5">
        <v>44409</v>
      </c>
      <c r="B184">
        <v>51.338000000000001</v>
      </c>
      <c r="C184">
        <v>54.069000000000003</v>
      </c>
      <c r="D184">
        <v>49.055</v>
      </c>
      <c r="E184">
        <v>50.244999999999997</v>
      </c>
      <c r="F184">
        <v>2408954.2280000001</v>
      </c>
      <c r="G184">
        <v>50.244999999999997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-0.52532907857997724</v>
      </c>
      <c r="Q184">
        <f t="shared" ref="Q184" si="896">F184*P184</f>
        <v>-1265493.7049365805</v>
      </c>
      <c r="R184">
        <f t="shared" ref="R184" si="897">R185+Q184</f>
        <v>200861741.3965736</v>
      </c>
      <c r="S184">
        <f t="shared" ref="S184" si="898">R184/100000</f>
        <v>2008.617413965736</v>
      </c>
      <c r="T184">
        <f t="shared" ref="T184" si="899">S184/1000</f>
        <v>2.008617413965736</v>
      </c>
    </row>
    <row r="185" spans="1:20" x14ac:dyDescent="0.25">
      <c r="A185" s="5">
        <v>44408</v>
      </c>
      <c r="B185">
        <v>50.954000000000001</v>
      </c>
      <c r="C185">
        <v>52.396000000000001</v>
      </c>
      <c r="D185">
        <v>49.572000000000003</v>
      </c>
      <c r="E185">
        <v>51.323999999999998</v>
      </c>
      <c r="F185">
        <v>1675291.889</v>
      </c>
      <c r="G185">
        <v>51.323999999999998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0.24079320113314204</v>
      </c>
      <c r="Q185">
        <f t="shared" ref="Q185" si="901">F185*P185</f>
        <v>403398.89678469847</v>
      </c>
      <c r="R185">
        <f t="shared" ref="R185" si="902">R186+Q185</f>
        <v>202127235.1015102</v>
      </c>
      <c r="S185">
        <f t="shared" ref="S185" si="903">R185/100000</f>
        <v>2021.272351015102</v>
      </c>
      <c r="T185">
        <f t="shared" ref="T185" si="904">S185/1000</f>
        <v>2.0212723510151021</v>
      </c>
    </row>
    <row r="186" spans="1:20" x14ac:dyDescent="0.25">
      <c r="A186" s="5">
        <v>44407</v>
      </c>
      <c r="B186">
        <v>49.372</v>
      </c>
      <c r="C186">
        <v>51.512999999999998</v>
      </c>
      <c r="D186">
        <v>47.338999999999999</v>
      </c>
      <c r="E186">
        <v>50.963000000000001</v>
      </c>
      <c r="F186">
        <v>2045842.4890000001</v>
      </c>
      <c r="G186">
        <v>50.963000000000001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0.73646382367034158</v>
      </c>
      <c r="Q186">
        <f t="shared" ref="Q186" si="906">F186*P186</f>
        <v>1506688.9820761888</v>
      </c>
      <c r="R186">
        <f t="shared" ref="R186" si="907">R187+Q186</f>
        <v>201723836.2047255</v>
      </c>
      <c r="S186">
        <f t="shared" ref="S186" si="908">R186/100000</f>
        <v>2017.2383620472551</v>
      </c>
      <c r="T186">
        <f t="shared" ref="T186" si="909">S186/1000</f>
        <v>2.0172383620472552</v>
      </c>
    </row>
    <row r="187" spans="1:20" x14ac:dyDescent="0.25">
      <c r="A187" s="5">
        <v>44406</v>
      </c>
      <c r="B187">
        <v>49.276000000000003</v>
      </c>
      <c r="C187">
        <v>50.015999999999998</v>
      </c>
      <c r="D187">
        <v>48.301000000000002</v>
      </c>
      <c r="E187">
        <v>49.378999999999998</v>
      </c>
      <c r="F187">
        <v>1002001.437</v>
      </c>
      <c r="G187">
        <v>49.378999999999998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0.25714285714285501</v>
      </c>
      <c r="Q187">
        <f t="shared" ref="Q187" si="911">F187*P187</f>
        <v>257657.51237142645</v>
      </c>
      <c r="R187">
        <f t="shared" ref="R187" si="912">R188+Q187</f>
        <v>200217147.22264931</v>
      </c>
      <c r="S187">
        <f t="shared" ref="S187" si="913">R187/100000</f>
        <v>2002.1714722264931</v>
      </c>
      <c r="T187">
        <f t="shared" ref="T187" si="914">S187/1000</f>
        <v>2.0021714722264932</v>
      </c>
    </row>
    <row r="188" spans="1:20" x14ac:dyDescent="0.25">
      <c r="A188" s="5">
        <v>44405</v>
      </c>
      <c r="B188">
        <v>49.512999999999998</v>
      </c>
      <c r="C188">
        <v>51.098999999999997</v>
      </c>
      <c r="D188">
        <v>47.915999999999997</v>
      </c>
      <c r="E188">
        <v>49.274999999999999</v>
      </c>
      <c r="F188">
        <v>2040898.081</v>
      </c>
      <c r="G188">
        <v>49.274999999999999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-0.14608859566446633</v>
      </c>
      <c r="Q188">
        <f t="shared" ref="Q188" si="916">F188*P188</f>
        <v>-298151.93454759428</v>
      </c>
      <c r="R188">
        <f t="shared" ref="R188" si="917">R189+Q188</f>
        <v>199959489.71027789</v>
      </c>
      <c r="S188">
        <f t="shared" ref="S188" si="918">R188/100000</f>
        <v>1999.5948971027788</v>
      </c>
      <c r="T188">
        <f t="shared" ref="T188" si="919">S188/1000</f>
        <v>1.9995948971027788</v>
      </c>
    </row>
    <row r="189" spans="1:20" x14ac:dyDescent="0.25">
      <c r="A189" s="5">
        <v>44404</v>
      </c>
      <c r="B189">
        <v>48.371000000000002</v>
      </c>
      <c r="C189">
        <v>50.365000000000002</v>
      </c>
      <c r="D189">
        <v>46.145000000000003</v>
      </c>
      <c r="E189">
        <v>49.515000000000001</v>
      </c>
      <c r="F189">
        <v>3068115.7740000002</v>
      </c>
      <c r="G189">
        <v>49.515000000000001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0.59715639810426457</v>
      </c>
      <c r="Q189">
        <f t="shared" ref="Q189" si="921">F189*P189</f>
        <v>1832144.9645687179</v>
      </c>
      <c r="R189">
        <f t="shared" ref="R189" si="922">R190+Q189</f>
        <v>200257641.64482549</v>
      </c>
      <c r="S189">
        <f t="shared" ref="S189" si="923">R189/100000</f>
        <v>2002.5764164482548</v>
      </c>
      <c r="T189">
        <f t="shared" ref="T189" si="924">S189/1000</f>
        <v>2.0025764164482549</v>
      </c>
    </row>
    <row r="190" spans="1:20" x14ac:dyDescent="0.25">
      <c r="A190" s="5">
        <v>44403</v>
      </c>
      <c r="B190">
        <v>48.432000000000002</v>
      </c>
      <c r="C190">
        <v>55.936</v>
      </c>
      <c r="D190">
        <v>47.469000000000001</v>
      </c>
      <c r="E190">
        <v>48.372999999999998</v>
      </c>
      <c r="F190">
        <v>5093945.2369999997</v>
      </c>
      <c r="G190">
        <v>48.372999999999998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-0.7864650997992213</v>
      </c>
      <c r="Q190">
        <f t="shared" ref="Q190" si="926">F190*P190</f>
        <v>-4006210.149188973</v>
      </c>
      <c r="R190">
        <f t="shared" ref="R190" si="927">R191+Q190</f>
        <v>198425496.68025678</v>
      </c>
      <c r="S190">
        <f t="shared" ref="S190" si="928">R190/100000</f>
        <v>1984.2549668025679</v>
      </c>
      <c r="T190">
        <f t="shared" ref="T190" si="929">S190/1000</f>
        <v>1.984254966802568</v>
      </c>
    </row>
    <row r="191" spans="1:20" x14ac:dyDescent="0.25">
      <c r="A191" s="5">
        <v>44402</v>
      </c>
      <c r="B191">
        <v>49.414999999999999</v>
      </c>
      <c r="C191">
        <v>49.81</v>
      </c>
      <c r="D191">
        <v>45.857999999999997</v>
      </c>
      <c r="E191">
        <v>48.433</v>
      </c>
      <c r="F191">
        <v>1761072.953</v>
      </c>
      <c r="G191">
        <v>48.433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0.30313765182186203</v>
      </c>
      <c r="Q191">
        <f t="shared" ref="Q191" si="931">F191*P191</f>
        <v>533847.51965941244</v>
      </c>
      <c r="R191">
        <f t="shared" ref="R191" si="932">R192+Q191</f>
        <v>202431706.82944575</v>
      </c>
      <c r="S191">
        <f t="shared" ref="S191" si="933">R191/100000</f>
        <v>2024.3170682944574</v>
      </c>
      <c r="T191">
        <f t="shared" ref="T191:T197" si="934">S191/1000</f>
        <v>2.0243170682944576</v>
      </c>
    </row>
    <row r="192" spans="1:20" x14ac:dyDescent="0.25">
      <c r="A192" s="5">
        <v>44401</v>
      </c>
      <c r="B192">
        <v>45.808999999999997</v>
      </c>
      <c r="C192">
        <v>51.57</v>
      </c>
      <c r="D192">
        <v>44.957000000000001</v>
      </c>
      <c r="E192">
        <v>49.414000000000001</v>
      </c>
      <c r="F192">
        <v>3004137.45</v>
      </c>
      <c r="G192">
        <v>49.414000000000001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0.34795100559504039</v>
      </c>
      <c r="Q192">
        <f t="shared" ref="Q192" si="936">F192*P192</f>
        <v>1045292.6466732204</v>
      </c>
      <c r="R192">
        <f t="shared" ref="R192" si="937">R193+Q192</f>
        <v>201897859.30978635</v>
      </c>
      <c r="S192">
        <f t="shared" ref="S192" si="938">R192/100000</f>
        <v>2018.9785930978635</v>
      </c>
      <c r="T192">
        <f t="shared" si="934"/>
        <v>2.0189785930978634</v>
      </c>
    </row>
    <row r="193" spans="1:20" x14ac:dyDescent="0.25">
      <c r="A193" s="5">
        <v>44400</v>
      </c>
      <c r="B193">
        <v>43.39</v>
      </c>
      <c r="C193">
        <v>46.787999999999997</v>
      </c>
      <c r="D193">
        <v>43.058999999999997</v>
      </c>
      <c r="E193">
        <v>45.814</v>
      </c>
      <c r="F193">
        <v>2687167.8309999998</v>
      </c>
      <c r="G193">
        <v>45.814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0.4776079377849306</v>
      </c>
      <c r="Q193">
        <f t="shared" ref="Q193" si="940">F193*P193</f>
        <v>1283412.6862459148</v>
      </c>
      <c r="R193">
        <f t="shared" ref="R193" si="941">R194+Q193</f>
        <v>200852566.66311312</v>
      </c>
      <c r="S193">
        <f t="shared" ref="S193" si="942">R193/100000</f>
        <v>2008.5256666311311</v>
      </c>
      <c r="T193">
        <f t="shared" si="934"/>
        <v>2.0085256666311313</v>
      </c>
    </row>
    <row r="194" spans="1:20" x14ac:dyDescent="0.25">
      <c r="A194" s="5">
        <v>44399</v>
      </c>
      <c r="B194">
        <v>42.905999999999999</v>
      </c>
      <c r="C194">
        <v>44.220999999999997</v>
      </c>
      <c r="D194">
        <v>41.898000000000003</v>
      </c>
      <c r="E194">
        <v>43.395000000000003</v>
      </c>
      <c r="F194">
        <v>2131353.4589999998</v>
      </c>
      <c r="G194">
        <v>43.395000000000003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0.28885062419285767</v>
      </c>
      <c r="Q194">
        <f t="shared" ref="Q194" si="944">F194*P194</f>
        <v>615642.77700775617</v>
      </c>
      <c r="R194">
        <f t="shared" ref="R194" si="945">R195+Q194</f>
        <v>199569153.9768672</v>
      </c>
      <c r="S194">
        <f t="shared" ref="S194" si="946">R194/100000</f>
        <v>1995.6915397686721</v>
      </c>
      <c r="T194">
        <f t="shared" si="934"/>
        <v>1.9956915397686721</v>
      </c>
    </row>
    <row r="195" spans="1:20" x14ac:dyDescent="0.25">
      <c r="A195" s="5">
        <v>44398</v>
      </c>
      <c r="B195">
        <v>39.311</v>
      </c>
      <c r="C195">
        <v>43.79</v>
      </c>
      <c r="D195">
        <v>38.579000000000001</v>
      </c>
      <c r="E195">
        <v>42.905000000000001</v>
      </c>
      <c r="F195">
        <v>2648148.0249999999</v>
      </c>
      <c r="G195">
        <v>42.905000000000001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0.66033390903857292</v>
      </c>
      <c r="Q195">
        <f t="shared" ref="Q195" si="948">F195*P195</f>
        <v>1748661.9370610265</v>
      </c>
      <c r="R195">
        <f t="shared" ref="R195" si="949">R196+Q195</f>
        <v>198953511.19985944</v>
      </c>
      <c r="S195">
        <f t="shared" ref="S195" si="950">R195/100000</f>
        <v>1989.5351119985944</v>
      </c>
      <c r="T195">
        <f t="shared" si="934"/>
        <v>1.9895351119985945</v>
      </c>
    </row>
    <row r="196" spans="1:20" x14ac:dyDescent="0.25">
      <c r="A196" s="5">
        <v>44397</v>
      </c>
      <c r="B196">
        <v>41.585999999999999</v>
      </c>
      <c r="C196">
        <v>42.095999999999997</v>
      </c>
      <c r="D196">
        <v>37.738</v>
      </c>
      <c r="E196">
        <v>39.311</v>
      </c>
      <c r="F196">
        <v>2294950.7280000001</v>
      </c>
      <c r="G196">
        <v>39.311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-0.27810922441486852</v>
      </c>
      <c r="Q196">
        <f t="shared" ref="Q196" si="952">F196*P196</f>
        <v>-638246.9670344179</v>
      </c>
      <c r="R196">
        <f t="shared" ref="R196" si="953">R197+Q196</f>
        <v>197204849.26279843</v>
      </c>
      <c r="S196">
        <f t="shared" ref="S196" si="954">R196/100000</f>
        <v>1972.0484926279844</v>
      </c>
      <c r="T196">
        <f t="shared" si="934"/>
        <v>1.9720484926279844</v>
      </c>
    </row>
    <row r="197" spans="1:20" x14ac:dyDescent="0.25">
      <c r="A197" s="5">
        <v>44396</v>
      </c>
      <c r="B197">
        <v>41.881</v>
      </c>
      <c r="C197">
        <v>43.927</v>
      </c>
      <c r="D197">
        <v>40.582000000000001</v>
      </c>
      <c r="E197">
        <v>41.582000000000001</v>
      </c>
      <c r="F197">
        <v>2451647.1970000002</v>
      </c>
      <c r="G197">
        <v>0</v>
      </c>
      <c r="L197" t="s">
        <v>8</v>
      </c>
      <c r="M197" t="s">
        <v>7</v>
      </c>
      <c r="N197" t="s">
        <v>7</v>
      </c>
      <c r="P197">
        <f t="shared" ref="P197" si="955">IF(C197=D197,0,((E197-D197)-(C197-E197))/(C197-D197))</f>
        <v>-0.40209267563527634</v>
      </c>
      <c r="Q197">
        <f t="shared" ref="Q197" si="956">F197*P197</f>
        <v>-985789.38115545548</v>
      </c>
      <c r="R197">
        <f t="shared" ref="R197" si="957">R198+Q197</f>
        <v>197843096.22983286</v>
      </c>
      <c r="S197">
        <f t="shared" ref="S197" si="958">R197/100000</f>
        <v>1978.4309622983285</v>
      </c>
      <c r="T197">
        <f t="shared" si="934"/>
        <v>1.9784309622983285</v>
      </c>
    </row>
    <row r="198" spans="1:20" x14ac:dyDescent="0.25">
      <c r="A198" s="5">
        <v>44395</v>
      </c>
      <c r="B198">
        <v>41.460999999999999</v>
      </c>
      <c r="C198">
        <v>43.3</v>
      </c>
      <c r="D198">
        <v>40.923999999999999</v>
      </c>
      <c r="E198">
        <v>41.88</v>
      </c>
      <c r="F198">
        <v>1073560.9820000001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-0.1952861952861919</v>
      </c>
      <c r="Q198">
        <f t="shared" ref="Q198:Q261" si="960">F198*P198</f>
        <v>-209651.63958248796</v>
      </c>
      <c r="R198">
        <f t="shared" ref="R198:R261" si="961">R199+Q198</f>
        <v>198828885.61098832</v>
      </c>
      <c r="S198">
        <f t="shared" ref="S198:S261" si="962">R198/100000</f>
        <v>1988.2888561098832</v>
      </c>
      <c r="T198">
        <f t="shared" ref="T198:T261" si="963">S198/1000</f>
        <v>1.9882888561098833</v>
      </c>
    </row>
    <row r="199" spans="1:20" x14ac:dyDescent="0.25">
      <c r="A199" s="5">
        <v>44394</v>
      </c>
      <c r="B199">
        <v>41.128</v>
      </c>
      <c r="C199">
        <v>43.359000000000002</v>
      </c>
      <c r="D199">
        <v>40.255000000000003</v>
      </c>
      <c r="E199">
        <v>41.459000000000003</v>
      </c>
      <c r="F199">
        <v>1449014.7919999999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-0.22422680412371074</v>
      </c>
      <c r="Q199">
        <f t="shared" si="960"/>
        <v>-324907.95593814342</v>
      </c>
      <c r="R199">
        <f t="shared" si="961"/>
        <v>199038537.2505708</v>
      </c>
      <c r="S199">
        <f t="shared" si="962"/>
        <v>1990.3853725057081</v>
      </c>
      <c r="T199">
        <f t="shared" si="963"/>
        <v>1.9903853725057081</v>
      </c>
    </row>
    <row r="200" spans="1:20" x14ac:dyDescent="0.25">
      <c r="A200" s="5">
        <v>44393</v>
      </c>
      <c r="B200">
        <v>43.241</v>
      </c>
      <c r="C200">
        <v>43.883000000000003</v>
      </c>
      <c r="D200">
        <v>40.6</v>
      </c>
      <c r="E200">
        <v>41.152999999999999</v>
      </c>
      <c r="F200">
        <v>1497021.777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-0.66311300639659032</v>
      </c>
      <c r="Q200">
        <f t="shared" si="960"/>
        <v>-992694.61118763604</v>
      </c>
      <c r="R200">
        <f t="shared" si="961"/>
        <v>199363445.20650893</v>
      </c>
      <c r="S200">
        <f t="shared" si="962"/>
        <v>1993.6344520650894</v>
      </c>
      <c r="T200">
        <f t="shared" si="963"/>
        <v>1.9936344520650893</v>
      </c>
    </row>
    <row r="201" spans="1:20" x14ac:dyDescent="0.25">
      <c r="A201" s="5">
        <v>44392</v>
      </c>
      <c r="B201">
        <v>45.604999999999997</v>
      </c>
      <c r="C201">
        <v>47.179000000000002</v>
      </c>
      <c r="D201">
        <v>42.241</v>
      </c>
      <c r="E201">
        <v>43.234999999999999</v>
      </c>
      <c r="F201">
        <v>1288093.2290000001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-0.59740785743215907</v>
      </c>
      <c r="Q201">
        <f t="shared" si="960"/>
        <v>-769517.01610976143</v>
      </c>
      <c r="R201">
        <f t="shared" si="961"/>
        <v>200356139.81769657</v>
      </c>
      <c r="S201">
        <f t="shared" si="962"/>
        <v>2003.5613981769657</v>
      </c>
      <c r="T201">
        <f t="shared" si="963"/>
        <v>2.0035613981769655</v>
      </c>
    </row>
    <row r="202" spans="1:20" x14ac:dyDescent="0.25">
      <c r="A202" s="5">
        <v>44391</v>
      </c>
      <c r="B202">
        <v>45.55</v>
      </c>
      <c r="C202">
        <v>47.81</v>
      </c>
      <c r="D202">
        <v>42.524999999999999</v>
      </c>
      <c r="E202">
        <v>45.61</v>
      </c>
      <c r="F202">
        <v>1760965.899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0.16745506149479611</v>
      </c>
      <c r="Q202">
        <f t="shared" si="960"/>
        <v>294882.65290728392</v>
      </c>
      <c r="R202">
        <f t="shared" si="961"/>
        <v>201125656.83380634</v>
      </c>
      <c r="S202">
        <f t="shared" si="962"/>
        <v>2011.2565683380633</v>
      </c>
      <c r="T202">
        <f t="shared" si="963"/>
        <v>2.0112565683380632</v>
      </c>
    </row>
    <row r="203" spans="1:20" x14ac:dyDescent="0.25">
      <c r="A203" s="5">
        <v>44390</v>
      </c>
      <c r="B203">
        <v>47.677</v>
      </c>
      <c r="C203">
        <v>48.218000000000004</v>
      </c>
      <c r="D203">
        <v>45.036999999999999</v>
      </c>
      <c r="E203">
        <v>45.543999999999997</v>
      </c>
      <c r="F203">
        <v>1087865.861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-0.68123231688148556</v>
      </c>
      <c r="Q203">
        <f t="shared" si="960"/>
        <v>-741089.3809453022</v>
      </c>
      <c r="R203">
        <f t="shared" si="961"/>
        <v>200830774.18089905</v>
      </c>
      <c r="S203">
        <f t="shared" si="962"/>
        <v>2008.3077418089906</v>
      </c>
      <c r="T203">
        <f t="shared" si="963"/>
        <v>2.0083077418089905</v>
      </c>
    </row>
    <row r="204" spans="1:20" x14ac:dyDescent="0.25">
      <c r="A204" s="5">
        <v>44389</v>
      </c>
      <c r="B204">
        <v>49.704999999999998</v>
      </c>
      <c r="C204">
        <v>50.725000000000001</v>
      </c>
      <c r="D204">
        <v>46.683</v>
      </c>
      <c r="E204">
        <v>47.689</v>
      </c>
      <c r="F204">
        <v>1152999.8729999999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-0.50222662048490851</v>
      </c>
      <c r="Q204">
        <f t="shared" si="960"/>
        <v>-579067.22963631863</v>
      </c>
      <c r="R204">
        <f t="shared" si="961"/>
        <v>201571863.56184435</v>
      </c>
      <c r="S204">
        <f t="shared" si="962"/>
        <v>2015.7186356184434</v>
      </c>
      <c r="T204">
        <f t="shared" si="963"/>
        <v>2.0157186356184433</v>
      </c>
    </row>
    <row r="205" spans="1:20" x14ac:dyDescent="0.25">
      <c r="A205" s="5">
        <v>44388</v>
      </c>
      <c r="B205">
        <v>49.134999999999998</v>
      </c>
      <c r="C205">
        <v>50.514000000000003</v>
      </c>
      <c r="D205">
        <v>48.253</v>
      </c>
      <c r="E205">
        <v>49.704000000000001</v>
      </c>
      <c r="F205">
        <v>661077.49800000002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0.28350287483414305</v>
      </c>
      <c r="Q205">
        <f t="shared" si="960"/>
        <v>187417.37117116246</v>
      </c>
      <c r="R205">
        <f t="shared" si="961"/>
        <v>202150930.79148066</v>
      </c>
      <c r="S205">
        <f t="shared" si="962"/>
        <v>2021.5093079148066</v>
      </c>
      <c r="T205">
        <f t="shared" si="963"/>
        <v>2.0215093079148065</v>
      </c>
    </row>
    <row r="206" spans="1:20" x14ac:dyDescent="0.25">
      <c r="A206" s="5">
        <v>44387</v>
      </c>
      <c r="B206">
        <v>50.082000000000001</v>
      </c>
      <c r="C206">
        <v>51.4</v>
      </c>
      <c r="D206">
        <v>48.15</v>
      </c>
      <c r="E206">
        <v>49.134999999999998</v>
      </c>
      <c r="F206">
        <v>1091653.2890000001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-0.39384615384615418</v>
      </c>
      <c r="Q206">
        <f t="shared" si="960"/>
        <v>-429943.44920615427</v>
      </c>
      <c r="R206">
        <f t="shared" si="961"/>
        <v>201963513.42030948</v>
      </c>
      <c r="S206">
        <f t="shared" si="962"/>
        <v>2019.6351342030948</v>
      </c>
      <c r="T206">
        <f t="shared" si="963"/>
        <v>2.0196351342030949</v>
      </c>
    </row>
    <row r="207" spans="1:20" x14ac:dyDescent="0.25">
      <c r="A207" s="5">
        <v>44386</v>
      </c>
      <c r="B207">
        <v>49.465000000000003</v>
      </c>
      <c r="C207">
        <v>51.35</v>
      </c>
      <c r="D207">
        <v>46.503</v>
      </c>
      <c r="E207">
        <v>50.084000000000003</v>
      </c>
      <c r="F207">
        <v>1687011.1740000001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0.47761501959975328</v>
      </c>
      <c r="Q207">
        <f t="shared" si="960"/>
        <v>805741.87493501289</v>
      </c>
      <c r="R207">
        <f t="shared" si="961"/>
        <v>202393456.86951563</v>
      </c>
      <c r="S207">
        <f t="shared" si="962"/>
        <v>2023.9345686951563</v>
      </c>
      <c r="T207">
        <f t="shared" si="963"/>
        <v>2.0239345686951564</v>
      </c>
    </row>
    <row r="208" spans="1:20" x14ac:dyDescent="0.25">
      <c r="A208" s="5">
        <v>44385</v>
      </c>
      <c r="B208">
        <v>52.8</v>
      </c>
      <c r="C208">
        <v>52.973999999999997</v>
      </c>
      <c r="D208">
        <v>48.503</v>
      </c>
      <c r="E208">
        <v>49.470999999999997</v>
      </c>
      <c r="F208">
        <v>1984565.9469999999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-0.56698725117423521</v>
      </c>
      <c r="Q208">
        <f t="shared" si="960"/>
        <v>-1125223.591063523</v>
      </c>
      <c r="R208">
        <f t="shared" si="961"/>
        <v>201587714.99458063</v>
      </c>
      <c r="S208">
        <f t="shared" si="962"/>
        <v>2015.8771499458062</v>
      </c>
      <c r="T208">
        <f t="shared" si="963"/>
        <v>2.0158771499458061</v>
      </c>
    </row>
    <row r="209" spans="1:20" x14ac:dyDescent="0.25">
      <c r="A209" s="5">
        <v>44384</v>
      </c>
      <c r="B209">
        <v>54.651000000000003</v>
      </c>
      <c r="C209">
        <v>55.548999999999999</v>
      </c>
      <c r="D209">
        <v>52.555</v>
      </c>
      <c r="E209">
        <v>52.813000000000002</v>
      </c>
      <c r="F209">
        <v>1820444.2039999999</v>
      </c>
      <c r="G209">
        <v>0</v>
      </c>
      <c r="L209" t="s">
        <v>7</v>
      </c>
      <c r="M209" t="s">
        <v>7</v>
      </c>
      <c r="N209" t="s">
        <v>8</v>
      </c>
      <c r="P209">
        <f t="shared" si="959"/>
        <v>-0.82765531062124065</v>
      </c>
      <c r="Q209">
        <f t="shared" si="960"/>
        <v>-1506700.3131302572</v>
      </c>
      <c r="R209">
        <f t="shared" si="961"/>
        <v>202712938.58564416</v>
      </c>
      <c r="S209">
        <f t="shared" si="962"/>
        <v>2027.1293858564416</v>
      </c>
      <c r="T209">
        <f t="shared" si="963"/>
        <v>2.0271293858564414</v>
      </c>
    </row>
    <row r="210" spans="1:20" x14ac:dyDescent="0.25">
      <c r="A210" s="5">
        <v>44383</v>
      </c>
      <c r="B210">
        <v>53.683</v>
      </c>
      <c r="C210">
        <v>56.887999999999998</v>
      </c>
      <c r="D210">
        <v>53.497</v>
      </c>
      <c r="E210">
        <v>54.649000000000001</v>
      </c>
      <c r="F210">
        <v>1722006.9609999999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-0.32055440872898755</v>
      </c>
      <c r="Q210">
        <f t="shared" si="960"/>
        <v>-551996.92321055569</v>
      </c>
      <c r="R210">
        <f t="shared" si="961"/>
        <v>204219638.89877442</v>
      </c>
      <c r="S210">
        <f t="shared" si="962"/>
        <v>2042.1963889877441</v>
      </c>
      <c r="T210">
        <f t="shared" si="963"/>
        <v>2.0421963889877439</v>
      </c>
    </row>
    <row r="211" spans="1:20" x14ac:dyDescent="0.25">
      <c r="A211" s="5">
        <v>44382</v>
      </c>
      <c r="B211">
        <v>56.347999999999999</v>
      </c>
      <c r="C211">
        <v>57.009</v>
      </c>
      <c r="D211">
        <v>52.77</v>
      </c>
      <c r="E211">
        <v>53.683</v>
      </c>
      <c r="F211">
        <v>2235251.3190000001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-0.56923802783675526</v>
      </c>
      <c r="Q211">
        <f t="shared" si="960"/>
        <v>-1272390.052547066</v>
      </c>
      <c r="R211">
        <f t="shared" si="961"/>
        <v>204771635.82198498</v>
      </c>
      <c r="S211">
        <f t="shared" si="962"/>
        <v>2047.7163582198498</v>
      </c>
      <c r="T211">
        <f t="shared" si="963"/>
        <v>2.0477163582198497</v>
      </c>
    </row>
    <row r="212" spans="1:20" x14ac:dyDescent="0.25">
      <c r="A212" s="5">
        <v>44381</v>
      </c>
      <c r="B212">
        <v>56.862000000000002</v>
      </c>
      <c r="C212">
        <v>58.941000000000003</v>
      </c>
      <c r="D212">
        <v>55.875</v>
      </c>
      <c r="E212">
        <v>56.363</v>
      </c>
      <c r="F212">
        <v>2222049.6039999998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-0.68166992824527128</v>
      </c>
      <c r="Q212">
        <f t="shared" si="960"/>
        <v>-1514704.3941161134</v>
      </c>
      <c r="R212">
        <f t="shared" si="961"/>
        <v>206044025.87453204</v>
      </c>
      <c r="S212">
        <f t="shared" si="962"/>
        <v>2060.4402587453205</v>
      </c>
      <c r="T212">
        <f t="shared" si="963"/>
        <v>2.0604402587453206</v>
      </c>
    </row>
    <row r="213" spans="1:20" x14ac:dyDescent="0.25">
      <c r="A213" s="5">
        <v>44380</v>
      </c>
      <c r="B213">
        <v>53.764000000000003</v>
      </c>
      <c r="C213">
        <v>58.5</v>
      </c>
      <c r="D213">
        <v>52.412999999999997</v>
      </c>
      <c r="E213">
        <v>56.877000000000002</v>
      </c>
      <c r="F213">
        <v>2989769.6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0.46673238048299764</v>
      </c>
      <c r="Q213">
        <f t="shared" si="960"/>
        <v>1395422.2825036997</v>
      </c>
      <c r="R213">
        <f t="shared" si="961"/>
        <v>207558730.26864815</v>
      </c>
      <c r="S213">
        <f t="shared" si="962"/>
        <v>2075.5873026864815</v>
      </c>
      <c r="T213">
        <f t="shared" si="963"/>
        <v>2.0755873026864817</v>
      </c>
    </row>
    <row r="214" spans="1:20" x14ac:dyDescent="0.25">
      <c r="A214" s="5">
        <v>44379</v>
      </c>
      <c r="B214">
        <v>53.06</v>
      </c>
      <c r="C214">
        <v>55.23</v>
      </c>
      <c r="D214">
        <v>50.713000000000001</v>
      </c>
      <c r="E214">
        <v>53.737000000000002</v>
      </c>
      <c r="F214">
        <v>2628027.534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0.33894177551472376</v>
      </c>
      <c r="Q214">
        <f t="shared" si="960"/>
        <v>890748.31847554108</v>
      </c>
      <c r="R214">
        <f t="shared" si="961"/>
        <v>206163307.98614445</v>
      </c>
      <c r="S214">
        <f t="shared" si="962"/>
        <v>2061.6330798614445</v>
      </c>
      <c r="T214">
        <f t="shared" si="963"/>
        <v>2.0616330798614446</v>
      </c>
    </row>
    <row r="215" spans="1:20" x14ac:dyDescent="0.25">
      <c r="A215" s="5">
        <v>44378</v>
      </c>
      <c r="B215">
        <v>57.548999999999999</v>
      </c>
      <c r="C215">
        <v>58.329000000000001</v>
      </c>
      <c r="D215">
        <v>52.32</v>
      </c>
      <c r="E215">
        <v>53.076000000000001</v>
      </c>
      <c r="F215">
        <v>4310884.1569999997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-0.74837743384922606</v>
      </c>
      <c r="Q215">
        <f t="shared" si="960"/>
        <v>-3226168.4230369441</v>
      </c>
      <c r="R215">
        <f t="shared" si="961"/>
        <v>205272559.66766891</v>
      </c>
      <c r="S215">
        <f t="shared" si="962"/>
        <v>2052.7255966766893</v>
      </c>
      <c r="T215">
        <f t="shared" si="963"/>
        <v>2.0527255966766891</v>
      </c>
    </row>
    <row r="216" spans="1:20" x14ac:dyDescent="0.25">
      <c r="A216" s="5">
        <v>44377</v>
      </c>
      <c r="B216">
        <v>56.767000000000003</v>
      </c>
      <c r="C216">
        <v>62.673000000000002</v>
      </c>
      <c r="D216">
        <v>51.710999999999999</v>
      </c>
      <c r="E216">
        <v>57.551000000000002</v>
      </c>
      <c r="F216">
        <v>9679613.9269999992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6.5498996533479598E-2</v>
      </c>
      <c r="Q216">
        <f t="shared" si="960"/>
        <v>634004.99904999381</v>
      </c>
      <c r="R216">
        <f t="shared" si="961"/>
        <v>208498728.09070584</v>
      </c>
      <c r="S216">
        <f t="shared" si="962"/>
        <v>2084.9872809070584</v>
      </c>
      <c r="T216">
        <f t="shared" si="963"/>
        <v>2.0849872809070584</v>
      </c>
    </row>
    <row r="217" spans="1:20" x14ac:dyDescent="0.25">
      <c r="A217" s="5">
        <v>44376</v>
      </c>
      <c r="B217">
        <v>43.354999999999997</v>
      </c>
      <c r="C217">
        <v>58.820999999999998</v>
      </c>
      <c r="D217">
        <v>43.12</v>
      </c>
      <c r="E217">
        <v>56.829000000000001</v>
      </c>
      <c r="F217">
        <v>7683256.7580000004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0.74625820011464272</v>
      </c>
      <c r="Q217">
        <f t="shared" si="960"/>
        <v>5733693.359243745</v>
      </c>
      <c r="R217">
        <f t="shared" si="961"/>
        <v>207864723.09165585</v>
      </c>
      <c r="S217">
        <f t="shared" si="962"/>
        <v>2078.6472309165583</v>
      </c>
      <c r="T217">
        <f t="shared" si="963"/>
        <v>2.0786472309165585</v>
      </c>
    </row>
    <row r="218" spans="1:20" x14ac:dyDescent="0.25">
      <c r="A218" s="5">
        <v>44375</v>
      </c>
      <c r="B218">
        <v>42.319000000000003</v>
      </c>
      <c r="C218">
        <v>44.558</v>
      </c>
      <c r="D218">
        <v>41.021999999999998</v>
      </c>
      <c r="E218">
        <v>43.350999999999999</v>
      </c>
      <c r="F218">
        <v>1485357.287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0.31730769230769218</v>
      </c>
      <c r="Q218">
        <f t="shared" si="960"/>
        <v>471315.29299038445</v>
      </c>
      <c r="R218">
        <f t="shared" si="961"/>
        <v>202131029.7324121</v>
      </c>
      <c r="S218">
        <f t="shared" si="962"/>
        <v>2021.3102973241209</v>
      </c>
      <c r="T218">
        <f t="shared" si="963"/>
        <v>2.021310297324121</v>
      </c>
    </row>
    <row r="219" spans="1:20" x14ac:dyDescent="0.25">
      <c r="A219" s="5">
        <v>44374</v>
      </c>
      <c r="B219">
        <v>40.54</v>
      </c>
      <c r="C219">
        <v>42.497</v>
      </c>
      <c r="D219">
        <v>39.371000000000002</v>
      </c>
      <c r="E219">
        <v>42.307000000000002</v>
      </c>
      <c r="F219">
        <v>1187877.02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0.87843889955214471</v>
      </c>
      <c r="Q219">
        <f t="shared" si="960"/>
        <v>1043477.3822520811</v>
      </c>
      <c r="R219">
        <f t="shared" si="961"/>
        <v>201659714.43942171</v>
      </c>
      <c r="S219">
        <f t="shared" si="962"/>
        <v>2016.5971443942171</v>
      </c>
      <c r="T219">
        <f t="shared" si="963"/>
        <v>2.016597144394217</v>
      </c>
    </row>
    <row r="220" spans="1:20" x14ac:dyDescent="0.25">
      <c r="A220" s="5">
        <v>44373</v>
      </c>
      <c r="B220">
        <v>39.347999999999999</v>
      </c>
      <c r="C220">
        <v>41.006</v>
      </c>
      <c r="D220">
        <v>37.542000000000002</v>
      </c>
      <c r="E220">
        <v>40.555</v>
      </c>
      <c r="F220">
        <v>1635775.452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0.73960739030023059</v>
      </c>
      <c r="Q220">
        <f t="shared" si="960"/>
        <v>1209831.6131709001</v>
      </c>
      <c r="R220">
        <f t="shared" si="961"/>
        <v>200616237.05716965</v>
      </c>
      <c r="S220">
        <f t="shared" si="962"/>
        <v>2006.1623705716966</v>
      </c>
      <c r="T220">
        <f t="shared" si="963"/>
        <v>2.0061623705716967</v>
      </c>
    </row>
    <row r="221" spans="1:20" x14ac:dyDescent="0.25">
      <c r="A221" s="5">
        <v>44372</v>
      </c>
      <c r="B221">
        <v>43.155999999999999</v>
      </c>
      <c r="C221">
        <v>45.499000000000002</v>
      </c>
      <c r="D221">
        <v>38.945999999999998</v>
      </c>
      <c r="E221">
        <v>39.35</v>
      </c>
      <c r="F221">
        <v>2722988.8029999998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-0.87669769571188672</v>
      </c>
      <c r="Q221">
        <f t="shared" si="960"/>
        <v>-2387238.0090393685</v>
      </c>
      <c r="R221">
        <f t="shared" si="961"/>
        <v>199406405.44399875</v>
      </c>
      <c r="S221">
        <f t="shared" si="962"/>
        <v>1994.0640544399876</v>
      </c>
      <c r="T221">
        <f t="shared" si="963"/>
        <v>1.9940640544399875</v>
      </c>
    </row>
    <row r="222" spans="1:20" x14ac:dyDescent="0.25">
      <c r="A222" s="5">
        <v>44371</v>
      </c>
      <c r="B222">
        <v>40.768999999999998</v>
      </c>
      <c r="C222">
        <v>43.558</v>
      </c>
      <c r="D222">
        <v>38.725999999999999</v>
      </c>
      <c r="E222">
        <v>43.151000000000003</v>
      </c>
      <c r="F222">
        <v>2251950.7239999999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0.83153973509933921</v>
      </c>
      <c r="Q222">
        <f t="shared" si="960"/>
        <v>1872586.508491725</v>
      </c>
      <c r="R222">
        <f t="shared" si="961"/>
        <v>201793643.45303813</v>
      </c>
      <c r="S222">
        <f t="shared" si="962"/>
        <v>2017.9364345303813</v>
      </c>
      <c r="T222">
        <f t="shared" si="963"/>
        <v>2.0179364345303812</v>
      </c>
    </row>
    <row r="223" spans="1:20" x14ac:dyDescent="0.25">
      <c r="A223" s="5">
        <v>44370</v>
      </c>
      <c r="B223">
        <v>36.536000000000001</v>
      </c>
      <c r="C223">
        <v>42.978000000000002</v>
      </c>
      <c r="D223">
        <v>34.549999999999997</v>
      </c>
      <c r="E223">
        <v>40.762999999999998</v>
      </c>
      <c r="F223">
        <v>3758417.6579999998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0.4743711438063592</v>
      </c>
      <c r="Q223">
        <f t="shared" si="960"/>
        <v>1782884.8833274776</v>
      </c>
      <c r="R223">
        <f t="shared" si="961"/>
        <v>199921056.9445464</v>
      </c>
      <c r="S223">
        <f t="shared" si="962"/>
        <v>1999.210569445464</v>
      </c>
      <c r="T223">
        <f t="shared" si="963"/>
        <v>1.999210569445464</v>
      </c>
    </row>
    <row r="224" spans="1:20" x14ac:dyDescent="0.25">
      <c r="A224" s="5">
        <v>44369</v>
      </c>
      <c r="B224">
        <v>39.451999999999998</v>
      </c>
      <c r="C224">
        <v>42.8</v>
      </c>
      <c r="D224">
        <v>32.21</v>
      </c>
      <c r="E224">
        <v>36.545000000000002</v>
      </c>
      <c r="F224">
        <v>5759701.2929999996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-0.18130311614730835</v>
      </c>
      <c r="Q224">
        <f t="shared" si="960"/>
        <v>-1044251.792498581</v>
      </c>
      <c r="R224">
        <f t="shared" si="961"/>
        <v>198138172.06121892</v>
      </c>
      <c r="S224">
        <f t="shared" si="962"/>
        <v>1981.3817206121892</v>
      </c>
      <c r="T224">
        <f t="shared" si="963"/>
        <v>1.9813817206121891</v>
      </c>
    </row>
    <row r="225" spans="1:20" x14ac:dyDescent="0.25">
      <c r="A225" s="5">
        <v>44368</v>
      </c>
      <c r="B225">
        <v>50.948999999999998</v>
      </c>
      <c r="C225">
        <v>51.44</v>
      </c>
      <c r="D225">
        <v>38.506999999999998</v>
      </c>
      <c r="E225">
        <v>39.460999999999999</v>
      </c>
      <c r="F225">
        <v>4022053.682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-0.85247042449547661</v>
      </c>
      <c r="Q225">
        <f t="shared" si="960"/>
        <v>-3428681.8096381347</v>
      </c>
      <c r="R225">
        <f t="shared" si="961"/>
        <v>199182423.85371751</v>
      </c>
      <c r="S225">
        <f t="shared" si="962"/>
        <v>1991.824238537175</v>
      </c>
      <c r="T225">
        <f t="shared" si="963"/>
        <v>1.9918242385371749</v>
      </c>
    </row>
    <row r="226" spans="1:20" x14ac:dyDescent="0.25">
      <c r="A226" s="5">
        <v>44367</v>
      </c>
      <c r="B226">
        <v>50.871000000000002</v>
      </c>
      <c r="C226">
        <v>51.527000000000001</v>
      </c>
      <c r="D226">
        <v>46.939</v>
      </c>
      <c r="E226">
        <v>50.956000000000003</v>
      </c>
      <c r="F226">
        <v>1347207.0220000001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0.75108979947689725</v>
      </c>
      <c r="Q226">
        <f t="shared" si="960"/>
        <v>1011873.452007848</v>
      </c>
      <c r="R226">
        <f t="shared" si="961"/>
        <v>202611105.66335565</v>
      </c>
      <c r="S226">
        <f t="shared" si="962"/>
        <v>2026.1110566335565</v>
      </c>
      <c r="T226">
        <f t="shared" si="963"/>
        <v>2.0261110566335563</v>
      </c>
    </row>
    <row r="227" spans="1:20" x14ac:dyDescent="0.25">
      <c r="A227" s="5">
        <v>44366</v>
      </c>
      <c r="B227">
        <v>52.584000000000003</v>
      </c>
      <c r="C227">
        <v>53.332000000000001</v>
      </c>
      <c r="D227">
        <v>50.828000000000003</v>
      </c>
      <c r="E227">
        <v>50.863999999999997</v>
      </c>
      <c r="F227">
        <v>636772.23800000001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-0.97124600638978087</v>
      </c>
      <c r="Q227">
        <f t="shared" si="960"/>
        <v>-618462.49313738302</v>
      </c>
      <c r="R227">
        <f t="shared" si="961"/>
        <v>201599232.21134779</v>
      </c>
      <c r="S227">
        <f t="shared" si="962"/>
        <v>2015.9923221134779</v>
      </c>
      <c r="T227">
        <f t="shared" si="963"/>
        <v>2.0159923221134779</v>
      </c>
    </row>
    <row r="228" spans="1:20" x14ac:dyDescent="0.25">
      <c r="A228" s="5">
        <v>44365</v>
      </c>
      <c r="B228">
        <v>55.55</v>
      </c>
      <c r="C228">
        <v>55.582999999999998</v>
      </c>
      <c r="D228">
        <v>50.478999999999999</v>
      </c>
      <c r="E228">
        <v>52.567999999999998</v>
      </c>
      <c r="F228">
        <v>1087152.9339999999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-0.18142633228840166</v>
      </c>
      <c r="Q228">
        <f t="shared" si="960"/>
        <v>-197238.16945219476</v>
      </c>
      <c r="R228">
        <f t="shared" si="961"/>
        <v>202217694.70448518</v>
      </c>
      <c r="S228">
        <f t="shared" si="962"/>
        <v>2022.1769470448519</v>
      </c>
      <c r="T228">
        <f t="shared" si="963"/>
        <v>2.0221769470448518</v>
      </c>
    </row>
    <row r="229" spans="1:20" x14ac:dyDescent="0.25">
      <c r="A229" s="5">
        <v>44364</v>
      </c>
      <c r="B229">
        <v>55.363</v>
      </c>
      <c r="C229">
        <v>57.253</v>
      </c>
      <c r="D229">
        <v>54.265000000000001</v>
      </c>
      <c r="E229">
        <v>55.552</v>
      </c>
      <c r="F229">
        <v>684930.56099999999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-0.13855421686747041</v>
      </c>
      <c r="Q229">
        <f t="shared" si="960"/>
        <v>-94900.017487952166</v>
      </c>
      <c r="R229">
        <f t="shared" si="961"/>
        <v>202414932.87393737</v>
      </c>
      <c r="S229">
        <f t="shared" si="962"/>
        <v>2024.1493287393737</v>
      </c>
      <c r="T229">
        <f t="shared" si="963"/>
        <v>2.0241493287393735</v>
      </c>
    </row>
    <row r="230" spans="1:20" x14ac:dyDescent="0.25">
      <c r="A230" s="5">
        <v>44363</v>
      </c>
      <c r="B230">
        <v>58.161999999999999</v>
      </c>
      <c r="C230">
        <v>58.374000000000002</v>
      </c>
      <c r="D230">
        <v>54.863999999999997</v>
      </c>
      <c r="E230">
        <v>55.350999999999999</v>
      </c>
      <c r="F230">
        <v>1046955.002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-0.72250712250712179</v>
      </c>
      <c r="Q230">
        <f t="shared" si="960"/>
        <v>-756432.44588945794</v>
      </c>
      <c r="R230">
        <f t="shared" si="961"/>
        <v>202509832.89142531</v>
      </c>
      <c r="S230">
        <f t="shared" si="962"/>
        <v>2025.0983289142532</v>
      </c>
      <c r="T230">
        <f t="shared" si="963"/>
        <v>2.025098328914253</v>
      </c>
    </row>
    <row r="231" spans="1:20" x14ac:dyDescent="0.25">
      <c r="A231" s="5">
        <v>44362</v>
      </c>
      <c r="B231">
        <v>59.277999999999999</v>
      </c>
      <c r="C231">
        <v>60.2</v>
      </c>
      <c r="D231">
        <v>57.222000000000001</v>
      </c>
      <c r="E231">
        <v>58.154000000000003</v>
      </c>
      <c r="F231">
        <v>1054504.216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-0.37407656145063689</v>
      </c>
      <c r="Q231">
        <f t="shared" si="960"/>
        <v>-394465.3111564797</v>
      </c>
      <c r="R231">
        <f t="shared" si="961"/>
        <v>203266265.33731475</v>
      </c>
      <c r="S231">
        <f t="shared" si="962"/>
        <v>2032.6626533731476</v>
      </c>
      <c r="T231">
        <f t="shared" si="963"/>
        <v>2.0326626533731478</v>
      </c>
    </row>
    <row r="232" spans="1:20" x14ac:dyDescent="0.25">
      <c r="A232" s="5">
        <v>44361</v>
      </c>
      <c r="B232">
        <v>58.999000000000002</v>
      </c>
      <c r="C232">
        <v>60.98</v>
      </c>
      <c r="D232">
        <v>56.118000000000002</v>
      </c>
      <c r="E232">
        <v>59.304000000000002</v>
      </c>
      <c r="F232">
        <v>1550963.08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0.31057178116001782</v>
      </c>
      <c r="Q232">
        <f t="shared" si="960"/>
        <v>481685.36626902723</v>
      </c>
      <c r="R232">
        <f t="shared" si="961"/>
        <v>203660730.64847124</v>
      </c>
      <c r="S232">
        <f t="shared" si="962"/>
        <v>2036.6073064847124</v>
      </c>
      <c r="T232">
        <f t="shared" si="963"/>
        <v>2.0366073064847123</v>
      </c>
    </row>
    <row r="233" spans="1:20" x14ac:dyDescent="0.25">
      <c r="A233" s="5">
        <v>44360</v>
      </c>
      <c r="B233">
        <v>55.220999999999997</v>
      </c>
      <c r="C233">
        <v>60.713999999999999</v>
      </c>
      <c r="D233">
        <v>53.685000000000002</v>
      </c>
      <c r="E233">
        <v>58.997999999999998</v>
      </c>
      <c r="F233">
        <v>1548532.139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0.51173708920187733</v>
      </c>
      <c r="Q233">
        <f t="shared" si="960"/>
        <v>792441.32934741687</v>
      </c>
      <c r="R233">
        <f t="shared" si="961"/>
        <v>203179045.28220221</v>
      </c>
      <c r="S233">
        <f t="shared" si="962"/>
        <v>2031.7904528220222</v>
      </c>
      <c r="T233">
        <f t="shared" si="963"/>
        <v>2.0317904528220221</v>
      </c>
    </row>
    <row r="234" spans="1:20" x14ac:dyDescent="0.25">
      <c r="A234" s="5">
        <v>44359</v>
      </c>
      <c r="B234">
        <v>56.872</v>
      </c>
      <c r="C234">
        <v>56.988999999999997</v>
      </c>
      <c r="D234">
        <v>53.048999999999999</v>
      </c>
      <c r="E234">
        <v>55.195</v>
      </c>
      <c r="F234">
        <v>1535637.503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8.9340101522843676E-2</v>
      </c>
      <c r="Q234">
        <f t="shared" si="960"/>
        <v>137194.01042030615</v>
      </c>
      <c r="R234">
        <f t="shared" si="961"/>
        <v>202386603.95285478</v>
      </c>
      <c r="S234">
        <f t="shared" si="962"/>
        <v>2023.8660395285478</v>
      </c>
      <c r="T234">
        <f t="shared" si="963"/>
        <v>2.0238660395285479</v>
      </c>
    </row>
    <row r="235" spans="1:20" x14ac:dyDescent="0.25">
      <c r="A235" s="5">
        <v>44358</v>
      </c>
      <c r="B235">
        <v>57.9</v>
      </c>
      <c r="C235">
        <v>60.84</v>
      </c>
      <c r="D235">
        <v>56.067999999999998</v>
      </c>
      <c r="E235">
        <v>56.865000000000002</v>
      </c>
      <c r="F235">
        <v>1789292.8670000001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-0.66596814752724087</v>
      </c>
      <c r="Q235">
        <f t="shared" si="960"/>
        <v>-1191612.0560196959</v>
      </c>
      <c r="R235">
        <f t="shared" si="961"/>
        <v>202249409.94243449</v>
      </c>
      <c r="S235">
        <f t="shared" si="962"/>
        <v>2022.494099424345</v>
      </c>
      <c r="T235">
        <f t="shared" si="963"/>
        <v>2.0224940994243452</v>
      </c>
    </row>
    <row r="236" spans="1:20" x14ac:dyDescent="0.25">
      <c r="A236" s="5">
        <v>44357</v>
      </c>
      <c r="B236">
        <v>62.305999999999997</v>
      </c>
      <c r="C236">
        <v>63.56</v>
      </c>
      <c r="D236">
        <v>57.005000000000003</v>
      </c>
      <c r="E236">
        <v>57.893999999999998</v>
      </c>
      <c r="F236">
        <v>2663144.2999999998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-0.72875667429443303</v>
      </c>
      <c r="Q236">
        <f t="shared" si="960"/>
        <v>-1940784.1832341757</v>
      </c>
      <c r="R236">
        <f t="shared" si="961"/>
        <v>203441021.99845418</v>
      </c>
      <c r="S236">
        <f t="shared" si="962"/>
        <v>2034.4102199845418</v>
      </c>
      <c r="T236">
        <f t="shared" si="963"/>
        <v>2.034410219984542</v>
      </c>
    </row>
    <row r="237" spans="1:20" x14ac:dyDescent="0.25">
      <c r="A237" s="5">
        <v>44356</v>
      </c>
      <c r="B237">
        <v>56.697000000000003</v>
      </c>
      <c r="C237">
        <v>62.95</v>
      </c>
      <c r="D237">
        <v>53.548999999999999</v>
      </c>
      <c r="E237">
        <v>62.32</v>
      </c>
      <c r="F237">
        <v>3881056.5750000002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0.86597170513775079</v>
      </c>
      <c r="Q237">
        <f t="shared" si="960"/>
        <v>3360885.179988829</v>
      </c>
      <c r="R237">
        <f t="shared" si="961"/>
        <v>205381806.18168837</v>
      </c>
      <c r="S237">
        <f t="shared" si="962"/>
        <v>2053.8180618168835</v>
      </c>
      <c r="T237">
        <f t="shared" si="963"/>
        <v>2.0538180618168833</v>
      </c>
    </row>
    <row r="238" spans="1:20" x14ac:dyDescent="0.25">
      <c r="A238" s="5">
        <v>44355</v>
      </c>
      <c r="B238">
        <v>58.023000000000003</v>
      </c>
      <c r="C238">
        <v>59.220999999999997</v>
      </c>
      <c r="D238">
        <v>49.432000000000002</v>
      </c>
      <c r="E238">
        <v>56.680999999999997</v>
      </c>
      <c r="F238">
        <v>3821990.7779999999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0.48105015834099485</v>
      </c>
      <c r="Q238">
        <f t="shared" si="960"/>
        <v>1838569.2689347221</v>
      </c>
      <c r="R238">
        <f t="shared" si="961"/>
        <v>202020921.00169954</v>
      </c>
      <c r="S238">
        <f t="shared" si="962"/>
        <v>2020.2092100169953</v>
      </c>
      <c r="T238">
        <f t="shared" si="963"/>
        <v>2.0202092100169953</v>
      </c>
    </row>
    <row r="239" spans="1:20" x14ac:dyDescent="0.25">
      <c r="A239" s="5">
        <v>44354</v>
      </c>
      <c r="B239">
        <v>64.106999999999999</v>
      </c>
      <c r="C239">
        <v>65.16</v>
      </c>
      <c r="D239">
        <v>57.225000000000001</v>
      </c>
      <c r="E239">
        <v>58.01</v>
      </c>
      <c r="F239">
        <v>1843327.997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-0.80214240705734163</v>
      </c>
      <c r="Q239">
        <f t="shared" si="960"/>
        <v>-1478611.5565097681</v>
      </c>
      <c r="R239">
        <f t="shared" si="961"/>
        <v>200182351.73276481</v>
      </c>
      <c r="S239">
        <f t="shared" si="962"/>
        <v>2001.823517327648</v>
      </c>
      <c r="T239">
        <f t="shared" si="963"/>
        <v>2.0018235173276482</v>
      </c>
    </row>
    <row r="240" spans="1:20" x14ac:dyDescent="0.25">
      <c r="A240" s="5">
        <v>44353</v>
      </c>
      <c r="B240">
        <v>63.107999999999997</v>
      </c>
      <c r="C240">
        <v>65.679000000000002</v>
      </c>
      <c r="D240">
        <v>62.735999999999997</v>
      </c>
      <c r="E240">
        <v>64.085999999999999</v>
      </c>
      <c r="F240">
        <v>1072093.3259999999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-8.2568807339450115E-2</v>
      </c>
      <c r="Q240">
        <f t="shared" si="960"/>
        <v>-88521.46728440428</v>
      </c>
      <c r="R240">
        <f t="shared" si="961"/>
        <v>201660963.28927457</v>
      </c>
      <c r="S240">
        <f t="shared" si="962"/>
        <v>2016.6096328927458</v>
      </c>
      <c r="T240">
        <f t="shared" si="963"/>
        <v>2.0166096328927456</v>
      </c>
    </row>
    <row r="241" spans="1:20" x14ac:dyDescent="0.25">
      <c r="A241" s="5">
        <v>44352</v>
      </c>
      <c r="B241">
        <v>64.748000000000005</v>
      </c>
      <c r="C241">
        <v>67.397000000000006</v>
      </c>
      <c r="D241">
        <v>61.646000000000001</v>
      </c>
      <c r="E241">
        <v>63.122</v>
      </c>
      <c r="F241">
        <v>2068513.061</v>
      </c>
      <c r="G241">
        <v>0</v>
      </c>
      <c r="L241" t="s">
        <v>8</v>
      </c>
      <c r="M241" t="s">
        <v>8</v>
      </c>
      <c r="N241" t="s">
        <v>7</v>
      </c>
      <c r="P241">
        <f t="shared" si="959"/>
        <v>-0.48669796557120576</v>
      </c>
      <c r="Q241">
        <f t="shared" si="960"/>
        <v>-1006741.0985461675</v>
      </c>
      <c r="R241">
        <f t="shared" si="961"/>
        <v>201749484.75655898</v>
      </c>
      <c r="S241">
        <f t="shared" si="962"/>
        <v>2017.4948475655899</v>
      </c>
      <c r="T241">
        <f t="shared" si="963"/>
        <v>2.0174948475655898</v>
      </c>
    </row>
    <row r="242" spans="1:20" x14ac:dyDescent="0.25">
      <c r="A242" s="5">
        <v>44351</v>
      </c>
      <c r="B242">
        <v>69.847999999999999</v>
      </c>
      <c r="C242">
        <v>69.902000000000001</v>
      </c>
      <c r="D242">
        <v>61.343000000000004</v>
      </c>
      <c r="E242">
        <v>64.72</v>
      </c>
      <c r="F242">
        <v>2739548.267</v>
      </c>
      <c r="G242">
        <v>0</v>
      </c>
      <c r="L242" t="s">
        <v>7</v>
      </c>
      <c r="M242" t="s">
        <v>8</v>
      </c>
      <c r="N242" t="s">
        <v>7</v>
      </c>
      <c r="P242">
        <f t="shared" si="959"/>
        <v>-0.21088912256104772</v>
      </c>
      <c r="Q242">
        <f t="shared" si="960"/>
        <v>-577740.93024126883</v>
      </c>
      <c r="R242">
        <f t="shared" si="961"/>
        <v>202756225.85510516</v>
      </c>
      <c r="S242">
        <f t="shared" si="962"/>
        <v>2027.5622585510516</v>
      </c>
      <c r="T242">
        <f t="shared" si="963"/>
        <v>2.0275622585510518</v>
      </c>
    </row>
    <row r="243" spans="1:20" x14ac:dyDescent="0.25">
      <c r="A243" s="5">
        <v>44350</v>
      </c>
      <c r="B243">
        <v>68.384</v>
      </c>
      <c r="C243">
        <v>72.7</v>
      </c>
      <c r="D243">
        <v>67.114999999999995</v>
      </c>
      <c r="E243">
        <v>69.864000000000004</v>
      </c>
      <c r="F243">
        <v>2235215.2069999999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-1.5577439570275553E-2</v>
      </c>
      <c r="Q243">
        <f t="shared" si="960"/>
        <v>-34818.929813603463</v>
      </c>
      <c r="R243">
        <f t="shared" si="961"/>
        <v>203333966.78534642</v>
      </c>
      <c r="S243">
        <f t="shared" si="962"/>
        <v>2033.3396678534641</v>
      </c>
      <c r="T243">
        <f t="shared" si="963"/>
        <v>2.0333396678534643</v>
      </c>
    </row>
    <row r="244" spans="1:20" x14ac:dyDescent="0.25">
      <c r="A244" s="5">
        <v>44349</v>
      </c>
      <c r="B244">
        <v>67.784000000000006</v>
      </c>
      <c r="C244">
        <v>70.400000000000006</v>
      </c>
      <c r="D244">
        <v>65.766999999999996</v>
      </c>
      <c r="E244">
        <v>68.403000000000006</v>
      </c>
      <c r="F244">
        <v>2215354.9190000002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0.13792359162529866</v>
      </c>
      <c r="Q244">
        <f t="shared" si="960"/>
        <v>305549.70715325262</v>
      </c>
      <c r="R244">
        <f t="shared" si="961"/>
        <v>203368785.71516001</v>
      </c>
      <c r="S244">
        <f t="shared" si="962"/>
        <v>2033.6878571516002</v>
      </c>
      <c r="T244">
        <f t="shared" si="963"/>
        <v>2.0336878571515999</v>
      </c>
    </row>
    <row r="245" spans="1:20" x14ac:dyDescent="0.25">
      <c r="A245" s="5">
        <v>44348</v>
      </c>
      <c r="B245">
        <v>70.018000000000001</v>
      </c>
      <c r="C245">
        <v>71.840999999999994</v>
      </c>
      <c r="D245">
        <v>65.608999999999995</v>
      </c>
      <c r="E245">
        <v>67.765000000000001</v>
      </c>
      <c r="F245">
        <v>2795735.7910000002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-0.3080872913992278</v>
      </c>
      <c r="Q245">
        <f t="shared" si="960"/>
        <v>-861330.66731706774</v>
      </c>
      <c r="R245">
        <f t="shared" si="961"/>
        <v>203063236.00800675</v>
      </c>
      <c r="S245">
        <f t="shared" si="962"/>
        <v>2030.6323600800674</v>
      </c>
      <c r="T245">
        <f t="shared" si="963"/>
        <v>2.0306323600800673</v>
      </c>
    </row>
    <row r="246" spans="1:20" x14ac:dyDescent="0.25">
      <c r="A246" s="5">
        <v>44347</v>
      </c>
      <c r="B246">
        <v>66.147000000000006</v>
      </c>
      <c r="C246">
        <v>70.688999999999993</v>
      </c>
      <c r="D246">
        <v>61.857999999999997</v>
      </c>
      <c r="E246">
        <v>70.019000000000005</v>
      </c>
      <c r="F246">
        <v>3389571.5970000001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0.8482618050050984</v>
      </c>
      <c r="Q246">
        <f t="shared" si="960"/>
        <v>2875244.1210652338</v>
      </c>
      <c r="R246">
        <f t="shared" si="961"/>
        <v>203924566.67532381</v>
      </c>
      <c r="S246">
        <f t="shared" si="962"/>
        <v>2039.2456667532381</v>
      </c>
      <c r="T246">
        <f t="shared" si="963"/>
        <v>2.0392456667532382</v>
      </c>
    </row>
    <row r="247" spans="1:20" x14ac:dyDescent="0.25">
      <c r="A247" s="5">
        <v>44346</v>
      </c>
      <c r="B247">
        <v>64.366</v>
      </c>
      <c r="C247">
        <v>68.295000000000002</v>
      </c>
      <c r="D247">
        <v>59.844000000000001</v>
      </c>
      <c r="E247">
        <v>66.123999999999995</v>
      </c>
      <c r="F247">
        <v>3005671.3229999999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0.4862146491539448</v>
      </c>
      <c r="Q247">
        <f t="shared" si="960"/>
        <v>1461401.4277845181</v>
      </c>
      <c r="R247">
        <f t="shared" si="961"/>
        <v>201049322.55425858</v>
      </c>
      <c r="S247">
        <f t="shared" si="962"/>
        <v>2010.4932255425858</v>
      </c>
      <c r="T247">
        <f t="shared" si="963"/>
        <v>2.0104932255425858</v>
      </c>
    </row>
    <row r="248" spans="1:20" x14ac:dyDescent="0.25">
      <c r="A248" s="5">
        <v>44345</v>
      </c>
      <c r="B248">
        <v>68.209000000000003</v>
      </c>
      <c r="C248">
        <v>70.900000000000006</v>
      </c>
      <c r="D248">
        <v>60.927999999999997</v>
      </c>
      <c r="E248">
        <v>64.293000000000006</v>
      </c>
      <c r="F248">
        <v>4269878.2029999997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-0.32511030886482023</v>
      </c>
      <c r="Q248">
        <f t="shared" si="960"/>
        <v>-1388181.4213924934</v>
      </c>
      <c r="R248">
        <f t="shared" si="961"/>
        <v>199587921.12647405</v>
      </c>
      <c r="S248">
        <f t="shared" si="962"/>
        <v>1995.8792112647404</v>
      </c>
      <c r="T248">
        <f t="shared" si="963"/>
        <v>1.9958792112647403</v>
      </c>
    </row>
    <row r="249" spans="1:20" x14ac:dyDescent="0.25">
      <c r="A249" s="5">
        <v>44344</v>
      </c>
      <c r="B249">
        <v>74.649000000000001</v>
      </c>
      <c r="C249">
        <v>79</v>
      </c>
      <c r="D249">
        <v>63.44</v>
      </c>
      <c r="E249">
        <v>68.198999999999998</v>
      </c>
      <c r="F249">
        <v>7538571.8880000003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-0.38830334190231369</v>
      </c>
      <c r="Q249">
        <f t="shared" si="960"/>
        <v>-2927252.6572812344</v>
      </c>
      <c r="R249">
        <f t="shared" si="961"/>
        <v>200976102.54786655</v>
      </c>
      <c r="S249">
        <f t="shared" si="962"/>
        <v>2009.7610254786655</v>
      </c>
      <c r="T249">
        <f t="shared" si="963"/>
        <v>2.0097610254786655</v>
      </c>
    </row>
    <row r="250" spans="1:20" x14ac:dyDescent="0.25">
      <c r="A250" s="5">
        <v>44343</v>
      </c>
      <c r="B250">
        <v>79.869</v>
      </c>
      <c r="C250">
        <v>79.885999999999996</v>
      </c>
      <c r="D250">
        <v>71.067999999999998</v>
      </c>
      <c r="E250">
        <v>74.596000000000004</v>
      </c>
      <c r="F250">
        <v>4321373.909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-0.19981855295985332</v>
      </c>
      <c r="Q250">
        <f t="shared" si="960"/>
        <v>-863490.68129484484</v>
      </c>
      <c r="R250">
        <f t="shared" si="961"/>
        <v>203903355.20514777</v>
      </c>
      <c r="S250">
        <f t="shared" si="962"/>
        <v>2039.0335520514777</v>
      </c>
      <c r="T250">
        <f t="shared" si="963"/>
        <v>2.0390335520514777</v>
      </c>
    </row>
    <row r="251" spans="1:20" x14ac:dyDescent="0.25">
      <c r="A251" s="5">
        <v>44342</v>
      </c>
      <c r="B251">
        <v>78.287000000000006</v>
      </c>
      <c r="C251">
        <v>83.491</v>
      </c>
      <c r="D251">
        <v>73.715000000000003</v>
      </c>
      <c r="E251">
        <v>79.885999999999996</v>
      </c>
      <c r="F251">
        <v>6405391.5259999996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0.26247954173485977</v>
      </c>
      <c r="Q251">
        <f t="shared" si="960"/>
        <v>1681284.2323768339</v>
      </c>
      <c r="R251">
        <f t="shared" si="961"/>
        <v>204766845.88644263</v>
      </c>
      <c r="S251">
        <f t="shared" si="962"/>
        <v>2047.6684588644264</v>
      </c>
      <c r="T251">
        <f t="shared" si="963"/>
        <v>2.0476684588644263</v>
      </c>
    </row>
    <row r="252" spans="1:20" x14ac:dyDescent="0.25">
      <c r="A252" s="5">
        <v>44341</v>
      </c>
      <c r="B252">
        <v>73.710999999999999</v>
      </c>
      <c r="C252">
        <v>83</v>
      </c>
      <c r="D252">
        <v>70.013000000000005</v>
      </c>
      <c r="E252">
        <v>78.364000000000004</v>
      </c>
      <c r="F252">
        <v>14612363.116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0.28605528605528641</v>
      </c>
      <c r="Q252">
        <f t="shared" si="960"/>
        <v>4179943.7110910965</v>
      </c>
      <c r="R252">
        <f t="shared" si="961"/>
        <v>203085561.65406579</v>
      </c>
      <c r="S252">
        <f t="shared" si="962"/>
        <v>2030.8556165406578</v>
      </c>
      <c r="T252">
        <f t="shared" si="963"/>
        <v>2.0308556165406579</v>
      </c>
    </row>
    <row r="253" spans="1:20" x14ac:dyDescent="0.25">
      <c r="A253" s="5">
        <v>44340</v>
      </c>
      <c r="B253">
        <v>51.576000000000001</v>
      </c>
      <c r="C253">
        <v>75</v>
      </c>
      <c r="D253">
        <v>48.783000000000001</v>
      </c>
      <c r="E253">
        <v>73.710999999999999</v>
      </c>
      <c r="F253">
        <v>11857043.282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0.90166685738261421</v>
      </c>
      <c r="Q253">
        <f t="shared" si="960"/>
        <v>10691102.953930577</v>
      </c>
      <c r="R253">
        <f t="shared" si="961"/>
        <v>198905617.94297469</v>
      </c>
      <c r="S253">
        <f t="shared" si="962"/>
        <v>1989.0561794297469</v>
      </c>
      <c r="T253">
        <f t="shared" si="963"/>
        <v>1.9890561794297468</v>
      </c>
    </row>
    <row r="254" spans="1:20" x14ac:dyDescent="0.25">
      <c r="A254" s="5">
        <v>44339</v>
      </c>
      <c r="B254">
        <v>58.56</v>
      </c>
      <c r="C254">
        <v>65</v>
      </c>
      <c r="D254">
        <v>39.792000000000002</v>
      </c>
      <c r="E254">
        <v>51.552999999999997</v>
      </c>
      <c r="F254">
        <v>10381524.648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-6.6883529038400794E-2</v>
      </c>
      <c r="Q254">
        <f t="shared" si="960"/>
        <v>-694353.00525738159</v>
      </c>
      <c r="R254">
        <f t="shared" si="961"/>
        <v>188214514.9890441</v>
      </c>
      <c r="S254">
        <f t="shared" si="962"/>
        <v>1882.145149890441</v>
      </c>
      <c r="T254">
        <f t="shared" si="963"/>
        <v>1.8821451498904409</v>
      </c>
    </row>
    <row r="255" spans="1:20" x14ac:dyDescent="0.25">
      <c r="A255" s="5">
        <v>44338</v>
      </c>
      <c r="B255">
        <v>64.168000000000006</v>
      </c>
      <c r="C255">
        <v>64.823999999999998</v>
      </c>
      <c r="D255">
        <v>54</v>
      </c>
      <c r="E255">
        <v>58.497999999999998</v>
      </c>
      <c r="F255">
        <v>6242128.8269999996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-0.1688839615668887</v>
      </c>
      <c r="Q255">
        <f t="shared" si="960"/>
        <v>-1054195.444914636</v>
      </c>
      <c r="R255">
        <f t="shared" si="961"/>
        <v>188908867.99430147</v>
      </c>
      <c r="S255">
        <f t="shared" si="962"/>
        <v>1889.0886799430148</v>
      </c>
      <c r="T255">
        <f t="shared" si="963"/>
        <v>1.8890886799430147</v>
      </c>
    </row>
    <row r="256" spans="1:20" x14ac:dyDescent="0.25">
      <c r="A256" s="5">
        <v>44337</v>
      </c>
      <c r="B256">
        <v>73.73</v>
      </c>
      <c r="C256">
        <v>78.23</v>
      </c>
      <c r="D256">
        <v>54.389000000000003</v>
      </c>
      <c r="E256">
        <v>64.167000000000002</v>
      </c>
      <c r="F256">
        <v>9461101.8640000001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-0.17973239377542902</v>
      </c>
      <c r="Q256">
        <f t="shared" si="960"/>
        <v>-1700466.4857698935</v>
      </c>
      <c r="R256">
        <f t="shared" si="961"/>
        <v>189963063.43921611</v>
      </c>
      <c r="S256">
        <f t="shared" si="962"/>
        <v>1899.630634392161</v>
      </c>
      <c r="T256">
        <f t="shared" si="963"/>
        <v>1.899630634392161</v>
      </c>
    </row>
    <row r="257" spans="1:20" x14ac:dyDescent="0.25">
      <c r="A257" s="5">
        <v>44336</v>
      </c>
      <c r="B257">
        <v>59.405999999999999</v>
      </c>
      <c r="C257">
        <v>80</v>
      </c>
      <c r="D257">
        <v>54.436</v>
      </c>
      <c r="E257">
        <v>73.744</v>
      </c>
      <c r="F257">
        <v>10361553.971999999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0.51056172742919725</v>
      </c>
      <c r="Q257">
        <f t="shared" si="960"/>
        <v>5290212.8947951794</v>
      </c>
      <c r="R257">
        <f t="shared" si="961"/>
        <v>191663529.924986</v>
      </c>
      <c r="S257">
        <f t="shared" si="962"/>
        <v>1916.6352992498601</v>
      </c>
      <c r="T257">
        <f t="shared" si="963"/>
        <v>1.9166352992498601</v>
      </c>
    </row>
    <row r="258" spans="1:20" x14ac:dyDescent="0.25">
      <c r="A258" s="5">
        <v>44335</v>
      </c>
      <c r="B258">
        <v>88.575000000000003</v>
      </c>
      <c r="C258">
        <v>90.245999999999995</v>
      </c>
      <c r="D258">
        <v>40</v>
      </c>
      <c r="E258">
        <v>59.436</v>
      </c>
      <c r="F258">
        <v>16187315.123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-0.22636627791266958</v>
      </c>
      <c r="Q258">
        <f t="shared" si="960"/>
        <v>-3664262.273792977</v>
      </c>
      <c r="R258">
        <f t="shared" si="961"/>
        <v>186373317.03019083</v>
      </c>
      <c r="S258">
        <f t="shared" si="962"/>
        <v>1863.7331703019083</v>
      </c>
      <c r="T258">
        <f t="shared" si="963"/>
        <v>1.8637331703019084</v>
      </c>
    </row>
    <row r="259" spans="1:20" x14ac:dyDescent="0.25">
      <c r="A259" s="5">
        <v>44334</v>
      </c>
      <c r="B259">
        <v>89.701999999999998</v>
      </c>
      <c r="C259">
        <v>95.668000000000006</v>
      </c>
      <c r="D259">
        <v>85.936000000000007</v>
      </c>
      <c r="E259">
        <v>88.576999999999998</v>
      </c>
      <c r="F259">
        <v>4919002.7379999999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-0.45725441841348308</v>
      </c>
      <c r="Q259">
        <f t="shared" si="960"/>
        <v>-2249235.7361385208</v>
      </c>
      <c r="R259">
        <f t="shared" si="961"/>
        <v>190037579.30398381</v>
      </c>
      <c r="S259">
        <f t="shared" si="962"/>
        <v>1900.3757930398381</v>
      </c>
      <c r="T259">
        <f t="shared" si="963"/>
        <v>1.9003757930398382</v>
      </c>
    </row>
    <row r="260" spans="1:20" x14ac:dyDescent="0.25">
      <c r="A260" s="5">
        <v>44333</v>
      </c>
      <c r="B260">
        <v>93.873999999999995</v>
      </c>
      <c r="C260">
        <v>94.447999999999993</v>
      </c>
      <c r="D260">
        <v>80.66</v>
      </c>
      <c r="E260">
        <v>89.677000000000007</v>
      </c>
      <c r="F260">
        <v>5962799.7220000001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0.3079489411082118</v>
      </c>
      <c r="Q260">
        <f t="shared" si="960"/>
        <v>1836237.8604302397</v>
      </c>
      <c r="R260">
        <f t="shared" si="961"/>
        <v>192286815.04012233</v>
      </c>
      <c r="S260">
        <f t="shared" si="962"/>
        <v>1922.8681504012234</v>
      </c>
      <c r="T260">
        <f t="shared" si="963"/>
        <v>1.9228681504012233</v>
      </c>
    </row>
    <row r="261" spans="1:20" x14ac:dyDescent="0.25">
      <c r="A261" s="5">
        <v>44332</v>
      </c>
      <c r="B261">
        <v>95.087000000000003</v>
      </c>
      <c r="C261">
        <v>103.27500000000001</v>
      </c>
      <c r="D261">
        <v>86.918000000000006</v>
      </c>
      <c r="E261">
        <v>93.858999999999995</v>
      </c>
      <c r="F261">
        <v>6055479.9989999998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-0.15131136516476265</v>
      </c>
      <c r="Q261">
        <f t="shared" si="960"/>
        <v>-916262.94537660549</v>
      </c>
      <c r="R261">
        <f t="shared" si="961"/>
        <v>190450577.17969209</v>
      </c>
      <c r="S261">
        <f t="shared" si="962"/>
        <v>1904.505771796921</v>
      </c>
      <c r="T261">
        <f t="shared" si="963"/>
        <v>1.9045057717969209</v>
      </c>
    </row>
    <row r="262" spans="1:20" x14ac:dyDescent="0.25">
      <c r="A262" s="5">
        <v>44331</v>
      </c>
      <c r="B262">
        <v>103.333</v>
      </c>
      <c r="C262">
        <v>114.49</v>
      </c>
      <c r="D262">
        <v>94.665999999999997</v>
      </c>
      <c r="E262">
        <v>95.087999999999994</v>
      </c>
      <c r="F262">
        <v>9031708.9189999998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-0.95742534301856363</v>
      </c>
      <c r="Q262">
        <f t="shared" ref="Q262:Q325" si="965">F262*P262</f>
        <v>-8647187.0098173954</v>
      </c>
      <c r="R262">
        <f t="shared" ref="R262:R325" si="966">R263+Q262</f>
        <v>191366840.12506869</v>
      </c>
      <c r="S262">
        <f t="shared" ref="S262:S325" si="967">R262/100000</f>
        <v>1913.6684012506869</v>
      </c>
      <c r="T262">
        <f t="shared" ref="T262:T325" si="968">S262/1000</f>
        <v>1.9136684012506868</v>
      </c>
    </row>
    <row r="263" spans="1:20" x14ac:dyDescent="0.25">
      <c r="A263" s="5">
        <v>44330</v>
      </c>
      <c r="B263">
        <v>88.382999999999996</v>
      </c>
      <c r="C263">
        <v>109.991</v>
      </c>
      <c r="D263">
        <v>86.447000000000003</v>
      </c>
      <c r="E263">
        <v>103.313</v>
      </c>
      <c r="F263">
        <v>10660255.312999999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0.43272171253822644</v>
      </c>
      <c r="Q263">
        <f t="shared" si="965"/>
        <v>4612923.9351360872</v>
      </c>
      <c r="R263">
        <f t="shared" si="966"/>
        <v>200014027.13488609</v>
      </c>
      <c r="S263">
        <f t="shared" si="967"/>
        <v>2000.1402713488608</v>
      </c>
      <c r="T263">
        <f t="shared" si="968"/>
        <v>2.0001402713488607</v>
      </c>
    </row>
    <row r="264" spans="1:20" x14ac:dyDescent="0.25">
      <c r="A264" s="5">
        <v>44329</v>
      </c>
      <c r="B264">
        <v>84.988</v>
      </c>
      <c r="C264">
        <v>94.881</v>
      </c>
      <c r="D264">
        <v>76.141999999999996</v>
      </c>
      <c r="E264">
        <v>88.382999999999996</v>
      </c>
      <c r="F264">
        <v>11544054.608999999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0.30647313090346301</v>
      </c>
      <c r="Q264">
        <f t="shared" si="965"/>
        <v>3537942.5593407825</v>
      </c>
      <c r="R264">
        <f t="shared" si="966"/>
        <v>195401103.19975001</v>
      </c>
      <c r="S264">
        <f t="shared" si="967"/>
        <v>1954.0110319975001</v>
      </c>
      <c r="T264">
        <f t="shared" si="968"/>
        <v>1.9540110319975001</v>
      </c>
    </row>
    <row r="265" spans="1:20" x14ac:dyDescent="0.25">
      <c r="A265" s="5">
        <v>44328</v>
      </c>
      <c r="B265">
        <v>111.193</v>
      </c>
      <c r="C265">
        <v>114.5</v>
      </c>
      <c r="D265">
        <v>81</v>
      </c>
      <c r="E265">
        <v>84.995999999999995</v>
      </c>
      <c r="F265">
        <v>8464236.8609999996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-0.76143283582089583</v>
      </c>
      <c r="Q265">
        <f t="shared" si="965"/>
        <v>-6444947.876130987</v>
      </c>
      <c r="R265">
        <f t="shared" si="966"/>
        <v>191863160.64040923</v>
      </c>
      <c r="S265">
        <f t="shared" si="967"/>
        <v>1918.6316064040923</v>
      </c>
      <c r="T265">
        <f t="shared" si="968"/>
        <v>1.9186316064040922</v>
      </c>
    </row>
    <row r="266" spans="1:20" x14ac:dyDescent="0.25">
      <c r="A266" s="5">
        <v>44327</v>
      </c>
      <c r="B266">
        <v>105.09399999999999</v>
      </c>
      <c r="C266">
        <v>117.624</v>
      </c>
      <c r="D266">
        <v>102.142</v>
      </c>
      <c r="E266">
        <v>111.173</v>
      </c>
      <c r="F266">
        <v>8188203.7680000002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0.16664513628730221</v>
      </c>
      <c r="Q266">
        <f t="shared" si="965"/>
        <v>1364524.3328665616</v>
      </c>
      <c r="R266">
        <f t="shared" si="966"/>
        <v>198308108.51654023</v>
      </c>
      <c r="S266">
        <f t="shared" si="967"/>
        <v>1983.0810851654023</v>
      </c>
      <c r="T266">
        <f t="shared" si="968"/>
        <v>1.9830810851654024</v>
      </c>
    </row>
    <row r="267" spans="1:20" x14ac:dyDescent="0.25">
      <c r="A267" s="5">
        <v>44326</v>
      </c>
      <c r="B267">
        <v>117.90600000000001</v>
      </c>
      <c r="C267">
        <v>129.49799999999999</v>
      </c>
      <c r="D267">
        <v>90</v>
      </c>
      <c r="E267">
        <v>105.09399999999999</v>
      </c>
      <c r="F267">
        <v>15157838.41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-0.235708137120867</v>
      </c>
      <c r="Q267">
        <f t="shared" si="965"/>
        <v>-3572825.8544002245</v>
      </c>
      <c r="R267">
        <f t="shared" si="966"/>
        <v>196943584.18367368</v>
      </c>
      <c r="S267">
        <f t="shared" si="967"/>
        <v>1969.4358418367367</v>
      </c>
      <c r="T267">
        <f t="shared" si="968"/>
        <v>1.9694358418367366</v>
      </c>
    </row>
    <row r="268" spans="1:20" x14ac:dyDescent="0.25">
      <c r="A268" s="5">
        <v>44325</v>
      </c>
      <c r="B268">
        <v>127.35899999999999</v>
      </c>
      <c r="C268">
        <v>129.88999999999999</v>
      </c>
      <c r="D268">
        <v>112</v>
      </c>
      <c r="E268">
        <v>117.904</v>
      </c>
      <c r="F268">
        <v>10108492.295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-0.33996646171045269</v>
      </c>
      <c r="Q268">
        <f t="shared" si="965"/>
        <v>-3436548.3587585236</v>
      </c>
      <c r="R268">
        <f t="shared" si="966"/>
        <v>200516410.0380739</v>
      </c>
      <c r="S268">
        <f t="shared" si="967"/>
        <v>2005.164100380739</v>
      </c>
      <c r="T268">
        <f t="shared" si="968"/>
        <v>2.005164100380739</v>
      </c>
    </row>
    <row r="269" spans="1:20" x14ac:dyDescent="0.25">
      <c r="A269" s="5">
        <v>44324</v>
      </c>
      <c r="B269">
        <v>119.76300000000001</v>
      </c>
      <c r="C269">
        <v>135.09100000000001</v>
      </c>
      <c r="D269">
        <v>110</v>
      </c>
      <c r="E269">
        <v>127.31699999999999</v>
      </c>
      <c r="F269">
        <v>17054054.754000001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0.38033557849427979</v>
      </c>
      <c r="Q269">
        <f t="shared" si="965"/>
        <v>6486263.7805357128</v>
      </c>
      <c r="R269">
        <f t="shared" si="966"/>
        <v>203952958.39683241</v>
      </c>
      <c r="S269">
        <f t="shared" si="967"/>
        <v>2039.529583968324</v>
      </c>
      <c r="T269">
        <f t="shared" si="968"/>
        <v>2.0395295839683238</v>
      </c>
    </row>
    <row r="270" spans="1:20" x14ac:dyDescent="0.25">
      <c r="A270" s="5">
        <v>44323</v>
      </c>
      <c r="B270">
        <v>133.864</v>
      </c>
      <c r="C270">
        <v>145.001</v>
      </c>
      <c r="D270">
        <v>108.39100000000001</v>
      </c>
      <c r="E270">
        <v>119.76300000000001</v>
      </c>
      <c r="F270">
        <v>31679192.763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-0.37874897568970228</v>
      </c>
      <c r="Q270">
        <f t="shared" si="965"/>
        <v>-11998461.80966288</v>
      </c>
      <c r="R270">
        <f t="shared" si="966"/>
        <v>197466694.61629668</v>
      </c>
      <c r="S270">
        <f t="shared" si="967"/>
        <v>1974.6669461629667</v>
      </c>
      <c r="T270">
        <f t="shared" si="968"/>
        <v>1.9746669461629667</v>
      </c>
    </row>
    <row r="271" spans="1:20" x14ac:dyDescent="0.25">
      <c r="A271" s="5">
        <v>44322</v>
      </c>
      <c r="B271">
        <v>93.962000000000003</v>
      </c>
      <c r="C271">
        <v>179.83</v>
      </c>
      <c r="D271">
        <v>86.626999999999995</v>
      </c>
      <c r="E271">
        <v>133.864</v>
      </c>
      <c r="F271">
        <v>48009367.357000001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1.3636900099782202E-2</v>
      </c>
      <c r="Q271">
        <f t="shared" si="965"/>
        <v>654698.94650115375</v>
      </c>
      <c r="R271">
        <f t="shared" si="966"/>
        <v>209465156.42595956</v>
      </c>
      <c r="S271">
        <f t="shared" si="967"/>
        <v>2094.6515642595955</v>
      </c>
      <c r="T271">
        <f t="shared" si="968"/>
        <v>2.0946515642595953</v>
      </c>
    </row>
    <row r="272" spans="1:20" x14ac:dyDescent="0.25">
      <c r="A272" s="5">
        <v>44321</v>
      </c>
      <c r="B272">
        <v>69.350999999999999</v>
      </c>
      <c r="C272">
        <v>100</v>
      </c>
      <c r="D272">
        <v>67.8</v>
      </c>
      <c r="E272">
        <v>93.962000000000003</v>
      </c>
      <c r="F272">
        <v>31912894.454999998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0.62496894409937909</v>
      </c>
      <c r="Q272">
        <f t="shared" si="965"/>
        <v>19944567.950696278</v>
      </c>
      <c r="R272">
        <f t="shared" si="966"/>
        <v>208810457.47945839</v>
      </c>
      <c r="S272">
        <f t="shared" si="967"/>
        <v>2088.1045747945841</v>
      </c>
      <c r="T272">
        <f t="shared" si="968"/>
        <v>2.0881045747945839</v>
      </c>
    </row>
    <row r="273" spans="1:20" x14ac:dyDescent="0.25">
      <c r="A273" s="5">
        <v>44320</v>
      </c>
      <c r="B273">
        <v>52.064999999999998</v>
      </c>
      <c r="C273">
        <v>72.5</v>
      </c>
      <c r="D273">
        <v>49.16</v>
      </c>
      <c r="E273">
        <v>69.248999999999995</v>
      </c>
      <c r="F273">
        <v>23655357.477000002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0.72142245072836297</v>
      </c>
      <c r="Q273">
        <f t="shared" si="965"/>
        <v>17065505.963912845</v>
      </c>
      <c r="R273">
        <f t="shared" si="966"/>
        <v>188865889.5287621</v>
      </c>
      <c r="S273">
        <f t="shared" si="967"/>
        <v>1888.6588952876209</v>
      </c>
      <c r="T273">
        <f t="shared" si="968"/>
        <v>1.8886588952876209</v>
      </c>
    </row>
    <row r="274" spans="1:20" x14ac:dyDescent="0.25">
      <c r="A274" s="5">
        <v>44319</v>
      </c>
      <c r="B274">
        <v>44.905000000000001</v>
      </c>
      <c r="C274">
        <v>52.5</v>
      </c>
      <c r="D274">
        <v>44.232999999999997</v>
      </c>
      <c r="E274">
        <v>52.036999999999999</v>
      </c>
      <c r="F274">
        <v>8630206.7170000002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0.8879883875650173</v>
      </c>
      <c r="Q274">
        <f t="shared" si="965"/>
        <v>7663523.346981612</v>
      </c>
      <c r="R274">
        <f t="shared" si="966"/>
        <v>171800383.56484926</v>
      </c>
      <c r="S274">
        <f t="shared" si="967"/>
        <v>1718.0038356484927</v>
      </c>
      <c r="T274">
        <f t="shared" si="968"/>
        <v>1.7180038356484926</v>
      </c>
    </row>
    <row r="275" spans="1:20" x14ac:dyDescent="0.25">
      <c r="A275" s="5">
        <v>44318</v>
      </c>
      <c r="B275">
        <v>44.738</v>
      </c>
      <c r="C275">
        <v>46.8</v>
      </c>
      <c r="D275">
        <v>42.003999999999998</v>
      </c>
      <c r="E275">
        <v>44.92</v>
      </c>
      <c r="F275">
        <v>8211108.807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0.21601334445371323</v>
      </c>
      <c r="Q275">
        <f t="shared" si="965"/>
        <v>1773709.0750734094</v>
      </c>
      <c r="R275">
        <f t="shared" si="966"/>
        <v>164136860.21786764</v>
      </c>
      <c r="S275">
        <f t="shared" si="967"/>
        <v>1641.3686021786764</v>
      </c>
      <c r="T275">
        <f t="shared" si="968"/>
        <v>1.6413686021786764</v>
      </c>
    </row>
    <row r="276" spans="1:20" x14ac:dyDescent="0.25">
      <c r="A276" s="5">
        <v>44317</v>
      </c>
      <c r="B276">
        <v>36.32</v>
      </c>
      <c r="C276">
        <v>46.691000000000003</v>
      </c>
      <c r="D276">
        <v>36.231000000000002</v>
      </c>
      <c r="E276">
        <v>44.706000000000003</v>
      </c>
      <c r="F276">
        <v>7694489.1140000001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0.62045889101338447</v>
      </c>
      <c r="Q276">
        <f t="shared" si="965"/>
        <v>4774114.1825869996</v>
      </c>
      <c r="R276">
        <f t="shared" si="966"/>
        <v>162363151.14279422</v>
      </c>
      <c r="S276">
        <f t="shared" si="967"/>
        <v>1623.6315114279423</v>
      </c>
      <c r="T276">
        <f t="shared" si="968"/>
        <v>1.6236315114279423</v>
      </c>
    </row>
    <row r="277" spans="1:20" x14ac:dyDescent="0.25">
      <c r="A277" s="5">
        <v>44316</v>
      </c>
      <c r="B277">
        <v>34.512999999999998</v>
      </c>
      <c r="C277">
        <v>36.770000000000003</v>
      </c>
      <c r="D277">
        <v>33.741999999999997</v>
      </c>
      <c r="E277">
        <v>36.317</v>
      </c>
      <c r="F277">
        <v>2735086.4249999998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0.70079260237780572</v>
      </c>
      <c r="Q277">
        <f t="shared" si="965"/>
        <v>1916728.333503959</v>
      </c>
      <c r="R277">
        <f t="shared" si="966"/>
        <v>157589036.96020722</v>
      </c>
      <c r="S277">
        <f t="shared" si="967"/>
        <v>1575.8903696020723</v>
      </c>
      <c r="T277">
        <f t="shared" si="968"/>
        <v>1.5758903696020723</v>
      </c>
    </row>
    <row r="278" spans="1:20" x14ac:dyDescent="0.25">
      <c r="A278" s="5">
        <v>44315</v>
      </c>
      <c r="B278">
        <v>35.07</v>
      </c>
      <c r="C278">
        <v>35.368000000000002</v>
      </c>
      <c r="D278">
        <v>33.6</v>
      </c>
      <c r="E278">
        <v>34.529000000000003</v>
      </c>
      <c r="F278">
        <v>2198004.6660000002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5.0904977375567519E-2</v>
      </c>
      <c r="Q278">
        <f t="shared" si="965"/>
        <v>111889.37779412186</v>
      </c>
      <c r="R278">
        <f t="shared" si="966"/>
        <v>155672308.62670326</v>
      </c>
      <c r="S278">
        <f t="shared" si="967"/>
        <v>1556.7230862670326</v>
      </c>
      <c r="T278">
        <f t="shared" si="968"/>
        <v>1.5567230862670327</v>
      </c>
    </row>
    <row r="279" spans="1:20" x14ac:dyDescent="0.25">
      <c r="A279" s="5">
        <v>44314</v>
      </c>
      <c r="B279">
        <v>33.808</v>
      </c>
      <c r="C279">
        <v>36.439</v>
      </c>
      <c r="D279">
        <v>32.247</v>
      </c>
      <c r="E279">
        <v>35.061</v>
      </c>
      <c r="F279">
        <v>4689634.0039999997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0.34255725190839692</v>
      </c>
      <c r="Q279">
        <f t="shared" si="965"/>
        <v>1606468.1368664119</v>
      </c>
      <c r="R279">
        <f t="shared" si="966"/>
        <v>155560419.24890915</v>
      </c>
      <c r="S279">
        <f t="shared" si="967"/>
        <v>1555.6041924890915</v>
      </c>
      <c r="T279">
        <f t="shared" si="968"/>
        <v>1.5556041924890915</v>
      </c>
    </row>
    <row r="280" spans="1:20" x14ac:dyDescent="0.25">
      <c r="A280" s="5">
        <v>44313</v>
      </c>
      <c r="B280">
        <v>32.841999999999999</v>
      </c>
      <c r="C280">
        <v>34.5</v>
      </c>
      <c r="D280">
        <v>31.917999999999999</v>
      </c>
      <c r="E280">
        <v>33.802999999999997</v>
      </c>
      <c r="F280">
        <v>3528569.67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0.46010844306738768</v>
      </c>
      <c r="Q280">
        <f t="shared" si="965"/>
        <v>1623524.6971185058</v>
      </c>
      <c r="R280">
        <f t="shared" si="966"/>
        <v>153953951.11204273</v>
      </c>
      <c r="S280">
        <f t="shared" si="967"/>
        <v>1539.5395111204273</v>
      </c>
      <c r="T280">
        <f t="shared" si="968"/>
        <v>1.5395395111204273</v>
      </c>
    </row>
    <row r="281" spans="1:20" x14ac:dyDescent="0.25">
      <c r="A281" s="5">
        <v>44312</v>
      </c>
      <c r="B281">
        <v>29.297000000000001</v>
      </c>
      <c r="C281">
        <v>32.939</v>
      </c>
      <c r="D281">
        <v>28.911999999999999</v>
      </c>
      <c r="E281">
        <v>32.825000000000003</v>
      </c>
      <c r="F281">
        <v>3613568.6469999999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0.94338217035013794</v>
      </c>
      <c r="Q281">
        <f t="shared" si="965"/>
        <v>3408976.2329160715</v>
      </c>
      <c r="R281">
        <f t="shared" si="966"/>
        <v>152330426.41492423</v>
      </c>
      <c r="S281">
        <f t="shared" si="967"/>
        <v>1523.3042641492423</v>
      </c>
      <c r="T281">
        <f t="shared" si="968"/>
        <v>1.5233042641492422</v>
      </c>
    </row>
    <row r="282" spans="1:20" x14ac:dyDescent="0.25">
      <c r="A282" s="5">
        <v>44311</v>
      </c>
      <c r="B282">
        <v>29.665299999999998</v>
      </c>
      <c r="C282">
        <v>31.914000000000001</v>
      </c>
      <c r="D282">
        <v>27.75</v>
      </c>
      <c r="E282">
        <v>29.315000000000001</v>
      </c>
      <c r="F282">
        <v>2699200.3369999998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-0.24831892411143097</v>
      </c>
      <c r="Q282">
        <f t="shared" si="965"/>
        <v>-670262.52364505187</v>
      </c>
      <c r="R282">
        <f t="shared" si="966"/>
        <v>148921450.18200818</v>
      </c>
      <c r="S282">
        <f t="shared" si="967"/>
        <v>1489.2145018200818</v>
      </c>
      <c r="T282">
        <f t="shared" si="968"/>
        <v>1.4892145018200817</v>
      </c>
    </row>
    <row r="283" spans="1:20" x14ac:dyDescent="0.25">
      <c r="A283" s="5">
        <v>44310</v>
      </c>
      <c r="B283">
        <v>32.630400000000002</v>
      </c>
      <c r="C283">
        <v>32.861499999999999</v>
      </c>
      <c r="D283">
        <v>29.2563</v>
      </c>
      <c r="E283">
        <v>29.657699999999998</v>
      </c>
      <c r="F283">
        <v>3203543.95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-0.77732164651059643</v>
      </c>
      <c r="Q283">
        <f t="shared" si="965"/>
        <v>-2490184.0578830601</v>
      </c>
      <c r="R283">
        <f t="shared" si="966"/>
        <v>149591712.70565322</v>
      </c>
      <c r="S283">
        <f t="shared" si="967"/>
        <v>1495.9171270565323</v>
      </c>
      <c r="T283">
        <f t="shared" si="968"/>
        <v>1.4959171270565323</v>
      </c>
    </row>
    <row r="284" spans="1:20" x14ac:dyDescent="0.25">
      <c r="A284" s="5">
        <v>44309</v>
      </c>
      <c r="B284">
        <v>33.503700000000002</v>
      </c>
      <c r="C284">
        <v>34.514299999999999</v>
      </c>
      <c r="D284">
        <v>25.093299999999999</v>
      </c>
      <c r="E284">
        <v>32.6158</v>
      </c>
      <c r="F284">
        <v>10022062.130000001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0.59696422885044076</v>
      </c>
      <c r="Q284">
        <f t="shared" si="965"/>
        <v>5982812.5909266565</v>
      </c>
      <c r="R284">
        <f t="shared" si="966"/>
        <v>152081896.76353627</v>
      </c>
      <c r="S284">
        <f t="shared" si="967"/>
        <v>1520.8189676353627</v>
      </c>
      <c r="T284">
        <f t="shared" si="968"/>
        <v>1.5208189676353627</v>
      </c>
    </row>
    <row r="285" spans="1:20" x14ac:dyDescent="0.25">
      <c r="A285" s="5">
        <v>44308</v>
      </c>
      <c r="B285">
        <v>31.973299999999998</v>
      </c>
      <c r="C285">
        <v>39.5</v>
      </c>
      <c r="D285">
        <v>31.45</v>
      </c>
      <c r="E285">
        <v>33.510399999999997</v>
      </c>
      <c r="F285">
        <v>10895808.130000001</v>
      </c>
      <c r="G285">
        <v>0</v>
      </c>
      <c r="L285" t="s">
        <v>8</v>
      </c>
      <c r="M285" t="s">
        <v>8</v>
      </c>
      <c r="N285" t="s">
        <v>7</v>
      </c>
      <c r="P285">
        <f t="shared" si="964"/>
        <v>-0.48809937888198818</v>
      </c>
      <c r="Q285">
        <f t="shared" si="965"/>
        <v>-5318237.1806703173</v>
      </c>
      <c r="R285">
        <f t="shared" si="966"/>
        <v>146099084.17260963</v>
      </c>
      <c r="S285">
        <f t="shared" si="967"/>
        <v>1460.9908417260963</v>
      </c>
      <c r="T285">
        <f t="shared" si="968"/>
        <v>1.4609908417260962</v>
      </c>
    </row>
    <row r="286" spans="1:20" x14ac:dyDescent="0.25">
      <c r="A286" s="5">
        <v>44307</v>
      </c>
      <c r="B286">
        <v>33.761600000000001</v>
      </c>
      <c r="C286">
        <v>35.49</v>
      </c>
      <c r="D286">
        <v>31.513200000000001</v>
      </c>
      <c r="E286">
        <v>31.9236</v>
      </c>
      <c r="F286">
        <v>4050059.48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-0.7936028968014488</v>
      </c>
      <c r="Q286">
        <f t="shared" si="965"/>
        <v>-3214138.9355461695</v>
      </c>
      <c r="R286">
        <f t="shared" si="966"/>
        <v>151417321.35327995</v>
      </c>
      <c r="S286">
        <f t="shared" si="967"/>
        <v>1514.1732135327995</v>
      </c>
      <c r="T286">
        <f t="shared" si="968"/>
        <v>1.5141732135327994</v>
      </c>
    </row>
    <row r="287" spans="1:20" x14ac:dyDescent="0.25">
      <c r="A287" s="5">
        <v>44306</v>
      </c>
      <c r="B287">
        <v>33.4407</v>
      </c>
      <c r="C287">
        <v>35.282299999999999</v>
      </c>
      <c r="D287">
        <v>29.974499999999999</v>
      </c>
      <c r="E287">
        <v>33.738999999999997</v>
      </c>
      <c r="F287">
        <v>5386957.9400000004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0.41847846565431929</v>
      </c>
      <c r="Q287">
        <f t="shared" si="965"/>
        <v>2254325.8932755529</v>
      </c>
      <c r="R287">
        <f t="shared" si="966"/>
        <v>154631460.28882611</v>
      </c>
      <c r="S287">
        <f t="shared" si="967"/>
        <v>1546.3146028882611</v>
      </c>
      <c r="T287">
        <f t="shared" si="968"/>
        <v>1.5463146028882611</v>
      </c>
    </row>
    <row r="288" spans="1:20" x14ac:dyDescent="0.25">
      <c r="A288" s="5">
        <v>44305</v>
      </c>
      <c r="B288">
        <v>37.123699999999999</v>
      </c>
      <c r="C288">
        <v>38.353900000000003</v>
      </c>
      <c r="D288">
        <v>32.039400000000001</v>
      </c>
      <c r="E288">
        <v>33.416600000000003</v>
      </c>
      <c r="F288">
        <v>7017366.5899999999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-0.56379760867843809</v>
      </c>
      <c r="Q288">
        <f t="shared" si="965"/>
        <v>-3956374.5026619653</v>
      </c>
      <c r="R288">
        <f t="shared" si="966"/>
        <v>152377134.39555055</v>
      </c>
      <c r="S288">
        <f t="shared" si="967"/>
        <v>1523.7713439555055</v>
      </c>
      <c r="T288">
        <f t="shared" si="968"/>
        <v>1.5237713439555054</v>
      </c>
    </row>
    <row r="289" spans="1:20" x14ac:dyDescent="0.25">
      <c r="A289" s="5">
        <v>44304</v>
      </c>
      <c r="B289">
        <v>37.6629</v>
      </c>
      <c r="C289">
        <v>39.099899999999998</v>
      </c>
      <c r="D289">
        <v>30.9529</v>
      </c>
      <c r="E289">
        <v>37.072800000000001</v>
      </c>
      <c r="F289">
        <v>13088056.48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0.50236897017307047</v>
      </c>
      <c r="Q289">
        <f t="shared" si="965"/>
        <v>6575033.4554245817</v>
      </c>
      <c r="R289">
        <f t="shared" si="966"/>
        <v>156333508.89821252</v>
      </c>
      <c r="S289">
        <f t="shared" si="967"/>
        <v>1563.3350889821252</v>
      </c>
      <c r="T289">
        <f t="shared" si="968"/>
        <v>1.5633350889821251</v>
      </c>
    </row>
    <row r="290" spans="1:20" x14ac:dyDescent="0.25">
      <c r="A290" s="5">
        <v>44303</v>
      </c>
      <c r="B290">
        <v>38.273699999999998</v>
      </c>
      <c r="C290">
        <v>49.88</v>
      </c>
      <c r="D290">
        <v>37.249699999999997</v>
      </c>
      <c r="E290">
        <v>37.7258</v>
      </c>
      <c r="F290">
        <v>19137883.84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-0.92460986674900802</v>
      </c>
      <c r="Q290">
        <f t="shared" si="965"/>
        <v>-17695076.227160394</v>
      </c>
      <c r="R290">
        <f t="shared" si="966"/>
        <v>149758475.44278795</v>
      </c>
      <c r="S290">
        <f t="shared" si="967"/>
        <v>1497.5847544278795</v>
      </c>
      <c r="T290">
        <f t="shared" si="968"/>
        <v>1.4975847544278795</v>
      </c>
    </row>
    <row r="291" spans="1:20" x14ac:dyDescent="0.25">
      <c r="A291" s="5">
        <v>44302</v>
      </c>
      <c r="B291">
        <v>28.6128</v>
      </c>
      <c r="C291">
        <v>46.476700000000001</v>
      </c>
      <c r="D291">
        <v>28.6128</v>
      </c>
      <c r="E291">
        <v>38.273400000000002</v>
      </c>
      <c r="F291">
        <v>27933536.359999999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8.1577930910943494E-2</v>
      </c>
      <c r="Q291">
        <f t="shared" si="965"/>
        <v>2278760.0992744081</v>
      </c>
      <c r="R291">
        <f t="shared" si="966"/>
        <v>167453551.66994834</v>
      </c>
      <c r="S291">
        <f t="shared" si="967"/>
        <v>1674.5355166994834</v>
      </c>
      <c r="T291">
        <f t="shared" si="968"/>
        <v>1.6745355166994835</v>
      </c>
    </row>
    <row r="292" spans="1:20" x14ac:dyDescent="0.25">
      <c r="A292" s="5">
        <v>44301</v>
      </c>
      <c r="B292">
        <v>21.920200000000001</v>
      </c>
      <c r="C292">
        <v>29.844100000000001</v>
      </c>
      <c r="D292">
        <v>21.4451</v>
      </c>
      <c r="E292">
        <v>28.6129</v>
      </c>
      <c r="F292">
        <v>9359741.3699999992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0.70682224074294531</v>
      </c>
      <c r="Q292">
        <f t="shared" si="965"/>
        <v>6615673.3679178441</v>
      </c>
      <c r="R292">
        <f t="shared" si="966"/>
        <v>165174791.57067394</v>
      </c>
      <c r="S292">
        <f t="shared" si="967"/>
        <v>1651.7479157067394</v>
      </c>
      <c r="T292">
        <f t="shared" si="968"/>
        <v>1.6517479157067394</v>
      </c>
    </row>
    <row r="293" spans="1:20" x14ac:dyDescent="0.25">
      <c r="A293" s="5">
        <v>44300</v>
      </c>
      <c r="B293">
        <v>21.211099999999998</v>
      </c>
      <c r="C293">
        <v>22.7499</v>
      </c>
      <c r="D293">
        <v>20.13</v>
      </c>
      <c r="E293">
        <v>21.9193</v>
      </c>
      <c r="F293">
        <v>4344457.05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0.36592999732814224</v>
      </c>
      <c r="Q293">
        <f t="shared" si="965"/>
        <v>1589767.1566987287</v>
      </c>
      <c r="R293">
        <f t="shared" si="966"/>
        <v>158559118.20275611</v>
      </c>
      <c r="S293">
        <f t="shared" si="967"/>
        <v>1585.591182027561</v>
      </c>
      <c r="T293">
        <f t="shared" si="968"/>
        <v>1.585591182027561</v>
      </c>
    </row>
    <row r="294" spans="1:20" x14ac:dyDescent="0.25">
      <c r="A294" s="5">
        <v>44299</v>
      </c>
      <c r="B294">
        <v>19.515899999999998</v>
      </c>
      <c r="C294">
        <v>22.047499999999999</v>
      </c>
      <c r="D294">
        <v>19.4101</v>
      </c>
      <c r="E294">
        <v>21.206900000000001</v>
      </c>
      <c r="F294">
        <v>3710566.38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0.36255403048456919</v>
      </c>
      <c r="Q294">
        <f t="shared" si="965"/>
        <v>1345280.7964495374</v>
      </c>
      <c r="R294">
        <f t="shared" si="966"/>
        <v>156969351.04605737</v>
      </c>
      <c r="S294">
        <f t="shared" si="967"/>
        <v>1569.6935104605736</v>
      </c>
      <c r="T294">
        <f t="shared" si="968"/>
        <v>1.5696935104605736</v>
      </c>
    </row>
    <row r="295" spans="1:20" x14ac:dyDescent="0.25">
      <c r="A295" s="5">
        <v>44298</v>
      </c>
      <c r="B295">
        <v>20.360600000000002</v>
      </c>
      <c r="C295">
        <v>20.562000000000001</v>
      </c>
      <c r="D295">
        <v>18.974599999999999</v>
      </c>
      <c r="E295">
        <v>19.522500000000001</v>
      </c>
      <c r="F295">
        <v>2426158.98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-0.30968879929444221</v>
      </c>
      <c r="Q295">
        <f t="shared" si="965"/>
        <v>-751354.26141362858</v>
      </c>
      <c r="R295">
        <f t="shared" si="966"/>
        <v>155624070.24960783</v>
      </c>
      <c r="S295">
        <f t="shared" si="967"/>
        <v>1556.2407024960783</v>
      </c>
      <c r="T295">
        <f t="shared" si="968"/>
        <v>1.5562407024960783</v>
      </c>
    </row>
    <row r="296" spans="1:20" x14ac:dyDescent="0.25">
      <c r="A296" s="5">
        <v>44297</v>
      </c>
      <c r="B296">
        <v>20.459900000000001</v>
      </c>
      <c r="C296">
        <v>21.5183</v>
      </c>
      <c r="D296">
        <v>19.798300000000001</v>
      </c>
      <c r="E296">
        <v>20.370899999999999</v>
      </c>
      <c r="F296">
        <v>3531457.37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-0.33418604651163003</v>
      </c>
      <c r="Q296">
        <f t="shared" si="965"/>
        <v>-1180163.7769046586</v>
      </c>
      <c r="R296">
        <f t="shared" si="966"/>
        <v>156375424.51102147</v>
      </c>
      <c r="S296">
        <f t="shared" si="967"/>
        <v>1563.7542451102147</v>
      </c>
      <c r="T296">
        <f t="shared" si="968"/>
        <v>1.5637542451102147</v>
      </c>
    </row>
    <row r="297" spans="1:20" x14ac:dyDescent="0.25">
      <c r="A297" s="5">
        <v>44296</v>
      </c>
      <c r="B297">
        <v>18.7715</v>
      </c>
      <c r="C297">
        <v>21.229700000000001</v>
      </c>
      <c r="D297">
        <v>18.309999999999999</v>
      </c>
      <c r="E297">
        <v>20.443899999999999</v>
      </c>
      <c r="F297">
        <v>4407519.17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0.4617255197451785</v>
      </c>
      <c r="Q297">
        <f t="shared" si="965"/>
        <v>2035064.0795550877</v>
      </c>
      <c r="R297">
        <f t="shared" si="966"/>
        <v>157555588.28792614</v>
      </c>
      <c r="S297">
        <f t="shared" si="967"/>
        <v>1575.5558828792614</v>
      </c>
      <c r="T297">
        <f t="shared" si="968"/>
        <v>1.5755558828792613</v>
      </c>
    </row>
    <row r="298" spans="1:20" x14ac:dyDescent="0.25">
      <c r="A298" s="5">
        <v>44295</v>
      </c>
      <c r="B298">
        <v>19.625399999999999</v>
      </c>
      <c r="C298">
        <v>20.111000000000001</v>
      </c>
      <c r="D298">
        <v>18.508900000000001</v>
      </c>
      <c r="E298">
        <v>18.770700000000001</v>
      </c>
      <c r="F298">
        <v>2852521.27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-0.67317895262467897</v>
      </c>
      <c r="Q298">
        <f t="shared" si="965"/>
        <v>-1920257.2808782191</v>
      </c>
      <c r="R298">
        <f t="shared" si="966"/>
        <v>155520524.20837104</v>
      </c>
      <c r="S298">
        <f t="shared" si="967"/>
        <v>1555.2052420837103</v>
      </c>
      <c r="T298">
        <f t="shared" si="968"/>
        <v>1.5552052420837104</v>
      </c>
    </row>
    <row r="299" spans="1:20" x14ac:dyDescent="0.25">
      <c r="A299" s="5">
        <v>44294</v>
      </c>
      <c r="B299">
        <v>19.164400000000001</v>
      </c>
      <c r="C299">
        <v>19.927900000000001</v>
      </c>
      <c r="D299">
        <v>18.0106</v>
      </c>
      <c r="E299">
        <v>19.629200000000001</v>
      </c>
      <c r="F299">
        <v>5761672.6299999999</v>
      </c>
      <c r="G299">
        <v>0</v>
      </c>
      <c r="L299" t="s">
        <v>7</v>
      </c>
      <c r="M299" t="s">
        <v>8</v>
      </c>
      <c r="N299" t="s">
        <v>8</v>
      </c>
      <c r="P299">
        <f t="shared" si="964"/>
        <v>0.68841600166901362</v>
      </c>
      <c r="Q299">
        <f t="shared" si="965"/>
        <v>3966427.6348703899</v>
      </c>
      <c r="R299">
        <f t="shared" si="966"/>
        <v>157440781.48924926</v>
      </c>
      <c r="S299">
        <f t="shared" si="967"/>
        <v>1574.4078148924925</v>
      </c>
      <c r="T299">
        <f t="shared" si="968"/>
        <v>1.5744078148924925</v>
      </c>
    </row>
    <row r="300" spans="1:20" x14ac:dyDescent="0.25">
      <c r="A300" s="5">
        <v>44293</v>
      </c>
      <c r="B300">
        <v>17.749600000000001</v>
      </c>
      <c r="C300">
        <v>20.969000000000001</v>
      </c>
      <c r="D300">
        <v>16.7698</v>
      </c>
      <c r="E300">
        <v>19.1937</v>
      </c>
      <c r="F300">
        <v>15518421.15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0.15445799199847546</v>
      </c>
      <c r="Q300">
        <f t="shared" si="965"/>
        <v>2396944.1698156726</v>
      </c>
      <c r="R300">
        <f t="shared" si="966"/>
        <v>153474353.85437888</v>
      </c>
      <c r="S300">
        <f t="shared" si="967"/>
        <v>1534.7435385437889</v>
      </c>
      <c r="T300">
        <f t="shared" si="968"/>
        <v>1.5347435385437889</v>
      </c>
    </row>
    <row r="301" spans="1:20" x14ac:dyDescent="0.25">
      <c r="A301" s="5">
        <v>44292</v>
      </c>
      <c r="B301">
        <v>16.074400000000001</v>
      </c>
      <c r="C301">
        <v>18.638400000000001</v>
      </c>
      <c r="D301">
        <v>15.9755</v>
      </c>
      <c r="E301">
        <v>17.732900000000001</v>
      </c>
      <c r="F301">
        <v>7611882.96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0.31991437906042297</v>
      </c>
      <c r="Q301">
        <f t="shared" si="965"/>
        <v>2435150.8106290144</v>
      </c>
      <c r="R301">
        <f t="shared" si="966"/>
        <v>151077409.68456322</v>
      </c>
      <c r="S301">
        <f t="shared" si="967"/>
        <v>1510.7740968456321</v>
      </c>
      <c r="T301">
        <f t="shared" si="968"/>
        <v>1.510774096845632</v>
      </c>
    </row>
    <row r="302" spans="1:20" x14ac:dyDescent="0.25">
      <c r="A302" s="5">
        <v>44291</v>
      </c>
      <c r="B302">
        <v>14.5489</v>
      </c>
      <c r="C302">
        <v>16.111599999999999</v>
      </c>
      <c r="D302">
        <v>14.291399999999999</v>
      </c>
      <c r="E302">
        <v>16.074400000000001</v>
      </c>
      <c r="F302">
        <v>4079380.42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0.95912537083837102</v>
      </c>
      <c r="Q302">
        <f t="shared" si="965"/>
        <v>3912637.2581232898</v>
      </c>
      <c r="R302">
        <f t="shared" si="966"/>
        <v>148642258.87393421</v>
      </c>
      <c r="S302">
        <f t="shared" si="967"/>
        <v>1486.422588739342</v>
      </c>
      <c r="T302">
        <f t="shared" si="968"/>
        <v>1.4864225887393421</v>
      </c>
    </row>
    <row r="303" spans="1:20" x14ac:dyDescent="0.25">
      <c r="A303" s="5">
        <v>44290</v>
      </c>
      <c r="B303">
        <v>13.5756</v>
      </c>
      <c r="C303">
        <v>14.5745</v>
      </c>
      <c r="D303">
        <v>13.3568</v>
      </c>
      <c r="E303">
        <v>14.5489</v>
      </c>
      <c r="F303">
        <v>2383366.94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0.9579535189291275</v>
      </c>
      <c r="Q303">
        <f t="shared" si="965"/>
        <v>2283154.7470723465</v>
      </c>
      <c r="R303">
        <f t="shared" si="966"/>
        <v>144729621.61581093</v>
      </c>
      <c r="S303">
        <f t="shared" si="967"/>
        <v>1447.2962161581092</v>
      </c>
      <c r="T303">
        <f t="shared" si="968"/>
        <v>1.4472962161581093</v>
      </c>
    </row>
    <row r="304" spans="1:20" x14ac:dyDescent="0.25">
      <c r="A304" s="5">
        <v>44289</v>
      </c>
      <c r="B304">
        <v>15.251099999999999</v>
      </c>
      <c r="C304">
        <v>15.35</v>
      </c>
      <c r="D304">
        <v>13.4876</v>
      </c>
      <c r="E304">
        <v>13.571</v>
      </c>
      <c r="F304">
        <v>3003119.67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-0.91043814432989767</v>
      </c>
      <c r="Q304">
        <f t="shared" si="965"/>
        <v>-2734154.6995554147</v>
      </c>
      <c r="R304">
        <f t="shared" si="966"/>
        <v>142446466.86873859</v>
      </c>
      <c r="S304">
        <f t="shared" si="967"/>
        <v>1424.4646686873859</v>
      </c>
      <c r="T304">
        <f t="shared" si="968"/>
        <v>1.4244646686873859</v>
      </c>
    </row>
    <row r="305" spans="1:20" x14ac:dyDescent="0.25">
      <c r="A305" s="5">
        <v>44288</v>
      </c>
      <c r="B305">
        <v>14.329700000000001</v>
      </c>
      <c r="C305">
        <v>15.6455</v>
      </c>
      <c r="D305">
        <v>14.0863</v>
      </c>
      <c r="E305">
        <v>15.2454</v>
      </c>
      <c r="F305">
        <v>3520562.57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0.48678809645972299</v>
      </c>
      <c r="Q305">
        <f t="shared" si="965"/>
        <v>1713767.9519176502</v>
      </c>
      <c r="R305">
        <f t="shared" si="966"/>
        <v>145180621.56829402</v>
      </c>
      <c r="S305">
        <f t="shared" si="967"/>
        <v>1451.8062156829401</v>
      </c>
      <c r="T305">
        <f t="shared" si="968"/>
        <v>1.4518062156829401</v>
      </c>
    </row>
    <row r="306" spans="1:20" x14ac:dyDescent="0.25">
      <c r="A306" s="5">
        <v>44287</v>
      </c>
      <c r="B306">
        <v>14.115399999999999</v>
      </c>
      <c r="C306">
        <v>14.510199999999999</v>
      </c>
      <c r="D306">
        <v>13.5501</v>
      </c>
      <c r="E306">
        <v>14.315</v>
      </c>
      <c r="F306">
        <v>3145102.93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0.59337569003228818</v>
      </c>
      <c r="Q306">
        <f t="shared" si="965"/>
        <v>1866227.6213113214</v>
      </c>
      <c r="R306">
        <f t="shared" si="966"/>
        <v>143466853.61637637</v>
      </c>
      <c r="S306">
        <f t="shared" si="967"/>
        <v>1434.6685361637637</v>
      </c>
      <c r="T306">
        <f t="shared" si="968"/>
        <v>1.4346685361637637</v>
      </c>
    </row>
    <row r="307" spans="1:20" x14ac:dyDescent="0.25">
      <c r="A307" s="5">
        <v>44286</v>
      </c>
      <c r="B307">
        <v>13.0197</v>
      </c>
      <c r="C307">
        <v>14.3751</v>
      </c>
      <c r="D307">
        <v>12.6</v>
      </c>
      <c r="E307">
        <v>14.1287</v>
      </c>
      <c r="F307">
        <v>3906325.54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0.72238183764295028</v>
      </c>
      <c r="Q307">
        <f t="shared" si="965"/>
        <v>2821858.6220167899</v>
      </c>
      <c r="R307">
        <f t="shared" si="966"/>
        <v>141600625.99506506</v>
      </c>
      <c r="S307">
        <f t="shared" si="967"/>
        <v>1416.0062599506507</v>
      </c>
      <c r="T307">
        <f t="shared" si="968"/>
        <v>1.4160062599506507</v>
      </c>
    </row>
    <row r="308" spans="1:20" x14ac:dyDescent="0.25">
      <c r="A308" s="5">
        <v>44285</v>
      </c>
      <c r="B308">
        <v>12.6395</v>
      </c>
      <c r="C308">
        <v>13.0655</v>
      </c>
      <c r="D308">
        <v>12.348800000000001</v>
      </c>
      <c r="E308">
        <v>13.016</v>
      </c>
      <c r="F308">
        <v>1974096.63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0.8618668899120967</v>
      </c>
      <c r="Q308">
        <f t="shared" si="965"/>
        <v>1701408.5228840511</v>
      </c>
      <c r="R308">
        <f t="shared" si="966"/>
        <v>138778767.37304828</v>
      </c>
      <c r="S308">
        <f t="shared" si="967"/>
        <v>1387.7876737304828</v>
      </c>
      <c r="T308">
        <f t="shared" si="968"/>
        <v>1.3877876737304828</v>
      </c>
    </row>
    <row r="309" spans="1:20" x14ac:dyDescent="0.25">
      <c r="A309" s="5">
        <v>44284</v>
      </c>
      <c r="B309">
        <v>11.8668</v>
      </c>
      <c r="C309">
        <v>12.758599999999999</v>
      </c>
      <c r="D309">
        <v>11.73</v>
      </c>
      <c r="E309">
        <v>12.6381</v>
      </c>
      <c r="F309">
        <v>1899531.77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0.76570095275131256</v>
      </c>
      <c r="Q309">
        <f t="shared" si="965"/>
        <v>1454473.2860703871</v>
      </c>
      <c r="R309">
        <f t="shared" si="966"/>
        <v>137077358.85016423</v>
      </c>
      <c r="S309">
        <f t="shared" si="967"/>
        <v>1370.7735885016423</v>
      </c>
      <c r="T309">
        <f t="shared" si="968"/>
        <v>1.3707735885016423</v>
      </c>
    </row>
    <row r="310" spans="1:20" x14ac:dyDescent="0.25">
      <c r="A310" s="5">
        <v>44283</v>
      </c>
      <c r="B310">
        <v>11.7912</v>
      </c>
      <c r="C310">
        <v>12.0556</v>
      </c>
      <c r="D310">
        <v>11.701700000000001</v>
      </c>
      <c r="E310">
        <v>11.8644</v>
      </c>
      <c r="F310">
        <v>1222113.56</v>
      </c>
      <c r="G310">
        <v>0</v>
      </c>
      <c r="L310" t="s">
        <v>8</v>
      </c>
      <c r="M310" t="s">
        <v>7</v>
      </c>
      <c r="N310" t="s">
        <v>8</v>
      </c>
      <c r="P310">
        <f t="shared" si="964"/>
        <v>-8.0531223509469133E-2</v>
      </c>
      <c r="Q310">
        <f t="shared" si="965"/>
        <v>-98418.300254313013</v>
      </c>
      <c r="R310">
        <f t="shared" si="966"/>
        <v>135622885.56409386</v>
      </c>
      <c r="S310">
        <f t="shared" si="967"/>
        <v>1356.2288556409385</v>
      </c>
      <c r="T310">
        <f t="shared" si="968"/>
        <v>1.3562288556409385</v>
      </c>
    </row>
    <row r="311" spans="1:20" x14ac:dyDescent="0.25">
      <c r="A311" s="5">
        <v>44282</v>
      </c>
      <c r="B311">
        <v>11.7605</v>
      </c>
      <c r="C311">
        <v>11.9777</v>
      </c>
      <c r="D311">
        <v>11.4339</v>
      </c>
      <c r="E311">
        <v>11.7927</v>
      </c>
      <c r="F311">
        <v>1142859.8400000001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0.31960279514527334</v>
      </c>
      <c r="Q311">
        <f t="shared" si="965"/>
        <v>365261.1993232799</v>
      </c>
      <c r="R311">
        <f t="shared" si="966"/>
        <v>135721303.86434817</v>
      </c>
      <c r="S311">
        <f t="shared" si="967"/>
        <v>1357.2130386434817</v>
      </c>
      <c r="T311">
        <f t="shared" si="968"/>
        <v>1.3572130386434818</v>
      </c>
    </row>
    <row r="312" spans="1:20" x14ac:dyDescent="0.25">
      <c r="A312" s="5">
        <v>44281</v>
      </c>
      <c r="B312">
        <v>11.076700000000001</v>
      </c>
      <c r="C312">
        <v>11.765599999999999</v>
      </c>
      <c r="D312">
        <v>11.06</v>
      </c>
      <c r="E312">
        <v>11.7593</v>
      </c>
      <c r="F312">
        <v>1618476.37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0.98214285714285843</v>
      </c>
      <c r="Q312">
        <f t="shared" si="965"/>
        <v>1589575.0062500022</v>
      </c>
      <c r="R312">
        <f t="shared" si="966"/>
        <v>135356042.66502491</v>
      </c>
      <c r="S312">
        <f t="shared" si="967"/>
        <v>1353.5604266502492</v>
      </c>
      <c r="T312">
        <f t="shared" si="968"/>
        <v>1.3535604266502492</v>
      </c>
    </row>
    <row r="313" spans="1:20" x14ac:dyDescent="0.25">
      <c r="A313" s="5">
        <v>44280</v>
      </c>
      <c r="B313">
        <v>11.293799999999999</v>
      </c>
      <c r="C313">
        <v>11.468</v>
      </c>
      <c r="D313">
        <v>10.7546</v>
      </c>
      <c r="E313">
        <v>11.0876</v>
      </c>
      <c r="F313">
        <v>2103364.4500000002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-6.6442388561816182E-2</v>
      </c>
      <c r="Q313">
        <f t="shared" si="965"/>
        <v>-139752.5580740108</v>
      </c>
      <c r="R313">
        <f t="shared" si="966"/>
        <v>133766467.6587749</v>
      </c>
      <c r="S313">
        <f t="shared" si="967"/>
        <v>1337.664676587749</v>
      </c>
      <c r="T313">
        <f t="shared" si="968"/>
        <v>1.3376646765877489</v>
      </c>
    </row>
    <row r="314" spans="1:20" x14ac:dyDescent="0.25">
      <c r="A314" s="5">
        <v>44279</v>
      </c>
      <c r="B314">
        <v>12.2346</v>
      </c>
      <c r="C314">
        <v>12.6289</v>
      </c>
      <c r="D314">
        <v>11.083500000000001</v>
      </c>
      <c r="E314">
        <v>11.292</v>
      </c>
      <c r="F314">
        <v>2454033.94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-0.73016694706872121</v>
      </c>
      <c r="Q314">
        <f t="shared" si="965"/>
        <v>-1791854.4699728254</v>
      </c>
      <c r="R314">
        <f t="shared" si="966"/>
        <v>133906220.21684891</v>
      </c>
      <c r="S314">
        <f t="shared" si="967"/>
        <v>1339.0622021684892</v>
      </c>
      <c r="T314">
        <f t="shared" si="968"/>
        <v>1.3390622021684893</v>
      </c>
    </row>
    <row r="315" spans="1:20" x14ac:dyDescent="0.25">
      <c r="A315" s="5">
        <v>44278</v>
      </c>
      <c r="B315">
        <v>11.6595</v>
      </c>
      <c r="C315">
        <v>12.681900000000001</v>
      </c>
      <c r="D315">
        <v>11.6058</v>
      </c>
      <c r="E315">
        <v>12.241300000000001</v>
      </c>
      <c r="F315">
        <v>3306521.31</v>
      </c>
      <c r="G315">
        <v>0</v>
      </c>
      <c r="L315" t="s">
        <v>8</v>
      </c>
      <c r="M315" t="s">
        <v>7</v>
      </c>
      <c r="N315" t="s">
        <v>8</v>
      </c>
      <c r="P315">
        <f t="shared" si="964"/>
        <v>0.18111699656165828</v>
      </c>
      <c r="Q315">
        <f t="shared" si="965"/>
        <v>598867.20873431978</v>
      </c>
      <c r="R315">
        <f t="shared" si="966"/>
        <v>135698074.68682173</v>
      </c>
      <c r="S315">
        <f t="shared" si="967"/>
        <v>1356.9807468682172</v>
      </c>
      <c r="T315">
        <f t="shared" si="968"/>
        <v>1.3569807468682173</v>
      </c>
    </row>
    <row r="316" spans="1:20" x14ac:dyDescent="0.25">
      <c r="A316" s="5">
        <v>44277</v>
      </c>
      <c r="B316">
        <v>11.9816</v>
      </c>
      <c r="C316">
        <v>12.4079</v>
      </c>
      <c r="D316">
        <v>11.562799999999999</v>
      </c>
      <c r="E316">
        <v>11.6556</v>
      </c>
      <c r="F316">
        <v>2489360.0499999998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-0.78038101999763254</v>
      </c>
      <c r="Q316">
        <f t="shared" si="965"/>
        <v>-1942649.3349603573</v>
      </c>
      <c r="R316">
        <f t="shared" si="966"/>
        <v>135099207.4780874</v>
      </c>
      <c r="S316">
        <f t="shared" si="967"/>
        <v>1350.992074780874</v>
      </c>
      <c r="T316">
        <f t="shared" si="968"/>
        <v>1.3509920747808739</v>
      </c>
    </row>
    <row r="317" spans="1:20" x14ac:dyDescent="0.25">
      <c r="A317" s="5">
        <v>44276</v>
      </c>
      <c r="B317">
        <v>12.311299999999999</v>
      </c>
      <c r="C317">
        <v>12.459199999999999</v>
      </c>
      <c r="D317">
        <v>11.8985</v>
      </c>
      <c r="E317">
        <v>11.9811</v>
      </c>
      <c r="F317">
        <v>1671308.94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-0.70536828963795428</v>
      </c>
      <c r="Q317">
        <f t="shared" si="965"/>
        <v>-1178888.3284644224</v>
      </c>
      <c r="R317">
        <f t="shared" si="966"/>
        <v>137041856.81304777</v>
      </c>
      <c r="S317">
        <f t="shared" si="967"/>
        <v>1370.4185681304778</v>
      </c>
      <c r="T317">
        <f t="shared" si="968"/>
        <v>1.3704185681304777</v>
      </c>
    </row>
    <row r="318" spans="1:20" x14ac:dyDescent="0.25">
      <c r="A318" s="5">
        <v>44275</v>
      </c>
      <c r="B318">
        <v>12.2537</v>
      </c>
      <c r="C318">
        <v>12.891299999999999</v>
      </c>
      <c r="D318">
        <v>12.213800000000001</v>
      </c>
      <c r="E318">
        <v>12.3108</v>
      </c>
      <c r="F318">
        <v>1725148.58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-0.71365313653136608</v>
      </c>
      <c r="Q318">
        <f t="shared" si="965"/>
        <v>-1231157.6950996325</v>
      </c>
      <c r="R318">
        <f t="shared" si="966"/>
        <v>138220745.14151219</v>
      </c>
      <c r="S318">
        <f t="shared" si="967"/>
        <v>1382.2074514151218</v>
      </c>
      <c r="T318">
        <f t="shared" si="968"/>
        <v>1.3822074514151217</v>
      </c>
    </row>
    <row r="319" spans="1:20" x14ac:dyDescent="0.25">
      <c r="A319" s="5">
        <v>44274</v>
      </c>
      <c r="B319">
        <v>12.1724</v>
      </c>
      <c r="C319">
        <v>12.43</v>
      </c>
      <c r="D319">
        <v>11.898999999999999</v>
      </c>
      <c r="E319">
        <v>12.2569</v>
      </c>
      <c r="F319">
        <v>1198410.08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0.34802259887005793</v>
      </c>
      <c r="Q319">
        <f t="shared" si="965"/>
        <v>417073.79055367404</v>
      </c>
      <c r="R319">
        <f t="shared" si="966"/>
        <v>139451902.83661181</v>
      </c>
      <c r="S319">
        <f t="shared" si="967"/>
        <v>1394.5190283661182</v>
      </c>
      <c r="T319">
        <f t="shared" si="968"/>
        <v>1.3945190283661182</v>
      </c>
    </row>
    <row r="320" spans="1:20" x14ac:dyDescent="0.25">
      <c r="A320" s="5">
        <v>44273</v>
      </c>
      <c r="B320">
        <v>12.569100000000001</v>
      </c>
      <c r="C320">
        <v>12.6706</v>
      </c>
      <c r="D320">
        <v>12.086</v>
      </c>
      <c r="E320">
        <v>12.169</v>
      </c>
      <c r="F320">
        <v>1575449.62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-0.71604515908313315</v>
      </c>
      <c r="Q320">
        <f t="shared" si="965"/>
        <v>-1128093.0737803618</v>
      </c>
      <c r="R320">
        <f t="shared" si="966"/>
        <v>139034829.04605815</v>
      </c>
      <c r="S320">
        <f t="shared" si="967"/>
        <v>1390.3482904605814</v>
      </c>
      <c r="T320">
        <f t="shared" si="968"/>
        <v>1.3903482904605815</v>
      </c>
    </row>
    <row r="321" spans="1:20" x14ac:dyDescent="0.25">
      <c r="A321" s="5">
        <v>44272</v>
      </c>
      <c r="B321">
        <v>12.4215</v>
      </c>
      <c r="C321">
        <v>12.5839</v>
      </c>
      <c r="D321">
        <v>11.762</v>
      </c>
      <c r="E321">
        <v>12.5671</v>
      </c>
      <c r="F321">
        <v>2111798.09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0.95911911424747553</v>
      </c>
      <c r="Q321">
        <f t="shared" si="965"/>
        <v>2025465.9135503105</v>
      </c>
      <c r="R321">
        <f t="shared" si="966"/>
        <v>140162922.11983851</v>
      </c>
      <c r="S321">
        <f t="shared" si="967"/>
        <v>1401.629221198385</v>
      </c>
      <c r="T321">
        <f t="shared" si="968"/>
        <v>1.401629221198385</v>
      </c>
    </row>
    <row r="322" spans="1:20" x14ac:dyDescent="0.25">
      <c r="A322" s="5">
        <v>44271</v>
      </c>
      <c r="B322">
        <v>12.1501</v>
      </c>
      <c r="C322">
        <v>12.562799999999999</v>
      </c>
      <c r="D322">
        <v>11.516</v>
      </c>
      <c r="E322">
        <v>12.4297</v>
      </c>
      <c r="F322">
        <v>2429445.2799999998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0.74570118456247803</v>
      </c>
      <c r="Q322">
        <f t="shared" si="965"/>
        <v>1811640.2231257209</v>
      </c>
      <c r="R322">
        <f t="shared" si="966"/>
        <v>138137456.20628819</v>
      </c>
      <c r="S322">
        <f t="shared" si="967"/>
        <v>1381.374562062882</v>
      </c>
      <c r="T322">
        <f t="shared" si="968"/>
        <v>1.3813745620628819</v>
      </c>
    </row>
    <row r="323" spans="1:20" x14ac:dyDescent="0.25">
      <c r="A323" s="5">
        <v>44270</v>
      </c>
      <c r="B323">
        <v>12.7164</v>
      </c>
      <c r="C323">
        <v>13.1014</v>
      </c>
      <c r="D323">
        <v>11.756399999999999</v>
      </c>
      <c r="E323">
        <v>12.156000000000001</v>
      </c>
      <c r="F323">
        <v>3902290.9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-0.40579925650557458</v>
      </c>
      <c r="Q323">
        <f t="shared" si="965"/>
        <v>-1583546.7458884695</v>
      </c>
      <c r="R323">
        <f t="shared" si="966"/>
        <v>136325815.98316246</v>
      </c>
      <c r="S323">
        <f t="shared" si="967"/>
        <v>1363.2581598316247</v>
      </c>
      <c r="T323">
        <f t="shared" si="968"/>
        <v>1.3632581598316247</v>
      </c>
    </row>
    <row r="324" spans="1:20" x14ac:dyDescent="0.25">
      <c r="A324" s="5">
        <v>44269</v>
      </c>
      <c r="B324">
        <v>13.779</v>
      </c>
      <c r="C324">
        <v>14.11</v>
      </c>
      <c r="D324">
        <v>12.7</v>
      </c>
      <c r="E324">
        <v>12.721399999999999</v>
      </c>
      <c r="F324">
        <v>2871229.97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-0.96964539007092221</v>
      </c>
      <c r="Q324">
        <f t="shared" si="965"/>
        <v>-2784074.9042439726</v>
      </c>
      <c r="R324">
        <f t="shared" si="966"/>
        <v>137909362.72905093</v>
      </c>
      <c r="S324">
        <f t="shared" si="967"/>
        <v>1379.0936272905094</v>
      </c>
      <c r="T324">
        <f t="shared" si="968"/>
        <v>1.3790936272905094</v>
      </c>
    </row>
    <row r="325" spans="1:20" x14ac:dyDescent="0.25">
      <c r="A325" s="5">
        <v>44268</v>
      </c>
      <c r="B325">
        <v>11.940099999999999</v>
      </c>
      <c r="C325">
        <v>14.315899999999999</v>
      </c>
      <c r="D325">
        <v>11.548400000000001</v>
      </c>
      <c r="E325">
        <v>13.773300000000001</v>
      </c>
      <c r="F325">
        <v>4474825.3499999996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0.60787714543812199</v>
      </c>
      <c r="Q325">
        <f t="shared" si="965"/>
        <v>2720144.0600921451</v>
      </c>
      <c r="R325">
        <f t="shared" si="966"/>
        <v>140693437.63329491</v>
      </c>
      <c r="S325">
        <f t="shared" si="967"/>
        <v>1406.9343763329491</v>
      </c>
      <c r="T325">
        <f t="shared" si="968"/>
        <v>1.4069343763329492</v>
      </c>
    </row>
    <row r="326" spans="1:20" x14ac:dyDescent="0.25">
      <c r="A326" s="5">
        <v>44267</v>
      </c>
      <c r="B326">
        <v>12.2593</v>
      </c>
      <c r="C326">
        <v>12.54</v>
      </c>
      <c r="D326">
        <v>11.4245</v>
      </c>
      <c r="E326">
        <v>11.936500000000001</v>
      </c>
      <c r="F326">
        <v>2503605.09</v>
      </c>
      <c r="G326">
        <v>0</v>
      </c>
      <c r="L326" t="s">
        <v>7</v>
      </c>
      <c r="M326" t="s">
        <v>8</v>
      </c>
      <c r="N326" t="s">
        <v>7</v>
      </c>
      <c r="P326">
        <f t="shared" ref="P326:P389" si="969">IF(C326=D326,0,((E326-D326)-(C326-E326))/(C326-D326))</f>
        <v>-8.2025997310621435E-2</v>
      </c>
      <c r="Q326">
        <f t="shared" ref="Q326:Q389" si="970">F326*P326</f>
        <v>-205360.70437919811</v>
      </c>
      <c r="R326">
        <f t="shared" ref="R326:R389" si="971">R327+Q326</f>
        <v>137973293.57320276</v>
      </c>
      <c r="S326">
        <f t="shared" ref="S326:S389" si="972">R326/100000</f>
        <v>1379.7329357320275</v>
      </c>
      <c r="T326">
        <f t="shared" ref="T326:T389" si="973">S326/1000</f>
        <v>1.3797329357320276</v>
      </c>
    </row>
    <row r="327" spans="1:20" x14ac:dyDescent="0.25">
      <c r="A327" s="5">
        <v>44266</v>
      </c>
      <c r="B327">
        <v>11.9529</v>
      </c>
      <c r="C327">
        <v>12.5976</v>
      </c>
      <c r="D327">
        <v>11.685600000000001</v>
      </c>
      <c r="E327">
        <v>12.2593</v>
      </c>
      <c r="F327">
        <v>2934472.39</v>
      </c>
      <c r="G327">
        <v>0</v>
      </c>
      <c r="L327" t="s">
        <v>8</v>
      </c>
      <c r="M327" t="s">
        <v>8</v>
      </c>
      <c r="N327" t="s">
        <v>7</v>
      </c>
      <c r="P327">
        <f t="shared" si="969"/>
        <v>0.25811403508771791</v>
      </c>
      <c r="Q327">
        <f t="shared" si="970"/>
        <v>757428.50943639944</v>
      </c>
      <c r="R327">
        <f t="shared" si="971"/>
        <v>138178654.27758196</v>
      </c>
      <c r="S327">
        <f t="shared" si="972"/>
        <v>1381.7865427758195</v>
      </c>
      <c r="T327">
        <f t="shared" si="973"/>
        <v>1.3817865427758196</v>
      </c>
    </row>
    <row r="328" spans="1:20" x14ac:dyDescent="0.25">
      <c r="A328" s="5">
        <v>44265</v>
      </c>
      <c r="B328">
        <v>12.4002</v>
      </c>
      <c r="C328">
        <v>12.75</v>
      </c>
      <c r="D328">
        <v>11.6348</v>
      </c>
      <c r="E328">
        <v>11.958</v>
      </c>
      <c r="F328">
        <v>2533996.89</v>
      </c>
      <c r="G328">
        <v>0</v>
      </c>
      <c r="L328" t="s">
        <v>7</v>
      </c>
      <c r="M328" t="s">
        <v>8</v>
      </c>
      <c r="N328" t="s">
        <v>7</v>
      </c>
      <c r="P328">
        <f t="shared" si="969"/>
        <v>-0.42037302725968434</v>
      </c>
      <c r="Q328">
        <f t="shared" si="970"/>
        <v>-1065223.9437159253</v>
      </c>
      <c r="R328">
        <f t="shared" si="971"/>
        <v>137421225.76814556</v>
      </c>
      <c r="S328">
        <f t="shared" si="972"/>
        <v>1374.2122576814556</v>
      </c>
      <c r="T328">
        <f t="shared" si="973"/>
        <v>1.3742122576814557</v>
      </c>
    </row>
    <row r="329" spans="1:20" x14ac:dyDescent="0.25">
      <c r="A329" s="5">
        <v>44264</v>
      </c>
      <c r="B329">
        <v>11.7043</v>
      </c>
      <c r="C329">
        <v>12.664099999999999</v>
      </c>
      <c r="D329">
        <v>11.52</v>
      </c>
      <c r="E329">
        <v>12.3956</v>
      </c>
      <c r="F329">
        <v>3395857.09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0.53063543396556323</v>
      </c>
      <c r="Q329">
        <f t="shared" si="970"/>
        <v>1801962.1006371847</v>
      </c>
      <c r="R329">
        <f t="shared" si="971"/>
        <v>138486449.71186149</v>
      </c>
      <c r="S329">
        <f t="shared" si="972"/>
        <v>1384.864497118615</v>
      </c>
      <c r="T329">
        <f t="shared" si="973"/>
        <v>1.384864497118615</v>
      </c>
    </row>
    <row r="330" spans="1:20" x14ac:dyDescent="0.25">
      <c r="A330" s="5">
        <v>44263</v>
      </c>
      <c r="B330">
        <v>11.538500000000001</v>
      </c>
      <c r="C330">
        <v>11.977600000000001</v>
      </c>
      <c r="D330">
        <v>11.046099999999999</v>
      </c>
      <c r="E330">
        <v>11.7082</v>
      </c>
      <c r="F330">
        <v>2565433.9300000002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0.42157809983896827</v>
      </c>
      <c r="Q330">
        <f t="shared" si="970"/>
        <v>1081530.7614718168</v>
      </c>
      <c r="R330">
        <f t="shared" si="971"/>
        <v>136684487.61122429</v>
      </c>
      <c r="S330">
        <f t="shared" si="972"/>
        <v>1366.8448761122429</v>
      </c>
      <c r="T330">
        <f t="shared" si="973"/>
        <v>1.3668448761122429</v>
      </c>
    </row>
    <row r="331" spans="1:20" x14ac:dyDescent="0.25">
      <c r="A331" s="5">
        <v>44262</v>
      </c>
      <c r="B331">
        <v>11.1158</v>
      </c>
      <c r="C331">
        <v>11.7882</v>
      </c>
      <c r="D331">
        <v>11.1158</v>
      </c>
      <c r="E331">
        <v>11.5466</v>
      </c>
      <c r="F331">
        <v>2097030.99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0.281380130874479</v>
      </c>
      <c r="Q331">
        <f t="shared" si="970"/>
        <v>590062.85441403824</v>
      </c>
      <c r="R331">
        <f t="shared" si="971"/>
        <v>135602956.84975249</v>
      </c>
      <c r="S331">
        <f t="shared" si="972"/>
        <v>1356.0295684975249</v>
      </c>
      <c r="T331">
        <f t="shared" si="973"/>
        <v>1.356029568497525</v>
      </c>
    </row>
    <row r="332" spans="1:20" x14ac:dyDescent="0.25">
      <c r="A332" s="5">
        <v>44261</v>
      </c>
      <c r="B332">
        <v>10.9467</v>
      </c>
      <c r="C332">
        <v>11.2499</v>
      </c>
      <c r="D332">
        <v>10.6349</v>
      </c>
      <c r="E332">
        <v>11.1134</v>
      </c>
      <c r="F332">
        <v>1417222.75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0.55609756097561047</v>
      </c>
      <c r="Q332">
        <f t="shared" si="970"/>
        <v>788114.11463414738</v>
      </c>
      <c r="R332">
        <f t="shared" si="971"/>
        <v>135012893.99533844</v>
      </c>
      <c r="S332">
        <f t="shared" si="972"/>
        <v>1350.1289399533844</v>
      </c>
      <c r="T332">
        <f t="shared" si="973"/>
        <v>1.3501289399533845</v>
      </c>
    </row>
    <row r="333" spans="1:20" x14ac:dyDescent="0.25">
      <c r="A333" s="5">
        <v>44260</v>
      </c>
      <c r="B333">
        <v>11.0039</v>
      </c>
      <c r="C333">
        <v>11.107900000000001</v>
      </c>
      <c r="D333">
        <v>10.3245</v>
      </c>
      <c r="E333">
        <v>10.9437</v>
      </c>
      <c r="F333">
        <v>1739698.73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0.58080163390349515</v>
      </c>
      <c r="Q333">
        <f t="shared" si="970"/>
        <v>1010419.8648838354</v>
      </c>
      <c r="R333">
        <f t="shared" si="971"/>
        <v>134224779.88070428</v>
      </c>
      <c r="S333">
        <f t="shared" si="972"/>
        <v>1342.2477988070427</v>
      </c>
      <c r="T333">
        <f t="shared" si="973"/>
        <v>1.3422477988070427</v>
      </c>
    </row>
    <row r="334" spans="1:20" x14ac:dyDescent="0.25">
      <c r="A334" s="5">
        <v>44259</v>
      </c>
      <c r="B334">
        <v>11.2432</v>
      </c>
      <c r="C334">
        <v>11.715299999999999</v>
      </c>
      <c r="D334">
        <v>10.684200000000001</v>
      </c>
      <c r="E334">
        <v>11.000400000000001</v>
      </c>
      <c r="F334">
        <v>2563869.9900000002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-0.38667442537096169</v>
      </c>
      <c r="Q334">
        <f t="shared" si="970"/>
        <v>-991382.95510910335</v>
      </c>
      <c r="R334">
        <f t="shared" si="971"/>
        <v>133214360.01582046</v>
      </c>
      <c r="S334">
        <f t="shared" si="972"/>
        <v>1332.1436001582047</v>
      </c>
      <c r="T334">
        <f t="shared" si="973"/>
        <v>1.3321436001582048</v>
      </c>
    </row>
    <row r="335" spans="1:20" x14ac:dyDescent="0.25">
      <c r="A335" s="5">
        <v>44258</v>
      </c>
      <c r="B335">
        <v>10.9056</v>
      </c>
      <c r="C335">
        <v>11.74</v>
      </c>
      <c r="D335">
        <v>10.813700000000001</v>
      </c>
      <c r="E335">
        <v>11.2516</v>
      </c>
      <c r="F335">
        <v>2875532.82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-5.4517974738207221E-2</v>
      </c>
      <c r="Q335">
        <f t="shared" si="970"/>
        <v>-156768.22563964577</v>
      </c>
      <c r="R335">
        <f t="shared" si="971"/>
        <v>134205742.97092956</v>
      </c>
      <c r="S335">
        <f t="shared" si="972"/>
        <v>1342.0574297092955</v>
      </c>
      <c r="T335">
        <f t="shared" si="973"/>
        <v>1.3420574297092955</v>
      </c>
    </row>
    <row r="336" spans="1:20" x14ac:dyDescent="0.25">
      <c r="A336" s="5">
        <v>44257</v>
      </c>
      <c r="B336">
        <v>11.0892</v>
      </c>
      <c r="C336">
        <v>11.5184</v>
      </c>
      <c r="D336">
        <v>10.5625</v>
      </c>
      <c r="E336">
        <v>10.908099999999999</v>
      </c>
      <c r="F336">
        <v>2493082.7799999998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-0.27691181085887784</v>
      </c>
      <c r="Q336">
        <f t="shared" si="970"/>
        <v>-690364.06723088527</v>
      </c>
      <c r="R336">
        <f t="shared" si="971"/>
        <v>134362511.1965692</v>
      </c>
      <c r="S336">
        <f t="shared" si="972"/>
        <v>1343.625111965692</v>
      </c>
      <c r="T336">
        <f t="shared" si="973"/>
        <v>1.3436251119656919</v>
      </c>
    </row>
    <row r="337" spans="1:20" x14ac:dyDescent="0.25">
      <c r="A337" s="5">
        <v>44256</v>
      </c>
      <c r="B337">
        <v>10.358599999999999</v>
      </c>
      <c r="C337">
        <v>11.1836</v>
      </c>
      <c r="D337">
        <v>10.178000000000001</v>
      </c>
      <c r="E337">
        <v>11.0783</v>
      </c>
      <c r="F337">
        <v>2052852.59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0.79057279236276889</v>
      </c>
      <c r="Q337">
        <f t="shared" si="970"/>
        <v>1622929.4043854424</v>
      </c>
      <c r="R337">
        <f t="shared" si="971"/>
        <v>135052875.26380008</v>
      </c>
      <c r="S337">
        <f t="shared" si="972"/>
        <v>1350.5287526380009</v>
      </c>
      <c r="T337">
        <f t="shared" si="973"/>
        <v>1.350528752638001</v>
      </c>
    </row>
    <row r="338" spans="1:20" x14ac:dyDescent="0.25">
      <c r="A338" s="5">
        <v>44255</v>
      </c>
      <c r="B338">
        <v>11.0906</v>
      </c>
      <c r="C338">
        <v>11.129</v>
      </c>
      <c r="D338">
        <v>9.6999999999999993</v>
      </c>
      <c r="E338">
        <v>10.365600000000001</v>
      </c>
      <c r="F338">
        <v>3347999.62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-6.8439468159550487E-2</v>
      </c>
      <c r="Q338">
        <f t="shared" si="970"/>
        <v>-229135.31339117713</v>
      </c>
      <c r="R338">
        <f t="shared" si="971"/>
        <v>133429945.85941465</v>
      </c>
      <c r="S338">
        <f t="shared" si="972"/>
        <v>1334.2994585941465</v>
      </c>
      <c r="T338">
        <f t="shared" si="973"/>
        <v>1.3342994585941466</v>
      </c>
    </row>
    <row r="339" spans="1:20" x14ac:dyDescent="0.25">
      <c r="A339" s="5">
        <v>44254</v>
      </c>
      <c r="B339">
        <v>10.722899999999999</v>
      </c>
      <c r="C339">
        <v>11.511900000000001</v>
      </c>
      <c r="D339">
        <v>10.7125</v>
      </c>
      <c r="E339">
        <v>11.0991</v>
      </c>
      <c r="F339">
        <v>2614406.89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-3.2774580935703151E-2</v>
      </c>
      <c r="Q339">
        <f t="shared" si="970"/>
        <v>-85686.090215164964</v>
      </c>
      <c r="R339">
        <f t="shared" si="971"/>
        <v>133659081.17280583</v>
      </c>
      <c r="S339">
        <f t="shared" si="972"/>
        <v>1336.5908117280583</v>
      </c>
      <c r="T339">
        <f t="shared" si="973"/>
        <v>1.3365908117280583</v>
      </c>
    </row>
    <row r="340" spans="1:20" x14ac:dyDescent="0.25">
      <c r="A340" s="5">
        <v>44253</v>
      </c>
      <c r="B340">
        <v>11.0388</v>
      </c>
      <c r="C340">
        <v>11.2951</v>
      </c>
      <c r="D340">
        <v>10.015700000000001</v>
      </c>
      <c r="E340">
        <v>10.715299999999999</v>
      </c>
      <c r="F340">
        <v>4356650.57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9.3637642644988278E-2</v>
      </c>
      <c r="Q340">
        <f t="shared" si="970"/>
        <v>407946.4892027445</v>
      </c>
      <c r="R340">
        <f t="shared" si="971"/>
        <v>133744767.26302099</v>
      </c>
      <c r="S340">
        <f t="shared" si="972"/>
        <v>1337.44767263021</v>
      </c>
      <c r="T340">
        <f t="shared" si="973"/>
        <v>1.33744767263021</v>
      </c>
    </row>
    <row r="341" spans="1:20" x14ac:dyDescent="0.25">
      <c r="A341" s="5">
        <v>44252</v>
      </c>
      <c r="B341">
        <v>11.8742</v>
      </c>
      <c r="C341">
        <v>12.1814</v>
      </c>
      <c r="D341">
        <v>10.9237</v>
      </c>
      <c r="E341">
        <v>11.039</v>
      </c>
      <c r="F341">
        <v>3867822.99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-0.81664943945297042</v>
      </c>
      <c r="Q341">
        <f t="shared" si="970"/>
        <v>-3158655.476686812</v>
      </c>
      <c r="R341">
        <f t="shared" si="971"/>
        <v>133336820.77381825</v>
      </c>
      <c r="S341">
        <f t="shared" si="972"/>
        <v>1333.3682077381825</v>
      </c>
      <c r="T341">
        <f t="shared" si="973"/>
        <v>1.3333682077381825</v>
      </c>
    </row>
    <row r="342" spans="1:20" x14ac:dyDescent="0.25">
      <c r="A342" s="5">
        <v>44251</v>
      </c>
      <c r="B342">
        <v>11.361800000000001</v>
      </c>
      <c r="C342">
        <v>12.52</v>
      </c>
      <c r="D342">
        <v>10.851699999999999</v>
      </c>
      <c r="E342">
        <v>11.8729</v>
      </c>
      <c r="F342">
        <v>5632012.9800000004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0.22424024456033101</v>
      </c>
      <c r="Q342">
        <f t="shared" si="970"/>
        <v>1262923.9680021587</v>
      </c>
      <c r="R342">
        <f t="shared" si="971"/>
        <v>136495476.25050506</v>
      </c>
      <c r="S342">
        <f t="shared" si="972"/>
        <v>1364.9547625050507</v>
      </c>
      <c r="T342">
        <f t="shared" si="973"/>
        <v>1.3649547625050507</v>
      </c>
    </row>
    <row r="343" spans="1:20" x14ac:dyDescent="0.25">
      <c r="A343" s="5">
        <v>44250</v>
      </c>
      <c r="B343">
        <v>13.949299999999999</v>
      </c>
      <c r="C343">
        <v>14</v>
      </c>
      <c r="D343">
        <v>9.1456</v>
      </c>
      <c r="E343">
        <v>11.3651</v>
      </c>
      <c r="F343">
        <v>10734272.050000001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-8.5571852340145027E-2</v>
      </c>
      <c r="Q343">
        <f t="shared" si="970"/>
        <v>-918551.54284154589</v>
      </c>
      <c r="R343">
        <f t="shared" si="971"/>
        <v>135232552.28250289</v>
      </c>
      <c r="S343">
        <f t="shared" si="972"/>
        <v>1352.3255228250289</v>
      </c>
      <c r="T343">
        <f t="shared" si="973"/>
        <v>1.3523255228250288</v>
      </c>
    </row>
    <row r="344" spans="1:20" x14ac:dyDescent="0.25">
      <c r="A344" s="5">
        <v>44249</v>
      </c>
      <c r="B344">
        <v>15.659000000000001</v>
      </c>
      <c r="C344">
        <v>15.7141</v>
      </c>
      <c r="D344">
        <v>11.177099999999999</v>
      </c>
      <c r="E344">
        <v>13.9359</v>
      </c>
      <c r="F344">
        <v>7805346.96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0.21613400925721857</v>
      </c>
      <c r="Q344">
        <f t="shared" si="970"/>
        <v>1687000.9321084428</v>
      </c>
      <c r="R344">
        <f t="shared" si="971"/>
        <v>136151103.82534444</v>
      </c>
      <c r="S344">
        <f t="shared" si="972"/>
        <v>1361.5110382534444</v>
      </c>
      <c r="T344">
        <f t="shared" si="973"/>
        <v>1.3615110382534445</v>
      </c>
    </row>
    <row r="345" spans="1:20" x14ac:dyDescent="0.25">
      <c r="A345" s="5">
        <v>44248</v>
      </c>
      <c r="B345">
        <v>15.072100000000001</v>
      </c>
      <c r="C345">
        <v>16.376300000000001</v>
      </c>
      <c r="D345">
        <v>14.802899999999999</v>
      </c>
      <c r="E345">
        <v>15.669</v>
      </c>
      <c r="F345">
        <v>3371733.86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0.1009279267827641</v>
      </c>
      <c r="Q345">
        <f t="shared" si="970"/>
        <v>340302.10815304657</v>
      </c>
      <c r="R345">
        <f t="shared" si="971"/>
        <v>134464102.89323601</v>
      </c>
      <c r="S345">
        <f t="shared" si="972"/>
        <v>1344.6410289323601</v>
      </c>
      <c r="T345">
        <f t="shared" si="973"/>
        <v>1.34464102893236</v>
      </c>
    </row>
    <row r="346" spans="1:20" x14ac:dyDescent="0.25">
      <c r="A346" s="5">
        <v>44247</v>
      </c>
      <c r="B346">
        <v>15.3941</v>
      </c>
      <c r="C346">
        <v>17.482199999999999</v>
      </c>
      <c r="D346">
        <v>14.3087</v>
      </c>
      <c r="E346">
        <v>15.083299999999999</v>
      </c>
      <c r="F346">
        <v>8414449.2400000002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-0.51183236174570679</v>
      </c>
      <c r="Q346">
        <f t="shared" si="970"/>
        <v>-4306787.4272985673</v>
      </c>
      <c r="R346">
        <f t="shared" si="971"/>
        <v>134123800.78508295</v>
      </c>
      <c r="S346">
        <f t="shared" si="972"/>
        <v>1341.2380078508295</v>
      </c>
      <c r="T346">
        <f t="shared" si="973"/>
        <v>1.3412380078508295</v>
      </c>
    </row>
    <row r="347" spans="1:20" x14ac:dyDescent="0.25">
      <c r="A347" s="5">
        <v>44246</v>
      </c>
      <c r="B347">
        <v>14.946999999999999</v>
      </c>
      <c r="C347">
        <v>15.889099999999999</v>
      </c>
      <c r="D347">
        <v>14.243</v>
      </c>
      <c r="E347">
        <v>15.387600000000001</v>
      </c>
      <c r="F347">
        <v>5302698.7699999996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0.39068100358423102</v>
      </c>
      <c r="Q347">
        <f t="shared" si="970"/>
        <v>2071663.6771684673</v>
      </c>
      <c r="R347">
        <f t="shared" si="971"/>
        <v>138430588.21238151</v>
      </c>
      <c r="S347">
        <f t="shared" si="972"/>
        <v>1384.3058821238151</v>
      </c>
      <c r="T347">
        <f t="shared" si="973"/>
        <v>1.384305882123815</v>
      </c>
    </row>
    <row r="348" spans="1:20" x14ac:dyDescent="0.25">
      <c r="A348" s="5">
        <v>44245</v>
      </c>
      <c r="B348">
        <v>15.3066</v>
      </c>
      <c r="C348">
        <v>15.78</v>
      </c>
      <c r="D348">
        <v>14.5861</v>
      </c>
      <c r="E348">
        <v>14.9458</v>
      </c>
      <c r="F348">
        <v>3575554.59</v>
      </c>
      <c r="G348">
        <v>0</v>
      </c>
      <c r="L348" t="s">
        <v>7</v>
      </c>
      <c r="M348" t="s">
        <v>8</v>
      </c>
      <c r="N348" t="s">
        <v>7</v>
      </c>
      <c r="P348">
        <f t="shared" si="969"/>
        <v>-0.39743697127062511</v>
      </c>
      <c r="Q348">
        <f t="shared" si="970"/>
        <v>-1421057.5868623818</v>
      </c>
      <c r="R348">
        <f t="shared" si="971"/>
        <v>136358924.53521305</v>
      </c>
      <c r="S348">
        <f t="shared" si="972"/>
        <v>1363.5892453521305</v>
      </c>
      <c r="T348">
        <f t="shared" si="973"/>
        <v>1.3635892453521306</v>
      </c>
    </row>
    <row r="349" spans="1:20" x14ac:dyDescent="0.25">
      <c r="A349" s="5">
        <v>44244</v>
      </c>
      <c r="B349">
        <v>14.3896</v>
      </c>
      <c r="C349">
        <v>15.789400000000001</v>
      </c>
      <c r="D349">
        <v>13.6576</v>
      </c>
      <c r="E349">
        <v>15.301500000000001</v>
      </c>
      <c r="F349">
        <v>5299083.07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0.54226475279106878</v>
      </c>
      <c r="Q349">
        <f t="shared" si="970"/>
        <v>2873505.9709728882</v>
      </c>
      <c r="R349">
        <f t="shared" si="971"/>
        <v>137779982.12207544</v>
      </c>
      <c r="S349">
        <f t="shared" si="972"/>
        <v>1377.7998212207544</v>
      </c>
      <c r="T349">
        <f t="shared" si="973"/>
        <v>1.3777998212207545</v>
      </c>
    </row>
    <row r="350" spans="1:20" x14ac:dyDescent="0.25">
      <c r="A350" s="5">
        <v>44243</v>
      </c>
      <c r="B350">
        <v>14.697100000000001</v>
      </c>
      <c r="C350">
        <v>15.539300000000001</v>
      </c>
      <c r="D350">
        <v>13.7075</v>
      </c>
      <c r="E350">
        <v>14.390700000000001</v>
      </c>
      <c r="F350">
        <v>4215740.66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-0.25406703788623136</v>
      </c>
      <c r="Q350">
        <f t="shared" si="970"/>
        <v>-1071080.7419827459</v>
      </c>
      <c r="R350">
        <f t="shared" si="971"/>
        <v>134906476.15110254</v>
      </c>
      <c r="S350">
        <f t="shared" si="972"/>
        <v>1349.0647615110254</v>
      </c>
      <c r="T350">
        <f t="shared" si="973"/>
        <v>1.3490647615110254</v>
      </c>
    </row>
    <row r="351" spans="1:20" x14ac:dyDescent="0.25">
      <c r="A351" s="5">
        <v>44242</v>
      </c>
      <c r="B351">
        <v>16.0749</v>
      </c>
      <c r="C351">
        <v>16.605499999999999</v>
      </c>
      <c r="D351">
        <v>13.06</v>
      </c>
      <c r="E351">
        <v>14.682600000000001</v>
      </c>
      <c r="F351">
        <v>8931975.2400000002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-8.4698914116485224E-2</v>
      </c>
      <c r="Q351">
        <f t="shared" si="970"/>
        <v>-756528.60374333255</v>
      </c>
      <c r="R351">
        <f t="shared" si="971"/>
        <v>135977556.8930853</v>
      </c>
      <c r="S351">
        <f t="shared" si="972"/>
        <v>1359.7755689308531</v>
      </c>
      <c r="T351">
        <f t="shared" si="973"/>
        <v>1.3597755689308531</v>
      </c>
    </row>
    <row r="352" spans="1:20" x14ac:dyDescent="0.25">
      <c r="A352" s="5">
        <v>44241</v>
      </c>
      <c r="B352">
        <v>16.623999999999999</v>
      </c>
      <c r="C352">
        <v>17.687999999999999</v>
      </c>
      <c r="D352">
        <v>14.88</v>
      </c>
      <c r="E352">
        <v>16.071999999999999</v>
      </c>
      <c r="F352">
        <v>12064423.449999999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-0.15099715099715155</v>
      </c>
      <c r="Q352">
        <f t="shared" si="970"/>
        <v>-1821693.569373226</v>
      </c>
      <c r="R352">
        <f t="shared" si="971"/>
        <v>136734085.49682865</v>
      </c>
      <c r="S352">
        <f t="shared" si="972"/>
        <v>1367.3408549682865</v>
      </c>
      <c r="T352">
        <f t="shared" si="973"/>
        <v>1.3673408549682866</v>
      </c>
    </row>
    <row r="353" spans="1:20" x14ac:dyDescent="0.25">
      <c r="A353" s="5">
        <v>44240</v>
      </c>
      <c r="B353">
        <v>11.9352</v>
      </c>
      <c r="C353">
        <v>18.18</v>
      </c>
      <c r="D353">
        <v>11.6944</v>
      </c>
      <c r="E353">
        <v>16.637699999999999</v>
      </c>
      <c r="F353">
        <v>15975192.82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0.52439250030837514</v>
      </c>
      <c r="Q353">
        <f t="shared" si="970"/>
        <v>8377271.3057882022</v>
      </c>
      <c r="R353">
        <f t="shared" si="971"/>
        <v>138555779.06620187</v>
      </c>
      <c r="S353">
        <f t="shared" si="972"/>
        <v>1385.5577906620188</v>
      </c>
      <c r="T353">
        <f t="shared" si="973"/>
        <v>1.3855577906620187</v>
      </c>
    </row>
    <row r="354" spans="1:20" x14ac:dyDescent="0.25">
      <c r="A354" s="5">
        <v>44239</v>
      </c>
      <c r="B354">
        <v>11.7171</v>
      </c>
      <c r="C354">
        <v>12.3498</v>
      </c>
      <c r="D354">
        <v>11.1111</v>
      </c>
      <c r="E354">
        <v>11.926500000000001</v>
      </c>
      <c r="F354">
        <v>4452609.29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0.31654153548074682</v>
      </c>
      <c r="Q354">
        <f t="shared" si="970"/>
        <v>1409435.7815524379</v>
      </c>
      <c r="R354">
        <f t="shared" si="971"/>
        <v>130178507.76041366</v>
      </c>
      <c r="S354">
        <f t="shared" si="972"/>
        <v>1301.7850776041366</v>
      </c>
      <c r="T354">
        <f t="shared" si="973"/>
        <v>1.3017850776041366</v>
      </c>
    </row>
    <row r="355" spans="1:20" x14ac:dyDescent="0.25">
      <c r="A355" s="5">
        <v>44238</v>
      </c>
      <c r="B355">
        <v>10.375400000000001</v>
      </c>
      <c r="C355">
        <v>11.785</v>
      </c>
      <c r="D355">
        <v>10.303599999999999</v>
      </c>
      <c r="E355">
        <v>11.720499999999999</v>
      </c>
      <c r="F355">
        <v>5726816.4199999999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0.91292021061158279</v>
      </c>
      <c r="Q355">
        <f t="shared" si="970"/>
        <v>5228126.4522802709</v>
      </c>
      <c r="R355">
        <f t="shared" si="971"/>
        <v>128769071.97886123</v>
      </c>
      <c r="S355">
        <f t="shared" si="972"/>
        <v>1287.6907197886123</v>
      </c>
      <c r="T355">
        <f t="shared" si="973"/>
        <v>1.2876907197886123</v>
      </c>
    </row>
    <row r="356" spans="1:20" x14ac:dyDescent="0.25">
      <c r="A356" s="5">
        <v>44237</v>
      </c>
      <c r="B356">
        <v>9.5764999999999993</v>
      </c>
      <c r="C356">
        <v>11.478899999999999</v>
      </c>
      <c r="D356">
        <v>9.5762999999999998</v>
      </c>
      <c r="E356">
        <v>10.375400000000001</v>
      </c>
      <c r="F356">
        <v>10605715.539999999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-0.15999159045516537</v>
      </c>
      <c r="Q356">
        <f t="shared" si="970"/>
        <v>-1696825.2971596629</v>
      </c>
      <c r="R356">
        <f t="shared" si="971"/>
        <v>123540945.52658096</v>
      </c>
      <c r="S356">
        <f t="shared" si="972"/>
        <v>1235.4094552658096</v>
      </c>
      <c r="T356">
        <f t="shared" si="973"/>
        <v>1.2354094552658095</v>
      </c>
    </row>
    <row r="357" spans="1:20" x14ac:dyDescent="0.25">
      <c r="A357" s="5">
        <v>44236</v>
      </c>
      <c r="B357">
        <v>8.6920999999999999</v>
      </c>
      <c r="C357">
        <v>10</v>
      </c>
      <c r="D357">
        <v>8.6325000000000003</v>
      </c>
      <c r="E357">
        <v>9.5779999999999994</v>
      </c>
      <c r="F357">
        <v>5948409.1200000001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0.38281535648994414</v>
      </c>
      <c r="Q357">
        <f t="shared" si="970"/>
        <v>2277142.357820835</v>
      </c>
      <c r="R357">
        <f t="shared" si="971"/>
        <v>125237770.82374062</v>
      </c>
      <c r="S357">
        <f t="shared" si="972"/>
        <v>1252.3777082374061</v>
      </c>
      <c r="T357">
        <f t="shared" si="973"/>
        <v>1.2523777082374061</v>
      </c>
    </row>
    <row r="358" spans="1:20" x14ac:dyDescent="0.25">
      <c r="A358" s="5">
        <v>44235</v>
      </c>
      <c r="B358">
        <v>8.2830999999999992</v>
      </c>
      <c r="C358">
        <v>8.7708999999999993</v>
      </c>
      <c r="D358">
        <v>8.1144999999999996</v>
      </c>
      <c r="E358">
        <v>8.6941000000000006</v>
      </c>
      <c r="F358">
        <v>4164573.1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0.76599634369287417</v>
      </c>
      <c r="Q358">
        <f t="shared" si="970"/>
        <v>3190047.7676416985</v>
      </c>
      <c r="R358">
        <f t="shared" si="971"/>
        <v>122960628.46591978</v>
      </c>
      <c r="S358">
        <f t="shared" si="972"/>
        <v>1229.6062846591979</v>
      </c>
      <c r="T358">
        <f t="shared" si="973"/>
        <v>1.2296062846591977</v>
      </c>
    </row>
    <row r="359" spans="1:20" x14ac:dyDescent="0.25">
      <c r="A359" s="5">
        <v>44234</v>
      </c>
      <c r="B359">
        <v>8.77</v>
      </c>
      <c r="C359">
        <v>8.8767999999999994</v>
      </c>
      <c r="D359">
        <v>7.8392999999999997</v>
      </c>
      <c r="E359">
        <v>8.2787000000000006</v>
      </c>
      <c r="F359">
        <v>4664253.75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-0.15296385542168472</v>
      </c>
      <c r="Q359">
        <f t="shared" si="970"/>
        <v>-713462.23626505083</v>
      </c>
      <c r="R359">
        <f t="shared" si="971"/>
        <v>119770580.69827808</v>
      </c>
      <c r="S359">
        <f t="shared" si="972"/>
        <v>1197.7058069827808</v>
      </c>
      <c r="T359">
        <f t="shared" si="973"/>
        <v>1.1977058069827808</v>
      </c>
    </row>
    <row r="360" spans="1:20" x14ac:dyDescent="0.25">
      <c r="A360" s="5">
        <v>44233</v>
      </c>
      <c r="B360">
        <v>8.5166000000000004</v>
      </c>
      <c r="C360">
        <v>9.11</v>
      </c>
      <c r="D360">
        <v>8.1999999999999993</v>
      </c>
      <c r="E360">
        <v>8.7690999999999999</v>
      </c>
      <c r="F360">
        <v>5528007.2699999996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0.25076923076923191</v>
      </c>
      <c r="Q360">
        <f t="shared" si="970"/>
        <v>1386254.1307846217</v>
      </c>
      <c r="R360">
        <f t="shared" si="971"/>
        <v>120484042.93454313</v>
      </c>
      <c r="S360">
        <f t="shared" si="972"/>
        <v>1204.8404293454314</v>
      </c>
      <c r="T360">
        <f t="shared" si="973"/>
        <v>1.2048404293454313</v>
      </c>
    </row>
    <row r="361" spans="1:20" x14ac:dyDescent="0.25">
      <c r="A361" s="5">
        <v>44232</v>
      </c>
      <c r="B361">
        <v>7.6566000000000001</v>
      </c>
      <c r="C361">
        <v>8.9013000000000009</v>
      </c>
      <c r="D361">
        <v>7.6157000000000004</v>
      </c>
      <c r="E361">
        <v>8.5174000000000003</v>
      </c>
      <c r="F361">
        <v>5894303.3499999996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0.40276913503422462</v>
      </c>
      <c r="Q361">
        <f t="shared" si="970"/>
        <v>2374043.4619088322</v>
      </c>
      <c r="R361">
        <f t="shared" si="971"/>
        <v>119097788.80375852</v>
      </c>
      <c r="S361">
        <f t="shared" si="972"/>
        <v>1190.9778880375852</v>
      </c>
      <c r="T361">
        <f t="shared" si="973"/>
        <v>1.1909778880375852</v>
      </c>
    </row>
    <row r="362" spans="1:20" x14ac:dyDescent="0.25">
      <c r="A362" s="5">
        <v>44231</v>
      </c>
      <c r="B362">
        <v>7.9404000000000003</v>
      </c>
      <c r="C362">
        <v>8.1</v>
      </c>
      <c r="D362">
        <v>7.5587999999999997</v>
      </c>
      <c r="E362">
        <v>7.6584000000000003</v>
      </c>
      <c r="F362">
        <v>3169421.17</v>
      </c>
      <c r="G362">
        <v>0</v>
      </c>
      <c r="L362" t="s">
        <v>8</v>
      </c>
      <c r="M362" t="s">
        <v>8</v>
      </c>
      <c r="N362" t="s">
        <v>7</v>
      </c>
      <c r="P362">
        <f t="shared" si="969"/>
        <v>-0.63192904656319071</v>
      </c>
      <c r="Q362">
        <f t="shared" si="970"/>
        <v>-2002849.2981152923</v>
      </c>
      <c r="R362">
        <f t="shared" si="971"/>
        <v>116723745.34184968</v>
      </c>
      <c r="S362">
        <f t="shared" si="972"/>
        <v>1167.2374534184969</v>
      </c>
      <c r="T362">
        <f t="shared" si="973"/>
        <v>1.1672374534184968</v>
      </c>
    </row>
    <row r="363" spans="1:20" x14ac:dyDescent="0.25">
      <c r="A363" s="5">
        <v>44230</v>
      </c>
      <c r="B363">
        <v>7.7861000000000002</v>
      </c>
      <c r="C363">
        <v>8.0184999999999995</v>
      </c>
      <c r="D363">
        <v>7.6429</v>
      </c>
      <c r="E363">
        <v>7.9413</v>
      </c>
      <c r="F363">
        <v>3246387.05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0.58892438764643451</v>
      </c>
      <c r="Q363">
        <f t="shared" si="970"/>
        <v>1911876.5054845649</v>
      </c>
      <c r="R363">
        <f t="shared" si="971"/>
        <v>118726594.63996498</v>
      </c>
      <c r="S363">
        <f t="shared" si="972"/>
        <v>1187.2659463996499</v>
      </c>
      <c r="T363">
        <f t="shared" si="973"/>
        <v>1.18726594639965</v>
      </c>
    </row>
    <row r="364" spans="1:20" x14ac:dyDescent="0.25">
      <c r="A364" s="5">
        <v>44229</v>
      </c>
      <c r="B364">
        <v>7.5236000000000001</v>
      </c>
      <c r="C364">
        <v>7.9275000000000002</v>
      </c>
      <c r="D364">
        <v>7.4538000000000002</v>
      </c>
      <c r="E364">
        <v>7.7835000000000001</v>
      </c>
      <c r="F364">
        <v>3413395.98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0.3920202659911331</v>
      </c>
      <c r="Q364">
        <f t="shared" si="970"/>
        <v>1338120.4000126645</v>
      </c>
      <c r="R364">
        <f t="shared" si="971"/>
        <v>116814718.13448042</v>
      </c>
      <c r="S364">
        <f t="shared" si="972"/>
        <v>1168.1471813448043</v>
      </c>
      <c r="T364">
        <f t="shared" si="973"/>
        <v>1.1681471813448043</v>
      </c>
    </row>
    <row r="365" spans="1:20" x14ac:dyDescent="0.25">
      <c r="A365" s="5">
        <v>44228</v>
      </c>
      <c r="B365">
        <v>7.4120999999999997</v>
      </c>
      <c r="C365">
        <v>7.6619999999999999</v>
      </c>
      <c r="D365">
        <v>7.2460000000000004</v>
      </c>
      <c r="E365">
        <v>7.5240999999999998</v>
      </c>
      <c r="F365">
        <v>2979656.65</v>
      </c>
      <c r="G365">
        <v>0</v>
      </c>
      <c r="L365" t="s">
        <v>7</v>
      </c>
      <c r="M365" t="s">
        <v>8</v>
      </c>
      <c r="N365" t="s">
        <v>7</v>
      </c>
      <c r="P365">
        <f t="shared" si="969"/>
        <v>0.33701923076922929</v>
      </c>
      <c r="Q365">
        <f t="shared" si="970"/>
        <v>1004201.5921394187</v>
      </c>
      <c r="R365">
        <f t="shared" si="971"/>
        <v>115476597.73446776</v>
      </c>
      <c r="S365">
        <f t="shared" si="972"/>
        <v>1154.7659773446776</v>
      </c>
      <c r="T365">
        <f t="shared" si="973"/>
        <v>1.1547659773446777</v>
      </c>
    </row>
    <row r="366" spans="1:20" x14ac:dyDescent="0.25">
      <c r="A366" s="5">
        <v>44227</v>
      </c>
      <c r="B366">
        <v>7.5857999999999999</v>
      </c>
      <c r="C366">
        <v>7.7102000000000004</v>
      </c>
      <c r="D366">
        <v>7.1810999999999998</v>
      </c>
      <c r="E366">
        <v>7.4154999999999998</v>
      </c>
      <c r="F366">
        <v>2714579.49</v>
      </c>
      <c r="G366">
        <v>0</v>
      </c>
      <c r="L366" t="s">
        <v>7</v>
      </c>
      <c r="M366" t="s">
        <v>8</v>
      </c>
      <c r="N366" t="s">
        <v>7</v>
      </c>
      <c r="P366">
        <f t="shared" si="969"/>
        <v>-0.11396711396711515</v>
      </c>
      <c r="Q366">
        <f t="shared" si="970"/>
        <v>-309372.79010962334</v>
      </c>
      <c r="R366">
        <f t="shared" si="971"/>
        <v>114472396.14232834</v>
      </c>
      <c r="S366">
        <f t="shared" si="972"/>
        <v>1144.7239614232833</v>
      </c>
      <c r="T366">
        <f t="shared" si="973"/>
        <v>1.1447239614232834</v>
      </c>
    </row>
    <row r="367" spans="1:20" x14ac:dyDescent="0.25">
      <c r="A367" s="5">
        <v>44226</v>
      </c>
      <c r="B367">
        <v>7.6087999999999996</v>
      </c>
      <c r="C367">
        <v>7.8276000000000003</v>
      </c>
      <c r="D367">
        <v>7.31</v>
      </c>
      <c r="E367">
        <v>7.5858999999999996</v>
      </c>
      <c r="F367">
        <v>3087819.83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6.607418856259524E-2</v>
      </c>
      <c r="Q367">
        <f t="shared" si="970"/>
        <v>204025.18969474078</v>
      </c>
      <c r="R367">
        <f t="shared" si="971"/>
        <v>114781768.93243796</v>
      </c>
      <c r="S367">
        <f t="shared" si="972"/>
        <v>1147.8176893243797</v>
      </c>
      <c r="T367">
        <f t="shared" si="973"/>
        <v>1.1478176893243797</v>
      </c>
    </row>
    <row r="368" spans="1:20" x14ac:dyDescent="0.25">
      <c r="A368" s="5">
        <v>44225</v>
      </c>
      <c r="B368">
        <v>7.6555</v>
      </c>
      <c r="C368">
        <v>8.0540000000000003</v>
      </c>
      <c r="D368">
        <v>7.3894000000000002</v>
      </c>
      <c r="E368">
        <v>7.6132</v>
      </c>
      <c r="F368">
        <v>6382523.4900000002</v>
      </c>
      <c r="G368">
        <v>0</v>
      </c>
      <c r="L368" t="s">
        <v>7</v>
      </c>
      <c r="M368" t="s">
        <v>8</v>
      </c>
      <c r="N368" t="s">
        <v>7</v>
      </c>
      <c r="P368">
        <f t="shared" si="969"/>
        <v>-0.32651218778212532</v>
      </c>
      <c r="Q368">
        <f t="shared" si="970"/>
        <v>-2083971.7082907059</v>
      </c>
      <c r="R368">
        <f t="shared" si="971"/>
        <v>114577743.74274321</v>
      </c>
      <c r="S368">
        <f t="shared" si="972"/>
        <v>1145.777437427432</v>
      </c>
      <c r="T368">
        <f t="shared" si="973"/>
        <v>1.1457774374274321</v>
      </c>
    </row>
    <row r="369" spans="1:20" x14ac:dyDescent="0.25">
      <c r="A369" s="5">
        <v>44224</v>
      </c>
      <c r="B369">
        <v>6.8757999999999999</v>
      </c>
      <c r="C369">
        <v>8.5</v>
      </c>
      <c r="D369">
        <v>6.7614999999999998</v>
      </c>
      <c r="E369">
        <v>7.6532999999999998</v>
      </c>
      <c r="F369">
        <v>8203975.2999999998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2.5941903940178139E-2</v>
      </c>
      <c r="Q369">
        <f t="shared" si="970"/>
        <v>212826.73916019412</v>
      </c>
      <c r="R369">
        <f t="shared" si="971"/>
        <v>116661715.45103392</v>
      </c>
      <c r="S369">
        <f t="shared" si="972"/>
        <v>1166.6171545103391</v>
      </c>
      <c r="T369">
        <f t="shared" si="973"/>
        <v>1.1666171545103392</v>
      </c>
    </row>
    <row r="370" spans="1:20" x14ac:dyDescent="0.25">
      <c r="A370" s="5">
        <v>44223</v>
      </c>
      <c r="B370">
        <v>7.4348999999999998</v>
      </c>
      <c r="C370">
        <v>7.4420000000000002</v>
      </c>
      <c r="D370">
        <v>6.6359000000000004</v>
      </c>
      <c r="E370">
        <v>6.8712999999999997</v>
      </c>
      <c r="F370">
        <v>2480702.7400000002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-0.41595335566307051</v>
      </c>
      <c r="Q370">
        <f t="shared" si="970"/>
        <v>-1031856.6291055736</v>
      </c>
      <c r="R370">
        <f t="shared" si="971"/>
        <v>116448888.71187373</v>
      </c>
      <c r="S370">
        <f t="shared" si="972"/>
        <v>1164.4888871187372</v>
      </c>
      <c r="T370">
        <f t="shared" si="973"/>
        <v>1.1644888871187373</v>
      </c>
    </row>
    <row r="371" spans="1:20" x14ac:dyDescent="0.25">
      <c r="A371" s="5">
        <v>44222</v>
      </c>
      <c r="B371">
        <v>7.5004</v>
      </c>
      <c r="C371">
        <v>7.6067999999999998</v>
      </c>
      <c r="D371">
        <v>7.0816999999999997</v>
      </c>
      <c r="E371">
        <v>7.4341999999999997</v>
      </c>
      <c r="F371">
        <v>2265153.31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0.34260140925537974</v>
      </c>
      <c r="Q371">
        <f t="shared" si="970"/>
        <v>776044.71618548804</v>
      </c>
      <c r="R371">
        <f t="shared" si="971"/>
        <v>117480745.34097929</v>
      </c>
      <c r="S371">
        <f t="shared" si="972"/>
        <v>1174.807453409793</v>
      </c>
      <c r="T371">
        <f t="shared" si="973"/>
        <v>1.174807453409793</v>
      </c>
    </row>
    <row r="372" spans="1:20" x14ac:dyDescent="0.25">
      <c r="A372" s="5">
        <v>44221</v>
      </c>
      <c r="B372">
        <v>7.6288999999999998</v>
      </c>
      <c r="C372">
        <v>7.9821</v>
      </c>
      <c r="D372">
        <v>7.3737000000000004</v>
      </c>
      <c r="E372">
        <v>7.4976000000000003</v>
      </c>
      <c r="F372">
        <v>3403712.3</v>
      </c>
      <c r="G372">
        <v>0</v>
      </c>
      <c r="L372" t="s">
        <v>8</v>
      </c>
      <c r="M372" t="s">
        <v>8</v>
      </c>
      <c r="N372" t="s">
        <v>7</v>
      </c>
      <c r="P372">
        <f t="shared" si="969"/>
        <v>-0.59270216962524658</v>
      </c>
      <c r="Q372">
        <f t="shared" si="970"/>
        <v>-2017387.664990138</v>
      </c>
      <c r="R372">
        <f t="shared" si="971"/>
        <v>116704700.6247938</v>
      </c>
      <c r="S372">
        <f t="shared" si="972"/>
        <v>1167.047006247938</v>
      </c>
      <c r="T372">
        <f t="shared" si="973"/>
        <v>1.1670470062479381</v>
      </c>
    </row>
    <row r="373" spans="1:20" x14ac:dyDescent="0.25">
      <c r="A373" s="5">
        <v>44220</v>
      </c>
      <c r="B373">
        <v>7.4469000000000003</v>
      </c>
      <c r="C373">
        <v>7.8155999999999999</v>
      </c>
      <c r="D373">
        <v>7.3784000000000001</v>
      </c>
      <c r="E373">
        <v>7.6294000000000004</v>
      </c>
      <c r="F373">
        <v>2941465.29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0.1482159194876507</v>
      </c>
      <c r="Q373">
        <f t="shared" si="970"/>
        <v>435971.98259835911</v>
      </c>
      <c r="R373">
        <f t="shared" si="971"/>
        <v>118722088.28978394</v>
      </c>
      <c r="S373">
        <f t="shared" si="972"/>
        <v>1187.2208828978394</v>
      </c>
      <c r="T373">
        <f t="shared" si="973"/>
        <v>1.1872208828978394</v>
      </c>
    </row>
    <row r="374" spans="1:20" x14ac:dyDescent="0.25">
      <c r="A374" s="5">
        <v>44219</v>
      </c>
      <c r="B374">
        <v>7.4302999999999999</v>
      </c>
      <c r="C374">
        <v>7.5951000000000004</v>
      </c>
      <c r="D374">
        <v>7.2202999999999999</v>
      </c>
      <c r="E374">
        <v>7.4488000000000003</v>
      </c>
      <c r="F374">
        <v>3248879.94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0.21931696905016054</v>
      </c>
      <c r="Q374">
        <f t="shared" si="970"/>
        <v>712534.50124866748</v>
      </c>
      <c r="R374">
        <f t="shared" si="971"/>
        <v>118286116.30718558</v>
      </c>
      <c r="S374">
        <f t="shared" si="972"/>
        <v>1182.8611630718558</v>
      </c>
      <c r="T374">
        <f t="shared" si="973"/>
        <v>1.1828611630718557</v>
      </c>
    </row>
    <row r="375" spans="1:20" x14ac:dyDescent="0.25">
      <c r="A375" s="5">
        <v>44218</v>
      </c>
      <c r="B375">
        <v>7.1345000000000001</v>
      </c>
      <c r="C375">
        <v>7.5190999999999999</v>
      </c>
      <c r="D375">
        <v>6.63</v>
      </c>
      <c r="E375">
        <v>7.4291999999999998</v>
      </c>
      <c r="F375">
        <v>4340516.07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0.79777302890563473</v>
      </c>
      <c r="Q375">
        <f t="shared" si="970"/>
        <v>3462746.6521774824</v>
      </c>
      <c r="R375">
        <f t="shared" si="971"/>
        <v>117573581.8059369</v>
      </c>
      <c r="S375">
        <f t="shared" si="972"/>
        <v>1175.735818059369</v>
      </c>
      <c r="T375">
        <f t="shared" si="973"/>
        <v>1.1757358180593689</v>
      </c>
    </row>
    <row r="376" spans="1:20" x14ac:dyDescent="0.25">
      <c r="A376" s="5">
        <v>44217</v>
      </c>
      <c r="B376">
        <v>7.9046000000000003</v>
      </c>
      <c r="C376">
        <v>8.1941000000000006</v>
      </c>
      <c r="D376">
        <v>7.0010000000000003</v>
      </c>
      <c r="E376">
        <v>7.1345999999999998</v>
      </c>
      <c r="F376">
        <v>5198525.5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-0.77604559550750241</v>
      </c>
      <c r="Q376">
        <f t="shared" si="970"/>
        <v>-4034292.8174084369</v>
      </c>
      <c r="R376">
        <f t="shared" si="971"/>
        <v>114110835.15375942</v>
      </c>
      <c r="S376">
        <f t="shared" si="972"/>
        <v>1141.1083515375942</v>
      </c>
      <c r="T376">
        <f t="shared" si="973"/>
        <v>1.1411083515375942</v>
      </c>
    </row>
    <row r="377" spans="1:20" x14ac:dyDescent="0.25">
      <c r="A377" s="5">
        <v>44216</v>
      </c>
      <c r="B377">
        <v>7.8085000000000004</v>
      </c>
      <c r="C377">
        <v>8.0479000000000003</v>
      </c>
      <c r="D377">
        <v>7.3905000000000003</v>
      </c>
      <c r="E377">
        <v>7.9</v>
      </c>
      <c r="F377">
        <v>4609895.78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0.55004563431700659</v>
      </c>
      <c r="Q377">
        <f t="shared" si="970"/>
        <v>2535653.0484453919</v>
      </c>
      <c r="R377">
        <f t="shared" si="971"/>
        <v>118145127.97116786</v>
      </c>
      <c r="S377">
        <f t="shared" si="972"/>
        <v>1181.4512797116786</v>
      </c>
      <c r="T377">
        <f t="shared" si="973"/>
        <v>1.1814512797116785</v>
      </c>
    </row>
    <row r="378" spans="1:20" x14ac:dyDescent="0.25">
      <c r="A378" s="5">
        <v>44215</v>
      </c>
      <c r="B378">
        <v>7.7057000000000002</v>
      </c>
      <c r="C378">
        <v>8.5185999999999993</v>
      </c>
      <c r="D378">
        <v>7.6609999999999996</v>
      </c>
      <c r="E378">
        <v>7.8177000000000003</v>
      </c>
      <c r="F378">
        <v>7126240.4699999997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-0.63456156716417733</v>
      </c>
      <c r="Q378">
        <f t="shared" si="970"/>
        <v>-4522038.3206319837</v>
      </c>
      <c r="R378">
        <f t="shared" si="971"/>
        <v>115609474.92272247</v>
      </c>
      <c r="S378">
        <f t="shared" si="972"/>
        <v>1156.0947492272248</v>
      </c>
      <c r="T378">
        <f t="shared" si="973"/>
        <v>1.1560947492272249</v>
      </c>
    </row>
    <row r="379" spans="1:20" x14ac:dyDescent="0.25">
      <c r="A379" s="5">
        <v>44214</v>
      </c>
      <c r="B379">
        <v>7.6877000000000004</v>
      </c>
      <c r="C379">
        <v>7.8943000000000003</v>
      </c>
      <c r="D379">
        <v>7.4214000000000002</v>
      </c>
      <c r="E379">
        <v>7.7077999999999998</v>
      </c>
      <c r="F379">
        <v>3558732.83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0.21124973567350172</v>
      </c>
      <c r="Q379">
        <f t="shared" si="970"/>
        <v>751781.36967011273</v>
      </c>
      <c r="R379">
        <f t="shared" si="971"/>
        <v>120131513.24335445</v>
      </c>
      <c r="S379">
        <f t="shared" si="972"/>
        <v>1201.3151324335445</v>
      </c>
      <c r="T379">
        <f t="shared" si="973"/>
        <v>1.2013151324335445</v>
      </c>
    </row>
    <row r="380" spans="1:20" x14ac:dyDescent="0.25">
      <c r="A380" s="5">
        <v>44213</v>
      </c>
      <c r="B380">
        <v>7.7767999999999997</v>
      </c>
      <c r="C380">
        <v>7.9584000000000001</v>
      </c>
      <c r="D380">
        <v>7.3369999999999997</v>
      </c>
      <c r="E380">
        <v>7.6840000000000002</v>
      </c>
      <c r="F380">
        <v>4128080.55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0.11683295783714258</v>
      </c>
      <c r="Q380">
        <f t="shared" si="970"/>
        <v>482295.86084647832</v>
      </c>
      <c r="R380">
        <f t="shared" si="971"/>
        <v>119379731.87368435</v>
      </c>
      <c r="S380">
        <f t="shared" si="972"/>
        <v>1193.7973187368434</v>
      </c>
      <c r="T380">
        <f t="shared" si="973"/>
        <v>1.1937973187368434</v>
      </c>
    </row>
    <row r="381" spans="1:20" x14ac:dyDescent="0.25">
      <c r="A381" s="5">
        <v>44212</v>
      </c>
      <c r="B381">
        <v>7.5625999999999998</v>
      </c>
      <c r="C381">
        <v>8.1821999999999999</v>
      </c>
      <c r="D381">
        <v>7.3910999999999998</v>
      </c>
      <c r="E381">
        <v>7.7798999999999996</v>
      </c>
      <c r="F381">
        <v>5619540.5899999999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-1.7064846416382895E-2</v>
      </c>
      <c r="Q381">
        <f t="shared" si="970"/>
        <v>-95896.597098979721</v>
      </c>
      <c r="R381">
        <f t="shared" si="971"/>
        <v>118897436.01283787</v>
      </c>
      <c r="S381">
        <f t="shared" si="972"/>
        <v>1188.9743601283787</v>
      </c>
      <c r="T381">
        <f t="shared" si="973"/>
        <v>1.1889743601283786</v>
      </c>
    </row>
    <row r="382" spans="1:20" x14ac:dyDescent="0.25">
      <c r="A382" s="5">
        <v>44211</v>
      </c>
      <c r="B382">
        <v>7.7949999999999999</v>
      </c>
      <c r="C382">
        <v>8.0357000000000003</v>
      </c>
      <c r="D382">
        <v>7.1227999999999998</v>
      </c>
      <c r="E382">
        <v>7.5670000000000002</v>
      </c>
      <c r="F382">
        <v>6591928.2000000002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-2.6837550662722896E-2</v>
      </c>
      <c r="Q382">
        <f t="shared" si="970"/>
        <v>-176911.20703253176</v>
      </c>
      <c r="R382">
        <f t="shared" si="971"/>
        <v>118993332.60993685</v>
      </c>
      <c r="S382">
        <f t="shared" si="972"/>
        <v>1189.9333260993685</v>
      </c>
      <c r="T382">
        <f t="shared" si="973"/>
        <v>1.1899333260993685</v>
      </c>
    </row>
    <row r="383" spans="1:20" x14ac:dyDescent="0.25">
      <c r="A383" s="5">
        <v>44210</v>
      </c>
      <c r="B383">
        <v>7.5949999999999998</v>
      </c>
      <c r="C383">
        <v>8.1349999999999998</v>
      </c>
      <c r="D383">
        <v>7.3537999999999997</v>
      </c>
      <c r="E383">
        <v>7.7880000000000003</v>
      </c>
      <c r="F383">
        <v>5226229.07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0.11162314388120972</v>
      </c>
      <c r="Q383">
        <f t="shared" si="970"/>
        <v>583368.11943677091</v>
      </c>
      <c r="R383">
        <f t="shared" si="971"/>
        <v>119170243.81696938</v>
      </c>
      <c r="S383">
        <f t="shared" si="972"/>
        <v>1191.7024381696938</v>
      </c>
      <c r="T383">
        <f t="shared" si="973"/>
        <v>1.1917024381696937</v>
      </c>
    </row>
    <row r="384" spans="1:20" x14ac:dyDescent="0.25">
      <c r="A384" s="5">
        <v>44209</v>
      </c>
      <c r="B384">
        <v>7.0521000000000003</v>
      </c>
      <c r="C384">
        <v>7.6680000000000001</v>
      </c>
      <c r="D384">
        <v>6.8552999999999997</v>
      </c>
      <c r="E384">
        <v>7.5949999999999998</v>
      </c>
      <c r="F384">
        <v>4473130.42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0.82035191337516833</v>
      </c>
      <c r="Q384">
        <f t="shared" si="970"/>
        <v>3669541.0988236703</v>
      </c>
      <c r="R384">
        <f t="shared" si="971"/>
        <v>118586875.69753261</v>
      </c>
      <c r="S384">
        <f t="shared" si="972"/>
        <v>1185.8687569753261</v>
      </c>
      <c r="T384">
        <f t="shared" si="973"/>
        <v>1.1858687569753261</v>
      </c>
    </row>
    <row r="385" spans="1:20" x14ac:dyDescent="0.25">
      <c r="A385" s="5">
        <v>44208</v>
      </c>
      <c r="B385">
        <v>7.2198000000000002</v>
      </c>
      <c r="C385">
        <v>7.6761999999999997</v>
      </c>
      <c r="D385">
        <v>6.8235999999999999</v>
      </c>
      <c r="E385">
        <v>7.0544000000000002</v>
      </c>
      <c r="F385">
        <v>6920562.6299999999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-0.45859723199624586</v>
      </c>
      <c r="Q385">
        <f t="shared" si="970"/>
        <v>-3173750.8659746591</v>
      </c>
      <c r="R385">
        <f t="shared" si="971"/>
        <v>114917334.59870894</v>
      </c>
      <c r="S385">
        <f t="shared" si="972"/>
        <v>1149.1733459870895</v>
      </c>
      <c r="T385">
        <f t="shared" si="973"/>
        <v>1.1491733459870894</v>
      </c>
    </row>
    <row r="386" spans="1:20" x14ac:dyDescent="0.25">
      <c r="A386" s="5">
        <v>44207</v>
      </c>
      <c r="B386">
        <v>8.8377999999999997</v>
      </c>
      <c r="C386">
        <v>8.8811999999999998</v>
      </c>
      <c r="D386">
        <v>6.2678000000000003</v>
      </c>
      <c r="E386">
        <v>7.2221000000000002</v>
      </c>
      <c r="F386">
        <v>15289416.32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-0.26968699778066879</v>
      </c>
      <c r="Q386">
        <f t="shared" si="970"/>
        <v>-4123356.7851595613</v>
      </c>
      <c r="R386">
        <f t="shared" si="971"/>
        <v>118091085.46468361</v>
      </c>
      <c r="S386">
        <f t="shared" si="972"/>
        <v>1180.910854646836</v>
      </c>
      <c r="T386">
        <f t="shared" si="973"/>
        <v>1.1809108546468361</v>
      </c>
    </row>
    <row r="387" spans="1:20" x14ac:dyDescent="0.25">
      <c r="A387" s="5">
        <v>44206</v>
      </c>
      <c r="B387">
        <v>7.7683999999999997</v>
      </c>
      <c r="C387">
        <v>9.98</v>
      </c>
      <c r="D387">
        <v>7.7683999999999997</v>
      </c>
      <c r="E387">
        <v>8.8346</v>
      </c>
      <c r="F387">
        <v>16511153.42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-3.5811177428106411E-2</v>
      </c>
      <c r="Q387">
        <f t="shared" si="970"/>
        <v>-591283.84466630593</v>
      </c>
      <c r="R387">
        <f t="shared" si="971"/>
        <v>122214442.24984317</v>
      </c>
      <c r="S387">
        <f t="shared" si="972"/>
        <v>1222.1444224984316</v>
      </c>
      <c r="T387">
        <f t="shared" si="973"/>
        <v>1.2221444224984317</v>
      </c>
    </row>
    <row r="388" spans="1:20" x14ac:dyDescent="0.25">
      <c r="A388" s="5">
        <v>44205</v>
      </c>
      <c r="B388">
        <v>6.9546999999999999</v>
      </c>
      <c r="C388">
        <v>8.0762999999999998</v>
      </c>
      <c r="D388">
        <v>6.7144000000000004</v>
      </c>
      <c r="E388">
        <v>7.7629999999999999</v>
      </c>
      <c r="F388">
        <v>8147736.7999999998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0.53990748219399365</v>
      </c>
      <c r="Q388">
        <f t="shared" si="970"/>
        <v>4399024.0612673471</v>
      </c>
      <c r="R388">
        <f t="shared" si="971"/>
        <v>122805726.09450947</v>
      </c>
      <c r="S388">
        <f t="shared" si="972"/>
        <v>1228.0572609450946</v>
      </c>
      <c r="T388">
        <f t="shared" si="973"/>
        <v>1.2280572609450946</v>
      </c>
    </row>
    <row r="389" spans="1:20" x14ac:dyDescent="0.25">
      <c r="A389" s="5">
        <v>44204</v>
      </c>
      <c r="B389">
        <v>7.2125000000000004</v>
      </c>
      <c r="C389">
        <v>7.3192000000000004</v>
      </c>
      <c r="D389">
        <v>6.6323999999999996</v>
      </c>
      <c r="E389">
        <v>6.9565000000000001</v>
      </c>
      <c r="F389">
        <v>6000945.2699999996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-5.6202679091438126E-2</v>
      </c>
      <c r="Q389">
        <f t="shared" si="970"/>
        <v>-337269.2012550935</v>
      </c>
      <c r="R389">
        <f t="shared" si="971"/>
        <v>118406702.03324212</v>
      </c>
      <c r="S389">
        <f t="shared" si="972"/>
        <v>1184.0670203324212</v>
      </c>
      <c r="T389">
        <f t="shared" si="973"/>
        <v>1.1840670203324213</v>
      </c>
    </row>
    <row r="390" spans="1:20" x14ac:dyDescent="0.25">
      <c r="A390" s="5">
        <v>44203</v>
      </c>
      <c r="B390">
        <v>7.5777000000000001</v>
      </c>
      <c r="C390">
        <v>7.7539999999999996</v>
      </c>
      <c r="D390">
        <v>6.9958999999999998</v>
      </c>
      <c r="E390">
        <v>7.2141999999999999</v>
      </c>
      <c r="F390">
        <v>5456496.5199999996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-0.42408653211977254</v>
      </c>
      <c r="Q390">
        <f t="shared" ref="Q390:Q453" si="975">F390*P390</f>
        <v>-2314026.6866904069</v>
      </c>
      <c r="R390">
        <f t="shared" ref="R390:R453" si="976">R391+Q390</f>
        <v>118743971.23449722</v>
      </c>
      <c r="S390">
        <f t="shared" ref="S390:S453" si="977">R390/100000</f>
        <v>1187.4397123449721</v>
      </c>
      <c r="T390">
        <f t="shared" ref="T390:T453" si="978">S390/1000</f>
        <v>1.187439712344972</v>
      </c>
    </row>
    <row r="391" spans="1:20" x14ac:dyDescent="0.25">
      <c r="A391" s="5">
        <v>44202</v>
      </c>
      <c r="B391">
        <v>7.2714999999999996</v>
      </c>
      <c r="C391">
        <v>7.7564000000000002</v>
      </c>
      <c r="D391">
        <v>6.9740000000000002</v>
      </c>
      <c r="E391">
        <v>7.5723000000000003</v>
      </c>
      <c r="F391">
        <v>4940420.3499999996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0.52939672801636006</v>
      </c>
      <c r="Q391">
        <f t="shared" si="975"/>
        <v>2615442.3683154401</v>
      </c>
      <c r="R391">
        <f t="shared" si="976"/>
        <v>121057997.92118762</v>
      </c>
      <c r="S391">
        <f t="shared" si="977"/>
        <v>1210.5799792118762</v>
      </c>
      <c r="T391">
        <f t="shared" si="978"/>
        <v>1.2105799792118761</v>
      </c>
    </row>
    <row r="392" spans="1:20" x14ac:dyDescent="0.25">
      <c r="A392" s="5">
        <v>44201</v>
      </c>
      <c r="B392">
        <v>7.0332999999999997</v>
      </c>
      <c r="C392">
        <v>7.4169</v>
      </c>
      <c r="D392">
        <v>6.6901999999999999</v>
      </c>
      <c r="E392">
        <v>7.2709999999999999</v>
      </c>
      <c r="F392">
        <v>5565471.8499999996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0.59845878629420635</v>
      </c>
      <c r="Q392">
        <f t="shared" si="975"/>
        <v>3330705.5285055712</v>
      </c>
      <c r="R392">
        <f t="shared" si="976"/>
        <v>118442555.55287218</v>
      </c>
      <c r="S392">
        <f t="shared" si="977"/>
        <v>1184.4255555287218</v>
      </c>
      <c r="T392">
        <f t="shared" si="978"/>
        <v>1.1844255555287218</v>
      </c>
    </row>
    <row r="393" spans="1:20" x14ac:dyDescent="0.25">
      <c r="A393" s="5">
        <v>44200</v>
      </c>
      <c r="B393">
        <v>6.569</v>
      </c>
      <c r="C393">
        <v>7.6398000000000001</v>
      </c>
      <c r="D393">
        <v>6.25</v>
      </c>
      <c r="E393">
        <v>7.0373999999999999</v>
      </c>
      <c r="F393">
        <v>10260011.67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0.13311267808317714</v>
      </c>
      <c r="Q393">
        <f t="shared" si="975"/>
        <v>1365737.6305583508</v>
      </c>
      <c r="R393">
        <f t="shared" si="976"/>
        <v>115111850.0243666</v>
      </c>
      <c r="S393">
        <f t="shared" si="977"/>
        <v>1151.1185002436659</v>
      </c>
      <c r="T393">
        <f t="shared" si="978"/>
        <v>1.1511185002436659</v>
      </c>
    </row>
    <row r="394" spans="1:20" x14ac:dyDescent="0.25">
      <c r="A394" s="5">
        <v>44199</v>
      </c>
      <c r="B394">
        <v>5.7765000000000004</v>
      </c>
      <c r="C394">
        <v>6.6676000000000002</v>
      </c>
      <c r="D394">
        <v>5.7594000000000003</v>
      </c>
      <c r="E394">
        <v>6.5678000000000001</v>
      </c>
      <c r="F394">
        <v>5685003.5899999999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0.78022462012772487</v>
      </c>
      <c r="Q394">
        <f t="shared" si="975"/>
        <v>4435579.7664325023</v>
      </c>
      <c r="R394">
        <f t="shared" si="976"/>
        <v>113746112.39380825</v>
      </c>
      <c r="S394">
        <f t="shared" si="977"/>
        <v>1137.4611239380824</v>
      </c>
      <c r="T394">
        <f t="shared" si="978"/>
        <v>1.1374611239380825</v>
      </c>
    </row>
    <row r="395" spans="1:20" x14ac:dyDescent="0.25">
      <c r="A395" s="5">
        <v>44198</v>
      </c>
      <c r="B395">
        <v>5.6962000000000002</v>
      </c>
      <c r="C395">
        <v>5.9603999999999999</v>
      </c>
      <c r="D395">
        <v>5.5724999999999998</v>
      </c>
      <c r="E395">
        <v>5.7763</v>
      </c>
      <c r="F395">
        <v>2049822.63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5.0786285125032908E-2</v>
      </c>
      <c r="Q395">
        <f t="shared" si="975"/>
        <v>104102.87654292483</v>
      </c>
      <c r="R395">
        <f t="shared" si="976"/>
        <v>109310532.62737574</v>
      </c>
      <c r="S395">
        <f t="shared" si="977"/>
        <v>1093.1053262737573</v>
      </c>
      <c r="T395">
        <f t="shared" si="978"/>
        <v>1.0931053262737573</v>
      </c>
    </row>
    <row r="396" spans="1:20" x14ac:dyDescent="0.25">
      <c r="A396" s="5">
        <v>44197</v>
      </c>
      <c r="B396">
        <v>5.6576000000000004</v>
      </c>
      <c r="C396">
        <v>5.8613999999999997</v>
      </c>
      <c r="D396">
        <v>5.5940000000000003</v>
      </c>
      <c r="E396">
        <v>5.6938000000000004</v>
      </c>
      <c r="F396">
        <v>1195797.1100000001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-0.2535527299925181</v>
      </c>
      <c r="Q396">
        <f t="shared" si="975"/>
        <v>-303197.6217576635</v>
      </c>
      <c r="R396">
        <f t="shared" si="976"/>
        <v>109206429.75083281</v>
      </c>
      <c r="S396">
        <f t="shared" si="977"/>
        <v>1092.0642975083281</v>
      </c>
      <c r="T396">
        <f t="shared" si="978"/>
        <v>1.0920642975083281</v>
      </c>
    </row>
    <row r="397" spans="1:20" x14ac:dyDescent="0.25">
      <c r="A397" s="5">
        <v>44196</v>
      </c>
      <c r="B397">
        <v>5.6779999999999999</v>
      </c>
      <c r="C397">
        <v>5.8071000000000002</v>
      </c>
      <c r="D397">
        <v>5.5542999999999996</v>
      </c>
      <c r="E397">
        <v>5.6562000000000001</v>
      </c>
      <c r="F397">
        <v>1674936.79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-0.19382911392404817</v>
      </c>
      <c r="Q397">
        <f t="shared" si="975"/>
        <v>-324651.51388448954</v>
      </c>
      <c r="R397">
        <f t="shared" si="976"/>
        <v>109509627.37259047</v>
      </c>
      <c r="S397">
        <f t="shared" si="977"/>
        <v>1095.0962737259047</v>
      </c>
      <c r="T397">
        <f t="shared" si="978"/>
        <v>1.0950962737259047</v>
      </c>
    </row>
    <row r="398" spans="1:20" x14ac:dyDescent="0.25">
      <c r="A398" s="5">
        <v>44195</v>
      </c>
      <c r="B398">
        <v>5.7225000000000001</v>
      </c>
      <c r="C398">
        <v>5.8122999999999996</v>
      </c>
      <c r="D398">
        <v>5.5964999999999998</v>
      </c>
      <c r="E398">
        <v>5.6798999999999999</v>
      </c>
      <c r="F398">
        <v>2917809.66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-0.22706209453197193</v>
      </c>
      <c r="Q398">
        <f t="shared" si="975"/>
        <v>-662523.97284522094</v>
      </c>
      <c r="R398">
        <f t="shared" si="976"/>
        <v>109834278.88647495</v>
      </c>
      <c r="S398">
        <f t="shared" si="977"/>
        <v>1098.3427888647495</v>
      </c>
      <c r="T398">
        <f t="shared" si="978"/>
        <v>1.0983427888647495</v>
      </c>
    </row>
    <row r="399" spans="1:20" x14ac:dyDescent="0.25">
      <c r="A399" s="5">
        <v>44194</v>
      </c>
      <c r="B399">
        <v>5.9188000000000001</v>
      </c>
      <c r="C399">
        <v>6.0236999999999998</v>
      </c>
      <c r="D399">
        <v>5.4528999999999996</v>
      </c>
      <c r="E399">
        <v>5.7190000000000003</v>
      </c>
      <c r="F399">
        <v>2809673.89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-6.7624386825506033E-2</v>
      </c>
      <c r="Q399">
        <f t="shared" si="975"/>
        <v>-190002.47399088429</v>
      </c>
      <c r="R399">
        <f t="shared" si="976"/>
        <v>110496802.85932018</v>
      </c>
      <c r="S399">
        <f t="shared" si="977"/>
        <v>1104.9680285932018</v>
      </c>
      <c r="T399">
        <f t="shared" si="978"/>
        <v>1.1049680285932018</v>
      </c>
    </row>
    <row r="400" spans="1:20" x14ac:dyDescent="0.25">
      <c r="A400" s="5">
        <v>44193</v>
      </c>
      <c r="B400">
        <v>5.8116000000000003</v>
      </c>
      <c r="C400">
        <v>6.1780999999999997</v>
      </c>
      <c r="D400">
        <v>5.7557</v>
      </c>
      <c r="E400">
        <v>5.9188000000000001</v>
      </c>
      <c r="F400">
        <v>3023346.77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-0.22774621212121141</v>
      </c>
      <c r="Q400">
        <f t="shared" si="975"/>
        <v>-688555.7747963994</v>
      </c>
      <c r="R400">
        <f t="shared" si="976"/>
        <v>110686805.33331107</v>
      </c>
      <c r="S400">
        <f t="shared" si="977"/>
        <v>1106.8680533331108</v>
      </c>
      <c r="T400">
        <f t="shared" si="978"/>
        <v>1.1068680533331108</v>
      </c>
    </row>
    <row r="401" spans="1:20" x14ac:dyDescent="0.25">
      <c r="A401" s="5">
        <v>44192</v>
      </c>
      <c r="B401">
        <v>5.8388999999999998</v>
      </c>
      <c r="C401">
        <v>6.1196999999999999</v>
      </c>
      <c r="D401">
        <v>5.4913999999999996</v>
      </c>
      <c r="E401">
        <v>5.8101000000000003</v>
      </c>
      <c r="F401">
        <v>4922555.8600000003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1.4483526977560069E-2</v>
      </c>
      <c r="Q401">
        <f t="shared" si="975"/>
        <v>71295.970596856409</v>
      </c>
      <c r="R401">
        <f t="shared" si="976"/>
        <v>111375361.10810746</v>
      </c>
      <c r="S401">
        <f t="shared" si="977"/>
        <v>1113.7536110810747</v>
      </c>
      <c r="T401">
        <f t="shared" si="978"/>
        <v>1.1137536110810746</v>
      </c>
    </row>
    <row r="402" spans="1:20" x14ac:dyDescent="0.25">
      <c r="A402" s="5">
        <v>44191</v>
      </c>
      <c r="B402">
        <v>5.7588999999999997</v>
      </c>
      <c r="C402">
        <v>5.8917000000000002</v>
      </c>
      <c r="D402">
        <v>5.5549999999999997</v>
      </c>
      <c r="E402">
        <v>5.8379000000000003</v>
      </c>
      <c r="F402">
        <v>2710271.12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0.68042768042768176</v>
      </c>
      <c r="Q402">
        <f t="shared" si="975"/>
        <v>1844143.4915117351</v>
      </c>
      <c r="R402">
        <f t="shared" si="976"/>
        <v>111304065.13751061</v>
      </c>
      <c r="S402">
        <f t="shared" si="977"/>
        <v>1113.0406513751061</v>
      </c>
      <c r="T402">
        <f t="shared" si="978"/>
        <v>1.1130406513751061</v>
      </c>
    </row>
    <row r="403" spans="1:20" x14ac:dyDescent="0.25">
      <c r="A403" s="5">
        <v>44190</v>
      </c>
      <c r="B403">
        <v>5.6073000000000004</v>
      </c>
      <c r="C403">
        <v>5.8737000000000004</v>
      </c>
      <c r="D403">
        <v>5.4778000000000002</v>
      </c>
      <c r="E403">
        <v>5.7568000000000001</v>
      </c>
      <c r="F403">
        <v>3582565.7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0.40944683000757676</v>
      </c>
      <c r="Q403">
        <f t="shared" si="975"/>
        <v>1466870.1691588752</v>
      </c>
      <c r="R403">
        <f t="shared" si="976"/>
        <v>109459921.64599888</v>
      </c>
      <c r="S403">
        <f t="shared" si="977"/>
        <v>1094.5992164599888</v>
      </c>
      <c r="T403">
        <f t="shared" si="978"/>
        <v>1.0945992164599889</v>
      </c>
    </row>
    <row r="404" spans="1:20" x14ac:dyDescent="0.25">
      <c r="A404" s="5">
        <v>44189</v>
      </c>
      <c r="B404">
        <v>5.0986000000000002</v>
      </c>
      <c r="C404">
        <v>5.6393000000000004</v>
      </c>
      <c r="D404">
        <v>5.008</v>
      </c>
      <c r="E404">
        <v>5.6031000000000004</v>
      </c>
      <c r="F404">
        <v>5606507.5999999996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0.88531601457310316</v>
      </c>
      <c r="Q404">
        <f t="shared" si="975"/>
        <v>4963530.9641058128</v>
      </c>
      <c r="R404">
        <f t="shared" si="976"/>
        <v>107993051.47684</v>
      </c>
      <c r="S404">
        <f t="shared" si="977"/>
        <v>1079.9305147684001</v>
      </c>
      <c r="T404">
        <f t="shared" si="978"/>
        <v>1.0799305147684002</v>
      </c>
    </row>
    <row r="405" spans="1:20" x14ac:dyDescent="0.25">
      <c r="A405" s="5">
        <v>44188</v>
      </c>
      <c r="B405">
        <v>6.1199000000000003</v>
      </c>
      <c r="C405">
        <v>6.1631999999999998</v>
      </c>
      <c r="D405">
        <v>4.7115999999999998</v>
      </c>
      <c r="E405">
        <v>5.0990000000000002</v>
      </c>
      <c r="F405">
        <v>7574275.5199999996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-0.46624414439239403</v>
      </c>
      <c r="Q405">
        <f t="shared" si="975"/>
        <v>-3531461.6092146551</v>
      </c>
      <c r="R405">
        <f t="shared" si="976"/>
        <v>103029520.51273419</v>
      </c>
      <c r="S405">
        <f t="shared" si="977"/>
        <v>1030.2952051273419</v>
      </c>
      <c r="T405">
        <f t="shared" si="978"/>
        <v>1.030295205127342</v>
      </c>
    </row>
    <row r="406" spans="1:20" x14ac:dyDescent="0.25">
      <c r="A406" s="5">
        <v>44187</v>
      </c>
      <c r="B406">
        <v>6.1082000000000001</v>
      </c>
      <c r="C406">
        <v>6.1974999999999998</v>
      </c>
      <c r="D406">
        <v>5.7521000000000004</v>
      </c>
      <c r="E406">
        <v>6.1197999999999997</v>
      </c>
      <c r="F406">
        <v>3890064.24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0.65110013471037176</v>
      </c>
      <c r="Q406">
        <f t="shared" si="975"/>
        <v>2532821.3506960003</v>
      </c>
      <c r="R406">
        <f t="shared" si="976"/>
        <v>106560982.12194884</v>
      </c>
      <c r="S406">
        <f t="shared" si="977"/>
        <v>1065.6098212194884</v>
      </c>
      <c r="T406">
        <f t="shared" si="978"/>
        <v>1.0656098212194884</v>
      </c>
    </row>
    <row r="407" spans="1:20" x14ac:dyDescent="0.25">
      <c r="A407" s="5">
        <v>44186</v>
      </c>
      <c r="B407">
        <v>6.4912999999999998</v>
      </c>
      <c r="C407">
        <v>6.9850000000000003</v>
      </c>
      <c r="D407">
        <v>6.0372000000000003</v>
      </c>
      <c r="E407">
        <v>6.1074999999999999</v>
      </c>
      <c r="F407">
        <v>5264407.08</v>
      </c>
      <c r="G407">
        <v>0</v>
      </c>
      <c r="L407" t="s">
        <v>8</v>
      </c>
      <c r="M407" t="s">
        <v>8</v>
      </c>
      <c r="N407" t="s">
        <v>8</v>
      </c>
      <c r="P407">
        <f t="shared" si="974"/>
        <v>-0.85165646760920111</v>
      </c>
      <c r="Q407">
        <f t="shared" si="975"/>
        <v>-4483466.3378096689</v>
      </c>
      <c r="R407">
        <f t="shared" si="976"/>
        <v>104028160.77125284</v>
      </c>
      <c r="S407">
        <f t="shared" si="977"/>
        <v>1040.2816077125285</v>
      </c>
      <c r="T407">
        <f t="shared" si="978"/>
        <v>1.0402816077125285</v>
      </c>
    </row>
    <row r="408" spans="1:20" x14ac:dyDescent="0.25">
      <c r="A408" s="5">
        <v>44185</v>
      </c>
      <c r="B408">
        <v>6.4151999999999996</v>
      </c>
      <c r="C408">
        <v>6.8428000000000004</v>
      </c>
      <c r="D408">
        <v>6.2428999999999997</v>
      </c>
      <c r="E408">
        <v>6.4949000000000003</v>
      </c>
      <c r="F408">
        <v>4335123.87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-0.15985997666277599</v>
      </c>
      <c r="Q408">
        <f t="shared" si="975"/>
        <v>-693012.80068844312</v>
      </c>
      <c r="R408">
        <f t="shared" si="976"/>
        <v>108511627.10906251</v>
      </c>
      <c r="S408">
        <f t="shared" si="977"/>
        <v>1085.1162710906251</v>
      </c>
      <c r="T408">
        <f t="shared" si="978"/>
        <v>1.085116271090625</v>
      </c>
    </row>
    <row r="409" spans="1:20" x14ac:dyDescent="0.25">
      <c r="A409" s="5">
        <v>44184</v>
      </c>
      <c r="B409">
        <v>6.3933</v>
      </c>
      <c r="C409">
        <v>6.5477999999999996</v>
      </c>
      <c r="D409">
        <v>6.3617999999999997</v>
      </c>
      <c r="E409">
        <v>6.4149000000000003</v>
      </c>
      <c r="F409">
        <v>2179385.73</v>
      </c>
      <c r="G409">
        <v>0</v>
      </c>
      <c r="L409" t="s">
        <v>7</v>
      </c>
      <c r="M409" t="s">
        <v>8</v>
      </c>
      <c r="N409" t="s">
        <v>8</v>
      </c>
      <c r="P409">
        <f t="shared" si="974"/>
        <v>-0.42903225806450962</v>
      </c>
      <c r="Q409">
        <f t="shared" si="975"/>
        <v>-935026.78093546967</v>
      </c>
      <c r="R409">
        <f t="shared" si="976"/>
        <v>109204639.90975095</v>
      </c>
      <c r="S409">
        <f t="shared" si="977"/>
        <v>1092.0463990975095</v>
      </c>
      <c r="T409">
        <f t="shared" si="978"/>
        <v>1.0920463990975096</v>
      </c>
    </row>
    <row r="410" spans="1:20" x14ac:dyDescent="0.25">
      <c r="A410" s="5">
        <v>44183</v>
      </c>
      <c r="B410">
        <v>6.4779</v>
      </c>
      <c r="C410">
        <v>6.6311</v>
      </c>
      <c r="D410">
        <v>6.2808999999999999</v>
      </c>
      <c r="E410">
        <v>6.3914999999999997</v>
      </c>
      <c r="F410">
        <v>2654212.12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-0.36836093660765395</v>
      </c>
      <c r="Q410">
        <f t="shared" si="975"/>
        <v>-977708.0624785868</v>
      </c>
      <c r="R410">
        <f t="shared" si="976"/>
        <v>110139666.69068642</v>
      </c>
      <c r="S410">
        <f t="shared" si="977"/>
        <v>1101.3966669068641</v>
      </c>
      <c r="T410">
        <f t="shared" si="978"/>
        <v>1.101396666906864</v>
      </c>
    </row>
    <row r="411" spans="1:20" x14ac:dyDescent="0.25">
      <c r="A411" s="5">
        <v>44182</v>
      </c>
      <c r="B411">
        <v>6.4649000000000001</v>
      </c>
      <c r="C411">
        <v>6.8364000000000003</v>
      </c>
      <c r="D411">
        <v>6.3</v>
      </c>
      <c r="E411">
        <v>6.4786000000000001</v>
      </c>
      <c r="F411">
        <v>4783000.53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-0.33407904548844081</v>
      </c>
      <c r="Q411">
        <f t="shared" si="975"/>
        <v>-1597900.2516331065</v>
      </c>
      <c r="R411">
        <f t="shared" si="976"/>
        <v>111117374.75316501</v>
      </c>
      <c r="S411">
        <f t="shared" si="977"/>
        <v>1111.1737475316502</v>
      </c>
      <c r="T411">
        <f t="shared" si="978"/>
        <v>1.1111737475316501</v>
      </c>
    </row>
    <row r="412" spans="1:20" x14ac:dyDescent="0.25">
      <c r="A412" s="5">
        <v>44181</v>
      </c>
      <c r="B412">
        <v>6.0519999999999996</v>
      </c>
      <c r="C412">
        <v>6.4722</v>
      </c>
      <c r="D412">
        <v>5.9381000000000004</v>
      </c>
      <c r="E412">
        <v>6.4653999999999998</v>
      </c>
      <c r="F412">
        <v>3018027.44</v>
      </c>
      <c r="G412">
        <v>0</v>
      </c>
      <c r="L412" t="s">
        <v>8</v>
      </c>
      <c r="M412" t="s">
        <v>7</v>
      </c>
      <c r="N412" t="s">
        <v>8</v>
      </c>
      <c r="P412">
        <f t="shared" si="974"/>
        <v>0.97453660363227801</v>
      </c>
      <c r="Q412">
        <f t="shared" si="975"/>
        <v>2941178.2110466189</v>
      </c>
      <c r="R412">
        <f t="shared" si="976"/>
        <v>112715275.00479811</v>
      </c>
      <c r="S412">
        <f t="shared" si="977"/>
        <v>1127.152750047981</v>
      </c>
      <c r="T412">
        <f t="shared" si="978"/>
        <v>1.127152750047981</v>
      </c>
    </row>
    <row r="413" spans="1:20" x14ac:dyDescent="0.25">
      <c r="A413" s="5">
        <v>44180</v>
      </c>
      <c r="B413">
        <v>6.0403000000000002</v>
      </c>
      <c r="C413">
        <v>6.1215999999999999</v>
      </c>
      <c r="D413">
        <v>5.9424999999999999</v>
      </c>
      <c r="E413">
        <v>6.0499000000000001</v>
      </c>
      <c r="F413">
        <v>1258746.06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0.19932998324958281</v>
      </c>
      <c r="Q413">
        <f t="shared" si="975"/>
        <v>250905.83105527837</v>
      </c>
      <c r="R413">
        <f t="shared" si="976"/>
        <v>109774096.79375149</v>
      </c>
      <c r="S413">
        <f t="shared" si="977"/>
        <v>1097.7409679375148</v>
      </c>
      <c r="T413">
        <f t="shared" si="978"/>
        <v>1.0977409679375147</v>
      </c>
    </row>
    <row r="414" spans="1:20" x14ac:dyDescent="0.25">
      <c r="A414" s="5">
        <v>44179</v>
      </c>
      <c r="B414">
        <v>6.1177000000000001</v>
      </c>
      <c r="C414">
        <v>6.1395</v>
      </c>
      <c r="D414">
        <v>5.94</v>
      </c>
      <c r="E414">
        <v>6.0388000000000002</v>
      </c>
      <c r="F414">
        <v>1409867.34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-9.5238095238096079E-3</v>
      </c>
      <c r="Q414">
        <f t="shared" si="975"/>
        <v>-13427.308000000119</v>
      </c>
      <c r="R414">
        <f t="shared" si="976"/>
        <v>109523190.96269621</v>
      </c>
      <c r="S414">
        <f t="shared" si="977"/>
        <v>1095.2319096269621</v>
      </c>
      <c r="T414">
        <f t="shared" si="978"/>
        <v>1.095231909626962</v>
      </c>
    </row>
    <row r="415" spans="1:20" x14ac:dyDescent="0.25">
      <c r="A415" s="5">
        <v>44178</v>
      </c>
      <c r="B415">
        <v>5.9714</v>
      </c>
      <c r="C415">
        <v>6.27</v>
      </c>
      <c r="D415">
        <v>5.9097999999999997</v>
      </c>
      <c r="E415">
        <v>6.1208999999999998</v>
      </c>
      <c r="F415">
        <v>1686950.29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0.17212659633537009</v>
      </c>
      <c r="Q415">
        <f t="shared" si="975"/>
        <v>290369.01160466549</v>
      </c>
      <c r="R415">
        <f t="shared" si="976"/>
        <v>109536618.27069621</v>
      </c>
      <c r="S415">
        <f t="shared" si="977"/>
        <v>1095.366182706962</v>
      </c>
      <c r="T415">
        <f t="shared" si="978"/>
        <v>1.0953661827069621</v>
      </c>
    </row>
    <row r="416" spans="1:20" x14ac:dyDescent="0.25">
      <c r="A416" s="5">
        <v>44177</v>
      </c>
      <c r="B416">
        <v>5.7899000000000003</v>
      </c>
      <c r="C416">
        <v>6.0472000000000001</v>
      </c>
      <c r="D416">
        <v>5.7811000000000003</v>
      </c>
      <c r="E416">
        <v>5.9710000000000001</v>
      </c>
      <c r="F416">
        <v>1218846.3600000001</v>
      </c>
      <c r="G416">
        <v>0</v>
      </c>
      <c r="L416" t="s">
        <v>7</v>
      </c>
      <c r="M416" t="s">
        <v>7</v>
      </c>
      <c r="N416" t="s">
        <v>8</v>
      </c>
      <c r="P416">
        <f t="shared" si="974"/>
        <v>0.42728297632468915</v>
      </c>
      <c r="Q416">
        <f t="shared" si="975"/>
        <v>520792.30038331356</v>
      </c>
      <c r="R416">
        <f t="shared" si="976"/>
        <v>109246249.25909154</v>
      </c>
      <c r="S416">
        <f t="shared" si="977"/>
        <v>1092.4624925909154</v>
      </c>
      <c r="T416">
        <f t="shared" si="978"/>
        <v>1.0924624925909154</v>
      </c>
    </row>
    <row r="417" spans="1:20" x14ac:dyDescent="0.25">
      <c r="A417" s="5">
        <v>44176</v>
      </c>
      <c r="B417">
        <v>5.8962000000000003</v>
      </c>
      <c r="C417">
        <v>5.9714999999999998</v>
      </c>
      <c r="D417">
        <v>5.7</v>
      </c>
      <c r="E417">
        <v>5.7895000000000003</v>
      </c>
      <c r="F417">
        <v>1934575.1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-0.34069981583793552</v>
      </c>
      <c r="Q417">
        <f t="shared" si="975"/>
        <v>-659109.38029465568</v>
      </c>
      <c r="R417">
        <f t="shared" si="976"/>
        <v>108725456.95870823</v>
      </c>
      <c r="S417">
        <f t="shared" si="977"/>
        <v>1087.2545695870822</v>
      </c>
      <c r="T417">
        <f t="shared" si="978"/>
        <v>1.0872545695870821</v>
      </c>
    </row>
    <row r="418" spans="1:20" x14ac:dyDescent="0.25">
      <c r="A418" s="5">
        <v>44175</v>
      </c>
      <c r="B418">
        <v>6.0647000000000002</v>
      </c>
      <c r="C418">
        <v>6.1096000000000004</v>
      </c>
      <c r="D418">
        <v>5.7877000000000001</v>
      </c>
      <c r="E418">
        <v>5.8917999999999999</v>
      </c>
      <c r="F418">
        <v>1542069.61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-0.3532152842497685</v>
      </c>
      <c r="Q418">
        <f t="shared" si="975"/>
        <v>-544682.5556290797</v>
      </c>
      <c r="R418">
        <f t="shared" si="976"/>
        <v>109384566.33900288</v>
      </c>
      <c r="S418">
        <f t="shared" si="977"/>
        <v>1093.8456633900287</v>
      </c>
      <c r="T418">
        <f t="shared" si="978"/>
        <v>1.0938456633900286</v>
      </c>
    </row>
    <row r="419" spans="1:20" x14ac:dyDescent="0.25">
      <c r="A419" s="5">
        <v>44174</v>
      </c>
      <c r="B419">
        <v>5.7690999999999999</v>
      </c>
      <c r="C419">
        <v>6.2035</v>
      </c>
      <c r="D419">
        <v>5.6052</v>
      </c>
      <c r="E419">
        <v>6.0625</v>
      </c>
      <c r="F419">
        <v>3217408.81</v>
      </c>
      <c r="G419">
        <v>0</v>
      </c>
      <c r="L419" t="s">
        <v>8</v>
      </c>
      <c r="M419" t="s">
        <v>7</v>
      </c>
      <c r="N419" t="s">
        <v>8</v>
      </c>
      <c r="P419">
        <f t="shared" si="974"/>
        <v>0.52866454955707842</v>
      </c>
      <c r="Q419">
        <f t="shared" si="975"/>
        <v>1700929.9792796257</v>
      </c>
      <c r="R419">
        <f t="shared" si="976"/>
        <v>109929248.89463195</v>
      </c>
      <c r="S419">
        <f t="shared" si="977"/>
        <v>1099.2924889463195</v>
      </c>
      <c r="T419">
        <f t="shared" si="978"/>
        <v>1.0992924889463196</v>
      </c>
    </row>
    <row r="420" spans="1:20" x14ac:dyDescent="0.25">
      <c r="A420" s="5">
        <v>44173</v>
      </c>
      <c r="B420">
        <v>6.1543999999999999</v>
      </c>
      <c r="C420">
        <v>6.1596000000000002</v>
      </c>
      <c r="D420">
        <v>5.6843000000000004</v>
      </c>
      <c r="E420">
        <v>5.7706999999999997</v>
      </c>
      <c r="F420">
        <v>1666602.77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-0.63644014306753882</v>
      </c>
      <c r="Q420">
        <f t="shared" si="975"/>
        <v>-1060692.9053755566</v>
      </c>
      <c r="R420">
        <f t="shared" si="976"/>
        <v>108228318.91535233</v>
      </c>
      <c r="S420">
        <f t="shared" si="977"/>
        <v>1082.2831891535234</v>
      </c>
      <c r="T420">
        <f t="shared" si="978"/>
        <v>1.0822831891535234</v>
      </c>
    </row>
    <row r="421" spans="1:20" x14ac:dyDescent="0.25">
      <c r="A421" s="5">
        <v>44172</v>
      </c>
      <c r="B421">
        <v>6.1737000000000002</v>
      </c>
      <c r="C421">
        <v>6.21</v>
      </c>
      <c r="D421">
        <v>6.0715000000000003</v>
      </c>
      <c r="E421">
        <v>6.1524999999999999</v>
      </c>
      <c r="F421">
        <v>1258422.5</v>
      </c>
      <c r="G421">
        <v>0</v>
      </c>
      <c r="L421" t="s">
        <v>7</v>
      </c>
      <c r="M421" t="s">
        <v>8</v>
      </c>
      <c r="N421" t="s">
        <v>8</v>
      </c>
      <c r="P421">
        <f t="shared" si="974"/>
        <v>0.16967509025270378</v>
      </c>
      <c r="Q421">
        <f t="shared" si="975"/>
        <v>213522.95126353312</v>
      </c>
      <c r="R421">
        <f t="shared" si="976"/>
        <v>109289011.82072788</v>
      </c>
      <c r="S421">
        <f t="shared" si="977"/>
        <v>1092.8901182072789</v>
      </c>
      <c r="T421">
        <f t="shared" si="978"/>
        <v>1.0928901182072788</v>
      </c>
    </row>
    <row r="422" spans="1:20" x14ac:dyDescent="0.25">
      <c r="A422" s="5">
        <v>44171</v>
      </c>
      <c r="B422">
        <v>6.1947000000000001</v>
      </c>
      <c r="C422">
        <v>6.2564000000000002</v>
      </c>
      <c r="D422">
        <v>6.0236999999999998</v>
      </c>
      <c r="E422">
        <v>6.1707999999999998</v>
      </c>
      <c r="F422">
        <v>1299736.8600000001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0.26428878384185461</v>
      </c>
      <c r="Q422">
        <f t="shared" si="975"/>
        <v>343505.8740438309</v>
      </c>
      <c r="R422">
        <f t="shared" si="976"/>
        <v>109075488.86946435</v>
      </c>
      <c r="S422">
        <f t="shared" si="977"/>
        <v>1090.7548886946436</v>
      </c>
      <c r="T422">
        <f t="shared" si="978"/>
        <v>1.0907548886946437</v>
      </c>
    </row>
    <row r="423" spans="1:20" x14ac:dyDescent="0.25">
      <c r="A423" s="5">
        <v>44170</v>
      </c>
      <c r="B423">
        <v>5.9515000000000002</v>
      </c>
      <c r="C423">
        <v>6.1981999999999999</v>
      </c>
      <c r="D423">
        <v>5.8948999999999998</v>
      </c>
      <c r="E423">
        <v>6.1921999999999997</v>
      </c>
      <c r="F423">
        <v>2085895.35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0.96043521266073051</v>
      </c>
      <c r="Q423">
        <f t="shared" si="975"/>
        <v>2003367.344065279</v>
      </c>
      <c r="R423">
        <f t="shared" si="976"/>
        <v>108731982.99542052</v>
      </c>
      <c r="S423">
        <f t="shared" si="977"/>
        <v>1087.3198299542053</v>
      </c>
      <c r="T423">
        <f t="shared" si="978"/>
        <v>1.0873198299542053</v>
      </c>
    </row>
    <row r="424" spans="1:20" x14ac:dyDescent="0.25">
      <c r="A424" s="5">
        <v>44169</v>
      </c>
      <c r="B424">
        <v>6.5891000000000002</v>
      </c>
      <c r="C424">
        <v>6.5919999999999996</v>
      </c>
      <c r="D424">
        <v>5.8788999999999998</v>
      </c>
      <c r="E424">
        <v>5.9515000000000002</v>
      </c>
      <c r="F424">
        <v>3240602.71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-0.7963819941102217</v>
      </c>
      <c r="Q424">
        <f t="shared" si="975"/>
        <v>-2580757.6483087884</v>
      </c>
      <c r="R424">
        <f t="shared" si="976"/>
        <v>106728615.65135524</v>
      </c>
      <c r="S424">
        <f t="shared" si="977"/>
        <v>1067.2861565135524</v>
      </c>
      <c r="T424">
        <f t="shared" si="978"/>
        <v>1.0672861565135525</v>
      </c>
    </row>
    <row r="425" spans="1:20" x14ac:dyDescent="0.25">
      <c r="A425" s="5">
        <v>44168</v>
      </c>
      <c r="B425">
        <v>6.2301000000000002</v>
      </c>
      <c r="C425">
        <v>6.6078999999999999</v>
      </c>
      <c r="D425">
        <v>6.1760000000000002</v>
      </c>
      <c r="E425">
        <v>6.5869999999999997</v>
      </c>
      <c r="F425">
        <v>4271683.49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0.90321833757814241</v>
      </c>
      <c r="Q425">
        <f t="shared" si="975"/>
        <v>3858262.8604977978</v>
      </c>
      <c r="R425">
        <f t="shared" si="976"/>
        <v>109309373.29966402</v>
      </c>
      <c r="S425">
        <f t="shared" si="977"/>
        <v>1093.0937329966403</v>
      </c>
      <c r="T425">
        <f t="shared" si="978"/>
        <v>1.0930937329966404</v>
      </c>
    </row>
    <row r="426" spans="1:20" x14ac:dyDescent="0.25">
      <c r="A426" s="5">
        <v>44167</v>
      </c>
      <c r="B426">
        <v>6.1420000000000003</v>
      </c>
      <c r="C426">
        <v>6.3806000000000003</v>
      </c>
      <c r="D426">
        <v>6.0369000000000002</v>
      </c>
      <c r="E426">
        <v>6.2375999999999996</v>
      </c>
      <c r="F426">
        <v>3198762.18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0.16787896421297274</v>
      </c>
      <c r="Q426">
        <f t="shared" si="975"/>
        <v>537004.88154203072</v>
      </c>
      <c r="R426">
        <f t="shared" si="976"/>
        <v>105451110.43916622</v>
      </c>
      <c r="S426">
        <f t="shared" si="977"/>
        <v>1054.5111043916622</v>
      </c>
      <c r="T426">
        <f t="shared" si="978"/>
        <v>1.0545111043916622</v>
      </c>
    </row>
    <row r="427" spans="1:20" x14ac:dyDescent="0.25">
      <c r="A427" s="5">
        <v>44166</v>
      </c>
      <c r="B427">
        <v>6.7427999999999999</v>
      </c>
      <c r="C427">
        <v>7</v>
      </c>
      <c r="D427">
        <v>5.9869000000000003</v>
      </c>
      <c r="E427">
        <v>6.1466000000000003</v>
      </c>
      <c r="F427">
        <v>6992281.8399999999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-0.6847300365215675</v>
      </c>
      <c r="Q427">
        <f t="shared" si="975"/>
        <v>-4787825.3996722931</v>
      </c>
      <c r="R427">
        <f t="shared" si="976"/>
        <v>104914105.55762419</v>
      </c>
      <c r="S427">
        <f t="shared" si="977"/>
        <v>1049.1410555762418</v>
      </c>
      <c r="T427">
        <f t="shared" si="978"/>
        <v>1.0491410555762417</v>
      </c>
    </row>
    <row r="428" spans="1:20" x14ac:dyDescent="0.25">
      <c r="A428" s="5">
        <v>44165</v>
      </c>
      <c r="B428">
        <v>6.3977000000000004</v>
      </c>
      <c r="C428">
        <v>6.8000999999999996</v>
      </c>
      <c r="D428">
        <v>6.3032000000000004</v>
      </c>
      <c r="E428">
        <v>6.7458</v>
      </c>
      <c r="F428">
        <v>4835013.78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0.78144495874421549</v>
      </c>
      <c r="Q428">
        <f t="shared" si="975"/>
        <v>3778297.1438398138</v>
      </c>
      <c r="R428">
        <f t="shared" si="976"/>
        <v>109701930.95729649</v>
      </c>
      <c r="S428">
        <f t="shared" si="977"/>
        <v>1097.0193095729649</v>
      </c>
      <c r="T428">
        <f t="shared" si="978"/>
        <v>1.0970193095729648</v>
      </c>
    </row>
    <row r="429" spans="1:20" x14ac:dyDescent="0.25">
      <c r="A429" s="5">
        <v>44164</v>
      </c>
      <c r="B429">
        <v>6.3255999999999997</v>
      </c>
      <c r="C429">
        <v>6.4695999999999998</v>
      </c>
      <c r="D429">
        <v>6.1167999999999996</v>
      </c>
      <c r="E429">
        <v>6.3925999999999998</v>
      </c>
      <c r="F429">
        <v>2215445.2400000002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0.56349206349206404</v>
      </c>
      <c r="Q429">
        <f t="shared" si="975"/>
        <v>1248385.8098412713</v>
      </c>
      <c r="R429">
        <f t="shared" si="976"/>
        <v>105923633.81345668</v>
      </c>
      <c r="S429">
        <f t="shared" si="977"/>
        <v>1059.2363381345669</v>
      </c>
      <c r="T429">
        <f t="shared" si="978"/>
        <v>1.0592363381345669</v>
      </c>
    </row>
    <row r="430" spans="1:20" x14ac:dyDescent="0.25">
      <c r="A430" s="5">
        <v>44163</v>
      </c>
      <c r="B430">
        <v>6.2130000000000001</v>
      </c>
      <c r="C430">
        <v>6.4798999999999998</v>
      </c>
      <c r="D430">
        <v>6.0754999999999999</v>
      </c>
      <c r="E430">
        <v>6.3268000000000004</v>
      </c>
      <c r="F430">
        <v>3228537.87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0.24282888229476066</v>
      </c>
      <c r="Q430">
        <f t="shared" si="975"/>
        <v>783982.24241840735</v>
      </c>
      <c r="R430">
        <f t="shared" si="976"/>
        <v>104675248.00361541</v>
      </c>
      <c r="S430">
        <f t="shared" si="977"/>
        <v>1046.7524800361541</v>
      </c>
      <c r="T430">
        <f t="shared" si="978"/>
        <v>1.0467524800361541</v>
      </c>
    </row>
    <row r="431" spans="1:20" x14ac:dyDescent="0.25">
      <c r="A431" s="5">
        <v>44162</v>
      </c>
      <c r="B431">
        <v>6.1355000000000004</v>
      </c>
      <c r="C431">
        <v>6.4619999999999997</v>
      </c>
      <c r="D431">
        <v>5.9131</v>
      </c>
      <c r="E431">
        <v>6.2115</v>
      </c>
      <c r="F431">
        <v>4721442.6500000004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8.7265439970851344E-2</v>
      </c>
      <c r="Q431">
        <f t="shared" si="975"/>
        <v>412018.77014939231</v>
      </c>
      <c r="R431">
        <f t="shared" si="976"/>
        <v>103891265.761197</v>
      </c>
      <c r="S431">
        <f t="shared" si="977"/>
        <v>1038.91265761197</v>
      </c>
      <c r="T431">
        <f t="shared" si="978"/>
        <v>1.03891265761197</v>
      </c>
    </row>
    <row r="432" spans="1:20" x14ac:dyDescent="0.25">
      <c r="A432" s="5">
        <v>44161</v>
      </c>
      <c r="B432">
        <v>6.9500999999999999</v>
      </c>
      <c r="C432">
        <v>7.173</v>
      </c>
      <c r="D432">
        <v>5.5876000000000001</v>
      </c>
      <c r="E432">
        <v>6.1403999999999996</v>
      </c>
      <c r="F432">
        <v>13280824.050000001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-0.30263655859720001</v>
      </c>
      <c r="Q432">
        <f t="shared" si="975"/>
        <v>-4019262.8858269285</v>
      </c>
      <c r="R432">
        <f t="shared" si="976"/>
        <v>103479246.99104761</v>
      </c>
      <c r="S432">
        <f t="shared" si="977"/>
        <v>1034.792469910476</v>
      </c>
      <c r="T432">
        <f t="shared" si="978"/>
        <v>1.034792469910476</v>
      </c>
    </row>
    <row r="433" spans="1:20" x14ac:dyDescent="0.25">
      <c r="A433" s="5">
        <v>44160</v>
      </c>
      <c r="B433">
        <v>7.2774000000000001</v>
      </c>
      <c r="C433">
        <v>7.97</v>
      </c>
      <c r="D433">
        <v>6.6</v>
      </c>
      <c r="E433">
        <v>6.95</v>
      </c>
      <c r="F433">
        <v>11952572.1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-0.48905109489051019</v>
      </c>
      <c r="Q433">
        <f t="shared" si="975"/>
        <v>-5845418.4722627643</v>
      </c>
      <c r="R433">
        <f t="shared" si="976"/>
        <v>107498509.87687454</v>
      </c>
      <c r="S433">
        <f t="shared" si="977"/>
        <v>1074.9850987687453</v>
      </c>
      <c r="T433">
        <f t="shared" si="978"/>
        <v>1.0749850987687453</v>
      </c>
    </row>
    <row r="434" spans="1:20" x14ac:dyDescent="0.25">
      <c r="A434" s="5">
        <v>44159</v>
      </c>
      <c r="B434">
        <v>6.5682999999999998</v>
      </c>
      <c r="C434">
        <v>7.4196999999999997</v>
      </c>
      <c r="D434">
        <v>6.4404000000000003</v>
      </c>
      <c r="E434">
        <v>7.2766999999999999</v>
      </c>
      <c r="F434">
        <v>11449865.9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0.70795466149290331</v>
      </c>
      <c r="Q434">
        <f t="shared" si="975"/>
        <v>8105985.9373736372</v>
      </c>
      <c r="R434">
        <f t="shared" si="976"/>
        <v>113343928.34913731</v>
      </c>
      <c r="S434">
        <f t="shared" si="977"/>
        <v>1133.4392834913731</v>
      </c>
      <c r="T434">
        <f t="shared" si="978"/>
        <v>1.1334392834913731</v>
      </c>
    </row>
    <row r="435" spans="1:20" x14ac:dyDescent="0.25">
      <c r="A435" s="5">
        <v>44158</v>
      </c>
      <c r="B435">
        <v>6.0316000000000001</v>
      </c>
      <c r="C435">
        <v>6.6154000000000002</v>
      </c>
      <c r="D435">
        <v>5.9394999999999998</v>
      </c>
      <c r="E435">
        <v>6.5685000000000002</v>
      </c>
      <c r="F435">
        <v>6661682.1100000003</v>
      </c>
      <c r="G435">
        <v>0</v>
      </c>
      <c r="L435" t="s">
        <v>7</v>
      </c>
      <c r="M435" t="s">
        <v>8</v>
      </c>
      <c r="N435" t="s">
        <v>8</v>
      </c>
      <c r="P435">
        <f t="shared" si="974"/>
        <v>0.86122207427134212</v>
      </c>
      <c r="Q435">
        <f t="shared" si="975"/>
        <v>5737187.6849104911</v>
      </c>
      <c r="R435">
        <f t="shared" si="976"/>
        <v>105237942.41176367</v>
      </c>
      <c r="S435">
        <f t="shared" si="977"/>
        <v>1052.3794241176367</v>
      </c>
      <c r="T435">
        <f t="shared" si="978"/>
        <v>1.0523794241176367</v>
      </c>
    </row>
    <row r="436" spans="1:20" x14ac:dyDescent="0.25">
      <c r="A436" s="5">
        <v>44157</v>
      </c>
      <c r="B436">
        <v>6.5895999999999999</v>
      </c>
      <c r="C436">
        <v>6.7405999999999997</v>
      </c>
      <c r="D436">
        <v>5.6571999999999996</v>
      </c>
      <c r="E436">
        <v>6.0316000000000001</v>
      </c>
      <c r="F436">
        <v>6754002.5199999996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-0.30884253276721346</v>
      </c>
      <c r="Q436">
        <f t="shared" si="975"/>
        <v>-2085923.2445929421</v>
      </c>
      <c r="R436">
        <f t="shared" si="976"/>
        <v>99500754.726853177</v>
      </c>
      <c r="S436">
        <f t="shared" si="977"/>
        <v>995.00754726853177</v>
      </c>
      <c r="T436">
        <f t="shared" si="978"/>
        <v>0.9950075472685318</v>
      </c>
    </row>
    <row r="437" spans="1:20" x14ac:dyDescent="0.25">
      <c r="A437" s="5">
        <v>44156</v>
      </c>
      <c r="B437">
        <v>6.0637999999999996</v>
      </c>
      <c r="C437">
        <v>6.5989000000000004</v>
      </c>
      <c r="D437">
        <v>5.7704000000000004</v>
      </c>
      <c r="E437">
        <v>6.5853000000000002</v>
      </c>
      <c r="F437">
        <v>8099249.1600000001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0.9671695835847911</v>
      </c>
      <c r="Q437">
        <f t="shared" si="975"/>
        <v>7833347.4374266695</v>
      </c>
      <c r="R437">
        <f t="shared" si="976"/>
        <v>101586677.97144611</v>
      </c>
      <c r="S437">
        <f t="shared" si="977"/>
        <v>1015.8667797144611</v>
      </c>
      <c r="T437">
        <f t="shared" si="978"/>
        <v>1.0158667797144612</v>
      </c>
    </row>
    <row r="438" spans="1:20" x14ac:dyDescent="0.25">
      <c r="A438" s="5">
        <v>44155</v>
      </c>
      <c r="B438">
        <v>5.9179000000000004</v>
      </c>
      <c r="C438">
        <v>6.0850999999999997</v>
      </c>
      <c r="D438">
        <v>5.7812000000000001</v>
      </c>
      <c r="E438">
        <v>6.0635000000000003</v>
      </c>
      <c r="F438">
        <v>6110167.0199999996</v>
      </c>
      <c r="G438">
        <v>0</v>
      </c>
      <c r="L438" t="s">
        <v>7</v>
      </c>
      <c r="M438" t="s">
        <v>8</v>
      </c>
      <c r="N438" t="s">
        <v>8</v>
      </c>
      <c r="P438">
        <f t="shared" si="974"/>
        <v>0.8578479763079998</v>
      </c>
      <c r="Q438">
        <f t="shared" si="975"/>
        <v>5241594.4130108813</v>
      </c>
      <c r="R438">
        <f t="shared" si="976"/>
        <v>93753330.53401944</v>
      </c>
      <c r="S438">
        <f t="shared" si="977"/>
        <v>937.53330534019437</v>
      </c>
      <c r="T438">
        <f t="shared" si="978"/>
        <v>0.93753330534019441</v>
      </c>
    </row>
    <row r="439" spans="1:20" x14ac:dyDescent="0.25">
      <c r="A439" s="5">
        <v>44154</v>
      </c>
      <c r="B439">
        <v>6.0438999999999998</v>
      </c>
      <c r="C439">
        <v>6.1440000000000001</v>
      </c>
      <c r="D439">
        <v>5.7201000000000004</v>
      </c>
      <c r="E439">
        <v>5.9188000000000001</v>
      </c>
      <c r="F439">
        <v>6293910.4500000002</v>
      </c>
      <c r="G439">
        <v>0</v>
      </c>
      <c r="L439" t="s">
        <v>7</v>
      </c>
      <c r="M439" t="s">
        <v>8</v>
      </c>
      <c r="N439" t="s">
        <v>8</v>
      </c>
      <c r="P439">
        <f t="shared" si="974"/>
        <v>-6.2514744043407483E-2</v>
      </c>
      <c r="Q439">
        <f t="shared" si="975"/>
        <v>-393462.20081387763</v>
      </c>
      <c r="R439">
        <f t="shared" si="976"/>
        <v>88511736.12100856</v>
      </c>
      <c r="S439">
        <f t="shared" si="977"/>
        <v>885.11736121008562</v>
      </c>
      <c r="T439">
        <f t="shared" si="978"/>
        <v>0.88511736121008566</v>
      </c>
    </row>
    <row r="440" spans="1:20" x14ac:dyDescent="0.25">
      <c r="A440" s="5">
        <v>44153</v>
      </c>
      <c r="B440">
        <v>5.7754000000000003</v>
      </c>
      <c r="C440">
        <v>6.36</v>
      </c>
      <c r="D440">
        <v>5.2195</v>
      </c>
      <c r="E440">
        <v>6.0430999999999999</v>
      </c>
      <c r="F440">
        <v>12189597.529999999</v>
      </c>
      <c r="G440">
        <v>0</v>
      </c>
      <c r="L440" t="s">
        <v>8</v>
      </c>
      <c r="M440" t="s">
        <v>8</v>
      </c>
      <c r="N440" t="s">
        <v>8</v>
      </c>
      <c r="P440">
        <f t="shared" si="974"/>
        <v>0.44427882507672017</v>
      </c>
      <c r="Q440">
        <f t="shared" si="975"/>
        <v>5415580.0687864898</v>
      </c>
      <c r="R440">
        <f t="shared" si="976"/>
        <v>88905198.321822435</v>
      </c>
      <c r="S440">
        <f t="shared" si="977"/>
        <v>889.05198321822434</v>
      </c>
      <c r="T440">
        <f t="shared" si="978"/>
        <v>0.88905198321822432</v>
      </c>
    </row>
    <row r="441" spans="1:20" x14ac:dyDescent="0.25">
      <c r="A441" s="5">
        <v>44152</v>
      </c>
      <c r="B441">
        <v>5.3947000000000003</v>
      </c>
      <c r="C441">
        <v>5.9767999999999999</v>
      </c>
      <c r="D441">
        <v>5.3765999999999998</v>
      </c>
      <c r="E441">
        <v>5.7751000000000001</v>
      </c>
      <c r="F441">
        <v>4325240.5599999996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0.32789070309896784</v>
      </c>
      <c r="Q441">
        <f t="shared" si="975"/>
        <v>1418206.1682905732</v>
      </c>
      <c r="R441">
        <f t="shared" si="976"/>
        <v>83489618.253035948</v>
      </c>
      <c r="S441">
        <f t="shared" si="977"/>
        <v>834.89618253035951</v>
      </c>
      <c r="T441">
        <f t="shared" si="978"/>
        <v>0.83489618253035947</v>
      </c>
    </row>
    <row r="442" spans="1:20" x14ac:dyDescent="0.25">
      <c r="A442" s="5">
        <v>44151</v>
      </c>
      <c r="B442">
        <v>5.0227000000000004</v>
      </c>
      <c r="C442">
        <v>5.4866000000000001</v>
      </c>
      <c r="D442">
        <v>4.9833999999999996</v>
      </c>
      <c r="E442">
        <v>5.3949999999999996</v>
      </c>
      <c r="F442">
        <v>2403471.02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0.6359300476947517</v>
      </c>
      <c r="Q442">
        <f t="shared" si="975"/>
        <v>1528439.4403815535</v>
      </c>
      <c r="R442">
        <f t="shared" si="976"/>
        <v>82071412.084745377</v>
      </c>
      <c r="S442">
        <f t="shared" si="977"/>
        <v>820.71412084745373</v>
      </c>
      <c r="T442">
        <f t="shared" si="978"/>
        <v>0.82071412084745377</v>
      </c>
    </row>
    <row r="443" spans="1:20" x14ac:dyDescent="0.25">
      <c r="A443" s="5">
        <v>44150</v>
      </c>
      <c r="B443">
        <v>5.0332999999999997</v>
      </c>
      <c r="C443">
        <v>5.0593000000000004</v>
      </c>
      <c r="D443">
        <v>4.9352</v>
      </c>
      <c r="E443">
        <v>5.0240999999999998</v>
      </c>
      <c r="F443">
        <v>915033.71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0.43271555197420675</v>
      </c>
      <c r="Q443">
        <f t="shared" si="975"/>
        <v>395949.31689765619</v>
      </c>
      <c r="R443">
        <f t="shared" si="976"/>
        <v>80542972.644363821</v>
      </c>
      <c r="S443">
        <f t="shared" si="977"/>
        <v>805.42972644363817</v>
      </c>
      <c r="T443">
        <f t="shared" si="978"/>
        <v>0.80542972644363819</v>
      </c>
    </row>
    <row r="444" spans="1:20" x14ac:dyDescent="0.25">
      <c r="A444" s="5">
        <v>44149</v>
      </c>
      <c r="B444">
        <v>5.1346999999999996</v>
      </c>
      <c r="C444">
        <v>5.1753</v>
      </c>
      <c r="D444">
        <v>4.9736000000000002</v>
      </c>
      <c r="E444">
        <v>5.0332999999999997</v>
      </c>
      <c r="F444">
        <v>945573.68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-0.40803173029251871</v>
      </c>
      <c r="Q444">
        <f t="shared" si="975"/>
        <v>-385824.06476946443</v>
      </c>
      <c r="R444">
        <f t="shared" si="976"/>
        <v>80147023.32746616</v>
      </c>
      <c r="S444">
        <f t="shared" si="977"/>
        <v>801.47023327466161</v>
      </c>
      <c r="T444">
        <f t="shared" si="978"/>
        <v>0.8014702332746616</v>
      </c>
    </row>
    <row r="445" spans="1:20" x14ac:dyDescent="0.25">
      <c r="A445" s="5">
        <v>44148</v>
      </c>
      <c r="B445">
        <v>5.0452000000000004</v>
      </c>
      <c r="C445">
        <v>5.1547000000000001</v>
      </c>
      <c r="D445">
        <v>4.9880000000000004</v>
      </c>
      <c r="E445">
        <v>5.1344000000000003</v>
      </c>
      <c r="F445">
        <v>1370638.32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0.75644871025795068</v>
      </c>
      <c r="Q445">
        <f t="shared" si="975"/>
        <v>1036817.5893941243</v>
      </c>
      <c r="R445">
        <f t="shared" si="976"/>
        <v>80532847.392235622</v>
      </c>
      <c r="S445">
        <f t="shared" si="977"/>
        <v>805.32847392235624</v>
      </c>
      <c r="T445">
        <f t="shared" si="978"/>
        <v>0.80532847392235629</v>
      </c>
    </row>
    <row r="446" spans="1:20" x14ac:dyDescent="0.25">
      <c r="A446" s="5">
        <v>44147</v>
      </c>
      <c r="B446">
        <v>5.0887000000000002</v>
      </c>
      <c r="C446">
        <v>5.1147999999999998</v>
      </c>
      <c r="D446">
        <v>4.9683000000000002</v>
      </c>
      <c r="E446">
        <v>5.0448000000000004</v>
      </c>
      <c r="F446">
        <v>1094616.6499999999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4.4368600682599693E-2</v>
      </c>
      <c r="Q446">
        <f t="shared" si="975"/>
        <v>48566.609044374985</v>
      </c>
      <c r="R446">
        <f t="shared" si="976"/>
        <v>79496029.802841499</v>
      </c>
      <c r="S446">
        <f t="shared" si="977"/>
        <v>794.96029802841497</v>
      </c>
      <c r="T446">
        <f t="shared" si="978"/>
        <v>0.79496029802841495</v>
      </c>
    </row>
    <row r="447" spans="1:20" x14ac:dyDescent="0.25">
      <c r="A447" s="5">
        <v>44146</v>
      </c>
      <c r="B447">
        <v>5.1345000000000001</v>
      </c>
      <c r="C447">
        <v>5.2091000000000003</v>
      </c>
      <c r="D447">
        <v>5.0648999999999997</v>
      </c>
      <c r="E447">
        <v>5.0917000000000003</v>
      </c>
      <c r="F447">
        <v>1018879.78</v>
      </c>
      <c r="G447">
        <v>0</v>
      </c>
      <c r="L447" t="s">
        <v>7</v>
      </c>
      <c r="M447" t="s">
        <v>8</v>
      </c>
      <c r="N447" t="s">
        <v>7</v>
      </c>
      <c r="P447">
        <f t="shared" si="974"/>
        <v>-0.62829403606101941</v>
      </c>
      <c r="Q447">
        <f t="shared" si="975"/>
        <v>-640156.08923716354</v>
      </c>
      <c r="R447">
        <f t="shared" si="976"/>
        <v>79447463.193797126</v>
      </c>
      <c r="S447">
        <f t="shared" si="977"/>
        <v>794.47463193797125</v>
      </c>
      <c r="T447">
        <f t="shared" si="978"/>
        <v>0.7944746319379713</v>
      </c>
    </row>
    <row r="448" spans="1:20" x14ac:dyDescent="0.25">
      <c r="A448" s="5">
        <v>44145</v>
      </c>
      <c r="B448">
        <v>5.0290999999999997</v>
      </c>
      <c r="C448">
        <v>5.1997999999999998</v>
      </c>
      <c r="D448">
        <v>5</v>
      </c>
      <c r="E448">
        <v>5.1323999999999996</v>
      </c>
      <c r="F448">
        <v>1299155.1000000001</v>
      </c>
      <c r="G448">
        <v>0</v>
      </c>
      <c r="L448" t="s">
        <v>7</v>
      </c>
      <c r="M448" t="s">
        <v>8</v>
      </c>
      <c r="N448" t="s">
        <v>7</v>
      </c>
      <c r="P448">
        <f t="shared" si="974"/>
        <v>0.32532532532532321</v>
      </c>
      <c r="Q448">
        <f t="shared" si="975"/>
        <v>422648.05555555283</v>
      </c>
      <c r="R448">
        <f t="shared" si="976"/>
        <v>80087619.283034295</v>
      </c>
      <c r="S448">
        <f t="shared" si="977"/>
        <v>800.87619283034292</v>
      </c>
      <c r="T448">
        <f t="shared" si="978"/>
        <v>0.80087619283034295</v>
      </c>
    </row>
    <row r="449" spans="1:20" x14ac:dyDescent="0.25">
      <c r="A449" s="5">
        <v>44144</v>
      </c>
      <c r="B449">
        <v>5.1778000000000004</v>
      </c>
      <c r="C449">
        <v>5.2186000000000003</v>
      </c>
      <c r="D449">
        <v>4.891</v>
      </c>
      <c r="E449">
        <v>5.0282999999999998</v>
      </c>
      <c r="F449">
        <v>1608957.42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-0.16178266178266412</v>
      </c>
      <c r="Q449">
        <f t="shared" si="975"/>
        <v>-260301.41410256785</v>
      </c>
      <c r="R449">
        <f t="shared" si="976"/>
        <v>79664971.227478743</v>
      </c>
      <c r="S449">
        <f t="shared" si="977"/>
        <v>796.64971227478748</v>
      </c>
      <c r="T449">
        <f t="shared" si="978"/>
        <v>0.79664971227478742</v>
      </c>
    </row>
    <row r="450" spans="1:20" x14ac:dyDescent="0.25">
      <c r="A450" s="5">
        <v>44143</v>
      </c>
      <c r="B450">
        <v>5.0773999999999999</v>
      </c>
      <c r="C450">
        <v>5.2682000000000002</v>
      </c>
      <c r="D450">
        <v>5.0376000000000003</v>
      </c>
      <c r="E450">
        <v>5.1801000000000004</v>
      </c>
      <c r="F450">
        <v>1255450.52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0.23590633130962813</v>
      </c>
      <c r="Q450">
        <f t="shared" si="975"/>
        <v>296168.72631396493</v>
      </c>
      <c r="R450">
        <f t="shared" si="976"/>
        <v>79925272.641581312</v>
      </c>
      <c r="S450">
        <f t="shared" si="977"/>
        <v>799.25272641581307</v>
      </c>
      <c r="T450">
        <f t="shared" si="978"/>
        <v>0.79925272641581302</v>
      </c>
    </row>
    <row r="451" spans="1:20" x14ac:dyDescent="0.25">
      <c r="A451" s="5">
        <v>44142</v>
      </c>
      <c r="B451">
        <v>5.3597000000000001</v>
      </c>
      <c r="C451">
        <v>5.5796999999999999</v>
      </c>
      <c r="D451">
        <v>4.9188999999999998</v>
      </c>
      <c r="E451">
        <v>5.0770999999999997</v>
      </c>
      <c r="F451">
        <v>2523378.69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-0.52118644067796649</v>
      </c>
      <c r="Q451">
        <f t="shared" si="975"/>
        <v>-1315150.7579237297</v>
      </c>
      <c r="R451">
        <f t="shared" si="976"/>
        <v>79629103.915267348</v>
      </c>
      <c r="S451">
        <f t="shared" si="977"/>
        <v>796.29103915267353</v>
      </c>
      <c r="T451">
        <f t="shared" si="978"/>
        <v>0.79629103915267352</v>
      </c>
    </row>
    <row r="452" spans="1:20" x14ac:dyDescent="0.25">
      <c r="A452" s="5">
        <v>44141</v>
      </c>
      <c r="B452">
        <v>5.0975000000000001</v>
      </c>
      <c r="C452">
        <v>5.4687000000000001</v>
      </c>
      <c r="D452">
        <v>5.0728</v>
      </c>
      <c r="E452">
        <v>5.3597000000000001</v>
      </c>
      <c r="F452">
        <v>1887709.18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0.44935589795402908</v>
      </c>
      <c r="Q452">
        <f t="shared" si="975"/>
        <v>848253.25365496392</v>
      </c>
      <c r="R452">
        <f t="shared" si="976"/>
        <v>80944254.673191085</v>
      </c>
      <c r="S452">
        <f t="shared" si="977"/>
        <v>809.44254673191085</v>
      </c>
      <c r="T452">
        <f t="shared" si="978"/>
        <v>0.80944254673191085</v>
      </c>
    </row>
    <row r="453" spans="1:20" x14ac:dyDescent="0.25">
      <c r="A453" s="5">
        <v>44140</v>
      </c>
      <c r="B453">
        <v>4.8788999999999998</v>
      </c>
      <c r="C453">
        <v>5.1123000000000003</v>
      </c>
      <c r="D453">
        <v>4.8022999999999998</v>
      </c>
      <c r="E453">
        <v>5.0979000000000001</v>
      </c>
      <c r="F453">
        <v>1277191.54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0.90709677419354728</v>
      </c>
      <c r="Q453">
        <f t="shared" si="975"/>
        <v>1158536.325961289</v>
      </c>
      <c r="R453">
        <f t="shared" si="976"/>
        <v>80096001.419536129</v>
      </c>
      <c r="S453">
        <f t="shared" si="977"/>
        <v>800.96001419536128</v>
      </c>
      <c r="T453">
        <f t="shared" si="978"/>
        <v>0.80096001419536134</v>
      </c>
    </row>
    <row r="454" spans="1:20" x14ac:dyDescent="0.25">
      <c r="A454" s="5">
        <v>44139</v>
      </c>
      <c r="B454">
        <v>4.8874000000000004</v>
      </c>
      <c r="C454">
        <v>4.9519000000000002</v>
      </c>
      <c r="D454">
        <v>4.6885000000000003</v>
      </c>
      <c r="E454">
        <v>4.8773999999999997</v>
      </c>
      <c r="F454">
        <v>1146907.67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0.43432042520880415</v>
      </c>
      <c r="Q454">
        <f t="shared" ref="Q454:Q517" si="980">F454*P454</f>
        <v>498125.4269096388</v>
      </c>
      <c r="R454">
        <f t="shared" ref="R454:R517" si="981">R455+Q454</f>
        <v>78937465.093574837</v>
      </c>
      <c r="S454">
        <f t="shared" ref="S454:S517" si="982">R454/100000</f>
        <v>789.37465093574838</v>
      </c>
      <c r="T454">
        <f t="shared" ref="T454:T517" si="983">S454/1000</f>
        <v>0.78937465093574832</v>
      </c>
    </row>
    <row r="455" spans="1:20" x14ac:dyDescent="0.25">
      <c r="A455" s="5">
        <v>44138</v>
      </c>
      <c r="B455">
        <v>4.9958999999999998</v>
      </c>
      <c r="C455">
        <v>5.1818999999999997</v>
      </c>
      <c r="D455">
        <v>4.6943000000000001</v>
      </c>
      <c r="E455">
        <v>4.8865999999999996</v>
      </c>
      <c r="F455">
        <v>1508986.44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-0.21123872026251175</v>
      </c>
      <c r="Q455">
        <f t="shared" si="980"/>
        <v>-318756.36447908345</v>
      </c>
      <c r="R455">
        <f t="shared" si="981"/>
        <v>78439339.666665196</v>
      </c>
      <c r="S455">
        <f t="shared" si="982"/>
        <v>784.39339666665194</v>
      </c>
      <c r="T455">
        <f t="shared" si="983"/>
        <v>0.78439339666665198</v>
      </c>
    </row>
    <row r="456" spans="1:20" x14ac:dyDescent="0.25">
      <c r="A456" s="5">
        <v>44137</v>
      </c>
      <c r="B456">
        <v>5.2442000000000002</v>
      </c>
      <c r="C456">
        <v>5.2882999999999996</v>
      </c>
      <c r="D456">
        <v>4.9378000000000002</v>
      </c>
      <c r="E456">
        <v>4.9961000000000002</v>
      </c>
      <c r="F456">
        <v>1131245.24</v>
      </c>
      <c r="G456">
        <v>0</v>
      </c>
      <c r="L456" t="s">
        <v>7</v>
      </c>
      <c r="M456" t="s">
        <v>8</v>
      </c>
      <c r="N456" t="s">
        <v>7</v>
      </c>
      <c r="P456">
        <f t="shared" si="979"/>
        <v>-0.66733238231098357</v>
      </c>
      <c r="Q456">
        <f t="shared" si="980"/>
        <v>-754916.58098716033</v>
      </c>
      <c r="R456">
        <f t="shared" si="981"/>
        <v>78758096.031144276</v>
      </c>
      <c r="S456">
        <f t="shared" si="982"/>
        <v>787.58096031144271</v>
      </c>
      <c r="T456">
        <f t="shared" si="983"/>
        <v>0.78758096031144276</v>
      </c>
    </row>
    <row r="457" spans="1:20" x14ac:dyDescent="0.25">
      <c r="A457" s="5">
        <v>44136</v>
      </c>
      <c r="B457">
        <v>5.2721</v>
      </c>
      <c r="C457">
        <v>5.2965999999999998</v>
      </c>
      <c r="D457">
        <v>5.1718000000000002</v>
      </c>
      <c r="E457">
        <v>5.2434000000000003</v>
      </c>
      <c r="F457">
        <v>491795.26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0.14743589743590305</v>
      </c>
      <c r="Q457">
        <f t="shared" si="980"/>
        <v>72508.275512823267</v>
      </c>
      <c r="R457">
        <f t="shared" si="981"/>
        <v>79513012.612131432</v>
      </c>
      <c r="S457">
        <f t="shared" si="982"/>
        <v>795.13012612131433</v>
      </c>
      <c r="T457">
        <f t="shared" si="983"/>
        <v>0.79513012612131428</v>
      </c>
    </row>
    <row r="458" spans="1:20" x14ac:dyDescent="0.25">
      <c r="A458" s="5">
        <v>44135</v>
      </c>
      <c r="B458">
        <v>5.2579000000000002</v>
      </c>
      <c r="C458">
        <v>5.3296000000000001</v>
      </c>
      <c r="D458">
        <v>5.2076000000000002</v>
      </c>
      <c r="E458">
        <v>5.2733999999999996</v>
      </c>
      <c r="F458">
        <v>682260.56</v>
      </c>
      <c r="G458">
        <v>0</v>
      </c>
      <c r="L458" t="s">
        <v>7</v>
      </c>
      <c r="M458" t="s">
        <v>8</v>
      </c>
      <c r="N458" t="s">
        <v>7</v>
      </c>
      <c r="P458">
        <f t="shared" si="979"/>
        <v>7.8688524590155337E-2</v>
      </c>
      <c r="Q458">
        <f t="shared" si="980"/>
        <v>53686.076852453152</v>
      </c>
      <c r="R458">
        <f t="shared" si="981"/>
        <v>79440504.336618602</v>
      </c>
      <c r="S458">
        <f t="shared" si="982"/>
        <v>794.40504336618608</v>
      </c>
      <c r="T458">
        <f t="shared" si="983"/>
        <v>0.79440504336618611</v>
      </c>
    </row>
    <row r="459" spans="1:20" x14ac:dyDescent="0.25">
      <c r="A459" s="5">
        <v>44134</v>
      </c>
      <c r="B459">
        <v>5.4065000000000003</v>
      </c>
      <c r="C459">
        <v>5.4720000000000004</v>
      </c>
      <c r="D459">
        <v>5.1806999999999999</v>
      </c>
      <c r="E459">
        <v>5.2584</v>
      </c>
      <c r="F459">
        <v>1156284</v>
      </c>
      <c r="G459">
        <v>0</v>
      </c>
      <c r="L459" t="s">
        <v>7</v>
      </c>
      <c r="M459" t="s">
        <v>8</v>
      </c>
      <c r="N459" t="s">
        <v>7</v>
      </c>
      <c r="P459">
        <f t="shared" si="979"/>
        <v>-0.46652935118434635</v>
      </c>
      <c r="Q459">
        <f t="shared" si="980"/>
        <v>-539440.42430484074</v>
      </c>
      <c r="R459">
        <f t="shared" si="981"/>
        <v>79386818.259766147</v>
      </c>
      <c r="S459">
        <f t="shared" si="982"/>
        <v>793.86818259766142</v>
      </c>
      <c r="T459">
        <f t="shared" si="983"/>
        <v>0.79386818259766145</v>
      </c>
    </row>
    <row r="460" spans="1:20" x14ac:dyDescent="0.25">
      <c r="A460" s="5">
        <v>44133</v>
      </c>
      <c r="B460">
        <v>5.2709999999999999</v>
      </c>
      <c r="C460">
        <v>5.5077999999999996</v>
      </c>
      <c r="D460">
        <v>5.2165999999999997</v>
      </c>
      <c r="E460">
        <v>5.4065000000000003</v>
      </c>
      <c r="F460">
        <v>1288859.1299999999</v>
      </c>
      <c r="G460">
        <v>0</v>
      </c>
      <c r="L460" t="s">
        <v>7</v>
      </c>
      <c r="M460" t="s">
        <v>8</v>
      </c>
      <c r="N460" t="s">
        <v>7</v>
      </c>
      <c r="P460">
        <f t="shared" si="979"/>
        <v>0.30425824175824645</v>
      </c>
      <c r="Q460">
        <f t="shared" si="980"/>
        <v>392146.01276786317</v>
      </c>
      <c r="R460">
        <f t="shared" si="981"/>
        <v>79926258.684070989</v>
      </c>
      <c r="S460">
        <f t="shared" si="982"/>
        <v>799.2625868407099</v>
      </c>
      <c r="T460">
        <f t="shared" si="983"/>
        <v>0.79926258684070994</v>
      </c>
    </row>
    <row r="461" spans="1:20" x14ac:dyDescent="0.25">
      <c r="A461" s="5">
        <v>44132</v>
      </c>
      <c r="B461">
        <v>5.4584999999999999</v>
      </c>
      <c r="C461">
        <v>5.5919999999999996</v>
      </c>
      <c r="D461">
        <v>5.226</v>
      </c>
      <c r="E461">
        <v>5.2713999999999999</v>
      </c>
      <c r="F461">
        <v>1155610.82</v>
      </c>
      <c r="G461">
        <v>0</v>
      </c>
      <c r="L461" t="s">
        <v>7</v>
      </c>
      <c r="M461" t="s">
        <v>8</v>
      </c>
      <c r="N461" t="s">
        <v>7</v>
      </c>
      <c r="P461">
        <f t="shared" si="979"/>
        <v>-0.75191256830601128</v>
      </c>
      <c r="Q461">
        <f t="shared" si="980"/>
        <v>-868918.29962841573</v>
      </c>
      <c r="R461">
        <f t="shared" si="981"/>
        <v>79534112.671303123</v>
      </c>
      <c r="S461">
        <f t="shared" si="982"/>
        <v>795.34112671303126</v>
      </c>
      <c r="T461">
        <f t="shared" si="983"/>
        <v>0.79534112671303125</v>
      </c>
    </row>
    <row r="462" spans="1:20" x14ac:dyDescent="0.25">
      <c r="A462" s="5">
        <v>44131</v>
      </c>
      <c r="B462">
        <v>5.4345999999999997</v>
      </c>
      <c r="C462">
        <v>5.5354000000000001</v>
      </c>
      <c r="D462">
        <v>5.4054000000000002</v>
      </c>
      <c r="E462">
        <v>5.4581999999999997</v>
      </c>
      <c r="F462">
        <v>1050677.1599999999</v>
      </c>
      <c r="G462">
        <v>0</v>
      </c>
      <c r="L462" t="s">
        <v>8</v>
      </c>
      <c r="M462" t="s">
        <v>8</v>
      </c>
      <c r="N462" t="s">
        <v>7</v>
      </c>
      <c r="P462">
        <f t="shared" si="979"/>
        <v>-0.18769230769231451</v>
      </c>
      <c r="Q462">
        <f t="shared" si="980"/>
        <v>-197204.02080000716</v>
      </c>
      <c r="R462">
        <f t="shared" si="981"/>
        <v>80403030.970931545</v>
      </c>
      <c r="S462">
        <f t="shared" si="982"/>
        <v>804.03030970931547</v>
      </c>
      <c r="T462">
        <f t="shared" si="983"/>
        <v>0.80403030970931544</v>
      </c>
    </row>
    <row r="463" spans="1:20" x14ac:dyDescent="0.25">
      <c r="A463" s="5">
        <v>44130</v>
      </c>
      <c r="B463">
        <v>5.5559000000000003</v>
      </c>
      <c r="C463">
        <v>5.6165000000000003</v>
      </c>
      <c r="D463">
        <v>5.4</v>
      </c>
      <c r="E463">
        <v>5.4349999999999996</v>
      </c>
      <c r="F463">
        <v>636743.27</v>
      </c>
      <c r="G463">
        <v>0</v>
      </c>
      <c r="L463" t="s">
        <v>8</v>
      </c>
      <c r="M463" t="s">
        <v>8</v>
      </c>
      <c r="N463" t="s">
        <v>7</v>
      </c>
      <c r="P463">
        <f t="shared" si="979"/>
        <v>-0.67667436489608068</v>
      </c>
      <c r="Q463">
        <f t="shared" si="980"/>
        <v>-430867.84782910364</v>
      </c>
      <c r="R463">
        <f t="shared" si="981"/>
        <v>80600234.991731554</v>
      </c>
      <c r="S463">
        <f t="shared" si="982"/>
        <v>806.00234991731554</v>
      </c>
      <c r="T463">
        <f t="shared" si="983"/>
        <v>0.80600234991731556</v>
      </c>
    </row>
    <row r="464" spans="1:20" x14ac:dyDescent="0.25">
      <c r="A464" s="5">
        <v>44129</v>
      </c>
      <c r="B464">
        <v>5.5277000000000003</v>
      </c>
      <c r="C464">
        <v>5.6492000000000004</v>
      </c>
      <c r="D464">
        <v>5.4326999999999996</v>
      </c>
      <c r="E464">
        <v>5.5585000000000004</v>
      </c>
      <c r="F464">
        <v>744137.17</v>
      </c>
      <c r="G464">
        <v>0</v>
      </c>
      <c r="L464" t="s">
        <v>8</v>
      </c>
      <c r="M464" t="s">
        <v>8</v>
      </c>
      <c r="N464" t="s">
        <v>7</v>
      </c>
      <c r="P464">
        <f t="shared" si="979"/>
        <v>0.1621247113164003</v>
      </c>
      <c r="Q464">
        <f t="shared" si="980"/>
        <v>120643.0238660531</v>
      </c>
      <c r="R464">
        <f t="shared" si="981"/>
        <v>81031102.839560658</v>
      </c>
      <c r="S464">
        <f t="shared" si="982"/>
        <v>810.31102839560663</v>
      </c>
      <c r="T464">
        <f t="shared" si="983"/>
        <v>0.81031102839560665</v>
      </c>
    </row>
    <row r="465" spans="1:20" x14ac:dyDescent="0.25">
      <c r="A465" s="5">
        <v>44128</v>
      </c>
      <c r="B465">
        <v>5.4810999999999996</v>
      </c>
      <c r="C465">
        <v>5.5670999999999999</v>
      </c>
      <c r="D465">
        <v>5.4462999999999999</v>
      </c>
      <c r="E465">
        <v>5.5289999999999999</v>
      </c>
      <c r="F465">
        <v>460443.77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0.36920529801324475</v>
      </c>
      <c r="Q465">
        <f t="shared" si="980"/>
        <v>169998.27932119192</v>
      </c>
      <c r="R465">
        <f t="shared" si="981"/>
        <v>80910459.8156946</v>
      </c>
      <c r="S465">
        <f t="shared" si="982"/>
        <v>809.10459815694605</v>
      </c>
      <c r="T465">
        <f t="shared" si="983"/>
        <v>0.80910459815694602</v>
      </c>
    </row>
    <row r="466" spans="1:20" x14ac:dyDescent="0.25">
      <c r="A466" s="5">
        <v>44127</v>
      </c>
      <c r="B466">
        <v>5.6062000000000003</v>
      </c>
      <c r="C466">
        <v>5.6496000000000004</v>
      </c>
      <c r="D466">
        <v>5.4</v>
      </c>
      <c r="E466">
        <v>5.4820000000000002</v>
      </c>
      <c r="F466">
        <v>730831.22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-0.34294871794871928</v>
      </c>
      <c r="Q466">
        <f t="shared" si="980"/>
        <v>-250637.62993589841</v>
      </c>
      <c r="R466">
        <f t="shared" si="981"/>
        <v>80740461.536373407</v>
      </c>
      <c r="S466">
        <f t="shared" si="982"/>
        <v>807.40461536373402</v>
      </c>
      <c r="T466">
        <f t="shared" si="983"/>
        <v>0.80740461536373398</v>
      </c>
    </row>
    <row r="467" spans="1:20" x14ac:dyDescent="0.25">
      <c r="A467" s="5">
        <v>44126</v>
      </c>
      <c r="B467">
        <v>5.3388999999999998</v>
      </c>
      <c r="C467">
        <v>5.73</v>
      </c>
      <c r="D467">
        <v>5.3369</v>
      </c>
      <c r="E467">
        <v>5.6120000000000001</v>
      </c>
      <c r="F467">
        <v>1529413.76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0.39964385652505624</v>
      </c>
      <c r="Q467">
        <f t="shared" si="980"/>
        <v>611220.81326888676</v>
      </c>
      <c r="R467">
        <f t="shared" si="981"/>
        <v>80991099.166309312</v>
      </c>
      <c r="S467">
        <f t="shared" si="982"/>
        <v>809.91099166309311</v>
      </c>
      <c r="T467">
        <f t="shared" si="983"/>
        <v>0.8099109916630931</v>
      </c>
    </row>
    <row r="468" spans="1:20" x14ac:dyDescent="0.25">
      <c r="A468" s="5">
        <v>44125</v>
      </c>
      <c r="B468">
        <v>5.0823999999999998</v>
      </c>
      <c r="C468">
        <v>5.3929999999999998</v>
      </c>
      <c r="D468">
        <v>5.0557999999999996</v>
      </c>
      <c r="E468">
        <v>5.3379000000000003</v>
      </c>
      <c r="F468">
        <v>1058752.8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0.67319098457888815</v>
      </c>
      <c r="Q468">
        <f t="shared" si="980"/>
        <v>712742.83985765465</v>
      </c>
      <c r="R468">
        <f t="shared" si="981"/>
        <v>80379878.353040427</v>
      </c>
      <c r="S468">
        <f t="shared" si="982"/>
        <v>803.79878353040431</v>
      </c>
      <c r="T468">
        <f t="shared" si="983"/>
        <v>0.80379878353040435</v>
      </c>
    </row>
    <row r="469" spans="1:20" x14ac:dyDescent="0.25">
      <c r="A469" s="5">
        <v>44124</v>
      </c>
      <c r="B469">
        <v>5.2103999999999999</v>
      </c>
      <c r="C469">
        <v>5.25</v>
      </c>
      <c r="D469">
        <v>5.0461999999999998</v>
      </c>
      <c r="E469">
        <v>5.0807000000000002</v>
      </c>
      <c r="F469">
        <v>624456.76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-0.66143277723257721</v>
      </c>
      <c r="Q469">
        <f t="shared" si="980"/>
        <v>-413036.16902845696</v>
      </c>
      <c r="R469">
        <f t="shared" si="981"/>
        <v>79667135.513182774</v>
      </c>
      <c r="S469">
        <f t="shared" si="982"/>
        <v>796.6713551318278</v>
      </c>
      <c r="T469">
        <f t="shared" si="983"/>
        <v>0.79667135513182774</v>
      </c>
    </row>
    <row r="470" spans="1:20" x14ac:dyDescent="0.25">
      <c r="A470" s="5">
        <v>44123</v>
      </c>
      <c r="B470">
        <v>5.2266000000000004</v>
      </c>
      <c r="C470">
        <v>5.2923999999999998</v>
      </c>
      <c r="D470">
        <v>5.1576000000000004</v>
      </c>
      <c r="E470">
        <v>5.2085999999999997</v>
      </c>
      <c r="F470">
        <v>736471.37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-0.24332344213650581</v>
      </c>
      <c r="Q470">
        <f t="shared" si="980"/>
        <v>-179200.74878338815</v>
      </c>
      <c r="R470">
        <f t="shared" si="981"/>
        <v>80080171.682211235</v>
      </c>
      <c r="S470">
        <f t="shared" si="982"/>
        <v>800.80171682211233</v>
      </c>
      <c r="T470">
        <f t="shared" si="983"/>
        <v>0.80080171682211232</v>
      </c>
    </row>
    <row r="471" spans="1:20" x14ac:dyDescent="0.25">
      <c r="A471" s="5">
        <v>44122</v>
      </c>
      <c r="B471">
        <v>5.1924999999999999</v>
      </c>
      <c r="C471">
        <v>5.2599</v>
      </c>
      <c r="D471">
        <v>5.1772999999999998</v>
      </c>
      <c r="E471">
        <v>5.2282000000000002</v>
      </c>
      <c r="F471">
        <v>448553.63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0.23244552058111981</v>
      </c>
      <c r="Q471">
        <f t="shared" si="980"/>
        <v>104264.28203390101</v>
      </c>
      <c r="R471">
        <f t="shared" si="981"/>
        <v>80259372.43099463</v>
      </c>
      <c r="S471">
        <f t="shared" si="982"/>
        <v>802.59372430994631</v>
      </c>
      <c r="T471">
        <f t="shared" si="983"/>
        <v>0.80259372430994635</v>
      </c>
    </row>
    <row r="472" spans="1:20" x14ac:dyDescent="0.25">
      <c r="A472" s="5">
        <v>44121</v>
      </c>
      <c r="B472">
        <v>5.1746999999999996</v>
      </c>
      <c r="C472">
        <v>5.2591000000000001</v>
      </c>
      <c r="D472">
        <v>5.1417000000000002</v>
      </c>
      <c r="E472">
        <v>5.1938000000000004</v>
      </c>
      <c r="F472">
        <v>836507.93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-0.1124361158432661</v>
      </c>
      <c r="Q472">
        <f t="shared" si="980"/>
        <v>-94053.702521290732</v>
      </c>
      <c r="R472">
        <f t="shared" si="981"/>
        <v>80155108.148960724</v>
      </c>
      <c r="S472">
        <f t="shared" si="982"/>
        <v>801.55108148960721</v>
      </c>
      <c r="T472">
        <f t="shared" si="983"/>
        <v>0.80155108148960719</v>
      </c>
    </row>
    <row r="473" spans="1:20" x14ac:dyDescent="0.25">
      <c r="A473" s="5">
        <v>44120</v>
      </c>
      <c r="B473">
        <v>5.3304999999999998</v>
      </c>
      <c r="C473">
        <v>5.3632999999999997</v>
      </c>
      <c r="D473">
        <v>5.1275000000000004</v>
      </c>
      <c r="E473">
        <v>5.1737000000000002</v>
      </c>
      <c r="F473">
        <v>930690.93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-0.60814249363867745</v>
      </c>
      <c r="Q473">
        <f t="shared" si="980"/>
        <v>-565992.70297709981</v>
      </c>
      <c r="R473">
        <f t="shared" si="981"/>
        <v>80249161.851482019</v>
      </c>
      <c r="S473">
        <f t="shared" si="982"/>
        <v>802.49161851482017</v>
      </c>
      <c r="T473">
        <f t="shared" si="983"/>
        <v>0.8024916185148202</v>
      </c>
    </row>
    <row r="474" spans="1:20" x14ac:dyDescent="0.25">
      <c r="A474" s="5">
        <v>44119</v>
      </c>
      <c r="B474">
        <v>5.3822000000000001</v>
      </c>
      <c r="C474">
        <v>5.4230999999999998</v>
      </c>
      <c r="D474">
        <v>5.2952000000000004</v>
      </c>
      <c r="E474">
        <v>5.3320999999999996</v>
      </c>
      <c r="F474">
        <v>610655.46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-0.42298670836591989</v>
      </c>
      <c r="Q474">
        <f t="shared" si="980"/>
        <v>-258299.14297107665</v>
      </c>
      <c r="R474">
        <f t="shared" si="981"/>
        <v>80815154.554459125</v>
      </c>
      <c r="S474">
        <f t="shared" si="982"/>
        <v>808.15154554459127</v>
      </c>
      <c r="T474">
        <f t="shared" si="983"/>
        <v>0.80815154554459123</v>
      </c>
    </row>
    <row r="475" spans="1:20" x14ac:dyDescent="0.25">
      <c r="A475" s="5">
        <v>44118</v>
      </c>
      <c r="B475">
        <v>5.35</v>
      </c>
      <c r="C475">
        <v>5.4457000000000004</v>
      </c>
      <c r="D475">
        <v>5.3129999999999997</v>
      </c>
      <c r="E475">
        <v>5.3811999999999998</v>
      </c>
      <c r="F475">
        <v>672291.79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2.7882441597583654E-2</v>
      </c>
      <c r="Q475">
        <f t="shared" si="980"/>
        <v>18745.136571209976</v>
      </c>
      <c r="R475">
        <f t="shared" si="981"/>
        <v>81073453.697430208</v>
      </c>
      <c r="S475">
        <f t="shared" si="982"/>
        <v>810.73453697430205</v>
      </c>
      <c r="T475">
        <f t="shared" si="983"/>
        <v>0.81073453697430209</v>
      </c>
    </row>
    <row r="476" spans="1:20" x14ac:dyDescent="0.25">
      <c r="A476" s="5">
        <v>44117</v>
      </c>
      <c r="B476">
        <v>5.4476000000000004</v>
      </c>
      <c r="C476">
        <v>5.5067000000000004</v>
      </c>
      <c r="D476">
        <v>5.2941000000000003</v>
      </c>
      <c r="E476">
        <v>5.3502000000000001</v>
      </c>
      <c r="F476">
        <v>1298781.8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-0.4722483537159004</v>
      </c>
      <c r="Q476">
        <f t="shared" si="980"/>
        <v>-613347.56688617379</v>
      </c>
      <c r="R476">
        <f t="shared" si="981"/>
        <v>81054708.560858995</v>
      </c>
      <c r="S476">
        <f t="shared" si="982"/>
        <v>810.5470856085899</v>
      </c>
      <c r="T476">
        <f t="shared" si="983"/>
        <v>0.8105470856085899</v>
      </c>
    </row>
    <row r="477" spans="1:20" x14ac:dyDescent="0.25">
      <c r="A477" s="5">
        <v>44116</v>
      </c>
      <c r="B477">
        <v>5.4272</v>
      </c>
      <c r="C477">
        <v>5.5308999999999999</v>
      </c>
      <c r="D477">
        <v>5.3845000000000001</v>
      </c>
      <c r="E477">
        <v>5.4482999999999997</v>
      </c>
      <c r="F477">
        <v>1540033.83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-0.12841530054645225</v>
      </c>
      <c r="Q477">
        <f t="shared" si="980"/>
        <v>-197763.90713115397</v>
      </c>
      <c r="R477">
        <f t="shared" si="981"/>
        <v>81668056.127745166</v>
      </c>
      <c r="S477">
        <f t="shared" si="982"/>
        <v>816.68056127745172</v>
      </c>
      <c r="T477">
        <f t="shared" si="983"/>
        <v>0.8166805612774517</v>
      </c>
    </row>
    <row r="478" spans="1:20" x14ac:dyDescent="0.25">
      <c r="A478" s="5">
        <v>44115</v>
      </c>
      <c r="B478">
        <v>5.2725999999999997</v>
      </c>
      <c r="C478">
        <v>5.45</v>
      </c>
      <c r="D478">
        <v>5.2466999999999997</v>
      </c>
      <c r="E478">
        <v>5.4279999999999999</v>
      </c>
      <c r="F478">
        <v>1265464.1599999999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0.78357107722577291</v>
      </c>
      <c r="Q478">
        <f t="shared" si="980"/>
        <v>991581.11504180776</v>
      </c>
      <c r="R478">
        <f t="shared" si="981"/>
        <v>81865820.034876317</v>
      </c>
      <c r="S478">
        <f t="shared" si="982"/>
        <v>818.65820034876322</v>
      </c>
      <c r="T478">
        <f t="shared" si="983"/>
        <v>0.81865820034876324</v>
      </c>
    </row>
    <row r="479" spans="1:20" x14ac:dyDescent="0.25">
      <c r="A479" s="5">
        <v>44114</v>
      </c>
      <c r="B479">
        <v>5.2672999999999996</v>
      </c>
      <c r="C479">
        <v>5.4278000000000004</v>
      </c>
      <c r="D479">
        <v>5.2512999999999996</v>
      </c>
      <c r="E479">
        <v>5.2712000000000003</v>
      </c>
      <c r="F479">
        <v>1345791.91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-0.77450424929177786</v>
      </c>
      <c r="Q479">
        <f t="shared" si="980"/>
        <v>-1042321.5529574978</v>
      </c>
      <c r="R479">
        <f t="shared" si="981"/>
        <v>80874238.919834509</v>
      </c>
      <c r="S479">
        <f t="shared" si="982"/>
        <v>808.74238919834511</v>
      </c>
      <c r="T479">
        <f t="shared" si="983"/>
        <v>0.80874238919834507</v>
      </c>
    </row>
    <row r="480" spans="1:20" x14ac:dyDescent="0.25">
      <c r="A480" s="5">
        <v>44113</v>
      </c>
      <c r="B480">
        <v>5.1745000000000001</v>
      </c>
      <c r="C480">
        <v>5.3205999999999998</v>
      </c>
      <c r="D480">
        <v>5.1177000000000001</v>
      </c>
      <c r="E480">
        <v>5.2674000000000003</v>
      </c>
      <c r="F480">
        <v>1150852.02</v>
      </c>
      <c r="G480">
        <v>0</v>
      </c>
      <c r="L480" t="s">
        <v>7</v>
      </c>
      <c r="M480" t="s">
        <v>8</v>
      </c>
      <c r="N480" t="s">
        <v>7</v>
      </c>
      <c r="P480">
        <f t="shared" si="979"/>
        <v>0.47560374568753511</v>
      </c>
      <c r="Q480">
        <f t="shared" si="980"/>
        <v>547349.53144406609</v>
      </c>
      <c r="R480">
        <f t="shared" si="981"/>
        <v>81916560.472792014</v>
      </c>
      <c r="S480">
        <f t="shared" si="982"/>
        <v>819.16560472792014</v>
      </c>
      <c r="T480">
        <f t="shared" si="983"/>
        <v>0.8191656047279201</v>
      </c>
    </row>
    <row r="481" spans="1:20" x14ac:dyDescent="0.25">
      <c r="A481" s="5">
        <v>44112</v>
      </c>
      <c r="B481">
        <v>5.1736000000000004</v>
      </c>
      <c r="C481">
        <v>5.2533000000000003</v>
      </c>
      <c r="D481">
        <v>5.08</v>
      </c>
      <c r="E481">
        <v>5.1745000000000001</v>
      </c>
      <c r="F481">
        <v>1476367.17</v>
      </c>
      <c r="G481">
        <v>0</v>
      </c>
      <c r="L481" t="s">
        <v>7</v>
      </c>
      <c r="M481" t="s">
        <v>8</v>
      </c>
      <c r="N481" t="s">
        <v>7</v>
      </c>
      <c r="P481">
        <f t="shared" si="979"/>
        <v>9.0594345066357787E-2</v>
      </c>
      <c r="Q481">
        <f t="shared" si="980"/>
        <v>133750.51684362211</v>
      </c>
      <c r="R481">
        <f t="shared" si="981"/>
        <v>81369210.941347942</v>
      </c>
      <c r="S481">
        <f t="shared" si="982"/>
        <v>813.69210941347944</v>
      </c>
      <c r="T481">
        <f t="shared" si="983"/>
        <v>0.81369210941347947</v>
      </c>
    </row>
    <row r="482" spans="1:20" x14ac:dyDescent="0.25">
      <c r="A482" s="5">
        <v>44111</v>
      </c>
      <c r="B482">
        <v>5.2401999999999997</v>
      </c>
      <c r="C482">
        <v>5.2539999999999996</v>
      </c>
      <c r="D482">
        <v>5.1459999999999999</v>
      </c>
      <c r="E482">
        <v>5.1736000000000004</v>
      </c>
      <c r="F482">
        <v>1178168.73</v>
      </c>
      <c r="G482">
        <v>0</v>
      </c>
      <c r="L482" t="s">
        <v>7</v>
      </c>
      <c r="M482" t="s">
        <v>8</v>
      </c>
      <c r="N482" t="s">
        <v>7</v>
      </c>
      <c r="P482">
        <f t="shared" si="979"/>
        <v>-0.48888888888887772</v>
      </c>
      <c r="Q482">
        <f t="shared" si="980"/>
        <v>-575993.60133332014</v>
      </c>
      <c r="R482">
        <f t="shared" si="981"/>
        <v>81235460.424504325</v>
      </c>
      <c r="S482">
        <f t="shared" si="982"/>
        <v>812.35460424504322</v>
      </c>
      <c r="T482">
        <f t="shared" si="983"/>
        <v>0.81235460424504324</v>
      </c>
    </row>
    <row r="483" spans="1:20" x14ac:dyDescent="0.25">
      <c r="A483" s="5">
        <v>44110</v>
      </c>
      <c r="B483">
        <v>5.1014999999999997</v>
      </c>
      <c r="C483">
        <v>5.3442999999999996</v>
      </c>
      <c r="D483">
        <v>5.07</v>
      </c>
      <c r="E483">
        <v>5.2388000000000003</v>
      </c>
      <c r="F483">
        <v>1425704.59</v>
      </c>
      <c r="G483">
        <v>0</v>
      </c>
      <c r="L483" t="s">
        <v>7</v>
      </c>
      <c r="M483" t="s">
        <v>8</v>
      </c>
      <c r="N483" t="s">
        <v>7</v>
      </c>
      <c r="P483">
        <f t="shared" si="979"/>
        <v>0.23076923076923425</v>
      </c>
      <c r="Q483">
        <f t="shared" si="980"/>
        <v>329008.75153846655</v>
      </c>
      <c r="R483">
        <f t="shared" si="981"/>
        <v>81811454.025837645</v>
      </c>
      <c r="S483">
        <f t="shared" si="982"/>
        <v>818.11454025837645</v>
      </c>
      <c r="T483">
        <f t="shared" si="983"/>
        <v>0.81811454025837649</v>
      </c>
    </row>
    <row r="484" spans="1:20" x14ac:dyDescent="0.25">
      <c r="A484" s="5">
        <v>44109</v>
      </c>
      <c r="B484">
        <v>5.1509</v>
      </c>
      <c r="C484">
        <v>5.1959999999999997</v>
      </c>
      <c r="D484">
        <v>5.0617999999999999</v>
      </c>
      <c r="E484">
        <v>5.0997000000000003</v>
      </c>
      <c r="F484">
        <v>689571.76</v>
      </c>
      <c r="G484">
        <v>0</v>
      </c>
      <c r="L484" t="s">
        <v>7</v>
      </c>
      <c r="M484" t="s">
        <v>8</v>
      </c>
      <c r="N484" t="s">
        <v>7</v>
      </c>
      <c r="P484">
        <f t="shared" si="979"/>
        <v>-0.43517138599105032</v>
      </c>
      <c r="Q484">
        <f t="shared" si="980"/>
        <v>-300081.89853948791</v>
      </c>
      <c r="R484">
        <f t="shared" si="981"/>
        <v>81482445.274299175</v>
      </c>
      <c r="S484">
        <f t="shared" si="982"/>
        <v>814.82445274299175</v>
      </c>
      <c r="T484">
        <f t="shared" si="983"/>
        <v>0.81482445274299176</v>
      </c>
    </row>
    <row r="485" spans="1:20" x14ac:dyDescent="0.25">
      <c r="A485" s="5">
        <v>44108</v>
      </c>
      <c r="B485">
        <v>5.1319999999999997</v>
      </c>
      <c r="C485">
        <v>5.2198000000000002</v>
      </c>
      <c r="D485">
        <v>5.0774999999999997</v>
      </c>
      <c r="E485">
        <v>5.1535000000000002</v>
      </c>
      <c r="F485">
        <v>638387.97</v>
      </c>
      <c r="G485">
        <v>0</v>
      </c>
      <c r="L485" t="s">
        <v>7</v>
      </c>
      <c r="M485" t="s">
        <v>8</v>
      </c>
      <c r="N485" t="s">
        <v>7</v>
      </c>
      <c r="P485">
        <f t="shared" si="979"/>
        <v>6.8165846802533028E-2</v>
      </c>
      <c r="Q485">
        <f t="shared" si="980"/>
        <v>43516.256563600051</v>
      </c>
      <c r="R485">
        <f t="shared" si="981"/>
        <v>81782527.172838658</v>
      </c>
      <c r="S485">
        <f t="shared" si="982"/>
        <v>817.82527172838661</v>
      </c>
      <c r="T485">
        <f t="shared" si="983"/>
        <v>0.81782527172838659</v>
      </c>
    </row>
    <row r="486" spans="1:20" x14ac:dyDescent="0.25">
      <c r="A486" s="5">
        <v>44107</v>
      </c>
      <c r="B486">
        <v>5.1814</v>
      </c>
      <c r="C486">
        <v>5.2042000000000002</v>
      </c>
      <c r="D486">
        <v>5.0909000000000004</v>
      </c>
      <c r="E486">
        <v>5.1341000000000001</v>
      </c>
      <c r="F486">
        <v>562802.78</v>
      </c>
      <c r="G486">
        <v>0</v>
      </c>
      <c r="L486" t="s">
        <v>7</v>
      </c>
      <c r="M486" t="s">
        <v>8</v>
      </c>
      <c r="N486" t="s">
        <v>7</v>
      </c>
      <c r="P486">
        <f t="shared" si="979"/>
        <v>-0.23742277140335774</v>
      </c>
      <c r="Q486">
        <f t="shared" si="980"/>
        <v>-133622.19578111425</v>
      </c>
      <c r="R486">
        <f t="shared" si="981"/>
        <v>81739010.916275054</v>
      </c>
      <c r="S486">
        <f t="shared" si="982"/>
        <v>817.39010916275049</v>
      </c>
      <c r="T486">
        <f t="shared" si="983"/>
        <v>0.81739010916275046</v>
      </c>
    </row>
    <row r="487" spans="1:20" x14ac:dyDescent="0.25">
      <c r="A487" s="5">
        <v>44106</v>
      </c>
      <c r="B487">
        <v>5.3273000000000001</v>
      </c>
      <c r="C487">
        <v>5.3587999999999996</v>
      </c>
      <c r="D487">
        <v>5.0119999999999996</v>
      </c>
      <c r="E487">
        <v>5.1802000000000001</v>
      </c>
      <c r="F487">
        <v>1190969.24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-2.998846597462184E-2</v>
      </c>
      <c r="Q487">
        <f t="shared" si="980"/>
        <v>-35715.340530561232</v>
      </c>
      <c r="R487">
        <f t="shared" si="981"/>
        <v>81872633.112056166</v>
      </c>
      <c r="S487">
        <f t="shared" si="982"/>
        <v>818.72633112056167</v>
      </c>
      <c r="T487">
        <f t="shared" si="983"/>
        <v>0.8187263311205617</v>
      </c>
    </row>
    <row r="488" spans="1:20" x14ac:dyDescent="0.25">
      <c r="A488" s="5">
        <v>44105</v>
      </c>
      <c r="B488">
        <v>5.4</v>
      </c>
      <c r="C488">
        <v>5.4913999999999996</v>
      </c>
      <c r="D488">
        <v>5.18</v>
      </c>
      <c r="E488">
        <v>5.3287000000000004</v>
      </c>
      <c r="F488">
        <v>1282359.06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-4.4958253050733664E-2</v>
      </c>
      <c r="Q488">
        <f t="shared" si="980"/>
        <v>-57652.623121380959</v>
      </c>
      <c r="R488">
        <f t="shared" si="981"/>
        <v>81908348.452586725</v>
      </c>
      <c r="S488">
        <f t="shared" si="982"/>
        <v>819.08348452586722</v>
      </c>
      <c r="T488">
        <f t="shared" si="983"/>
        <v>0.81908348452586721</v>
      </c>
    </row>
    <row r="489" spans="1:20" x14ac:dyDescent="0.25">
      <c r="A489" s="5">
        <v>44104</v>
      </c>
      <c r="B489">
        <v>5.4119999999999999</v>
      </c>
      <c r="C489">
        <v>5.4343000000000004</v>
      </c>
      <c r="D489">
        <v>5.2560000000000002</v>
      </c>
      <c r="E489">
        <v>5.3971999999999998</v>
      </c>
      <c r="F489">
        <v>901492.51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0.58384744812113798</v>
      </c>
      <c r="Q489">
        <f t="shared" si="980"/>
        <v>526334.1014638195</v>
      </c>
      <c r="R489">
        <f t="shared" si="981"/>
        <v>81966001.075708106</v>
      </c>
      <c r="S489">
        <f t="shared" si="982"/>
        <v>819.66001075708107</v>
      </c>
      <c r="T489">
        <f t="shared" si="983"/>
        <v>0.81966001075708106</v>
      </c>
    </row>
    <row r="490" spans="1:20" x14ac:dyDescent="0.25">
      <c r="A490" s="5">
        <v>44103</v>
      </c>
      <c r="B490">
        <v>5.4108000000000001</v>
      </c>
      <c r="C490">
        <v>5.46</v>
      </c>
      <c r="D490">
        <v>5.3021000000000003</v>
      </c>
      <c r="E490">
        <v>5.4137000000000004</v>
      </c>
      <c r="F490">
        <v>739643.69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0.41355288157061876</v>
      </c>
      <c r="Q490">
        <f t="shared" si="980"/>
        <v>305881.77933502541</v>
      </c>
      <c r="R490">
        <f t="shared" si="981"/>
        <v>81439666.974244282</v>
      </c>
      <c r="S490">
        <f t="shared" si="982"/>
        <v>814.39666974244278</v>
      </c>
      <c r="T490">
        <f t="shared" si="983"/>
        <v>0.81439666974244274</v>
      </c>
    </row>
    <row r="491" spans="1:20" x14ac:dyDescent="0.25">
      <c r="A491" s="5">
        <v>44102</v>
      </c>
      <c r="B491">
        <v>5.444</v>
      </c>
      <c r="C491">
        <v>5.5960000000000001</v>
      </c>
      <c r="D491">
        <v>5.3856000000000002</v>
      </c>
      <c r="E491">
        <v>5.4109999999999996</v>
      </c>
      <c r="F491">
        <v>1397091.5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-0.75855513307985334</v>
      </c>
      <c r="Q491">
        <f t="shared" si="980"/>
        <v>-1059770.928707232</v>
      </c>
      <c r="R491">
        <f t="shared" si="981"/>
        <v>81133785.19490926</v>
      </c>
      <c r="S491">
        <f t="shared" si="982"/>
        <v>811.33785194909262</v>
      </c>
      <c r="T491">
        <f t="shared" si="983"/>
        <v>0.81133785194909258</v>
      </c>
    </row>
    <row r="492" spans="1:20" x14ac:dyDescent="0.25">
      <c r="A492" s="5">
        <v>44101</v>
      </c>
      <c r="B492">
        <v>5.3620000000000001</v>
      </c>
      <c r="C492">
        <v>5.7770000000000001</v>
      </c>
      <c r="D492">
        <v>5.3543000000000003</v>
      </c>
      <c r="E492">
        <v>5.444</v>
      </c>
      <c r="F492">
        <v>3363369.02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-0.57558552164655929</v>
      </c>
      <c r="Q492">
        <f t="shared" si="980"/>
        <v>-1935906.511866577</v>
      </c>
      <c r="R492">
        <f t="shared" si="981"/>
        <v>82193556.123616487</v>
      </c>
      <c r="S492">
        <f t="shared" si="982"/>
        <v>821.93556123616486</v>
      </c>
      <c r="T492">
        <f t="shared" si="983"/>
        <v>0.82193556123616485</v>
      </c>
    </row>
    <row r="493" spans="1:20" x14ac:dyDescent="0.25">
      <c r="A493" s="5">
        <v>44100</v>
      </c>
      <c r="B493">
        <v>4.9767999999999999</v>
      </c>
      <c r="C493">
        <v>5.4469000000000003</v>
      </c>
      <c r="D493">
        <v>4.9747000000000003</v>
      </c>
      <c r="E493">
        <v>5.3620999999999999</v>
      </c>
      <c r="F493">
        <v>2669921.13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0.64083015671325527</v>
      </c>
      <c r="Q493">
        <f t="shared" si="980"/>
        <v>1710965.9761499316</v>
      </c>
      <c r="R493">
        <f t="shared" si="981"/>
        <v>84129462.635483056</v>
      </c>
      <c r="S493">
        <f t="shared" si="982"/>
        <v>841.2946263548306</v>
      </c>
      <c r="T493">
        <f t="shared" si="983"/>
        <v>0.84129462635483054</v>
      </c>
    </row>
    <row r="494" spans="1:20" x14ac:dyDescent="0.25">
      <c r="A494" s="5">
        <v>44099</v>
      </c>
      <c r="B494">
        <v>4.9686000000000003</v>
      </c>
      <c r="C494">
        <v>4.9965000000000002</v>
      </c>
      <c r="D494">
        <v>4.8634000000000004</v>
      </c>
      <c r="E494">
        <v>4.9771999999999998</v>
      </c>
      <c r="F494">
        <v>762453.54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0.70999248685198568</v>
      </c>
      <c r="Q494">
        <f t="shared" si="980"/>
        <v>541336.28497369995</v>
      </c>
      <c r="R494">
        <f t="shared" si="981"/>
        <v>82418496.659333125</v>
      </c>
      <c r="S494">
        <f t="shared" si="982"/>
        <v>824.1849665933313</v>
      </c>
      <c r="T494">
        <f t="shared" si="983"/>
        <v>0.82418496659333129</v>
      </c>
    </row>
    <row r="495" spans="1:20" x14ac:dyDescent="0.25">
      <c r="A495" s="5">
        <v>44098</v>
      </c>
      <c r="B495">
        <v>4.8376000000000001</v>
      </c>
      <c r="C495">
        <v>4.9885000000000002</v>
      </c>
      <c r="D495">
        <v>4.8025000000000002</v>
      </c>
      <c r="E495">
        <v>4.9687999999999999</v>
      </c>
      <c r="F495">
        <v>522179.34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0.78817204301074972</v>
      </c>
      <c r="Q495">
        <f t="shared" si="980"/>
        <v>411567.15722580493</v>
      </c>
      <c r="R495">
        <f t="shared" si="981"/>
        <v>81877160.374359429</v>
      </c>
      <c r="S495">
        <f t="shared" si="982"/>
        <v>818.77160374359426</v>
      </c>
      <c r="T495">
        <f t="shared" si="983"/>
        <v>0.81877160374359426</v>
      </c>
    </row>
    <row r="496" spans="1:20" x14ac:dyDescent="0.25">
      <c r="A496" s="5">
        <v>44097</v>
      </c>
      <c r="B496">
        <v>4.9470000000000001</v>
      </c>
      <c r="C496">
        <v>4.992</v>
      </c>
      <c r="D496">
        <v>4.7731000000000003</v>
      </c>
      <c r="E496">
        <v>4.8357000000000001</v>
      </c>
      <c r="F496">
        <v>593563.63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-0.42804933759707753</v>
      </c>
      <c r="Q496">
        <f t="shared" si="980"/>
        <v>-254074.51864321681</v>
      </c>
      <c r="R496">
        <f t="shared" si="981"/>
        <v>81465593.217133626</v>
      </c>
      <c r="S496">
        <f t="shared" si="982"/>
        <v>814.6559321713363</v>
      </c>
      <c r="T496">
        <f t="shared" si="983"/>
        <v>0.81465593217133625</v>
      </c>
    </row>
    <row r="497" spans="1:20" x14ac:dyDescent="0.25">
      <c r="A497" s="5">
        <v>44096</v>
      </c>
      <c r="B497">
        <v>4.8197999999999999</v>
      </c>
      <c r="C497">
        <v>4.9768999999999997</v>
      </c>
      <c r="D497">
        <v>4.75</v>
      </c>
      <c r="E497">
        <v>4.9452999999999996</v>
      </c>
      <c r="F497">
        <v>598480.18999999994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0.72146319964742067</v>
      </c>
      <c r="Q497">
        <f t="shared" si="980"/>
        <v>431781.43280299619</v>
      </c>
      <c r="R497">
        <f t="shared" si="981"/>
        <v>81719667.735776842</v>
      </c>
      <c r="S497">
        <f t="shared" si="982"/>
        <v>817.19667735776841</v>
      </c>
      <c r="T497">
        <f t="shared" si="983"/>
        <v>0.81719667735776835</v>
      </c>
    </row>
    <row r="498" spans="1:20" x14ac:dyDescent="0.25">
      <c r="A498" s="5">
        <v>44095</v>
      </c>
      <c r="B498">
        <v>5.0898000000000003</v>
      </c>
      <c r="C498">
        <v>5.1466000000000003</v>
      </c>
      <c r="D498">
        <v>4.5861000000000001</v>
      </c>
      <c r="E498">
        <v>4.8160999999999996</v>
      </c>
      <c r="F498">
        <v>1405174.48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-0.17930419268510456</v>
      </c>
      <c r="Q498">
        <f t="shared" si="980"/>
        <v>-251953.6757181116</v>
      </c>
      <c r="R498">
        <f t="shared" si="981"/>
        <v>81287886.302973852</v>
      </c>
      <c r="S498">
        <f t="shared" si="982"/>
        <v>812.87886302973857</v>
      </c>
      <c r="T498">
        <f t="shared" si="983"/>
        <v>0.81287886302973855</v>
      </c>
    </row>
    <row r="499" spans="1:20" x14ac:dyDescent="0.25">
      <c r="A499" s="5">
        <v>44094</v>
      </c>
      <c r="B499">
        <v>5.2148000000000003</v>
      </c>
      <c r="C499">
        <v>5.218</v>
      </c>
      <c r="D499">
        <v>5.0010000000000003</v>
      </c>
      <c r="E499">
        <v>5.0895000000000001</v>
      </c>
      <c r="F499">
        <v>567021.76</v>
      </c>
      <c r="G499">
        <v>0</v>
      </c>
      <c r="L499" t="s">
        <v>7</v>
      </c>
      <c r="M499" t="s">
        <v>8</v>
      </c>
      <c r="N499" t="s">
        <v>7</v>
      </c>
      <c r="P499">
        <f t="shared" si="979"/>
        <v>-0.18433179723502352</v>
      </c>
      <c r="Q499">
        <f t="shared" si="980"/>
        <v>-104520.14009216617</v>
      </c>
      <c r="R499">
        <f t="shared" si="981"/>
        <v>81539839.978691965</v>
      </c>
      <c r="S499">
        <f t="shared" si="982"/>
        <v>815.39839978691964</v>
      </c>
      <c r="T499">
        <f t="shared" si="983"/>
        <v>0.81539839978691964</v>
      </c>
    </row>
    <row r="500" spans="1:20" x14ac:dyDescent="0.25">
      <c r="A500" s="5">
        <v>44093</v>
      </c>
      <c r="B500">
        <v>5.1841999999999997</v>
      </c>
      <c r="C500">
        <v>5.2348999999999997</v>
      </c>
      <c r="D500">
        <v>5.1437999999999997</v>
      </c>
      <c r="E500">
        <v>5.2176999999999998</v>
      </c>
      <c r="F500">
        <v>453199.53</v>
      </c>
      <c r="G500">
        <v>0</v>
      </c>
      <c r="L500" t="s">
        <v>7</v>
      </c>
      <c r="M500" t="s">
        <v>8</v>
      </c>
      <c r="N500" t="s">
        <v>7</v>
      </c>
      <c r="P500">
        <f t="shared" si="979"/>
        <v>0.62239297475302113</v>
      </c>
      <c r="Q500">
        <f t="shared" si="980"/>
        <v>282068.20363337104</v>
      </c>
      <c r="R500">
        <f t="shared" si="981"/>
        <v>81644360.11878413</v>
      </c>
      <c r="S500">
        <f t="shared" si="982"/>
        <v>816.4436011878413</v>
      </c>
      <c r="T500">
        <f t="shared" si="983"/>
        <v>0.81644360118784132</v>
      </c>
    </row>
    <row r="501" spans="1:20" x14ac:dyDescent="0.25">
      <c r="A501" s="5">
        <v>44092</v>
      </c>
      <c r="B501">
        <v>5.2065999999999999</v>
      </c>
      <c r="C501">
        <v>5.2154999999999996</v>
      </c>
      <c r="D501">
        <v>5.048</v>
      </c>
      <c r="E501">
        <v>5.1853999999999996</v>
      </c>
      <c r="F501">
        <v>857566.34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0.64059701492537191</v>
      </c>
      <c r="Q501">
        <f t="shared" si="980"/>
        <v>549354.43750447652</v>
      </c>
      <c r="R501">
        <f t="shared" si="981"/>
        <v>81362291.915150762</v>
      </c>
      <c r="S501">
        <f t="shared" si="982"/>
        <v>813.62291915150763</v>
      </c>
      <c r="T501">
        <f t="shared" si="983"/>
        <v>0.81362291915150764</v>
      </c>
    </row>
    <row r="502" spans="1:20" x14ac:dyDescent="0.25">
      <c r="A502" s="5">
        <v>44091</v>
      </c>
      <c r="B502">
        <v>5.1188000000000002</v>
      </c>
      <c r="C502">
        <v>5.2222999999999997</v>
      </c>
      <c r="D502">
        <v>5.0754999999999999</v>
      </c>
      <c r="E502">
        <v>5.2042999999999999</v>
      </c>
      <c r="F502">
        <v>664439.07999999996</v>
      </c>
      <c r="G502">
        <v>0</v>
      </c>
      <c r="L502" t="s">
        <v>7</v>
      </c>
      <c r="M502" t="s">
        <v>8</v>
      </c>
      <c r="N502" t="s">
        <v>7</v>
      </c>
      <c r="P502">
        <f t="shared" si="979"/>
        <v>0.75476839237057469</v>
      </c>
      <c r="Q502">
        <f t="shared" si="980"/>
        <v>501497.61623978365</v>
      </c>
      <c r="R502">
        <f t="shared" si="981"/>
        <v>80812937.477646291</v>
      </c>
      <c r="S502">
        <f t="shared" si="982"/>
        <v>808.1293747764629</v>
      </c>
      <c r="T502">
        <f t="shared" si="983"/>
        <v>0.80812937477646285</v>
      </c>
    </row>
    <row r="503" spans="1:20" x14ac:dyDescent="0.25">
      <c r="A503" s="5">
        <v>44090</v>
      </c>
      <c r="B503">
        <v>5.1680000000000001</v>
      </c>
      <c r="C503">
        <v>5.1745999999999999</v>
      </c>
      <c r="D503">
        <v>5.0065</v>
      </c>
      <c r="E503">
        <v>5.1178999999999997</v>
      </c>
      <c r="F503">
        <v>750198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0.32540154669839116</v>
      </c>
      <c r="Q503">
        <f t="shared" si="980"/>
        <v>244115.58953003967</v>
      </c>
      <c r="R503">
        <f t="shared" si="981"/>
        <v>80311439.861406505</v>
      </c>
      <c r="S503">
        <f t="shared" si="982"/>
        <v>803.11439861406507</v>
      </c>
      <c r="T503">
        <f t="shared" si="983"/>
        <v>0.80311439861406508</v>
      </c>
    </row>
    <row r="504" spans="1:20" x14ac:dyDescent="0.25">
      <c r="A504" s="5">
        <v>44089</v>
      </c>
      <c r="B504">
        <v>5.1496000000000004</v>
      </c>
      <c r="C504">
        <v>5.3158000000000003</v>
      </c>
      <c r="D504">
        <v>5.1044</v>
      </c>
      <c r="E504">
        <v>5.1688000000000001</v>
      </c>
      <c r="F504">
        <v>1040487.88</v>
      </c>
      <c r="G504">
        <v>0</v>
      </c>
      <c r="L504" t="s">
        <v>7</v>
      </c>
      <c r="M504" t="s">
        <v>8</v>
      </c>
      <c r="N504" t="s">
        <v>7</v>
      </c>
      <c r="P504">
        <f t="shared" si="979"/>
        <v>-0.39072847682119266</v>
      </c>
      <c r="Q504">
        <f t="shared" si="980"/>
        <v>-406548.24450331187</v>
      </c>
      <c r="R504">
        <f t="shared" si="981"/>
        <v>80067324.271876469</v>
      </c>
      <c r="S504">
        <f t="shared" si="982"/>
        <v>800.67324271876464</v>
      </c>
      <c r="T504">
        <f t="shared" si="983"/>
        <v>0.80067324271876461</v>
      </c>
    </row>
    <row r="505" spans="1:20" x14ac:dyDescent="0.25">
      <c r="A505" s="5">
        <v>44088</v>
      </c>
      <c r="B505">
        <v>5.0598000000000001</v>
      </c>
      <c r="C505">
        <v>5.2103000000000002</v>
      </c>
      <c r="D505">
        <v>4.9739000000000004</v>
      </c>
      <c r="E505">
        <v>5.1494</v>
      </c>
      <c r="F505">
        <v>986298.84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0.48477157360405881</v>
      </c>
      <c r="Q505">
        <f t="shared" si="980"/>
        <v>478129.64071065781</v>
      </c>
      <c r="R505">
        <f t="shared" si="981"/>
        <v>80473872.516379789</v>
      </c>
      <c r="S505">
        <f t="shared" si="982"/>
        <v>804.73872516379788</v>
      </c>
      <c r="T505">
        <f t="shared" si="983"/>
        <v>0.80473872516379785</v>
      </c>
    </row>
    <row r="506" spans="1:20" x14ac:dyDescent="0.25">
      <c r="A506" s="5">
        <v>44087</v>
      </c>
      <c r="B506">
        <v>5.2316000000000003</v>
      </c>
      <c r="C506">
        <v>5.3895999999999997</v>
      </c>
      <c r="D506">
        <v>4.9343000000000004</v>
      </c>
      <c r="E506">
        <v>5.0599999999999996</v>
      </c>
      <c r="F506">
        <v>1141482.43</v>
      </c>
      <c r="G506">
        <v>0</v>
      </c>
      <c r="L506" t="s">
        <v>8</v>
      </c>
      <c r="M506" t="s">
        <v>8</v>
      </c>
      <c r="N506" t="s">
        <v>7</v>
      </c>
      <c r="P506">
        <f t="shared" si="979"/>
        <v>-0.44783659125851338</v>
      </c>
      <c r="Q506">
        <f t="shared" si="980"/>
        <v>-511197.60043268459</v>
      </c>
      <c r="R506">
        <f t="shared" si="981"/>
        <v>79995742.875669137</v>
      </c>
      <c r="S506">
        <f t="shared" si="982"/>
        <v>799.95742875669134</v>
      </c>
      <c r="T506">
        <f t="shared" si="983"/>
        <v>0.79995742875669129</v>
      </c>
    </row>
    <row r="507" spans="1:20" x14ac:dyDescent="0.25">
      <c r="A507" s="5">
        <v>44086</v>
      </c>
      <c r="B507">
        <v>5.2180999999999997</v>
      </c>
      <c r="C507">
        <v>5.2582000000000004</v>
      </c>
      <c r="D507">
        <v>5.1269999999999998</v>
      </c>
      <c r="E507">
        <v>5.2316000000000003</v>
      </c>
      <c r="F507">
        <v>990860.41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0.59451219512195053</v>
      </c>
      <c r="Q507">
        <f t="shared" si="980"/>
        <v>589078.59740853589</v>
      </c>
      <c r="R507">
        <f t="shared" si="981"/>
        <v>80506940.476101816</v>
      </c>
      <c r="S507">
        <f t="shared" si="982"/>
        <v>805.06940476101818</v>
      </c>
      <c r="T507">
        <f t="shared" si="983"/>
        <v>0.80506940476101818</v>
      </c>
    </row>
    <row r="508" spans="1:20" x14ac:dyDescent="0.25">
      <c r="A508" s="5">
        <v>44085</v>
      </c>
      <c r="B508">
        <v>5.1856</v>
      </c>
      <c r="C508">
        <v>5.2355</v>
      </c>
      <c r="D508">
        <v>5.0743999999999998</v>
      </c>
      <c r="E508">
        <v>5.2164000000000001</v>
      </c>
      <c r="F508">
        <v>1027671.19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0.76288019863439027</v>
      </c>
      <c r="Q508">
        <f t="shared" si="980"/>
        <v>783990.00155804015</v>
      </c>
      <c r="R508">
        <f t="shared" si="981"/>
        <v>79917861.878693283</v>
      </c>
      <c r="S508">
        <f t="shared" si="982"/>
        <v>799.17861878693282</v>
      </c>
      <c r="T508">
        <f t="shared" si="983"/>
        <v>0.79917861878693286</v>
      </c>
    </row>
    <row r="509" spans="1:20" x14ac:dyDescent="0.25">
      <c r="A509" s="5">
        <v>44084</v>
      </c>
      <c r="B509">
        <v>5.0465</v>
      </c>
      <c r="C509">
        <v>5.2328999999999999</v>
      </c>
      <c r="D509">
        <v>5.0425000000000004</v>
      </c>
      <c r="E509">
        <v>5.1856</v>
      </c>
      <c r="F509">
        <v>1131707.9099999999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0.50315126050420134</v>
      </c>
      <c r="Q509">
        <f t="shared" si="980"/>
        <v>569420.26143907523</v>
      </c>
      <c r="R509">
        <f t="shared" si="981"/>
        <v>79133871.877135247</v>
      </c>
      <c r="S509">
        <f t="shared" si="982"/>
        <v>791.33871877135243</v>
      </c>
      <c r="T509">
        <f t="shared" si="983"/>
        <v>0.79133871877135242</v>
      </c>
    </row>
    <row r="510" spans="1:20" x14ac:dyDescent="0.25">
      <c r="A510" s="5">
        <v>44083</v>
      </c>
      <c r="B510">
        <v>5.0906000000000002</v>
      </c>
      <c r="C510">
        <v>5.1452999999999998</v>
      </c>
      <c r="D510">
        <v>4.9633000000000003</v>
      </c>
      <c r="E510">
        <v>5.0505000000000004</v>
      </c>
      <c r="F510">
        <v>855975.28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-4.1758241758237273E-2</v>
      </c>
      <c r="Q510">
        <f t="shared" si="980"/>
        <v>-35744.02268131484</v>
      </c>
      <c r="R510">
        <f t="shared" si="981"/>
        <v>78564451.615696177</v>
      </c>
      <c r="S510">
        <f t="shared" si="982"/>
        <v>785.6445161569618</v>
      </c>
      <c r="T510">
        <f t="shared" si="983"/>
        <v>0.78564451615696185</v>
      </c>
    </row>
    <row r="511" spans="1:20" x14ac:dyDescent="0.25">
      <c r="A511" s="5">
        <v>44082</v>
      </c>
      <c r="B511">
        <v>5.1001000000000003</v>
      </c>
      <c r="C511">
        <v>5.2</v>
      </c>
      <c r="D511">
        <v>4.9344999999999999</v>
      </c>
      <c r="E511">
        <v>5.0881999999999996</v>
      </c>
      <c r="F511">
        <v>1601142.05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0.15781544256120195</v>
      </c>
      <c r="Q511">
        <f t="shared" si="980"/>
        <v>252684.94122410016</v>
      </c>
      <c r="R511">
        <f t="shared" si="981"/>
        <v>78600195.638377488</v>
      </c>
      <c r="S511">
        <f t="shared" si="982"/>
        <v>786.00195638377488</v>
      </c>
      <c r="T511">
        <f t="shared" si="983"/>
        <v>0.7860019563837749</v>
      </c>
    </row>
    <row r="512" spans="1:20" x14ac:dyDescent="0.25">
      <c r="A512" s="5">
        <v>44081</v>
      </c>
      <c r="B512">
        <v>5.1506999999999996</v>
      </c>
      <c r="C512">
        <v>5.1879999999999997</v>
      </c>
      <c r="D512">
        <v>4.8419999999999996</v>
      </c>
      <c r="E512">
        <v>5.0983000000000001</v>
      </c>
      <c r="F512">
        <v>1430493.89</v>
      </c>
      <c r="G512">
        <v>0</v>
      </c>
      <c r="L512" t="s">
        <v>7</v>
      </c>
      <c r="M512" t="s">
        <v>8</v>
      </c>
      <c r="N512" t="s">
        <v>7</v>
      </c>
      <c r="P512">
        <f t="shared" si="979"/>
        <v>0.48150289017341247</v>
      </c>
      <c r="Q512">
        <f t="shared" si="980"/>
        <v>688786.94241040747</v>
      </c>
      <c r="R512">
        <f t="shared" si="981"/>
        <v>78347510.697153389</v>
      </c>
      <c r="S512">
        <f t="shared" si="982"/>
        <v>783.47510697153393</v>
      </c>
      <c r="T512">
        <f t="shared" si="983"/>
        <v>0.78347510697153389</v>
      </c>
    </row>
    <row r="513" spans="1:20" x14ac:dyDescent="0.25">
      <c r="A513" s="5">
        <v>44080</v>
      </c>
      <c r="B513">
        <v>5.0213999999999999</v>
      </c>
      <c r="C513">
        <v>5.2489999999999997</v>
      </c>
      <c r="D513">
        <v>4.8818000000000001</v>
      </c>
      <c r="E513">
        <v>5.1492000000000004</v>
      </c>
      <c r="F513">
        <v>1833116.81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0.45642701525054818</v>
      </c>
      <c r="Q513">
        <f t="shared" si="980"/>
        <v>836684.03419390623</v>
      </c>
      <c r="R513">
        <f t="shared" si="981"/>
        <v>77658723.75474298</v>
      </c>
      <c r="S513">
        <f t="shared" si="982"/>
        <v>776.58723754742982</v>
      </c>
      <c r="T513">
        <f t="shared" si="983"/>
        <v>0.77658723754742987</v>
      </c>
    </row>
    <row r="514" spans="1:20" x14ac:dyDescent="0.25">
      <c r="A514" s="5">
        <v>44079</v>
      </c>
      <c r="B514">
        <v>5.3076999999999996</v>
      </c>
      <c r="C514">
        <v>5.4101999999999997</v>
      </c>
      <c r="D514">
        <v>4.827</v>
      </c>
      <c r="E514">
        <v>5.0229999999999997</v>
      </c>
      <c r="F514">
        <v>2493667.0699999998</v>
      </c>
      <c r="G514">
        <v>0</v>
      </c>
      <c r="L514" t="s">
        <v>7</v>
      </c>
      <c r="M514" t="s">
        <v>8</v>
      </c>
      <c r="N514" t="s">
        <v>7</v>
      </c>
      <c r="P514">
        <f t="shared" si="979"/>
        <v>-0.32784636488340252</v>
      </c>
      <c r="Q514">
        <f t="shared" si="980"/>
        <v>-817539.68412894523</v>
      </c>
      <c r="R514">
        <f t="shared" si="981"/>
        <v>76822039.720549077</v>
      </c>
      <c r="S514">
        <f t="shared" si="982"/>
        <v>768.22039720549071</v>
      </c>
      <c r="T514">
        <f t="shared" si="983"/>
        <v>0.76822039720549073</v>
      </c>
    </row>
    <row r="515" spans="1:20" x14ac:dyDescent="0.25">
      <c r="A515" s="5">
        <v>44078</v>
      </c>
      <c r="B515">
        <v>5.4848999999999997</v>
      </c>
      <c r="C515">
        <v>5.5815999999999999</v>
      </c>
      <c r="D515">
        <v>4.8498999999999999</v>
      </c>
      <c r="E515">
        <v>5.3018000000000001</v>
      </c>
      <c r="F515">
        <v>4726811.58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0.23520568539018771</v>
      </c>
      <c r="Q515">
        <f t="shared" si="980"/>
        <v>1111772.9573841761</v>
      </c>
      <c r="R515">
        <f t="shared" si="981"/>
        <v>77639579.404678017</v>
      </c>
      <c r="S515">
        <f t="shared" si="982"/>
        <v>776.39579404678022</v>
      </c>
      <c r="T515">
        <f t="shared" si="983"/>
        <v>0.77639579404678027</v>
      </c>
    </row>
    <row r="516" spans="1:20" x14ac:dyDescent="0.25">
      <c r="A516" s="5">
        <v>44077</v>
      </c>
      <c r="B516">
        <v>6.2950999999999997</v>
      </c>
      <c r="C516">
        <v>6.3571</v>
      </c>
      <c r="D516">
        <v>4.5030999999999999</v>
      </c>
      <c r="E516">
        <v>5.4848999999999997</v>
      </c>
      <c r="F516">
        <v>3202167.51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5.911542610571708E-2</v>
      </c>
      <c r="Q516">
        <f t="shared" si="980"/>
        <v>189297.49681553306</v>
      </c>
      <c r="R516">
        <f t="shared" si="981"/>
        <v>76527806.447293848</v>
      </c>
      <c r="S516">
        <f t="shared" si="982"/>
        <v>765.27806447293847</v>
      </c>
      <c r="T516">
        <f t="shared" si="983"/>
        <v>0.76527806447293845</v>
      </c>
    </row>
    <row r="517" spans="1:20" x14ac:dyDescent="0.25">
      <c r="A517" s="5">
        <v>44076</v>
      </c>
      <c r="B517">
        <v>6.7365000000000004</v>
      </c>
      <c r="C517">
        <v>6.8079000000000001</v>
      </c>
      <c r="D517">
        <v>6.0456000000000003</v>
      </c>
      <c r="E517">
        <v>6.2946</v>
      </c>
      <c r="F517">
        <v>2350357.81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-0.34671389216843829</v>
      </c>
      <c r="Q517">
        <f t="shared" si="980"/>
        <v>-814901.70429358678</v>
      </c>
      <c r="R517">
        <f t="shared" si="981"/>
        <v>76338508.950478315</v>
      </c>
      <c r="S517">
        <f t="shared" si="982"/>
        <v>763.3850895047832</v>
      </c>
      <c r="T517">
        <f t="shared" si="983"/>
        <v>0.76338508950478323</v>
      </c>
    </row>
    <row r="518" spans="1:20" x14ac:dyDescent="0.25">
      <c r="A518" s="5">
        <v>44075</v>
      </c>
      <c r="B518">
        <v>6.5848000000000004</v>
      </c>
      <c r="C518">
        <v>6.8071999999999999</v>
      </c>
      <c r="D518">
        <v>6.5</v>
      </c>
      <c r="E518">
        <v>6.7359</v>
      </c>
      <c r="F518">
        <v>2439415.37</v>
      </c>
      <c r="G518">
        <v>0</v>
      </c>
      <c r="L518" t="s">
        <v>8</v>
      </c>
      <c r="M518" t="s">
        <v>7</v>
      </c>
      <c r="N518" t="s">
        <v>8</v>
      </c>
      <c r="P518">
        <f t="shared" ref="P518:P581" si="984">IF(C518=D518,0,((E518-D518)-(C518-E518))/(C518-D518))</f>
        <v>0.53580729166666707</v>
      </c>
      <c r="Q518">
        <f t="shared" ref="Q518:Q581" si="985">F518*P518</f>
        <v>1307056.5426497406</v>
      </c>
      <c r="R518">
        <f t="shared" ref="R518:R581" si="986">R519+Q518</f>
        <v>77153410.654771909</v>
      </c>
      <c r="S518">
        <f t="shared" ref="S518:S581" si="987">R518/100000</f>
        <v>771.53410654771915</v>
      </c>
      <c r="T518">
        <f t="shared" ref="T518:T581" si="988">S518/1000</f>
        <v>0.77153410654771915</v>
      </c>
    </row>
    <row r="519" spans="1:20" x14ac:dyDescent="0.25">
      <c r="A519" s="5">
        <v>44074</v>
      </c>
      <c r="B519">
        <v>6.6896000000000004</v>
      </c>
      <c r="C519">
        <v>6.7660999999999998</v>
      </c>
      <c r="D519">
        <v>6.5476000000000001</v>
      </c>
      <c r="E519">
        <v>6.5857999999999999</v>
      </c>
      <c r="F519">
        <v>1154753.33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-0.6503432494279191</v>
      </c>
      <c r="Q519">
        <f t="shared" si="985"/>
        <v>-750986.03291991027</v>
      </c>
      <c r="R519">
        <f t="shared" si="986"/>
        <v>75846354.112122163</v>
      </c>
      <c r="S519">
        <f t="shared" si="987"/>
        <v>758.46354112122162</v>
      </c>
      <c r="T519">
        <f t="shared" si="988"/>
        <v>0.75846354112122161</v>
      </c>
    </row>
    <row r="520" spans="1:20" x14ac:dyDescent="0.25">
      <c r="A520" s="5">
        <v>44073</v>
      </c>
      <c r="B520">
        <v>6.4954000000000001</v>
      </c>
      <c r="C520">
        <v>6.7077999999999998</v>
      </c>
      <c r="D520">
        <v>6.4394999999999998</v>
      </c>
      <c r="E520">
        <v>6.6906999999999996</v>
      </c>
      <c r="F520">
        <v>1630448.28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0.87253074916138562</v>
      </c>
      <c r="Q520">
        <f t="shared" si="985"/>
        <v>1422616.2592172928</v>
      </c>
      <c r="R520">
        <f t="shared" si="986"/>
        <v>76597340.145042077</v>
      </c>
      <c r="S520">
        <f t="shared" si="987"/>
        <v>765.97340145042074</v>
      </c>
      <c r="T520">
        <f t="shared" si="988"/>
        <v>0.7659734014504207</v>
      </c>
    </row>
    <row r="521" spans="1:20" x14ac:dyDescent="0.25">
      <c r="A521" s="5">
        <v>44072</v>
      </c>
      <c r="B521">
        <v>6.5274000000000001</v>
      </c>
      <c r="C521">
        <v>6.6486000000000001</v>
      </c>
      <c r="D521">
        <v>6.4759000000000002</v>
      </c>
      <c r="E521">
        <v>6.4926000000000004</v>
      </c>
      <c r="F521">
        <v>979968.31</v>
      </c>
      <c r="G521">
        <v>0</v>
      </c>
      <c r="L521" t="s">
        <v>7</v>
      </c>
      <c r="M521" t="s">
        <v>7</v>
      </c>
      <c r="N521" t="s">
        <v>8</v>
      </c>
      <c r="P521">
        <f t="shared" si="984"/>
        <v>-0.80660104226983009</v>
      </c>
      <c r="Q521">
        <f t="shared" si="985"/>
        <v>-790443.46023740398</v>
      </c>
      <c r="R521">
        <f t="shared" si="986"/>
        <v>75174723.885824785</v>
      </c>
      <c r="S521">
        <f t="shared" si="987"/>
        <v>751.7472388582479</v>
      </c>
      <c r="T521">
        <f t="shared" si="988"/>
        <v>0.7517472388582479</v>
      </c>
    </row>
    <row r="522" spans="1:20" x14ac:dyDescent="0.25">
      <c r="A522" s="5">
        <v>44071</v>
      </c>
      <c r="B522">
        <v>6.3559999999999999</v>
      </c>
      <c r="C522">
        <v>6.6224999999999996</v>
      </c>
      <c r="D522">
        <v>6.2693000000000003</v>
      </c>
      <c r="E522">
        <v>6.5278</v>
      </c>
      <c r="F522">
        <v>1384413.27</v>
      </c>
      <c r="G522">
        <v>0</v>
      </c>
      <c r="L522" t="s">
        <v>7</v>
      </c>
      <c r="M522" t="s">
        <v>7</v>
      </c>
      <c r="N522" t="s">
        <v>8</v>
      </c>
      <c r="P522">
        <f t="shared" si="984"/>
        <v>0.46375990939977491</v>
      </c>
      <c r="Q522">
        <f t="shared" si="985"/>
        <v>642035.37266704615</v>
      </c>
      <c r="R522">
        <f t="shared" si="986"/>
        <v>75965167.346062183</v>
      </c>
      <c r="S522">
        <f t="shared" si="987"/>
        <v>759.65167346062185</v>
      </c>
      <c r="T522">
        <f t="shared" si="988"/>
        <v>0.7596516734606219</v>
      </c>
    </row>
    <row r="523" spans="1:20" x14ac:dyDescent="0.25">
      <c r="A523" s="5">
        <v>44070</v>
      </c>
      <c r="B523">
        <v>6.4596</v>
      </c>
      <c r="C523">
        <v>6.7526999999999999</v>
      </c>
      <c r="D523">
        <v>6.1943999999999999</v>
      </c>
      <c r="E523">
        <v>6.3544</v>
      </c>
      <c r="F523">
        <v>2355498.86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-0.42683145262403677</v>
      </c>
      <c r="Q523">
        <f t="shared" si="985"/>
        <v>-1005401.0000680626</v>
      </c>
      <c r="R523">
        <f t="shared" si="986"/>
        <v>75323131.973395139</v>
      </c>
      <c r="S523">
        <f t="shared" si="987"/>
        <v>753.23131973395141</v>
      </c>
      <c r="T523">
        <f t="shared" si="988"/>
        <v>0.75323131973395141</v>
      </c>
    </row>
    <row r="524" spans="1:20" x14ac:dyDescent="0.25">
      <c r="A524" s="5">
        <v>44069</v>
      </c>
      <c r="B524">
        <v>6.4690000000000003</v>
      </c>
      <c r="C524">
        <v>6.5518999999999998</v>
      </c>
      <c r="D524">
        <v>6.4044999999999996</v>
      </c>
      <c r="E524">
        <v>6.46</v>
      </c>
      <c r="F524">
        <v>1141575.6799999999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-0.24694708276797486</v>
      </c>
      <c r="Q524">
        <f t="shared" si="985"/>
        <v>-281908.78393486718</v>
      </c>
      <c r="R524">
        <f t="shared" si="986"/>
        <v>76328532.973463207</v>
      </c>
      <c r="S524">
        <f t="shared" si="987"/>
        <v>763.28532973463211</v>
      </c>
      <c r="T524">
        <f t="shared" si="988"/>
        <v>0.76328532973463215</v>
      </c>
    </row>
    <row r="525" spans="1:20" x14ac:dyDescent="0.25">
      <c r="A525" s="5">
        <v>44068</v>
      </c>
      <c r="B525">
        <v>6.8543000000000003</v>
      </c>
      <c r="C525">
        <v>6.8705999999999996</v>
      </c>
      <c r="D525">
        <v>6.3544999999999998</v>
      </c>
      <c r="E525">
        <v>6.4691999999999998</v>
      </c>
      <c r="F525">
        <v>1890346.71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-0.55551249757798848</v>
      </c>
      <c r="Q525">
        <f t="shared" si="985"/>
        <v>-1050111.2221604334</v>
      </c>
      <c r="R525">
        <f t="shared" si="986"/>
        <v>76610441.757398069</v>
      </c>
      <c r="S525">
        <f t="shared" si="987"/>
        <v>766.10441757398064</v>
      </c>
      <c r="T525">
        <f t="shared" si="988"/>
        <v>0.76610441757398062</v>
      </c>
    </row>
    <row r="526" spans="1:20" x14ac:dyDescent="0.25">
      <c r="A526" s="5">
        <v>44067</v>
      </c>
      <c r="B526">
        <v>6.7618</v>
      </c>
      <c r="C526">
        <v>6.9</v>
      </c>
      <c r="D526">
        <v>6.7046999999999999</v>
      </c>
      <c r="E526">
        <v>6.8536999999999999</v>
      </c>
      <c r="F526">
        <v>821783.76</v>
      </c>
      <c r="G526">
        <v>0</v>
      </c>
      <c r="L526" t="s">
        <v>7</v>
      </c>
      <c r="M526" t="s">
        <v>7</v>
      </c>
      <c r="N526" t="s">
        <v>8</v>
      </c>
      <c r="P526">
        <f t="shared" si="984"/>
        <v>0.52585765488990943</v>
      </c>
      <c r="Q526">
        <f t="shared" si="985"/>
        <v>432141.28086021217</v>
      </c>
      <c r="R526">
        <f t="shared" si="986"/>
        <v>77660552.979558498</v>
      </c>
      <c r="S526">
        <f t="shared" si="987"/>
        <v>776.60552979558497</v>
      </c>
      <c r="T526">
        <f t="shared" si="988"/>
        <v>0.77660552979558495</v>
      </c>
    </row>
    <row r="527" spans="1:20" x14ac:dyDescent="0.25">
      <c r="A527" s="5">
        <v>44066</v>
      </c>
      <c r="B527">
        <v>6.7647000000000004</v>
      </c>
      <c r="C527">
        <v>6.8262999999999998</v>
      </c>
      <c r="D527">
        <v>6.6002999999999998</v>
      </c>
      <c r="E527">
        <v>6.7587999999999999</v>
      </c>
      <c r="F527">
        <v>860726.38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0.40265486725663807</v>
      </c>
      <c r="Q527">
        <f t="shared" si="985"/>
        <v>346575.66628318664</v>
      </c>
      <c r="R527">
        <f t="shared" si="986"/>
        <v>77228411.698698282</v>
      </c>
      <c r="S527">
        <f t="shared" si="987"/>
        <v>772.28411698698278</v>
      </c>
      <c r="T527">
        <f t="shared" si="988"/>
        <v>0.77228411698698274</v>
      </c>
    </row>
    <row r="528" spans="1:20" x14ac:dyDescent="0.25">
      <c r="A528" s="5">
        <v>44065</v>
      </c>
      <c r="B528">
        <v>6.6337999999999999</v>
      </c>
      <c r="C528">
        <v>6.7991000000000001</v>
      </c>
      <c r="D528">
        <v>6.5171000000000001</v>
      </c>
      <c r="E528">
        <v>6.7702</v>
      </c>
      <c r="F528">
        <v>1114609.1499999999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0.79503546099290678</v>
      </c>
      <c r="Q528">
        <f t="shared" si="985"/>
        <v>886153.79939716193</v>
      </c>
      <c r="R528">
        <f t="shared" si="986"/>
        <v>76881836.032415092</v>
      </c>
      <c r="S528">
        <f t="shared" si="987"/>
        <v>768.81836032415094</v>
      </c>
      <c r="T528">
        <f t="shared" si="988"/>
        <v>0.76881836032415096</v>
      </c>
    </row>
    <row r="529" spans="1:20" x14ac:dyDescent="0.25">
      <c r="A529" s="5">
        <v>44064</v>
      </c>
      <c r="B529">
        <v>6.9702000000000002</v>
      </c>
      <c r="C529">
        <v>7.1</v>
      </c>
      <c r="D529">
        <v>6.5758999999999999</v>
      </c>
      <c r="E529">
        <v>6.6323999999999996</v>
      </c>
      <c r="F529">
        <v>1430073.69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-0.78439229154741541</v>
      </c>
      <c r="Q529">
        <f t="shared" si="985"/>
        <v>-1121738.7787807682</v>
      </c>
      <c r="R529">
        <f t="shared" si="986"/>
        <v>75995682.233017936</v>
      </c>
      <c r="S529">
        <f t="shared" si="987"/>
        <v>759.95682233017931</v>
      </c>
      <c r="T529">
        <f t="shared" si="988"/>
        <v>0.75995682233017936</v>
      </c>
    </row>
    <row r="530" spans="1:20" x14ac:dyDescent="0.25">
      <c r="A530" s="5">
        <v>44063</v>
      </c>
      <c r="B530">
        <v>6.7976999999999999</v>
      </c>
      <c r="C530">
        <v>7.0423999999999998</v>
      </c>
      <c r="D530">
        <v>6.7388000000000003</v>
      </c>
      <c r="E530">
        <v>6.9695999999999998</v>
      </c>
      <c r="F530">
        <v>870121.42</v>
      </c>
      <c r="G530">
        <v>0</v>
      </c>
      <c r="L530" t="s">
        <v>7</v>
      </c>
      <c r="M530" t="s">
        <v>7</v>
      </c>
      <c r="N530" t="s">
        <v>8</v>
      </c>
      <c r="P530">
        <f t="shared" si="984"/>
        <v>0.52042160737812837</v>
      </c>
      <c r="Q530">
        <f t="shared" si="985"/>
        <v>452829.98801053956</v>
      </c>
      <c r="R530">
        <f t="shared" si="986"/>
        <v>77117421.01179871</v>
      </c>
      <c r="S530">
        <f t="shared" si="987"/>
        <v>771.17421011798706</v>
      </c>
      <c r="T530">
        <f t="shared" si="988"/>
        <v>0.77117421011798704</v>
      </c>
    </row>
    <row r="531" spans="1:20" x14ac:dyDescent="0.25">
      <c r="A531" s="5">
        <v>44062</v>
      </c>
      <c r="B531">
        <v>7.2675999999999998</v>
      </c>
      <c r="C531">
        <v>7.4073000000000002</v>
      </c>
      <c r="D531">
        <v>6.6002000000000001</v>
      </c>
      <c r="E531">
        <v>6.798</v>
      </c>
      <c r="F531">
        <v>2040423.4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-0.50985008053524983</v>
      </c>
      <c r="Q531">
        <f t="shared" si="985"/>
        <v>-1040310.0348160082</v>
      </c>
      <c r="R531">
        <f t="shared" si="986"/>
        <v>76664591.023788169</v>
      </c>
      <c r="S531">
        <f t="shared" si="987"/>
        <v>766.64591023788171</v>
      </c>
      <c r="T531">
        <f t="shared" si="988"/>
        <v>0.76664591023788176</v>
      </c>
    </row>
    <row r="532" spans="1:20" x14ac:dyDescent="0.25">
      <c r="A532" s="5">
        <v>44061</v>
      </c>
      <c r="B532">
        <v>7.3905000000000003</v>
      </c>
      <c r="C532">
        <v>7.7774999999999999</v>
      </c>
      <c r="D532">
        <v>7.1</v>
      </c>
      <c r="E532">
        <v>7.2702</v>
      </c>
      <c r="F532">
        <v>2736594.59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-0.49756457564575557</v>
      </c>
      <c r="Q532">
        <f t="shared" si="985"/>
        <v>-1361632.5258878204</v>
      </c>
      <c r="R532">
        <f t="shared" si="986"/>
        <v>77704901.058604181</v>
      </c>
      <c r="S532">
        <f t="shared" si="987"/>
        <v>777.04901058604185</v>
      </c>
      <c r="T532">
        <f t="shared" si="988"/>
        <v>0.77704901058604181</v>
      </c>
    </row>
    <row r="533" spans="1:20" x14ac:dyDescent="0.25">
      <c r="A533" s="5">
        <v>44060</v>
      </c>
      <c r="B533">
        <v>7.2503000000000002</v>
      </c>
      <c r="C533">
        <v>7.5549999999999997</v>
      </c>
      <c r="D533">
        <v>7.0850999999999997</v>
      </c>
      <c r="E533">
        <v>7.3883999999999999</v>
      </c>
      <c r="F533">
        <v>2479037.75</v>
      </c>
      <c r="G533">
        <v>0</v>
      </c>
      <c r="L533" t="s">
        <v>8</v>
      </c>
      <c r="M533" t="s">
        <v>7</v>
      </c>
      <c r="N533" t="s">
        <v>8</v>
      </c>
      <c r="P533">
        <f t="shared" si="984"/>
        <v>0.29091296020429935</v>
      </c>
      <c r="Q533">
        <f t="shared" si="985"/>
        <v>721184.21031070582</v>
      </c>
      <c r="R533">
        <f t="shared" si="986"/>
        <v>79066533.584491998</v>
      </c>
      <c r="S533">
        <f t="shared" si="987"/>
        <v>790.66533584491992</v>
      </c>
      <c r="T533">
        <f t="shared" si="988"/>
        <v>0.79066533584491994</v>
      </c>
    </row>
    <row r="534" spans="1:20" x14ac:dyDescent="0.25">
      <c r="A534" s="5">
        <v>44059</v>
      </c>
      <c r="B534">
        <v>7.1717000000000004</v>
      </c>
      <c r="C534">
        <v>7.3</v>
      </c>
      <c r="D534">
        <v>6.91</v>
      </c>
      <c r="E534">
        <v>7.2478999999999996</v>
      </c>
      <c r="F534">
        <v>1999286.85</v>
      </c>
      <c r="G534">
        <v>0</v>
      </c>
      <c r="L534" t="s">
        <v>8</v>
      </c>
      <c r="M534" t="s">
        <v>7</v>
      </c>
      <c r="N534" t="s">
        <v>8</v>
      </c>
      <c r="P534">
        <f t="shared" si="984"/>
        <v>0.73282051282051131</v>
      </c>
      <c r="Q534">
        <f t="shared" si="985"/>
        <v>1465118.4146923048</v>
      </c>
      <c r="R534">
        <f t="shared" si="986"/>
        <v>78345349.374181286</v>
      </c>
      <c r="S534">
        <f t="shared" si="987"/>
        <v>783.45349374181285</v>
      </c>
      <c r="T534">
        <f t="shared" si="988"/>
        <v>0.78345349374181283</v>
      </c>
    </row>
    <row r="535" spans="1:20" x14ac:dyDescent="0.25">
      <c r="A535" s="5">
        <v>44058</v>
      </c>
      <c r="B535">
        <v>6.8825000000000003</v>
      </c>
      <c r="C535">
        <v>7.2954999999999997</v>
      </c>
      <c r="D535">
        <v>6.8555000000000001</v>
      </c>
      <c r="E535">
        <v>7.1731999999999996</v>
      </c>
      <c r="F535">
        <v>2110633.2200000002</v>
      </c>
      <c r="G535">
        <v>0</v>
      </c>
      <c r="L535" t="s">
        <v>8</v>
      </c>
      <c r="M535" t="s">
        <v>7</v>
      </c>
      <c r="N535" t="s">
        <v>8</v>
      </c>
      <c r="P535">
        <f t="shared" si="984"/>
        <v>0.44409090909090809</v>
      </c>
      <c r="Q535">
        <f t="shared" si="985"/>
        <v>937313.02542727068</v>
      </c>
      <c r="R535">
        <f t="shared" si="986"/>
        <v>76880230.959488988</v>
      </c>
      <c r="S535">
        <f t="shared" si="987"/>
        <v>768.80230959488983</v>
      </c>
      <c r="T535">
        <f t="shared" si="988"/>
        <v>0.76880230959488982</v>
      </c>
    </row>
    <row r="536" spans="1:20" x14ac:dyDescent="0.25">
      <c r="A536" s="5">
        <v>44057</v>
      </c>
      <c r="B536">
        <v>6.9236000000000004</v>
      </c>
      <c r="C536">
        <v>6.9714</v>
      </c>
      <c r="D536">
        <v>6.7877999999999998</v>
      </c>
      <c r="E536">
        <v>6.8833000000000002</v>
      </c>
      <c r="F536">
        <v>1341892.9099999999</v>
      </c>
      <c r="G536">
        <v>0</v>
      </c>
      <c r="L536" t="s">
        <v>8</v>
      </c>
      <c r="M536" t="s">
        <v>7</v>
      </c>
      <c r="N536" t="s">
        <v>8</v>
      </c>
      <c r="P536">
        <f t="shared" si="984"/>
        <v>4.0305010893248956E-2</v>
      </c>
      <c r="Q536">
        <f t="shared" si="985"/>
        <v>54085.008355123537</v>
      </c>
      <c r="R536">
        <f t="shared" si="986"/>
        <v>75942917.934061721</v>
      </c>
      <c r="S536">
        <f t="shared" si="987"/>
        <v>759.42917934061722</v>
      </c>
      <c r="T536">
        <f t="shared" si="988"/>
        <v>0.75942917934061727</v>
      </c>
    </row>
    <row r="537" spans="1:20" x14ac:dyDescent="0.25">
      <c r="A537" s="5">
        <v>44056</v>
      </c>
      <c r="B537">
        <v>6.7557</v>
      </c>
      <c r="C537">
        <v>6.95</v>
      </c>
      <c r="D537">
        <v>6.5579999999999998</v>
      </c>
      <c r="E537">
        <v>6.9236000000000004</v>
      </c>
      <c r="F537">
        <v>1389768.43</v>
      </c>
      <c r="G537">
        <v>0</v>
      </c>
      <c r="L537" t="s">
        <v>7</v>
      </c>
      <c r="M537" t="s">
        <v>7</v>
      </c>
      <c r="N537" t="s">
        <v>8</v>
      </c>
      <c r="P537">
        <f t="shared" si="984"/>
        <v>0.86530612244898097</v>
      </c>
      <c r="Q537">
        <f t="shared" si="985"/>
        <v>1202575.131265308</v>
      </c>
      <c r="R537">
        <f t="shared" si="986"/>
        <v>75888832.925706595</v>
      </c>
      <c r="S537">
        <f t="shared" si="987"/>
        <v>758.88832925706595</v>
      </c>
      <c r="T537">
        <f t="shared" si="988"/>
        <v>0.75888832925706595</v>
      </c>
    </row>
    <row r="538" spans="1:20" x14ac:dyDescent="0.25">
      <c r="A538" s="5">
        <v>44055</v>
      </c>
      <c r="B538">
        <v>6.7435999999999998</v>
      </c>
      <c r="C538">
        <v>6.7962999999999996</v>
      </c>
      <c r="D538">
        <v>6.4823000000000004</v>
      </c>
      <c r="E538">
        <v>6.7534999999999998</v>
      </c>
      <c r="F538">
        <v>956069.74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0.72738853503184819</v>
      </c>
      <c r="Q538">
        <f t="shared" si="985"/>
        <v>695434.16756688</v>
      </c>
      <c r="R538">
        <f t="shared" si="986"/>
        <v>74686257.794441283</v>
      </c>
      <c r="S538">
        <f t="shared" si="987"/>
        <v>746.86257794441281</v>
      </c>
      <c r="T538">
        <f t="shared" si="988"/>
        <v>0.7468625779444128</v>
      </c>
    </row>
    <row r="539" spans="1:20" x14ac:dyDescent="0.25">
      <c r="A539" s="5">
        <v>44054</v>
      </c>
      <c r="B539">
        <v>7.0648999999999997</v>
      </c>
      <c r="C539">
        <v>7.18</v>
      </c>
      <c r="D539">
        <v>6.4470999999999998</v>
      </c>
      <c r="E539">
        <v>6.7430000000000003</v>
      </c>
      <c r="F539">
        <v>1849995.57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-0.19252285441397041</v>
      </c>
      <c r="Q539">
        <f t="shared" si="985"/>
        <v>-356166.42778960022</v>
      </c>
      <c r="R539">
        <f t="shared" si="986"/>
        <v>73990823.626874402</v>
      </c>
      <c r="S539">
        <f t="shared" si="987"/>
        <v>739.90823626874408</v>
      </c>
      <c r="T539">
        <f t="shared" si="988"/>
        <v>0.73990823626874402</v>
      </c>
    </row>
    <row r="540" spans="1:20" x14ac:dyDescent="0.25">
      <c r="A540" s="5">
        <v>44053</v>
      </c>
      <c r="B540">
        <v>6.8792999999999997</v>
      </c>
      <c r="C540">
        <v>7.1193999999999997</v>
      </c>
      <c r="D540">
        <v>6.7073</v>
      </c>
      <c r="E540">
        <v>7.0648999999999997</v>
      </c>
      <c r="F540">
        <v>1553180.44</v>
      </c>
      <c r="G540">
        <v>0</v>
      </c>
      <c r="L540" t="s">
        <v>8</v>
      </c>
      <c r="M540" t="s">
        <v>7</v>
      </c>
      <c r="N540" t="s">
        <v>8</v>
      </c>
      <c r="P540">
        <f t="shared" si="984"/>
        <v>0.73550109196796876</v>
      </c>
      <c r="Q540">
        <f t="shared" si="985"/>
        <v>1142365.9096432901</v>
      </c>
      <c r="R540">
        <f t="shared" si="986"/>
        <v>74346990.054664001</v>
      </c>
      <c r="S540">
        <f t="shared" si="987"/>
        <v>743.46990054664002</v>
      </c>
      <c r="T540">
        <f t="shared" si="988"/>
        <v>0.74346990054663997</v>
      </c>
    </row>
    <row r="541" spans="1:20" x14ac:dyDescent="0.25">
      <c r="A541" s="5">
        <v>44052</v>
      </c>
      <c r="B541">
        <v>6.9355000000000002</v>
      </c>
      <c r="C541">
        <v>7.1909999999999998</v>
      </c>
      <c r="D541">
        <v>6.6787000000000001</v>
      </c>
      <c r="E541">
        <v>6.8798000000000004</v>
      </c>
      <c r="F541">
        <v>1729470.04</v>
      </c>
      <c r="G541">
        <v>0</v>
      </c>
      <c r="L541" t="s">
        <v>8</v>
      </c>
      <c r="M541" t="s">
        <v>7</v>
      </c>
      <c r="N541" t="s">
        <v>8</v>
      </c>
      <c r="P541">
        <f t="shared" si="984"/>
        <v>-0.21491313683388494</v>
      </c>
      <c r="Q541">
        <f t="shared" si="985"/>
        <v>-371685.83135662449</v>
      </c>
      <c r="R541">
        <f t="shared" si="986"/>
        <v>73204624.145020708</v>
      </c>
      <c r="S541">
        <f t="shared" si="987"/>
        <v>732.04624145020705</v>
      </c>
      <c r="T541">
        <f t="shared" si="988"/>
        <v>0.73204624145020702</v>
      </c>
    </row>
    <row r="542" spans="1:20" x14ac:dyDescent="0.25">
      <c r="A542" s="5">
        <v>44051</v>
      </c>
      <c r="B542">
        <v>6.8771000000000004</v>
      </c>
      <c r="C542">
        <v>6.9859</v>
      </c>
      <c r="D542">
        <v>6.7679999999999998</v>
      </c>
      <c r="E542">
        <v>6.9377000000000004</v>
      </c>
      <c r="F542">
        <v>1155945.08</v>
      </c>
      <c r="G542">
        <v>0</v>
      </c>
      <c r="L542" t="s">
        <v>7</v>
      </c>
      <c r="M542" t="s">
        <v>7</v>
      </c>
      <c r="N542" t="s">
        <v>8</v>
      </c>
      <c r="P542">
        <f t="shared" si="984"/>
        <v>0.55759522716843024</v>
      </c>
      <c r="Q542">
        <f t="shared" si="985"/>
        <v>644549.45947682927</v>
      </c>
      <c r="R542">
        <f t="shared" si="986"/>
        <v>73576309.976377338</v>
      </c>
      <c r="S542">
        <f t="shared" si="987"/>
        <v>735.76309976377343</v>
      </c>
      <c r="T542">
        <f t="shared" si="988"/>
        <v>0.73576309976377341</v>
      </c>
    </row>
    <row r="543" spans="1:20" x14ac:dyDescent="0.25">
      <c r="A543" s="5">
        <v>44050</v>
      </c>
      <c r="B543">
        <v>7.0998000000000001</v>
      </c>
      <c r="C543">
        <v>7.2839</v>
      </c>
      <c r="D543">
        <v>6.58</v>
      </c>
      <c r="E543">
        <v>6.8756000000000004</v>
      </c>
      <c r="F543">
        <v>2379123.0299999998</v>
      </c>
      <c r="G543">
        <v>0</v>
      </c>
      <c r="L543" t="s">
        <v>7</v>
      </c>
      <c r="M543" t="s">
        <v>7</v>
      </c>
      <c r="N543" t="s">
        <v>8</v>
      </c>
      <c r="P543">
        <f t="shared" si="984"/>
        <v>-0.16010796988208462</v>
      </c>
      <c r="Q543">
        <f t="shared" si="985"/>
        <v>-380916.55843301385</v>
      </c>
      <c r="R543">
        <f t="shared" si="986"/>
        <v>72931760.51690051</v>
      </c>
      <c r="S543">
        <f t="shared" si="987"/>
        <v>729.31760516900511</v>
      </c>
      <c r="T543">
        <f t="shared" si="988"/>
        <v>0.72931760516900512</v>
      </c>
    </row>
    <row r="544" spans="1:20" x14ac:dyDescent="0.25">
      <c r="A544" s="5">
        <v>44049</v>
      </c>
      <c r="B544">
        <v>7.2263999999999999</v>
      </c>
      <c r="C544">
        <v>7.2503000000000002</v>
      </c>
      <c r="D544">
        <v>6.9960000000000004</v>
      </c>
      <c r="E544">
        <v>7.0997000000000003</v>
      </c>
      <c r="F544">
        <v>2215282.5699999998</v>
      </c>
      <c r="G544">
        <v>0</v>
      </c>
      <c r="L544" t="s">
        <v>7</v>
      </c>
      <c r="M544" t="s">
        <v>7</v>
      </c>
      <c r="N544" t="s">
        <v>8</v>
      </c>
      <c r="P544">
        <f t="shared" si="984"/>
        <v>-0.18442784113252059</v>
      </c>
      <c r="Q544">
        <f t="shared" si="985"/>
        <v>-408559.78188360191</v>
      </c>
      <c r="R544">
        <f t="shared" si="986"/>
        <v>73312677.075333521</v>
      </c>
      <c r="S544">
        <f t="shared" si="987"/>
        <v>733.12677075333522</v>
      </c>
      <c r="T544">
        <f t="shared" si="988"/>
        <v>0.73312677075333521</v>
      </c>
    </row>
    <row r="545" spans="1:20" x14ac:dyDescent="0.25">
      <c r="A545" s="5">
        <v>44048</v>
      </c>
      <c r="B545">
        <v>7.1372</v>
      </c>
      <c r="C545">
        <v>7.36</v>
      </c>
      <c r="D545">
        <v>7.0532000000000004</v>
      </c>
      <c r="E545">
        <v>7.2239000000000004</v>
      </c>
      <c r="F545">
        <v>1703583.05</v>
      </c>
      <c r="G545">
        <v>0</v>
      </c>
      <c r="L545" t="s">
        <v>7</v>
      </c>
      <c r="M545" t="s">
        <v>7</v>
      </c>
      <c r="N545" t="s">
        <v>8</v>
      </c>
      <c r="P545">
        <f t="shared" si="984"/>
        <v>0.11277705345502018</v>
      </c>
      <c r="Q545">
        <f t="shared" si="985"/>
        <v>192125.07669491632</v>
      </c>
      <c r="R545">
        <f t="shared" si="986"/>
        <v>73721236.857217118</v>
      </c>
      <c r="S545">
        <f t="shared" si="987"/>
        <v>737.21236857217116</v>
      </c>
      <c r="T545">
        <f t="shared" si="988"/>
        <v>0.73721236857217121</v>
      </c>
    </row>
    <row r="546" spans="1:20" x14ac:dyDescent="0.25">
      <c r="A546" s="5">
        <v>44047</v>
      </c>
      <c r="B546">
        <v>7.1680000000000001</v>
      </c>
      <c r="C546">
        <v>7.2769000000000004</v>
      </c>
      <c r="D546">
        <v>7</v>
      </c>
      <c r="E546">
        <v>7.1390000000000002</v>
      </c>
      <c r="F546">
        <v>1791801.34</v>
      </c>
      <c r="G546">
        <v>0</v>
      </c>
      <c r="L546" t="s">
        <v>7</v>
      </c>
      <c r="M546" t="s">
        <v>7</v>
      </c>
      <c r="N546" t="s">
        <v>8</v>
      </c>
      <c r="P546">
        <f t="shared" si="984"/>
        <v>3.9725532683282756E-3</v>
      </c>
      <c r="Q546">
        <f t="shared" si="985"/>
        <v>7118.0262694119838</v>
      </c>
      <c r="R546">
        <f t="shared" si="986"/>
        <v>73529111.780522197</v>
      </c>
      <c r="S546">
        <f t="shared" si="987"/>
        <v>735.29111780522203</v>
      </c>
      <c r="T546">
        <f t="shared" si="988"/>
        <v>0.73529111780522205</v>
      </c>
    </row>
    <row r="547" spans="1:20" x14ac:dyDescent="0.25">
      <c r="A547" s="5">
        <v>44046</v>
      </c>
      <c r="B547">
        <v>7.1936</v>
      </c>
      <c r="C547">
        <v>7.3696000000000002</v>
      </c>
      <c r="D547">
        <v>7.0444000000000004</v>
      </c>
      <c r="E547">
        <v>7.1657999999999999</v>
      </c>
      <c r="F547">
        <v>2523387.11</v>
      </c>
      <c r="G547">
        <v>0</v>
      </c>
      <c r="L547" t="s">
        <v>7</v>
      </c>
      <c r="M547" t="s">
        <v>8</v>
      </c>
      <c r="N547" t="s">
        <v>8</v>
      </c>
      <c r="P547">
        <f t="shared" si="984"/>
        <v>-0.25338253382534059</v>
      </c>
      <c r="Q547">
        <f t="shared" si="985"/>
        <v>-639382.21975400345</v>
      </c>
      <c r="R547">
        <f t="shared" si="986"/>
        <v>73521993.754252791</v>
      </c>
      <c r="S547">
        <f t="shared" si="987"/>
        <v>735.21993754252787</v>
      </c>
      <c r="T547">
        <f t="shared" si="988"/>
        <v>0.7352199375425279</v>
      </c>
    </row>
    <row r="548" spans="1:20" x14ac:dyDescent="0.25">
      <c r="A548" s="5">
        <v>44045</v>
      </c>
      <c r="B548">
        <v>7.8349000000000002</v>
      </c>
      <c r="C548">
        <v>8.3088999999999995</v>
      </c>
      <c r="D548">
        <v>6.5</v>
      </c>
      <c r="E548">
        <v>7.1939000000000002</v>
      </c>
      <c r="F548">
        <v>5174928.7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-0.23279341035988682</v>
      </c>
      <c r="Q548">
        <f t="shared" si="985"/>
        <v>-1204689.3004422556</v>
      </c>
      <c r="R548">
        <f t="shared" si="986"/>
        <v>74161375.974006802</v>
      </c>
      <c r="S548">
        <f t="shared" si="987"/>
        <v>741.61375974006796</v>
      </c>
      <c r="T548">
        <f t="shared" si="988"/>
        <v>0.74161375974006793</v>
      </c>
    </row>
    <row r="549" spans="1:20" x14ac:dyDescent="0.25">
      <c r="A549" s="5">
        <v>44044</v>
      </c>
      <c r="B549">
        <v>7.3979999999999997</v>
      </c>
      <c r="C549">
        <v>7.9570999999999996</v>
      </c>
      <c r="D549">
        <v>7.3120000000000003</v>
      </c>
      <c r="E549">
        <v>7.8330000000000002</v>
      </c>
      <c r="F549">
        <v>4005372.89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0.61525344907766377</v>
      </c>
      <c r="Q549">
        <f t="shared" si="985"/>
        <v>2464319.4854146698</v>
      </c>
      <c r="R549">
        <f t="shared" si="986"/>
        <v>75366065.27444905</v>
      </c>
      <c r="S549">
        <f t="shared" si="987"/>
        <v>753.66065274449045</v>
      </c>
      <c r="T549">
        <f t="shared" si="988"/>
        <v>0.75366065274449046</v>
      </c>
    </row>
    <row r="550" spans="1:20" x14ac:dyDescent="0.25">
      <c r="A550" s="5">
        <v>44043</v>
      </c>
      <c r="B550">
        <v>7.3460999999999999</v>
      </c>
      <c r="C550">
        <v>7.5762</v>
      </c>
      <c r="D550">
        <v>7.2519999999999998</v>
      </c>
      <c r="E550">
        <v>7.3975999999999997</v>
      </c>
      <c r="F550">
        <v>2236198.0299999998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-0.10178901912399857</v>
      </c>
      <c r="Q550">
        <f t="shared" si="985"/>
        <v>-227620.4040407179</v>
      </c>
      <c r="R550">
        <f t="shared" si="986"/>
        <v>72901745.789034382</v>
      </c>
      <c r="S550">
        <f t="shared" si="987"/>
        <v>729.01745789034385</v>
      </c>
      <c r="T550">
        <f t="shared" si="988"/>
        <v>0.72901745789034389</v>
      </c>
    </row>
    <row r="551" spans="1:20" x14ac:dyDescent="0.25">
      <c r="A551" s="5">
        <v>44042</v>
      </c>
      <c r="B551">
        <v>7.2637</v>
      </c>
      <c r="C551">
        <v>7.4756</v>
      </c>
      <c r="D551">
        <v>7</v>
      </c>
      <c r="E551">
        <v>7.3422000000000001</v>
      </c>
      <c r="F551">
        <v>2377357.37</v>
      </c>
      <c r="G551">
        <v>0</v>
      </c>
      <c r="L551" t="s">
        <v>7</v>
      </c>
      <c r="M551" t="s">
        <v>8</v>
      </c>
      <c r="N551" t="s">
        <v>8</v>
      </c>
      <c r="P551">
        <f t="shared" si="984"/>
        <v>0.43902439024390261</v>
      </c>
      <c r="Q551">
        <f t="shared" si="985"/>
        <v>1043717.869756098</v>
      </c>
      <c r="R551">
        <f t="shared" si="986"/>
        <v>73129366.193075106</v>
      </c>
      <c r="S551">
        <f t="shared" si="987"/>
        <v>731.293661930751</v>
      </c>
      <c r="T551">
        <f t="shared" si="988"/>
        <v>0.73129366193075096</v>
      </c>
    </row>
    <row r="552" spans="1:20" x14ac:dyDescent="0.25">
      <c r="A552" s="5">
        <v>44041</v>
      </c>
      <c r="B552">
        <v>7.2126000000000001</v>
      </c>
      <c r="C552">
        <v>7.5457000000000001</v>
      </c>
      <c r="D552">
        <v>7.1402999999999999</v>
      </c>
      <c r="E552">
        <v>7.2644000000000002</v>
      </c>
      <c r="F552">
        <v>3254905.33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-0.38776517020226808</v>
      </c>
      <c r="Q552">
        <f t="shared" si="985"/>
        <v>-1262138.9192797197</v>
      </c>
      <c r="R552">
        <f t="shared" si="986"/>
        <v>72085648.323319003</v>
      </c>
      <c r="S552">
        <f t="shared" si="987"/>
        <v>720.85648323319003</v>
      </c>
      <c r="T552">
        <f t="shared" si="988"/>
        <v>0.72085648323319007</v>
      </c>
    </row>
    <row r="553" spans="1:20" x14ac:dyDescent="0.25">
      <c r="A553" s="5">
        <v>44040</v>
      </c>
      <c r="B553">
        <v>7.1180000000000003</v>
      </c>
      <c r="C553">
        <v>7.3979999999999997</v>
      </c>
      <c r="D553">
        <v>6.8173000000000004</v>
      </c>
      <c r="E553">
        <v>7.2125000000000004</v>
      </c>
      <c r="F553">
        <v>3818696.83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0.36111589460995508</v>
      </c>
      <c r="Q553">
        <f t="shared" si="985"/>
        <v>1378992.1220096496</v>
      </c>
      <c r="R553">
        <f t="shared" si="986"/>
        <v>73347787.242598727</v>
      </c>
      <c r="S553">
        <f t="shared" si="987"/>
        <v>733.47787242598724</v>
      </c>
      <c r="T553">
        <f t="shared" si="988"/>
        <v>0.73347787242598728</v>
      </c>
    </row>
    <row r="554" spans="1:20" x14ac:dyDescent="0.25">
      <c r="A554" s="5">
        <v>44039</v>
      </c>
      <c r="B554">
        <v>6.6340000000000003</v>
      </c>
      <c r="C554">
        <v>7.3555000000000001</v>
      </c>
      <c r="D554">
        <v>6.6306000000000003</v>
      </c>
      <c r="E554">
        <v>7.1166999999999998</v>
      </c>
      <c r="F554">
        <v>5151771</v>
      </c>
      <c r="G554">
        <v>0</v>
      </c>
      <c r="L554" t="s">
        <v>8</v>
      </c>
      <c r="M554" t="s">
        <v>8</v>
      </c>
      <c r="N554" t="s">
        <v>7</v>
      </c>
      <c r="P554">
        <f t="shared" si="984"/>
        <v>0.34115050351772552</v>
      </c>
      <c r="Q554">
        <f t="shared" si="985"/>
        <v>1757529.2706580164</v>
      </c>
      <c r="R554">
        <f t="shared" si="986"/>
        <v>71968795.120589077</v>
      </c>
      <c r="S554">
        <f t="shared" si="987"/>
        <v>719.68795120589073</v>
      </c>
      <c r="T554">
        <f t="shared" si="988"/>
        <v>0.71968795120589069</v>
      </c>
    </row>
    <row r="555" spans="1:20" x14ac:dyDescent="0.25">
      <c r="A555" s="5">
        <v>44038</v>
      </c>
      <c r="B555">
        <v>6.7064000000000004</v>
      </c>
      <c r="C555">
        <v>6.8868</v>
      </c>
      <c r="D555">
        <v>6.3821000000000003</v>
      </c>
      <c r="E555">
        <v>6.6357999999999997</v>
      </c>
      <c r="F555">
        <v>2454857.58</v>
      </c>
      <c r="G555">
        <v>0</v>
      </c>
      <c r="L555" t="s">
        <v>8</v>
      </c>
      <c r="M555" t="s">
        <v>8</v>
      </c>
      <c r="N555" t="s">
        <v>7</v>
      </c>
      <c r="P555">
        <f t="shared" si="984"/>
        <v>5.3497127006123203E-3</v>
      </c>
      <c r="Q555">
        <f t="shared" si="985"/>
        <v>13132.782773920426</v>
      </c>
      <c r="R555">
        <f t="shared" si="986"/>
        <v>70211265.849931061</v>
      </c>
      <c r="S555">
        <f t="shared" si="987"/>
        <v>702.11265849931067</v>
      </c>
      <c r="T555">
        <f t="shared" si="988"/>
        <v>0.7021126584993107</v>
      </c>
    </row>
    <row r="556" spans="1:20" x14ac:dyDescent="0.25">
      <c r="A556" s="5">
        <v>44037</v>
      </c>
      <c r="B556">
        <v>6.2515999999999998</v>
      </c>
      <c r="C556">
        <v>6.7267000000000001</v>
      </c>
      <c r="D556">
        <v>6.2386999999999997</v>
      </c>
      <c r="E556">
        <v>6.7066999999999997</v>
      </c>
      <c r="F556">
        <v>2114916.5099999998</v>
      </c>
      <c r="G556">
        <v>0</v>
      </c>
      <c r="L556" t="s">
        <v>8</v>
      </c>
      <c r="M556" t="s">
        <v>8</v>
      </c>
      <c r="N556" t="s">
        <v>7</v>
      </c>
      <c r="P556">
        <f t="shared" si="984"/>
        <v>0.91803278688524403</v>
      </c>
      <c r="Q556">
        <f t="shared" si="985"/>
        <v>1941562.6977049138</v>
      </c>
      <c r="R556">
        <f t="shared" si="986"/>
        <v>70198133.067157134</v>
      </c>
      <c r="S556">
        <f t="shared" si="987"/>
        <v>701.9813306715713</v>
      </c>
      <c r="T556">
        <f t="shared" si="988"/>
        <v>0.70198133067157131</v>
      </c>
    </row>
    <row r="557" spans="1:20" x14ac:dyDescent="0.25">
      <c r="A557" s="5">
        <v>44036</v>
      </c>
      <c r="B557">
        <v>6.4419000000000004</v>
      </c>
      <c r="C557">
        <v>6.4446000000000003</v>
      </c>
      <c r="D557">
        <v>6.2069000000000001</v>
      </c>
      <c r="E557">
        <v>6.2548000000000004</v>
      </c>
      <c r="F557">
        <v>1102864.6100000001</v>
      </c>
      <c r="G557">
        <v>0</v>
      </c>
      <c r="L557" t="s">
        <v>8</v>
      </c>
      <c r="M557" t="s">
        <v>8</v>
      </c>
      <c r="N557" t="s">
        <v>7</v>
      </c>
      <c r="P557">
        <f t="shared" si="984"/>
        <v>-0.59697097181320802</v>
      </c>
      <c r="Q557">
        <f t="shared" si="985"/>
        <v>-658378.15801009466</v>
      </c>
      <c r="R557">
        <f t="shared" si="986"/>
        <v>68256570.369452223</v>
      </c>
      <c r="S557">
        <f t="shared" si="987"/>
        <v>682.5657036945222</v>
      </c>
      <c r="T557">
        <f t="shared" si="988"/>
        <v>0.68256570369452219</v>
      </c>
    </row>
    <row r="558" spans="1:20" x14ac:dyDescent="0.25">
      <c r="A558" s="5">
        <v>44035</v>
      </c>
      <c r="B558">
        <v>6.3579999999999997</v>
      </c>
      <c r="C558">
        <v>6.4915000000000003</v>
      </c>
      <c r="D558">
        <v>6.3003</v>
      </c>
      <c r="E558">
        <v>6.4401999999999999</v>
      </c>
      <c r="F558">
        <v>1325834.3500000001</v>
      </c>
      <c r="G558">
        <v>0</v>
      </c>
      <c r="L558" t="s">
        <v>8</v>
      </c>
      <c r="M558" t="s">
        <v>8</v>
      </c>
      <c r="N558" t="s">
        <v>7</v>
      </c>
      <c r="P558">
        <f t="shared" si="984"/>
        <v>0.46338912133890925</v>
      </c>
      <c r="Q558">
        <f t="shared" si="985"/>
        <v>614377.21448744391</v>
      </c>
      <c r="R558">
        <f t="shared" si="986"/>
        <v>68914948.527462319</v>
      </c>
      <c r="S558">
        <f t="shared" si="987"/>
        <v>689.1494852746232</v>
      </c>
      <c r="T558">
        <f t="shared" si="988"/>
        <v>0.68914948527462316</v>
      </c>
    </row>
    <row r="559" spans="1:20" x14ac:dyDescent="0.25">
      <c r="A559" s="5">
        <v>44034</v>
      </c>
      <c r="B559">
        <v>6.1898999999999997</v>
      </c>
      <c r="C559">
        <v>6.3925999999999998</v>
      </c>
      <c r="D559">
        <v>6.0925000000000002</v>
      </c>
      <c r="E559">
        <v>6.3569000000000004</v>
      </c>
      <c r="F559">
        <v>1140641.3</v>
      </c>
      <c r="G559">
        <v>0</v>
      </c>
      <c r="L559" t="s">
        <v>8</v>
      </c>
      <c r="M559" t="s">
        <v>8</v>
      </c>
      <c r="N559" t="s">
        <v>7</v>
      </c>
      <c r="P559">
        <f t="shared" si="984"/>
        <v>0.76207930689770442</v>
      </c>
      <c r="Q559">
        <f t="shared" si="985"/>
        <v>869259.13132289657</v>
      </c>
      <c r="R559">
        <f t="shared" si="986"/>
        <v>68300571.31297487</v>
      </c>
      <c r="S559">
        <f t="shared" si="987"/>
        <v>683.00571312974876</v>
      </c>
      <c r="T559">
        <f t="shared" si="988"/>
        <v>0.68300571312974878</v>
      </c>
    </row>
    <row r="560" spans="1:20" x14ac:dyDescent="0.25">
      <c r="A560" s="5">
        <v>44033</v>
      </c>
      <c r="B560">
        <v>6.0294999999999996</v>
      </c>
      <c r="C560">
        <v>6.1932</v>
      </c>
      <c r="D560">
        <v>6.0144000000000002</v>
      </c>
      <c r="E560">
        <v>6.1908000000000003</v>
      </c>
      <c r="F560">
        <v>1100039.3999999999</v>
      </c>
      <c r="G560">
        <v>0</v>
      </c>
      <c r="L560" t="s">
        <v>7</v>
      </c>
      <c r="M560" t="s">
        <v>8</v>
      </c>
      <c r="N560" t="s">
        <v>7</v>
      </c>
      <c r="P560">
        <f t="shared" si="984"/>
        <v>0.97315436241611031</v>
      </c>
      <c r="Q560">
        <f t="shared" si="985"/>
        <v>1070508.1409396005</v>
      </c>
      <c r="R560">
        <f t="shared" si="986"/>
        <v>67431312.18165198</v>
      </c>
      <c r="S560">
        <f t="shared" si="987"/>
        <v>674.31312181651981</v>
      </c>
      <c r="T560">
        <f t="shared" si="988"/>
        <v>0.67431312181651981</v>
      </c>
    </row>
    <row r="561" spans="1:104" x14ac:dyDescent="0.25">
      <c r="A561" s="5">
        <v>44032</v>
      </c>
      <c r="B561">
        <v>6.1017000000000001</v>
      </c>
      <c r="C561">
        <v>6.1919000000000004</v>
      </c>
      <c r="D561">
        <v>5.99</v>
      </c>
      <c r="E561">
        <v>6.0289000000000001</v>
      </c>
      <c r="F561">
        <v>1093665.8899999999</v>
      </c>
      <c r="G561">
        <v>0</v>
      </c>
      <c r="L561" t="s">
        <v>7</v>
      </c>
      <c r="M561" t="s">
        <v>8</v>
      </c>
      <c r="N561" t="s">
        <v>7</v>
      </c>
      <c r="P561">
        <f t="shared" si="984"/>
        <v>-0.61466072313026354</v>
      </c>
      <c r="Q561">
        <f t="shared" si="985"/>
        <v>-672233.46681030316</v>
      </c>
      <c r="R561">
        <f t="shared" si="986"/>
        <v>66360804.040712386</v>
      </c>
      <c r="S561">
        <f t="shared" si="987"/>
        <v>663.60804040712389</v>
      </c>
      <c r="T561">
        <f t="shared" si="988"/>
        <v>0.66360804040712384</v>
      </c>
      <c r="CZ561" t="s">
        <v>7</v>
      </c>
    </row>
    <row r="562" spans="1:104" x14ac:dyDescent="0.25">
      <c r="A562" s="5">
        <v>44031</v>
      </c>
      <c r="B562">
        <v>6.0506000000000002</v>
      </c>
      <c r="C562">
        <v>6.1223999999999998</v>
      </c>
      <c r="D562">
        <v>5.9485000000000001</v>
      </c>
      <c r="E562">
        <v>6.1003999999999996</v>
      </c>
      <c r="F562">
        <v>820704.5</v>
      </c>
      <c r="G562">
        <v>0</v>
      </c>
      <c r="L562" t="s">
        <v>7</v>
      </c>
      <c r="M562" t="s">
        <v>8</v>
      </c>
      <c r="N562" t="s">
        <v>7</v>
      </c>
      <c r="P562">
        <f t="shared" si="984"/>
        <v>0.7469810235767651</v>
      </c>
      <c r="Q562">
        <f t="shared" si="985"/>
        <v>613050.68746405724</v>
      </c>
      <c r="R562">
        <f t="shared" si="986"/>
        <v>67033037.507522687</v>
      </c>
      <c r="S562">
        <f t="shared" si="987"/>
        <v>670.33037507522693</v>
      </c>
      <c r="T562">
        <f t="shared" si="988"/>
        <v>0.67033037507522697</v>
      </c>
      <c r="CZ562" t="s">
        <v>7</v>
      </c>
    </row>
    <row r="563" spans="1:104" x14ac:dyDescent="0.25">
      <c r="A563" s="5">
        <v>44030</v>
      </c>
      <c r="B563">
        <v>6.0289999999999999</v>
      </c>
      <c r="C563">
        <v>6.1181000000000001</v>
      </c>
      <c r="D563">
        <v>5.9402999999999997</v>
      </c>
      <c r="E563">
        <v>6.0518000000000001</v>
      </c>
      <c r="F563">
        <v>822250.43</v>
      </c>
      <c r="G563">
        <v>0</v>
      </c>
      <c r="L563" t="s">
        <v>7</v>
      </c>
      <c r="M563" t="s">
        <v>8</v>
      </c>
      <c r="N563" t="s">
        <v>7</v>
      </c>
      <c r="P563">
        <f t="shared" si="984"/>
        <v>0.2542182227221611</v>
      </c>
      <c r="Q563">
        <f t="shared" si="985"/>
        <v>209031.04294713275</v>
      </c>
      <c r="R563">
        <f t="shared" si="986"/>
        <v>66419986.820058629</v>
      </c>
      <c r="S563">
        <f t="shared" si="987"/>
        <v>664.19986820058625</v>
      </c>
      <c r="T563">
        <f t="shared" si="988"/>
        <v>0.6641998682005863</v>
      </c>
      <c r="CZ563" t="s">
        <v>7</v>
      </c>
    </row>
    <row r="564" spans="1:104" x14ac:dyDescent="0.25">
      <c r="A564" s="5">
        <v>44029</v>
      </c>
      <c r="B564">
        <v>6.0312999999999999</v>
      </c>
      <c r="C564">
        <v>6.1128999999999998</v>
      </c>
      <c r="D564">
        <v>5.9667000000000003</v>
      </c>
      <c r="E564">
        <v>6.0289999999999999</v>
      </c>
      <c r="F564">
        <v>986142.76</v>
      </c>
      <c r="G564">
        <v>0</v>
      </c>
      <c r="L564" t="s">
        <v>7</v>
      </c>
      <c r="M564" t="s">
        <v>8</v>
      </c>
      <c r="N564" t="s">
        <v>7</v>
      </c>
      <c r="P564">
        <f t="shared" si="984"/>
        <v>-0.14774281805745806</v>
      </c>
      <c r="Q564">
        <f t="shared" si="985"/>
        <v>-145695.51036935954</v>
      </c>
      <c r="R564">
        <f t="shared" si="986"/>
        <v>66210955.777111493</v>
      </c>
      <c r="S564">
        <f t="shared" si="987"/>
        <v>662.10955777111496</v>
      </c>
      <c r="T564">
        <f t="shared" si="988"/>
        <v>0.66210955777111491</v>
      </c>
    </row>
    <row r="565" spans="1:104" x14ac:dyDescent="0.25">
      <c r="A565" s="5">
        <v>44028</v>
      </c>
      <c r="B565">
        <v>6.2224000000000004</v>
      </c>
      <c r="C565">
        <v>6.2679999999999998</v>
      </c>
      <c r="D565">
        <v>5.88</v>
      </c>
      <c r="E565">
        <v>6.0316999999999998</v>
      </c>
      <c r="F565">
        <v>1622357.97</v>
      </c>
      <c r="G565">
        <v>0</v>
      </c>
      <c r="L565" t="s">
        <v>7</v>
      </c>
      <c r="M565" t="s">
        <v>8</v>
      </c>
      <c r="N565" t="s">
        <v>7</v>
      </c>
      <c r="P565">
        <f t="shared" si="984"/>
        <v>-0.21804123711340215</v>
      </c>
      <c r="Q565">
        <f t="shared" si="985"/>
        <v>-353740.93881958775</v>
      </c>
      <c r="R565">
        <f t="shared" si="986"/>
        <v>66356651.287480853</v>
      </c>
      <c r="S565">
        <f t="shared" si="987"/>
        <v>663.5665128748085</v>
      </c>
      <c r="T565">
        <f t="shared" si="988"/>
        <v>0.6635665128748085</v>
      </c>
    </row>
    <row r="566" spans="1:104" x14ac:dyDescent="0.25">
      <c r="A566" s="5">
        <v>44027</v>
      </c>
      <c r="B566">
        <v>6.3280000000000003</v>
      </c>
      <c r="C566">
        <v>6.3605999999999998</v>
      </c>
      <c r="D566">
        <v>6.1807999999999996</v>
      </c>
      <c r="E566">
        <v>6.2218999999999998</v>
      </c>
      <c r="F566">
        <v>844699.27</v>
      </c>
      <c r="G566">
        <v>0</v>
      </c>
      <c r="L566" t="s">
        <v>7</v>
      </c>
      <c r="M566" t="s">
        <v>8</v>
      </c>
      <c r="N566" t="s">
        <v>7</v>
      </c>
      <c r="P566">
        <f t="shared" si="984"/>
        <v>-0.54282536151279093</v>
      </c>
      <c r="Q566">
        <f t="shared" si="985"/>
        <v>-458524.18660734058</v>
      </c>
      <c r="R566">
        <f t="shared" si="986"/>
        <v>66710392.226300441</v>
      </c>
      <c r="S566">
        <f t="shared" si="987"/>
        <v>667.10392226300439</v>
      </c>
      <c r="T566">
        <f t="shared" si="988"/>
        <v>0.66710392226300441</v>
      </c>
    </row>
    <row r="567" spans="1:104" x14ac:dyDescent="0.25">
      <c r="A567" s="5">
        <v>44026</v>
      </c>
      <c r="B567">
        <v>6.3010000000000002</v>
      </c>
      <c r="C567">
        <v>6.3312999999999997</v>
      </c>
      <c r="D567">
        <v>6.17</v>
      </c>
      <c r="E567">
        <v>6.3273000000000001</v>
      </c>
      <c r="F567">
        <v>913200.65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0.95040297582145605</v>
      </c>
      <c r="Q567">
        <f t="shared" si="985"/>
        <v>867908.61528208794</v>
      </c>
      <c r="R567">
        <f t="shared" si="986"/>
        <v>67168916.412907779</v>
      </c>
      <c r="S567">
        <f t="shared" si="987"/>
        <v>671.68916412907777</v>
      </c>
      <c r="T567">
        <f t="shared" si="988"/>
        <v>0.67168916412907775</v>
      </c>
    </row>
    <row r="568" spans="1:104" x14ac:dyDescent="0.25">
      <c r="A568" s="5">
        <v>44025</v>
      </c>
      <c r="B568">
        <v>6.4619</v>
      </c>
      <c r="C568">
        <v>6.5632999999999999</v>
      </c>
      <c r="D568">
        <v>6.1712999999999996</v>
      </c>
      <c r="E568">
        <v>6.3014999999999999</v>
      </c>
      <c r="F568">
        <v>1360318.72</v>
      </c>
      <c r="G568">
        <v>0</v>
      </c>
      <c r="L568" t="s">
        <v>7</v>
      </c>
      <c r="M568" t="s">
        <v>8</v>
      </c>
      <c r="N568" t="s">
        <v>7</v>
      </c>
      <c r="P568">
        <f t="shared" si="984"/>
        <v>-0.33571428571428469</v>
      </c>
      <c r="Q568">
        <f t="shared" si="985"/>
        <v>-456678.42742857005</v>
      </c>
      <c r="R568">
        <f t="shared" si="986"/>
        <v>66301007.797625691</v>
      </c>
      <c r="S568">
        <f t="shared" si="987"/>
        <v>663.01007797625687</v>
      </c>
      <c r="T568">
        <f t="shared" si="988"/>
        <v>0.66301007797625688</v>
      </c>
    </row>
    <row r="569" spans="1:104" x14ac:dyDescent="0.25">
      <c r="A569" s="5">
        <v>44024</v>
      </c>
      <c r="B569">
        <v>6.5063000000000004</v>
      </c>
      <c r="C569">
        <v>6.5690999999999997</v>
      </c>
      <c r="D569">
        <v>6.35</v>
      </c>
      <c r="E569">
        <v>6.4603000000000002</v>
      </c>
      <c r="F569">
        <v>1042671.42</v>
      </c>
      <c r="G569">
        <v>0</v>
      </c>
      <c r="L569" t="s">
        <v>7</v>
      </c>
      <c r="M569" t="s">
        <v>8</v>
      </c>
      <c r="N569" t="s">
        <v>7</v>
      </c>
      <c r="P569">
        <f t="shared" si="984"/>
        <v>6.8461889548194635E-3</v>
      </c>
      <c r="Q569">
        <f t="shared" si="985"/>
        <v>7138.325559109926</v>
      </c>
      <c r="R569">
        <f t="shared" si="986"/>
        <v>66757686.225054264</v>
      </c>
      <c r="S569">
        <f t="shared" si="987"/>
        <v>667.5768622505426</v>
      </c>
      <c r="T569">
        <f t="shared" si="988"/>
        <v>0.66757686225054258</v>
      </c>
    </row>
    <row r="570" spans="1:104" x14ac:dyDescent="0.25">
      <c r="A570" s="5">
        <v>44023</v>
      </c>
      <c r="B570">
        <v>6.3851000000000004</v>
      </c>
      <c r="C570">
        <v>6.5831999999999997</v>
      </c>
      <c r="D570">
        <v>6.3745000000000003</v>
      </c>
      <c r="E570">
        <v>6.5016999999999996</v>
      </c>
      <c r="F570">
        <v>1049169.1499999999</v>
      </c>
      <c r="G570">
        <v>0</v>
      </c>
      <c r="L570" t="s">
        <v>7</v>
      </c>
      <c r="M570" t="s">
        <v>8</v>
      </c>
      <c r="N570" t="s">
        <v>7</v>
      </c>
      <c r="P570">
        <f t="shared" si="984"/>
        <v>0.21897460469573218</v>
      </c>
      <c r="Q570">
        <f t="shared" si="985"/>
        <v>229741.39988020732</v>
      </c>
      <c r="R570">
        <f t="shared" si="986"/>
        <v>66750547.899495155</v>
      </c>
      <c r="S570">
        <f t="shared" si="987"/>
        <v>667.50547899495155</v>
      </c>
      <c r="T570">
        <f t="shared" si="988"/>
        <v>0.6675054789949515</v>
      </c>
    </row>
    <row r="571" spans="1:104" x14ac:dyDescent="0.25">
      <c r="A571" s="5">
        <v>44022</v>
      </c>
      <c r="B571">
        <v>6.6477000000000004</v>
      </c>
      <c r="C571">
        <v>6.6497999999999999</v>
      </c>
      <c r="D571">
        <v>6.2481</v>
      </c>
      <c r="E571">
        <v>6.3821000000000003</v>
      </c>
      <c r="F571">
        <v>1616323.34</v>
      </c>
      <c r="G571">
        <v>0</v>
      </c>
      <c r="L571" t="s">
        <v>7</v>
      </c>
      <c r="M571" t="s">
        <v>8</v>
      </c>
      <c r="N571" t="s">
        <v>7</v>
      </c>
      <c r="P571">
        <f t="shared" si="984"/>
        <v>-0.3328354493403019</v>
      </c>
      <c r="Q571">
        <f t="shared" si="985"/>
        <v>-537969.70514811762</v>
      </c>
      <c r="R571">
        <f t="shared" si="986"/>
        <v>66520806.499614947</v>
      </c>
      <c r="S571">
        <f t="shared" si="987"/>
        <v>665.20806499614946</v>
      </c>
      <c r="T571">
        <f t="shared" si="988"/>
        <v>0.66520806499614948</v>
      </c>
    </row>
    <row r="572" spans="1:104" x14ac:dyDescent="0.25">
      <c r="A572" s="5">
        <v>44021</v>
      </c>
      <c r="B572">
        <v>6.6359000000000004</v>
      </c>
      <c r="C572">
        <v>6.7987000000000002</v>
      </c>
      <c r="D572">
        <v>6.3855000000000004</v>
      </c>
      <c r="E572">
        <v>6.6456</v>
      </c>
      <c r="F572">
        <v>2873559.61</v>
      </c>
      <c r="G572">
        <v>0</v>
      </c>
      <c r="L572" t="s">
        <v>8</v>
      </c>
      <c r="M572" t="s">
        <v>8</v>
      </c>
      <c r="N572" t="s">
        <v>7</v>
      </c>
      <c r="P572">
        <f t="shared" si="984"/>
        <v>0.25895450145207982</v>
      </c>
      <c r="Q572">
        <f t="shared" si="985"/>
        <v>744121.1962003829</v>
      </c>
      <c r="R572">
        <f t="shared" si="986"/>
        <v>67058776.204763062</v>
      </c>
      <c r="S572">
        <f t="shared" si="987"/>
        <v>670.58776204763058</v>
      </c>
      <c r="T572">
        <f t="shared" si="988"/>
        <v>0.6705877620476306</v>
      </c>
    </row>
    <row r="573" spans="1:104" x14ac:dyDescent="0.25">
      <c r="A573" s="5">
        <v>44020</v>
      </c>
      <c r="B573">
        <v>6.2199</v>
      </c>
      <c r="C573">
        <v>6.6463999999999999</v>
      </c>
      <c r="D573">
        <v>6.1219999999999999</v>
      </c>
      <c r="E573">
        <v>6.6340000000000003</v>
      </c>
      <c r="F573">
        <v>2506010.4300000002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0.9527078565980186</v>
      </c>
      <c r="Q573">
        <f t="shared" si="985"/>
        <v>2387495.8253775793</v>
      </c>
      <c r="R573">
        <f t="shared" si="986"/>
        <v>66314655.008562677</v>
      </c>
      <c r="S573">
        <f t="shared" si="987"/>
        <v>663.14655008562681</v>
      </c>
      <c r="T573">
        <f t="shared" si="988"/>
        <v>0.66314655008562684</v>
      </c>
    </row>
    <row r="574" spans="1:104" x14ac:dyDescent="0.25">
      <c r="A574" s="5">
        <v>44019</v>
      </c>
      <c r="B574">
        <v>6.1040999999999999</v>
      </c>
      <c r="C574">
        <v>6.3197999999999999</v>
      </c>
      <c r="D574">
        <v>5.9686000000000003</v>
      </c>
      <c r="E574">
        <v>6.2191999999999998</v>
      </c>
      <c r="F574">
        <v>1859464.06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0.42710706150341593</v>
      </c>
      <c r="Q574">
        <f t="shared" si="985"/>
        <v>794190.23063781147</v>
      </c>
      <c r="R574">
        <f t="shared" si="986"/>
        <v>63927159.183185101</v>
      </c>
      <c r="S574">
        <f t="shared" si="987"/>
        <v>639.27159183185097</v>
      </c>
      <c r="T574">
        <f t="shared" si="988"/>
        <v>0.639271591831851</v>
      </c>
    </row>
    <row r="575" spans="1:104" x14ac:dyDescent="0.25">
      <c r="A575" s="5">
        <v>44018</v>
      </c>
      <c r="B575">
        <v>5.6497999999999999</v>
      </c>
      <c r="C575">
        <v>6.1938000000000004</v>
      </c>
      <c r="D575">
        <v>5.6456999999999997</v>
      </c>
      <c r="E575">
        <v>6.1047000000000002</v>
      </c>
      <c r="F575">
        <v>1766297.26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0.67487684729064013</v>
      </c>
      <c r="Q575">
        <f t="shared" si="985"/>
        <v>1192033.126206896</v>
      </c>
      <c r="R575">
        <f t="shared" si="986"/>
        <v>63132968.952547289</v>
      </c>
      <c r="S575">
        <f t="shared" si="987"/>
        <v>631.32968952547287</v>
      </c>
      <c r="T575">
        <f t="shared" si="988"/>
        <v>0.63132968952547286</v>
      </c>
    </row>
    <row r="576" spans="1:104" x14ac:dyDescent="0.25">
      <c r="A576" s="5">
        <v>44017</v>
      </c>
      <c r="B576">
        <v>5.6993999999999998</v>
      </c>
      <c r="C576">
        <v>5.7179000000000002</v>
      </c>
      <c r="D576">
        <v>5.5119999999999996</v>
      </c>
      <c r="E576">
        <v>5.6497999999999999</v>
      </c>
      <c r="F576">
        <v>928926.17</v>
      </c>
      <c r="G576">
        <v>0</v>
      </c>
      <c r="L576" t="s">
        <v>8</v>
      </c>
      <c r="M576" t="s">
        <v>7</v>
      </c>
      <c r="N576" t="s">
        <v>7</v>
      </c>
      <c r="P576">
        <f t="shared" si="984"/>
        <v>0.33851384167071336</v>
      </c>
      <c r="Q576">
        <f t="shared" si="985"/>
        <v>314454.3664351622</v>
      </c>
      <c r="R576">
        <f t="shared" si="986"/>
        <v>61940935.826340392</v>
      </c>
      <c r="S576">
        <f t="shared" si="987"/>
        <v>619.40935826340387</v>
      </c>
      <c r="T576">
        <f t="shared" si="988"/>
        <v>0.61940935826340382</v>
      </c>
    </row>
    <row r="577" spans="1:20" x14ac:dyDescent="0.25">
      <c r="A577" s="5">
        <v>44016</v>
      </c>
      <c r="B577">
        <v>5.6477000000000004</v>
      </c>
      <c r="C577">
        <v>5.75</v>
      </c>
      <c r="D577">
        <v>5.6322999999999999</v>
      </c>
      <c r="E577">
        <v>5.6977000000000002</v>
      </c>
      <c r="F577">
        <v>685080.04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0.11129991503823738</v>
      </c>
      <c r="Q577">
        <f t="shared" si="985"/>
        <v>76249.350246392278</v>
      </c>
      <c r="R577">
        <f t="shared" si="986"/>
        <v>61626481.45990523</v>
      </c>
      <c r="S577">
        <f t="shared" si="987"/>
        <v>616.26481459905233</v>
      </c>
      <c r="T577">
        <f t="shared" si="988"/>
        <v>0.61626481459905236</v>
      </c>
    </row>
    <row r="578" spans="1:20" x14ac:dyDescent="0.25">
      <c r="A578" s="5">
        <v>44015</v>
      </c>
      <c r="B578">
        <v>5.6398000000000001</v>
      </c>
      <c r="C578">
        <v>5.7310999999999996</v>
      </c>
      <c r="D578">
        <v>5.5976999999999997</v>
      </c>
      <c r="E578">
        <v>5.6482999999999999</v>
      </c>
      <c r="F578">
        <v>886411.6</v>
      </c>
      <c r="G578">
        <v>0</v>
      </c>
      <c r="L578" t="s">
        <v>8</v>
      </c>
      <c r="M578" t="s">
        <v>7</v>
      </c>
      <c r="N578" t="s">
        <v>7</v>
      </c>
      <c r="P578">
        <f t="shared" si="984"/>
        <v>-0.24137931034482438</v>
      </c>
      <c r="Q578">
        <f t="shared" si="985"/>
        <v>-213961.42068965232</v>
      </c>
      <c r="R578">
        <f t="shared" si="986"/>
        <v>61550232.109658837</v>
      </c>
      <c r="S578">
        <f t="shared" si="987"/>
        <v>615.50232109658839</v>
      </c>
      <c r="T578">
        <f t="shared" si="988"/>
        <v>0.61550232109658842</v>
      </c>
    </row>
    <row r="579" spans="1:20" x14ac:dyDescent="0.25">
      <c r="A579" s="5">
        <v>44014</v>
      </c>
      <c r="B579">
        <v>5.7103999999999999</v>
      </c>
      <c r="C579">
        <v>5.7861000000000002</v>
      </c>
      <c r="D579">
        <v>5.5370999999999997</v>
      </c>
      <c r="E579">
        <v>5.6407999999999996</v>
      </c>
      <c r="F579">
        <v>1340494.3500000001</v>
      </c>
      <c r="G579">
        <v>0</v>
      </c>
      <c r="L579" t="s">
        <v>8</v>
      </c>
      <c r="M579" t="s">
        <v>7</v>
      </c>
      <c r="N579" t="s">
        <v>7</v>
      </c>
      <c r="P579">
        <f t="shared" si="984"/>
        <v>-0.1670682730923721</v>
      </c>
      <c r="Q579">
        <f t="shared" si="985"/>
        <v>-223954.07614458184</v>
      </c>
      <c r="R579">
        <f t="shared" si="986"/>
        <v>61764193.530348487</v>
      </c>
      <c r="S579">
        <f t="shared" si="987"/>
        <v>617.64193530348484</v>
      </c>
      <c r="T579">
        <f t="shared" si="988"/>
        <v>0.61764193530348488</v>
      </c>
    </row>
    <row r="580" spans="1:20" x14ac:dyDescent="0.25">
      <c r="A580" s="5">
        <v>44013</v>
      </c>
      <c r="B580">
        <v>5.7278000000000002</v>
      </c>
      <c r="C580">
        <v>5.7832999999999997</v>
      </c>
      <c r="D580">
        <v>5.6176000000000004</v>
      </c>
      <c r="E580">
        <v>5.7095000000000002</v>
      </c>
      <c r="F580">
        <v>939549.23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0.10923355461678048</v>
      </c>
      <c r="Q580">
        <f t="shared" si="985"/>
        <v>102630.30213035905</v>
      </c>
      <c r="R580">
        <f t="shared" si="986"/>
        <v>61988147.606493071</v>
      </c>
      <c r="S580">
        <f t="shared" si="987"/>
        <v>619.88147606493067</v>
      </c>
      <c r="T580">
        <f t="shared" si="988"/>
        <v>0.61988147606493071</v>
      </c>
    </row>
    <row r="581" spans="1:20" x14ac:dyDescent="0.25">
      <c r="A581" s="5">
        <v>44012</v>
      </c>
      <c r="B581">
        <v>5.8292999999999999</v>
      </c>
      <c r="C581">
        <v>5.8521000000000001</v>
      </c>
      <c r="D581">
        <v>5.6761999999999997</v>
      </c>
      <c r="E581">
        <v>5.7283999999999997</v>
      </c>
      <c r="F581">
        <v>599062.53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-0.40648095508811927</v>
      </c>
      <c r="Q581">
        <f t="shared" si="985"/>
        <v>-243507.50935190512</v>
      </c>
      <c r="R581">
        <f t="shared" si="986"/>
        <v>61885517.304362714</v>
      </c>
      <c r="S581">
        <f t="shared" si="987"/>
        <v>618.85517304362713</v>
      </c>
      <c r="T581">
        <f t="shared" si="988"/>
        <v>0.61885517304362714</v>
      </c>
    </row>
    <row r="582" spans="1:20" x14ac:dyDescent="0.25">
      <c r="A582" s="5">
        <v>44011</v>
      </c>
      <c r="B582">
        <v>5.7511000000000001</v>
      </c>
      <c r="C582">
        <v>5.8936000000000002</v>
      </c>
      <c r="D582">
        <v>5.7262000000000004</v>
      </c>
      <c r="E582">
        <v>5.8253000000000004</v>
      </c>
      <c r="F582">
        <v>1466128.5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0.1839904420549594</v>
      </c>
      <c r="Q582">
        <f t="shared" ref="Q582:Q645" si="990">F582*P582</f>
        <v>269753.63082437456</v>
      </c>
      <c r="R582">
        <f t="shared" ref="R582:R645" si="991">R583+Q582</f>
        <v>62129024.813714616</v>
      </c>
      <c r="S582">
        <f t="shared" ref="S582:S645" si="992">R582/100000</f>
        <v>621.29024813714614</v>
      </c>
      <c r="T582">
        <f t="shared" ref="T582:T645" si="993">S582/1000</f>
        <v>0.62129024813714617</v>
      </c>
    </row>
    <row r="583" spans="1:20" x14ac:dyDescent="0.25">
      <c r="A583" s="5">
        <v>44010</v>
      </c>
      <c r="B583">
        <v>5.5880000000000001</v>
      </c>
      <c r="C583">
        <v>5.8354999999999997</v>
      </c>
      <c r="D583">
        <v>5.5579000000000001</v>
      </c>
      <c r="E583">
        <v>5.7511000000000001</v>
      </c>
      <c r="F583">
        <v>800176.42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0.39193083573487247</v>
      </c>
      <c r="Q583">
        <f t="shared" si="990"/>
        <v>313613.81302593835</v>
      </c>
      <c r="R583">
        <f t="shared" si="991"/>
        <v>61859271.182890244</v>
      </c>
      <c r="S583">
        <f t="shared" si="992"/>
        <v>618.59271182890245</v>
      </c>
      <c r="T583">
        <f t="shared" si="993"/>
        <v>0.61859271182890241</v>
      </c>
    </row>
    <row r="584" spans="1:20" x14ac:dyDescent="0.25">
      <c r="A584" s="5">
        <v>44009</v>
      </c>
      <c r="B584">
        <v>6.0445000000000002</v>
      </c>
      <c r="C584">
        <v>6.0586000000000002</v>
      </c>
      <c r="D584">
        <v>5.2911999999999999</v>
      </c>
      <c r="E584">
        <v>5.5890000000000004</v>
      </c>
      <c r="F584">
        <v>2050691.22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-0.22387281730518532</v>
      </c>
      <c r="Q584">
        <f t="shared" si="990"/>
        <v>-459094.02084440761</v>
      </c>
      <c r="R584">
        <f t="shared" si="991"/>
        <v>61545657.369864307</v>
      </c>
      <c r="S584">
        <f t="shared" si="992"/>
        <v>615.45657369864307</v>
      </c>
      <c r="T584">
        <f t="shared" si="993"/>
        <v>0.61545657369864304</v>
      </c>
    </row>
    <row r="585" spans="1:20" x14ac:dyDescent="0.25">
      <c r="A585" s="5">
        <v>44008</v>
      </c>
      <c r="B585">
        <v>6.1540999999999997</v>
      </c>
      <c r="C585">
        <v>6.1703000000000001</v>
      </c>
      <c r="D585">
        <v>6.0006000000000004</v>
      </c>
      <c r="E585">
        <v>6.0439999999999996</v>
      </c>
      <c r="F585">
        <v>864324.74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-0.48850913376547694</v>
      </c>
      <c r="Q585">
        <f t="shared" si="990"/>
        <v>-422230.53002947109</v>
      </c>
      <c r="R585">
        <f t="shared" si="991"/>
        <v>62004751.390708715</v>
      </c>
      <c r="S585">
        <f t="shared" si="992"/>
        <v>620.04751390708714</v>
      </c>
      <c r="T585">
        <f t="shared" si="993"/>
        <v>0.62004751390708712</v>
      </c>
    </row>
    <row r="586" spans="1:20" x14ac:dyDescent="0.25">
      <c r="A586" s="5">
        <v>44007</v>
      </c>
      <c r="B586">
        <v>6.2202999999999999</v>
      </c>
      <c r="C586">
        <v>6.2545000000000002</v>
      </c>
      <c r="D586">
        <v>6.0397999999999996</v>
      </c>
      <c r="E586">
        <v>6.1534000000000004</v>
      </c>
      <c r="F586">
        <v>619337.72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5.8220773171872534E-2</v>
      </c>
      <c r="Q586">
        <f t="shared" si="990"/>
        <v>36058.320912904703</v>
      </c>
      <c r="R586">
        <f t="shared" si="991"/>
        <v>62426981.920738183</v>
      </c>
      <c r="S586">
        <f t="shared" si="992"/>
        <v>624.26981920738183</v>
      </c>
      <c r="T586">
        <f t="shared" si="993"/>
        <v>0.62426981920738178</v>
      </c>
    </row>
    <row r="587" spans="1:20" x14ac:dyDescent="0.25">
      <c r="A587" s="5">
        <v>44006</v>
      </c>
      <c r="B587">
        <v>6.3715999999999999</v>
      </c>
      <c r="C587">
        <v>6.5202999999999998</v>
      </c>
      <c r="D587">
        <v>6.1304999999999996</v>
      </c>
      <c r="E587">
        <v>6.2228000000000003</v>
      </c>
      <c r="F587">
        <v>1270530.83</v>
      </c>
      <c r="G587">
        <v>0</v>
      </c>
      <c r="L587" t="s">
        <v>8</v>
      </c>
      <c r="M587" t="s">
        <v>7</v>
      </c>
      <c r="N587" t="s">
        <v>8</v>
      </c>
      <c r="P587">
        <f t="shared" si="989"/>
        <v>-0.52642380708055059</v>
      </c>
      <c r="Q587">
        <f t="shared" si="990"/>
        <v>-668837.6765418119</v>
      </c>
      <c r="R587">
        <f t="shared" si="991"/>
        <v>62390923.599825278</v>
      </c>
      <c r="S587">
        <f t="shared" si="992"/>
        <v>623.90923599825283</v>
      </c>
      <c r="T587">
        <f t="shared" si="993"/>
        <v>0.62390923599825288</v>
      </c>
    </row>
    <row r="588" spans="1:20" x14ac:dyDescent="0.25">
      <c r="A588" s="5">
        <v>44005</v>
      </c>
      <c r="B588">
        <v>6.3742999999999999</v>
      </c>
      <c r="C588">
        <v>6.4367999999999999</v>
      </c>
      <c r="D588">
        <v>6.2857000000000003</v>
      </c>
      <c r="E588">
        <v>6.3734999999999999</v>
      </c>
      <c r="F588">
        <v>723522.84</v>
      </c>
      <c r="G588">
        <v>0</v>
      </c>
      <c r="L588" t="s">
        <v>8</v>
      </c>
      <c r="M588" t="s">
        <v>7</v>
      </c>
      <c r="N588" t="s">
        <v>8</v>
      </c>
      <c r="P588">
        <f t="shared" si="989"/>
        <v>0.16214427531436013</v>
      </c>
      <c r="Q588">
        <f t="shared" si="990"/>
        <v>117315.08656518772</v>
      </c>
      <c r="R588">
        <f t="shared" si="991"/>
        <v>63059761.276367091</v>
      </c>
      <c r="S588">
        <f t="shared" si="992"/>
        <v>630.5976127636709</v>
      </c>
      <c r="T588">
        <f t="shared" si="993"/>
        <v>0.63059761276367088</v>
      </c>
    </row>
    <row r="589" spans="1:20" x14ac:dyDescent="0.25">
      <c r="A589" s="5">
        <v>44004</v>
      </c>
      <c r="B589">
        <v>6.2131999999999996</v>
      </c>
      <c r="C589">
        <v>6.4109999999999996</v>
      </c>
      <c r="D589">
        <v>6.1980000000000004</v>
      </c>
      <c r="E589">
        <v>6.3745000000000003</v>
      </c>
      <c r="F589">
        <v>856720.99</v>
      </c>
      <c r="G589">
        <v>0</v>
      </c>
      <c r="L589" t="s">
        <v>7</v>
      </c>
      <c r="M589" t="s">
        <v>7</v>
      </c>
      <c r="N589" t="s">
        <v>8</v>
      </c>
      <c r="P589">
        <f t="shared" si="989"/>
        <v>0.65727699530516948</v>
      </c>
      <c r="Q589">
        <f t="shared" si="990"/>
        <v>563102.9981220701</v>
      </c>
      <c r="R589">
        <f t="shared" si="991"/>
        <v>62942446.189801902</v>
      </c>
      <c r="S589">
        <f t="shared" si="992"/>
        <v>629.42446189801899</v>
      </c>
      <c r="T589">
        <f t="shared" si="993"/>
        <v>0.62942446189801904</v>
      </c>
    </row>
    <row r="590" spans="1:20" x14ac:dyDescent="0.25">
      <c r="A590" s="5">
        <v>44003</v>
      </c>
      <c r="B590">
        <v>6.2632000000000003</v>
      </c>
      <c r="C590">
        <v>6.2782999999999998</v>
      </c>
      <c r="D590">
        <v>6.1753999999999998</v>
      </c>
      <c r="E590">
        <v>6.2125000000000004</v>
      </c>
      <c r="F590">
        <v>478546.53</v>
      </c>
      <c r="G590">
        <v>0</v>
      </c>
      <c r="L590" t="s">
        <v>7</v>
      </c>
      <c r="M590" t="s">
        <v>7</v>
      </c>
      <c r="N590" t="s">
        <v>8</v>
      </c>
      <c r="P590">
        <f t="shared" si="989"/>
        <v>-0.27891156462583905</v>
      </c>
      <c r="Q590">
        <f t="shared" si="990"/>
        <v>-133472.16142856603</v>
      </c>
      <c r="R590">
        <f t="shared" si="991"/>
        <v>62379343.191679828</v>
      </c>
      <c r="S590">
        <f t="shared" si="992"/>
        <v>623.79343191679823</v>
      </c>
      <c r="T590">
        <f t="shared" si="993"/>
        <v>0.62379343191679826</v>
      </c>
    </row>
    <row r="591" spans="1:20" x14ac:dyDescent="0.25">
      <c r="A591" s="5">
        <v>44002</v>
      </c>
      <c r="B591">
        <v>6.3368000000000002</v>
      </c>
      <c r="C591">
        <v>6.3673999999999999</v>
      </c>
      <c r="D591">
        <v>6.1571999999999996</v>
      </c>
      <c r="E591">
        <v>6.2618999999999998</v>
      </c>
      <c r="F591">
        <v>1009125.01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-3.8058991436722665E-3</v>
      </c>
      <c r="Q591">
        <f t="shared" si="990"/>
        <v>-3840.6280114172673</v>
      </c>
      <c r="R591">
        <f t="shared" si="991"/>
        <v>62512815.353108391</v>
      </c>
      <c r="S591">
        <f t="shared" si="992"/>
        <v>625.12815353108397</v>
      </c>
      <c r="T591">
        <f t="shared" si="993"/>
        <v>0.62512815353108397</v>
      </c>
    </row>
    <row r="592" spans="1:20" x14ac:dyDescent="0.25">
      <c r="A592" s="5">
        <v>44001</v>
      </c>
      <c r="B592">
        <v>6.2087000000000003</v>
      </c>
      <c r="C592">
        <v>6.4212999999999996</v>
      </c>
      <c r="D592">
        <v>6.1433999999999997</v>
      </c>
      <c r="E592">
        <v>6.3406000000000002</v>
      </c>
      <c r="F592">
        <v>1469088.19</v>
      </c>
      <c r="G592">
        <v>0</v>
      </c>
      <c r="L592" t="s">
        <v>7</v>
      </c>
      <c r="M592" t="s">
        <v>7</v>
      </c>
      <c r="N592" t="s">
        <v>8</v>
      </c>
      <c r="P592">
        <f t="shared" si="989"/>
        <v>0.41921554516013398</v>
      </c>
      <c r="Q592">
        <f t="shared" si="990"/>
        <v>615864.60645916453</v>
      </c>
      <c r="R592">
        <f t="shared" si="991"/>
        <v>62516655.981119812</v>
      </c>
      <c r="S592">
        <f t="shared" si="992"/>
        <v>625.16655981119811</v>
      </c>
      <c r="T592">
        <f t="shared" si="993"/>
        <v>0.62516655981119806</v>
      </c>
    </row>
    <row r="593" spans="1:20" x14ac:dyDescent="0.25">
      <c r="A593" s="5">
        <v>44000</v>
      </c>
      <c r="B593">
        <v>6.2835999999999999</v>
      </c>
      <c r="C593">
        <v>6.2920999999999996</v>
      </c>
      <c r="D593">
        <v>6.0963000000000003</v>
      </c>
      <c r="E593">
        <v>6.2084999999999999</v>
      </c>
      <c r="F593">
        <v>699279.88</v>
      </c>
      <c r="G593">
        <v>0</v>
      </c>
      <c r="L593" t="s">
        <v>7</v>
      </c>
      <c r="M593" t="s">
        <v>7</v>
      </c>
      <c r="N593" t="s">
        <v>8</v>
      </c>
      <c r="P593">
        <f t="shared" si="989"/>
        <v>0.14606741573033738</v>
      </c>
      <c r="Q593">
        <f t="shared" si="990"/>
        <v>102142.00494382043</v>
      </c>
      <c r="R593">
        <f t="shared" si="991"/>
        <v>61900791.374660648</v>
      </c>
      <c r="S593">
        <f t="shared" si="992"/>
        <v>619.0079137466065</v>
      </c>
      <c r="T593">
        <f t="shared" si="993"/>
        <v>0.61900791374660646</v>
      </c>
    </row>
    <row r="594" spans="1:20" x14ac:dyDescent="0.25">
      <c r="A594" s="5">
        <v>43999</v>
      </c>
      <c r="B594">
        <v>6.2538</v>
      </c>
      <c r="C594">
        <v>6.3752000000000004</v>
      </c>
      <c r="D594">
        <v>6.1405000000000003</v>
      </c>
      <c r="E594">
        <v>6.2823000000000002</v>
      </c>
      <c r="F594">
        <v>961451.45</v>
      </c>
      <c r="G594">
        <v>0</v>
      </c>
      <c r="L594" t="s">
        <v>7</v>
      </c>
      <c r="M594" t="s">
        <v>7</v>
      </c>
      <c r="N594" t="s">
        <v>8</v>
      </c>
      <c r="P594">
        <f t="shared" si="989"/>
        <v>0.20835108649339451</v>
      </c>
      <c r="Q594">
        <f t="shared" si="990"/>
        <v>200319.45421814956</v>
      </c>
      <c r="R594">
        <f t="shared" si="991"/>
        <v>61798649.369716831</v>
      </c>
      <c r="S594">
        <f t="shared" si="992"/>
        <v>617.98649369716827</v>
      </c>
      <c r="T594">
        <f t="shared" si="993"/>
        <v>0.61798649369716829</v>
      </c>
    </row>
    <row r="595" spans="1:20" x14ac:dyDescent="0.25">
      <c r="A595" s="5">
        <v>43998</v>
      </c>
      <c r="B595">
        <v>6.2413999999999996</v>
      </c>
      <c r="C595">
        <v>6.3066000000000004</v>
      </c>
      <c r="D595">
        <v>6.1703000000000001</v>
      </c>
      <c r="E595">
        <v>6.2526999999999999</v>
      </c>
      <c r="F595">
        <v>740100.18</v>
      </c>
      <c r="G595">
        <v>0</v>
      </c>
      <c r="L595" t="s">
        <v>7</v>
      </c>
      <c r="M595" t="s">
        <v>7</v>
      </c>
      <c r="N595" t="s">
        <v>8</v>
      </c>
      <c r="P595">
        <f t="shared" si="989"/>
        <v>0.2090975788701338</v>
      </c>
      <c r="Q595">
        <f t="shared" si="990"/>
        <v>154753.15575935022</v>
      </c>
      <c r="R595">
        <f t="shared" si="991"/>
        <v>61598329.915498681</v>
      </c>
      <c r="S595">
        <f t="shared" si="992"/>
        <v>615.98329915498687</v>
      </c>
      <c r="T595">
        <f t="shared" si="993"/>
        <v>0.61598329915498684</v>
      </c>
    </row>
    <row r="596" spans="1:20" x14ac:dyDescent="0.25">
      <c r="A596" s="5">
        <v>43997</v>
      </c>
      <c r="B596">
        <v>6.3164999999999996</v>
      </c>
      <c r="C596">
        <v>6.3193000000000001</v>
      </c>
      <c r="D596">
        <v>5.98</v>
      </c>
      <c r="E596">
        <v>6.2413999999999996</v>
      </c>
      <c r="F596">
        <v>1174833.24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0.5408193339227787</v>
      </c>
      <c r="Q596">
        <f t="shared" si="990"/>
        <v>635372.53032714</v>
      </c>
      <c r="R596">
        <f t="shared" si="991"/>
        <v>61443576.759739332</v>
      </c>
      <c r="S596">
        <f t="shared" si="992"/>
        <v>614.43576759739335</v>
      </c>
      <c r="T596">
        <f t="shared" si="993"/>
        <v>0.61443576759739338</v>
      </c>
    </row>
    <row r="597" spans="1:20" x14ac:dyDescent="0.25">
      <c r="A597" s="5">
        <v>43996</v>
      </c>
      <c r="B597">
        <v>6.4936999999999996</v>
      </c>
      <c r="C597">
        <v>6.4958</v>
      </c>
      <c r="D597">
        <v>6.2420999999999998</v>
      </c>
      <c r="E597">
        <v>6.3164999999999996</v>
      </c>
      <c r="F597">
        <v>546649.46</v>
      </c>
      <c r="G597">
        <v>0</v>
      </c>
      <c r="L597" t="s">
        <v>8</v>
      </c>
      <c r="M597" t="s">
        <v>7</v>
      </c>
      <c r="N597" t="s">
        <v>8</v>
      </c>
      <c r="P597">
        <f t="shared" si="989"/>
        <v>-0.41348048876626153</v>
      </c>
      <c r="Q597">
        <f t="shared" si="990"/>
        <v>-226028.88590461292</v>
      </c>
      <c r="R597">
        <f t="shared" si="991"/>
        <v>60808204.229412191</v>
      </c>
      <c r="S597">
        <f t="shared" si="992"/>
        <v>608.08204229412195</v>
      </c>
      <c r="T597">
        <f t="shared" si="993"/>
        <v>0.60808204229412199</v>
      </c>
    </row>
    <row r="598" spans="1:20" x14ac:dyDescent="0.25">
      <c r="A598" s="5">
        <v>43995</v>
      </c>
      <c r="B598">
        <v>6.4047000000000001</v>
      </c>
      <c r="C598">
        <v>6.51</v>
      </c>
      <c r="D598">
        <v>6.3334000000000001</v>
      </c>
      <c r="E598">
        <v>6.4923000000000002</v>
      </c>
      <c r="F598">
        <v>605631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0.79954699886750125</v>
      </c>
      <c r="Q598">
        <f t="shared" si="990"/>
        <v>484230.44847112364</v>
      </c>
      <c r="R598">
        <f t="shared" si="991"/>
        <v>61034233.115316801</v>
      </c>
      <c r="S598">
        <f t="shared" si="992"/>
        <v>610.34233115316806</v>
      </c>
      <c r="T598">
        <f t="shared" si="993"/>
        <v>0.61034233115316805</v>
      </c>
    </row>
    <row r="599" spans="1:20" x14ac:dyDescent="0.25">
      <c r="A599" s="5">
        <v>43994</v>
      </c>
      <c r="B599">
        <v>6.2605000000000004</v>
      </c>
      <c r="C599">
        <v>6.4977999999999998</v>
      </c>
      <c r="D599">
        <v>6.2093999999999996</v>
      </c>
      <c r="E599">
        <v>6.4047999999999998</v>
      </c>
      <c r="F599">
        <v>982601.11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0.35506241331484117</v>
      </c>
      <c r="Q599">
        <f t="shared" si="990"/>
        <v>348884.72144244169</v>
      </c>
      <c r="R599">
        <f t="shared" si="991"/>
        <v>60550002.666845679</v>
      </c>
      <c r="S599">
        <f t="shared" si="992"/>
        <v>605.50002666845683</v>
      </c>
      <c r="T599">
        <f t="shared" si="993"/>
        <v>0.60550002666845681</v>
      </c>
    </row>
    <row r="600" spans="1:20" x14ac:dyDescent="0.25">
      <c r="A600" s="5">
        <v>43993</v>
      </c>
      <c r="B600">
        <v>6.8087999999999997</v>
      </c>
      <c r="C600">
        <v>6.8329000000000004</v>
      </c>
      <c r="D600">
        <v>6.0457000000000001</v>
      </c>
      <c r="E600">
        <v>6.2640000000000002</v>
      </c>
      <c r="F600">
        <v>1539494.39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-0.44537601626016243</v>
      </c>
      <c r="Q600">
        <f t="shared" si="990"/>
        <v>-685653.87847306882</v>
      </c>
      <c r="R600">
        <f t="shared" si="991"/>
        <v>60201117.945403241</v>
      </c>
      <c r="S600">
        <f t="shared" si="992"/>
        <v>602.01117945403246</v>
      </c>
      <c r="T600">
        <f t="shared" si="993"/>
        <v>0.60201117945403249</v>
      </c>
    </row>
    <row r="601" spans="1:20" x14ac:dyDescent="0.25">
      <c r="A601" s="5">
        <v>43992</v>
      </c>
      <c r="B601">
        <v>6.7811000000000003</v>
      </c>
      <c r="C601">
        <v>6.8345000000000002</v>
      </c>
      <c r="D601">
        <v>6.7018000000000004</v>
      </c>
      <c r="E601">
        <v>6.8083999999999998</v>
      </c>
      <c r="F601">
        <v>682301.33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0.60663149962320284</v>
      </c>
      <c r="Q601">
        <f t="shared" si="990"/>
        <v>413905.47901280579</v>
      </c>
      <c r="R601">
        <f t="shared" si="991"/>
        <v>60886771.823876306</v>
      </c>
      <c r="S601">
        <f t="shared" si="992"/>
        <v>608.86771823876302</v>
      </c>
      <c r="T601">
        <f t="shared" si="993"/>
        <v>0.60886771823876307</v>
      </c>
    </row>
    <row r="602" spans="1:20" x14ac:dyDescent="0.25">
      <c r="A602" s="5">
        <v>43991</v>
      </c>
      <c r="B602">
        <v>6.9005000000000001</v>
      </c>
      <c r="C602">
        <v>6.9316000000000004</v>
      </c>
      <c r="D602">
        <v>6.7089999999999996</v>
      </c>
      <c r="E602">
        <v>6.7826000000000004</v>
      </c>
      <c r="F602">
        <v>674949.52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-0.33872416891284357</v>
      </c>
      <c r="Q602">
        <f t="shared" si="990"/>
        <v>-228621.71522012269</v>
      </c>
      <c r="R602">
        <f t="shared" si="991"/>
        <v>60472866.344863504</v>
      </c>
      <c r="S602">
        <f t="shared" si="992"/>
        <v>604.72866344863507</v>
      </c>
      <c r="T602">
        <f t="shared" si="993"/>
        <v>0.60472866344863507</v>
      </c>
    </row>
    <row r="603" spans="1:20" x14ac:dyDescent="0.25">
      <c r="A603" s="5">
        <v>43990</v>
      </c>
      <c r="B603">
        <v>6.8335999999999997</v>
      </c>
      <c r="C603">
        <v>6.9333999999999998</v>
      </c>
      <c r="D603">
        <v>6.7323000000000004</v>
      </c>
      <c r="E603">
        <v>6.9004000000000003</v>
      </c>
      <c r="F603">
        <v>810045.22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0.67180507210343532</v>
      </c>
      <c r="Q603">
        <f t="shared" si="990"/>
        <v>544192.48742914316</v>
      </c>
      <c r="R603">
        <f t="shared" si="991"/>
        <v>60701488.060083628</v>
      </c>
      <c r="S603">
        <f t="shared" si="992"/>
        <v>607.01488060083625</v>
      </c>
      <c r="T603">
        <f t="shared" si="993"/>
        <v>0.6070148806008363</v>
      </c>
    </row>
    <row r="604" spans="1:20" x14ac:dyDescent="0.25">
      <c r="A604" s="5">
        <v>43989</v>
      </c>
      <c r="B604">
        <v>6.8615000000000004</v>
      </c>
      <c r="C604">
        <v>6.8891</v>
      </c>
      <c r="D604">
        <v>6.6166</v>
      </c>
      <c r="E604">
        <v>6.8326000000000002</v>
      </c>
      <c r="F604">
        <v>935207.74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0.58532110091743283</v>
      </c>
      <c r="Q604">
        <f t="shared" si="990"/>
        <v>547396.82396330428</v>
      </c>
      <c r="R604">
        <f t="shared" si="991"/>
        <v>60157295.572654486</v>
      </c>
      <c r="S604">
        <f t="shared" si="992"/>
        <v>601.57295572654482</v>
      </c>
      <c r="T604">
        <f t="shared" si="993"/>
        <v>0.60157295572654479</v>
      </c>
    </row>
    <row r="605" spans="1:20" x14ac:dyDescent="0.25">
      <c r="A605" s="5">
        <v>43988</v>
      </c>
      <c r="B605">
        <v>6.8394000000000004</v>
      </c>
      <c r="C605">
        <v>6.9124999999999996</v>
      </c>
      <c r="D605">
        <v>6.78</v>
      </c>
      <c r="E605">
        <v>6.8620000000000001</v>
      </c>
      <c r="F605">
        <v>737185.65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0.23773584905660716</v>
      </c>
      <c r="Q605">
        <f t="shared" si="990"/>
        <v>175255.45641509685</v>
      </c>
      <c r="R605">
        <f t="shared" si="991"/>
        <v>59609898.748691179</v>
      </c>
      <c r="S605">
        <f t="shared" si="992"/>
        <v>596.09898748691182</v>
      </c>
      <c r="T605">
        <f t="shared" si="993"/>
        <v>0.59609898748691181</v>
      </c>
    </row>
    <row r="606" spans="1:20" x14ac:dyDescent="0.25">
      <c r="A606" s="5">
        <v>43987</v>
      </c>
      <c r="B606">
        <v>6.9127999999999998</v>
      </c>
      <c r="C606">
        <v>6.9680999999999997</v>
      </c>
      <c r="D606">
        <v>6.7774000000000001</v>
      </c>
      <c r="E606">
        <v>6.8436000000000003</v>
      </c>
      <c r="F606">
        <v>1128745.49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-0.30571578395385024</v>
      </c>
      <c r="Q606">
        <f t="shared" si="990"/>
        <v>-345075.3123597228</v>
      </c>
      <c r="R606">
        <f t="shared" si="991"/>
        <v>59434643.292276084</v>
      </c>
      <c r="S606">
        <f t="shared" si="992"/>
        <v>594.34643292276087</v>
      </c>
      <c r="T606">
        <f t="shared" si="993"/>
        <v>0.5943464329227609</v>
      </c>
    </row>
    <row r="607" spans="1:20" x14ac:dyDescent="0.25">
      <c r="A607" s="5">
        <v>43986</v>
      </c>
      <c r="B607">
        <v>6.9424999999999999</v>
      </c>
      <c r="C607">
        <v>7.0416999999999996</v>
      </c>
      <c r="D607">
        <v>6.7743000000000002</v>
      </c>
      <c r="E607">
        <v>6.9151999999999996</v>
      </c>
      <c r="F607">
        <v>1520356.78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5.3851907255046128E-2</v>
      </c>
      <c r="Q607">
        <f t="shared" si="990"/>
        <v>81874.112311140576</v>
      </c>
      <c r="R607">
        <f t="shared" si="991"/>
        <v>59779718.604635805</v>
      </c>
      <c r="S607">
        <f t="shared" si="992"/>
        <v>597.79718604635809</v>
      </c>
      <c r="T607">
        <f t="shared" si="993"/>
        <v>0.59779718604635812</v>
      </c>
    </row>
    <row r="608" spans="1:20" x14ac:dyDescent="0.25">
      <c r="A608" s="5">
        <v>43985</v>
      </c>
      <c r="B608">
        <v>6.9782999999999999</v>
      </c>
      <c r="C608">
        <v>7.0130999999999997</v>
      </c>
      <c r="D608">
        <v>6.7876000000000003</v>
      </c>
      <c r="E608">
        <v>6.9413</v>
      </c>
      <c r="F608">
        <v>1247535.52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0.3631929046563207</v>
      </c>
      <c r="Q608">
        <f t="shared" si="990"/>
        <v>453096.04917073349</v>
      </c>
      <c r="R608">
        <f t="shared" si="991"/>
        <v>59697844.492324665</v>
      </c>
      <c r="S608">
        <f t="shared" si="992"/>
        <v>596.97844492324668</v>
      </c>
      <c r="T608">
        <f t="shared" si="993"/>
        <v>0.5969784449232467</v>
      </c>
    </row>
    <row r="609" spans="1:20" x14ac:dyDescent="0.25">
      <c r="A609" s="5">
        <v>43984</v>
      </c>
      <c r="B609">
        <v>7.2016</v>
      </c>
      <c r="C609">
        <v>7.3194999999999997</v>
      </c>
      <c r="D609">
        <v>6.6345999999999998</v>
      </c>
      <c r="E609">
        <v>6.9781000000000004</v>
      </c>
      <c r="F609">
        <v>2544360.71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3.0661410424898867E-3</v>
      </c>
      <c r="Q609">
        <f t="shared" si="990"/>
        <v>7801.3687998297082</v>
      </c>
      <c r="R609">
        <f t="shared" si="991"/>
        <v>59244748.443153933</v>
      </c>
      <c r="S609">
        <f t="shared" si="992"/>
        <v>592.44748443153935</v>
      </c>
      <c r="T609">
        <f t="shared" si="993"/>
        <v>0.59244748443153938</v>
      </c>
    </row>
    <row r="610" spans="1:20" x14ac:dyDescent="0.25">
      <c r="A610" s="5">
        <v>43983</v>
      </c>
      <c r="B610">
        <v>6.9387999999999996</v>
      </c>
      <c r="C610">
        <v>7.2545999999999999</v>
      </c>
      <c r="D610">
        <v>6.8559999999999999</v>
      </c>
      <c r="E610">
        <v>7.2045000000000003</v>
      </c>
      <c r="F610">
        <v>2338204.77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0.74862017059709196</v>
      </c>
      <c r="Q610">
        <f t="shared" si="990"/>
        <v>1750427.2538083342</v>
      </c>
      <c r="R610">
        <f t="shared" si="991"/>
        <v>59236947.074354105</v>
      </c>
      <c r="S610">
        <f t="shared" si="992"/>
        <v>592.369470743541</v>
      </c>
      <c r="T610">
        <f t="shared" si="993"/>
        <v>0.59236947074354096</v>
      </c>
    </row>
    <row r="611" spans="1:20" x14ac:dyDescent="0.25">
      <c r="A611" s="5">
        <v>43982</v>
      </c>
      <c r="B611">
        <v>7.4936999999999996</v>
      </c>
      <c r="C611">
        <v>7.4957000000000003</v>
      </c>
      <c r="D611">
        <v>6.6016000000000004</v>
      </c>
      <c r="E611">
        <v>6.9387999999999996</v>
      </c>
      <c r="F611">
        <v>2547679.94</v>
      </c>
      <c r="G611">
        <v>0</v>
      </c>
      <c r="L611" t="s">
        <v>7</v>
      </c>
      <c r="M611" t="s">
        <v>8</v>
      </c>
      <c r="N611" t="s">
        <v>8</v>
      </c>
      <c r="P611">
        <f t="shared" si="989"/>
        <v>-0.24572195503858782</v>
      </c>
      <c r="Q611">
        <f t="shared" si="990"/>
        <v>-626020.89566939208</v>
      </c>
      <c r="R611">
        <f t="shared" si="991"/>
        <v>57486519.82054577</v>
      </c>
      <c r="S611">
        <f t="shared" si="992"/>
        <v>574.86519820545766</v>
      </c>
      <c r="T611">
        <f t="shared" si="993"/>
        <v>0.57486519820545767</v>
      </c>
    </row>
    <row r="612" spans="1:20" x14ac:dyDescent="0.25">
      <c r="A612" s="5">
        <v>43981</v>
      </c>
      <c r="B612">
        <v>7.2278000000000002</v>
      </c>
      <c r="C612">
        <v>7.5803000000000003</v>
      </c>
      <c r="D612">
        <v>7.1</v>
      </c>
      <c r="E612">
        <v>7.4927999999999999</v>
      </c>
      <c r="F612">
        <v>2126573.16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0.63564438892358843</v>
      </c>
      <c r="Q612">
        <f t="shared" si="990"/>
        <v>1351744.2967895046</v>
      </c>
      <c r="R612">
        <f t="shared" si="991"/>
        <v>58112540.716215163</v>
      </c>
      <c r="S612">
        <f t="shared" si="992"/>
        <v>581.12540716215165</v>
      </c>
      <c r="T612">
        <f t="shared" si="993"/>
        <v>0.58112540716215166</v>
      </c>
    </row>
    <row r="613" spans="1:20" x14ac:dyDescent="0.25">
      <c r="A613" s="5">
        <v>43980</v>
      </c>
      <c r="B613">
        <v>6.8616000000000001</v>
      </c>
      <c r="C613">
        <v>7.3094000000000001</v>
      </c>
      <c r="D613">
        <v>6.8592000000000004</v>
      </c>
      <c r="E613">
        <v>7.2253999999999996</v>
      </c>
      <c r="F613">
        <v>2920138.89</v>
      </c>
      <c r="G613">
        <v>0</v>
      </c>
      <c r="L613" t="s">
        <v>8</v>
      </c>
      <c r="M613" t="s">
        <v>8</v>
      </c>
      <c r="N613" t="s">
        <v>7</v>
      </c>
      <c r="P613">
        <f t="shared" si="989"/>
        <v>0.62683251888049496</v>
      </c>
      <c r="Q613">
        <f t="shared" si="990"/>
        <v>1830438.0158995928</v>
      </c>
      <c r="R613">
        <f t="shared" si="991"/>
        <v>56760796.419425659</v>
      </c>
      <c r="S613">
        <f t="shared" si="992"/>
        <v>567.60796419425662</v>
      </c>
      <c r="T613">
        <f t="shared" si="993"/>
        <v>0.56760796419425663</v>
      </c>
    </row>
    <row r="614" spans="1:20" x14ac:dyDescent="0.25">
      <c r="A614" s="5">
        <v>43979</v>
      </c>
      <c r="B614">
        <v>6.7755999999999998</v>
      </c>
      <c r="C614">
        <v>6.883</v>
      </c>
      <c r="D614">
        <v>6.6768000000000001</v>
      </c>
      <c r="E614">
        <v>6.8609</v>
      </c>
      <c r="F614">
        <v>1426801.78</v>
      </c>
      <c r="G614">
        <v>0</v>
      </c>
      <c r="L614" t="s">
        <v>8</v>
      </c>
      <c r="M614" t="s">
        <v>8</v>
      </c>
      <c r="N614" t="s">
        <v>7</v>
      </c>
      <c r="P614">
        <f t="shared" si="989"/>
        <v>0.78564500484966038</v>
      </c>
      <c r="Q614">
        <f t="shared" si="990"/>
        <v>1120959.6913676041</v>
      </c>
      <c r="R614">
        <f t="shared" si="991"/>
        <v>54930358.403526068</v>
      </c>
      <c r="S614">
        <f t="shared" si="992"/>
        <v>549.30358403526066</v>
      </c>
      <c r="T614">
        <f t="shared" si="993"/>
        <v>0.54930358403526069</v>
      </c>
    </row>
    <row r="615" spans="1:20" x14ac:dyDescent="0.25">
      <c r="A615" s="5">
        <v>43978</v>
      </c>
      <c r="B615">
        <v>6.7096</v>
      </c>
      <c r="C615">
        <v>6.8357999999999999</v>
      </c>
      <c r="D615">
        <v>6.6685999999999996</v>
      </c>
      <c r="E615">
        <v>6.7756999999999996</v>
      </c>
      <c r="F615">
        <v>1471372.26</v>
      </c>
      <c r="G615">
        <v>0</v>
      </c>
      <c r="L615" t="s">
        <v>8</v>
      </c>
      <c r="M615" t="s">
        <v>8</v>
      </c>
      <c r="N615" t="s">
        <v>7</v>
      </c>
      <c r="P615">
        <f t="shared" si="989"/>
        <v>0.28110047846889741</v>
      </c>
      <c r="Q615">
        <f t="shared" si="990"/>
        <v>413603.44629186293</v>
      </c>
      <c r="R615">
        <f t="shared" si="991"/>
        <v>53809398.712158464</v>
      </c>
      <c r="S615">
        <f t="shared" si="992"/>
        <v>538.09398712158463</v>
      </c>
      <c r="T615">
        <f t="shared" si="993"/>
        <v>0.53809398712158463</v>
      </c>
    </row>
    <row r="616" spans="1:20" x14ac:dyDescent="0.25">
      <c r="A616" s="5">
        <v>43977</v>
      </c>
      <c r="B616">
        <v>6.8053999999999997</v>
      </c>
      <c r="C616">
        <v>6.8337000000000003</v>
      </c>
      <c r="D616">
        <v>6.5365000000000002</v>
      </c>
      <c r="E616">
        <v>6.7080000000000002</v>
      </c>
      <c r="F616">
        <v>1614681.94</v>
      </c>
      <c r="G616">
        <v>0</v>
      </c>
      <c r="L616" t="s">
        <v>8</v>
      </c>
      <c r="M616" t="s">
        <v>8</v>
      </c>
      <c r="N616" t="s">
        <v>7</v>
      </c>
      <c r="P616">
        <f t="shared" si="989"/>
        <v>0.15410497981157409</v>
      </c>
      <c r="Q616">
        <f t="shared" si="990"/>
        <v>248830.52776581328</v>
      </c>
      <c r="R616">
        <f t="shared" si="991"/>
        <v>53395795.2658666</v>
      </c>
      <c r="S616">
        <f t="shared" si="992"/>
        <v>533.95795265866604</v>
      </c>
      <c r="T616">
        <f t="shared" si="993"/>
        <v>0.53395795265866608</v>
      </c>
    </row>
    <row r="617" spans="1:20" x14ac:dyDescent="0.25">
      <c r="A617" s="5">
        <v>43976</v>
      </c>
      <c r="B617">
        <v>6.5751999999999997</v>
      </c>
      <c r="C617">
        <v>6.9146999999999998</v>
      </c>
      <c r="D617">
        <v>6.5030000000000001</v>
      </c>
      <c r="E617">
        <v>6.8067000000000002</v>
      </c>
      <c r="F617">
        <v>2009118.31</v>
      </c>
      <c r="G617">
        <v>0</v>
      </c>
      <c r="L617" t="s">
        <v>8</v>
      </c>
      <c r="M617" t="s">
        <v>8</v>
      </c>
      <c r="N617" t="s">
        <v>7</v>
      </c>
      <c r="P617">
        <f t="shared" si="989"/>
        <v>0.47534612581977304</v>
      </c>
      <c r="Q617">
        <f t="shared" si="990"/>
        <v>955026.60497206985</v>
      </c>
      <c r="R617">
        <f t="shared" si="991"/>
        <v>53146964.738100789</v>
      </c>
      <c r="S617">
        <f t="shared" si="992"/>
        <v>531.46964738100792</v>
      </c>
      <c r="T617">
        <f t="shared" si="993"/>
        <v>0.53146964738100788</v>
      </c>
    </row>
    <row r="618" spans="1:20" x14ac:dyDescent="0.25">
      <c r="A618" s="5">
        <v>43975</v>
      </c>
      <c r="B618">
        <v>6.5574000000000003</v>
      </c>
      <c r="C618">
        <v>6.7889999999999997</v>
      </c>
      <c r="D618">
        <v>6.4903000000000004</v>
      </c>
      <c r="E618">
        <v>6.5819000000000001</v>
      </c>
      <c r="F618">
        <v>2411930.46</v>
      </c>
      <c r="G618">
        <v>0</v>
      </c>
      <c r="L618" t="s">
        <v>8</v>
      </c>
      <c r="M618" t="s">
        <v>8</v>
      </c>
      <c r="N618" t="s">
        <v>7</v>
      </c>
      <c r="P618">
        <f t="shared" si="989"/>
        <v>-0.38667559424171477</v>
      </c>
      <c r="Q618">
        <f t="shared" si="990"/>
        <v>-932634.6438901925</v>
      </c>
      <c r="R618">
        <f t="shared" si="991"/>
        <v>52191938.133128718</v>
      </c>
      <c r="S618">
        <f t="shared" si="992"/>
        <v>521.91938133128713</v>
      </c>
      <c r="T618">
        <f t="shared" si="993"/>
        <v>0.52191938133128712</v>
      </c>
    </row>
    <row r="619" spans="1:20" x14ac:dyDescent="0.25">
      <c r="A619" s="5">
        <v>43974</v>
      </c>
      <c r="B619">
        <v>6.4622999999999999</v>
      </c>
      <c r="C619">
        <v>6.6332000000000004</v>
      </c>
      <c r="D619">
        <v>6.38</v>
      </c>
      <c r="E619">
        <v>6.5575000000000001</v>
      </c>
      <c r="F619">
        <v>1310470.19</v>
      </c>
      <c r="G619">
        <v>0</v>
      </c>
      <c r="L619" t="s">
        <v>8</v>
      </c>
      <c r="M619" t="s">
        <v>8</v>
      </c>
      <c r="N619" t="s">
        <v>7</v>
      </c>
      <c r="P619">
        <f t="shared" si="989"/>
        <v>0.40205371248025146</v>
      </c>
      <c r="Q619">
        <f t="shared" si="990"/>
        <v>526879.40498420049</v>
      </c>
      <c r="R619">
        <f t="shared" si="991"/>
        <v>53124572.777018912</v>
      </c>
      <c r="S619">
        <f t="shared" si="992"/>
        <v>531.24572777018909</v>
      </c>
      <c r="T619">
        <f t="shared" si="993"/>
        <v>0.53124572777018908</v>
      </c>
    </row>
    <row r="620" spans="1:20" x14ac:dyDescent="0.25">
      <c r="A620" s="5">
        <v>43973</v>
      </c>
      <c r="B620">
        <v>6.1264000000000003</v>
      </c>
      <c r="C620">
        <v>6.6153000000000004</v>
      </c>
      <c r="D620">
        <v>6.0803000000000003</v>
      </c>
      <c r="E620">
        <v>6.4631999999999996</v>
      </c>
      <c r="F620">
        <v>1827464.75</v>
      </c>
      <c r="G620">
        <v>0</v>
      </c>
      <c r="L620" t="s">
        <v>8</v>
      </c>
      <c r="M620" t="s">
        <v>8</v>
      </c>
      <c r="N620" t="s">
        <v>7</v>
      </c>
      <c r="P620">
        <f t="shared" si="989"/>
        <v>0.43140186915887568</v>
      </c>
      <c r="Q620">
        <f t="shared" si="990"/>
        <v>788371.70897195744</v>
      </c>
      <c r="R620">
        <f t="shared" si="991"/>
        <v>52597693.372034714</v>
      </c>
      <c r="S620">
        <f t="shared" si="992"/>
        <v>525.97693372034712</v>
      </c>
      <c r="T620">
        <f t="shared" si="993"/>
        <v>0.52597693372034715</v>
      </c>
    </row>
    <row r="621" spans="1:20" x14ac:dyDescent="0.25">
      <c r="A621" s="5">
        <v>43972</v>
      </c>
      <c r="B621">
        <v>6.4516</v>
      </c>
      <c r="C621">
        <v>6.5312000000000001</v>
      </c>
      <c r="D621">
        <v>5.9282000000000004</v>
      </c>
      <c r="E621">
        <v>6.1254999999999997</v>
      </c>
      <c r="F621">
        <v>1870498.06</v>
      </c>
      <c r="G621">
        <v>0</v>
      </c>
      <c r="L621" t="s">
        <v>7</v>
      </c>
      <c r="M621" t="s">
        <v>8</v>
      </c>
      <c r="N621" t="s">
        <v>7</v>
      </c>
      <c r="P621">
        <f t="shared" si="989"/>
        <v>-0.34560530679933849</v>
      </c>
      <c r="Q621">
        <f t="shared" si="990"/>
        <v>-646454.05589386751</v>
      </c>
      <c r="R621">
        <f t="shared" si="991"/>
        <v>51809321.663062759</v>
      </c>
      <c r="S621">
        <f t="shared" si="992"/>
        <v>518.09321663062758</v>
      </c>
      <c r="T621">
        <f t="shared" si="993"/>
        <v>0.51809321663062757</v>
      </c>
    </row>
    <row r="622" spans="1:20" x14ac:dyDescent="0.25">
      <c r="A622" s="5">
        <v>43971</v>
      </c>
      <c r="B622">
        <v>6.6665000000000001</v>
      </c>
      <c r="C622">
        <v>6.6849999999999996</v>
      </c>
      <c r="D622">
        <v>6.2637</v>
      </c>
      <c r="E622">
        <v>6.4512999999999998</v>
      </c>
      <c r="F622">
        <v>1538154.11</v>
      </c>
      <c r="G622">
        <v>0</v>
      </c>
      <c r="L622" t="s">
        <v>7</v>
      </c>
      <c r="M622" t="s">
        <v>8</v>
      </c>
      <c r="N622" t="s">
        <v>7</v>
      </c>
      <c r="P622">
        <f t="shared" si="989"/>
        <v>-0.10942321386185634</v>
      </c>
      <c r="Q622">
        <f t="shared" si="990"/>
        <v>-168309.76613102332</v>
      </c>
      <c r="R622">
        <f t="shared" si="991"/>
        <v>52455775.718956627</v>
      </c>
      <c r="S622">
        <f t="shared" si="992"/>
        <v>524.55775718956625</v>
      </c>
      <c r="T622">
        <f t="shared" si="993"/>
        <v>0.52455775718956621</v>
      </c>
    </row>
    <row r="623" spans="1:20" x14ac:dyDescent="0.25">
      <c r="A623" s="5">
        <v>43970</v>
      </c>
      <c r="B623">
        <v>6.7088999999999999</v>
      </c>
      <c r="C623">
        <v>6.7342000000000004</v>
      </c>
      <c r="D623">
        <v>6.5495000000000001</v>
      </c>
      <c r="E623">
        <v>6.6711999999999998</v>
      </c>
      <c r="F623">
        <v>1195498.1599999999</v>
      </c>
      <c r="G623">
        <v>0</v>
      </c>
      <c r="L623" t="s">
        <v>8</v>
      </c>
      <c r="M623" t="s">
        <v>8</v>
      </c>
      <c r="N623" t="s">
        <v>7</v>
      </c>
      <c r="P623">
        <f t="shared" si="989"/>
        <v>0.31781266919328094</v>
      </c>
      <c r="Q623">
        <f t="shared" si="990"/>
        <v>379944.46124525601</v>
      </c>
      <c r="R623">
        <f t="shared" si="991"/>
        <v>52624085.485087648</v>
      </c>
      <c r="S623">
        <f t="shared" si="992"/>
        <v>526.24085485087653</v>
      </c>
      <c r="T623">
        <f t="shared" si="993"/>
        <v>0.52624085485087657</v>
      </c>
    </row>
    <row r="624" spans="1:20" x14ac:dyDescent="0.25">
      <c r="A624" s="5">
        <v>43969</v>
      </c>
      <c r="B624">
        <v>6.6618000000000004</v>
      </c>
      <c r="C624">
        <v>6.92</v>
      </c>
      <c r="D624">
        <v>6.5823</v>
      </c>
      <c r="E624">
        <v>6.7119999999999997</v>
      </c>
      <c r="F624">
        <v>1743266.14</v>
      </c>
      <c r="G624">
        <v>0</v>
      </c>
      <c r="L624" t="s">
        <v>8</v>
      </c>
      <c r="M624" t="s">
        <v>8</v>
      </c>
      <c r="N624" t="s">
        <v>7</v>
      </c>
      <c r="P624">
        <f t="shared" si="989"/>
        <v>-0.23186259994077735</v>
      </c>
      <c r="Q624">
        <f t="shared" si="990"/>
        <v>-404198.21960912313</v>
      </c>
      <c r="R624">
        <f t="shared" si="991"/>
        <v>52244141.023842394</v>
      </c>
      <c r="S624">
        <f t="shared" si="992"/>
        <v>522.44141023842394</v>
      </c>
      <c r="T624">
        <f t="shared" si="993"/>
        <v>0.52244141023842394</v>
      </c>
    </row>
    <row r="625" spans="1:20" x14ac:dyDescent="0.25">
      <c r="A625" s="5">
        <v>43968</v>
      </c>
      <c r="B625">
        <v>6.6883999999999997</v>
      </c>
      <c r="C625">
        <v>6.7868000000000004</v>
      </c>
      <c r="D625">
        <v>6.5</v>
      </c>
      <c r="E625">
        <v>6.6574999999999998</v>
      </c>
      <c r="F625">
        <v>1597018.26</v>
      </c>
      <c r="G625">
        <v>0</v>
      </c>
      <c r="L625" t="s">
        <v>8</v>
      </c>
      <c r="M625" t="s">
        <v>8</v>
      </c>
      <c r="N625" t="s">
        <v>7</v>
      </c>
      <c r="P625">
        <f t="shared" si="989"/>
        <v>9.8326359832632756E-2</v>
      </c>
      <c r="Q625">
        <f t="shared" si="990"/>
        <v>157028.99209204505</v>
      </c>
      <c r="R625">
        <f t="shared" si="991"/>
        <v>52648339.243451521</v>
      </c>
      <c r="S625">
        <f t="shared" si="992"/>
        <v>526.48339243451517</v>
      </c>
      <c r="T625">
        <f t="shared" si="993"/>
        <v>0.52648339243451514</v>
      </c>
    </row>
    <row r="626" spans="1:20" x14ac:dyDescent="0.25">
      <c r="A626" s="5">
        <v>43967</v>
      </c>
      <c r="B626">
        <v>6.5026000000000002</v>
      </c>
      <c r="C626">
        <v>6.8570000000000002</v>
      </c>
      <c r="D626">
        <v>6.4344999999999999</v>
      </c>
      <c r="E626">
        <v>6.6938000000000004</v>
      </c>
      <c r="F626">
        <v>3804691.76</v>
      </c>
      <c r="G626">
        <v>0</v>
      </c>
      <c r="L626" t="s">
        <v>8</v>
      </c>
      <c r="M626" t="s">
        <v>8</v>
      </c>
      <c r="N626" t="s">
        <v>7</v>
      </c>
      <c r="P626">
        <f t="shared" si="989"/>
        <v>0.22745562130177674</v>
      </c>
      <c r="Q626">
        <f t="shared" si="990"/>
        <v>865398.52813255042</v>
      </c>
      <c r="R626">
        <f t="shared" si="991"/>
        <v>52491310.251359478</v>
      </c>
      <c r="S626">
        <f t="shared" si="992"/>
        <v>524.91310251359482</v>
      </c>
      <c r="T626">
        <f t="shared" si="993"/>
        <v>0.5249131025135948</v>
      </c>
    </row>
    <row r="627" spans="1:20" x14ac:dyDescent="0.25">
      <c r="A627" s="5">
        <v>43966</v>
      </c>
      <c r="B627">
        <v>6.2778999999999998</v>
      </c>
      <c r="C627">
        <v>6.7026000000000003</v>
      </c>
      <c r="D627">
        <v>6.1013000000000002</v>
      </c>
      <c r="E627">
        <v>6.5011000000000001</v>
      </c>
      <c r="F627">
        <v>3380544.95</v>
      </c>
      <c r="G627">
        <v>0</v>
      </c>
      <c r="L627" t="s">
        <v>8</v>
      </c>
      <c r="M627" t="s">
        <v>7</v>
      </c>
      <c r="N627" t="s">
        <v>7</v>
      </c>
      <c r="P627">
        <f t="shared" si="989"/>
        <v>0.3297854648262093</v>
      </c>
      <c r="Q627">
        <f t="shared" si="990"/>
        <v>1114854.5877016445</v>
      </c>
      <c r="R627">
        <f t="shared" si="991"/>
        <v>51625911.723226927</v>
      </c>
      <c r="S627">
        <f t="shared" si="992"/>
        <v>516.25911723226932</v>
      </c>
      <c r="T627">
        <f t="shared" si="993"/>
        <v>0.51625911723226936</v>
      </c>
    </row>
    <row r="628" spans="1:20" x14ac:dyDescent="0.25">
      <c r="A628" s="5">
        <v>43965</v>
      </c>
      <c r="B628">
        <v>6.2145000000000001</v>
      </c>
      <c r="C628">
        <v>6.3677000000000001</v>
      </c>
      <c r="D628">
        <v>6.08</v>
      </c>
      <c r="E628">
        <v>6.2778999999999998</v>
      </c>
      <c r="F628">
        <v>2040097</v>
      </c>
      <c r="G628">
        <v>0</v>
      </c>
      <c r="L628" t="s">
        <v>8</v>
      </c>
      <c r="M628" t="s">
        <v>7</v>
      </c>
      <c r="N628" t="s">
        <v>7</v>
      </c>
      <c r="P628">
        <f t="shared" si="989"/>
        <v>0.3757386166145269</v>
      </c>
      <c r="Q628">
        <f t="shared" si="990"/>
        <v>766543.22453944653</v>
      </c>
      <c r="R628">
        <f t="shared" si="991"/>
        <v>50511057.135525286</v>
      </c>
      <c r="S628">
        <f t="shared" si="992"/>
        <v>505.11057135525289</v>
      </c>
      <c r="T628">
        <f t="shared" si="993"/>
        <v>0.50511057135525284</v>
      </c>
    </row>
    <row r="629" spans="1:20" x14ac:dyDescent="0.25">
      <c r="A629" s="5">
        <v>43964</v>
      </c>
      <c r="B629">
        <v>6.0839999999999996</v>
      </c>
      <c r="C629">
        <v>6.2908999999999997</v>
      </c>
      <c r="D629">
        <v>6.0021000000000004</v>
      </c>
      <c r="E629">
        <v>6.2145000000000001</v>
      </c>
      <c r="F629">
        <v>1554771.8</v>
      </c>
      <c r="G629">
        <v>0</v>
      </c>
      <c r="L629" t="s">
        <v>7</v>
      </c>
      <c r="M629" t="s">
        <v>7</v>
      </c>
      <c r="N629" t="s">
        <v>7</v>
      </c>
      <c r="P629">
        <f t="shared" si="989"/>
        <v>0.47091412742382432</v>
      </c>
      <c r="Q629">
        <f t="shared" si="990"/>
        <v>732164.00554016873</v>
      </c>
      <c r="R629">
        <f t="shared" si="991"/>
        <v>49744513.910985842</v>
      </c>
      <c r="S629">
        <f t="shared" si="992"/>
        <v>497.44513910985842</v>
      </c>
      <c r="T629">
        <f t="shared" si="993"/>
        <v>0.49744513910985844</v>
      </c>
    </row>
    <row r="630" spans="1:20" x14ac:dyDescent="0.25">
      <c r="A630" s="5">
        <v>43963</v>
      </c>
      <c r="B630">
        <v>6.0147000000000004</v>
      </c>
      <c r="C630">
        <v>6.2271000000000001</v>
      </c>
      <c r="D630">
        <v>5.8869999999999996</v>
      </c>
      <c r="E630">
        <v>6.0888</v>
      </c>
      <c r="F630">
        <v>1871247.76</v>
      </c>
      <c r="G630">
        <v>0</v>
      </c>
      <c r="L630" t="s">
        <v>7</v>
      </c>
      <c r="M630" t="s">
        <v>7</v>
      </c>
      <c r="N630" t="s">
        <v>7</v>
      </c>
      <c r="P630">
        <f t="shared" si="989"/>
        <v>0.1867097912378719</v>
      </c>
      <c r="Q630">
        <f t="shared" si="990"/>
        <v>349380.27862393542</v>
      </c>
      <c r="R630">
        <f t="shared" si="991"/>
        <v>49012349.905445673</v>
      </c>
      <c r="S630">
        <f t="shared" si="992"/>
        <v>490.12349905445672</v>
      </c>
      <c r="T630">
        <f t="shared" si="993"/>
        <v>0.49012349905445673</v>
      </c>
    </row>
    <row r="631" spans="1:20" x14ac:dyDescent="0.25">
      <c r="A631" s="5">
        <v>43962</v>
      </c>
      <c r="B631">
        <v>6.1879</v>
      </c>
      <c r="C631">
        <v>6.3243999999999998</v>
      </c>
      <c r="D631">
        <v>5.6</v>
      </c>
      <c r="E631">
        <v>6.0164999999999997</v>
      </c>
      <c r="F631">
        <v>3433222.19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0.14991717283268913</v>
      </c>
      <c r="Q631">
        <f t="shared" si="990"/>
        <v>514698.96443125344</v>
      </c>
      <c r="R631">
        <f t="shared" si="991"/>
        <v>48662969.626821734</v>
      </c>
      <c r="S631">
        <f t="shared" si="992"/>
        <v>486.62969626821734</v>
      </c>
      <c r="T631">
        <f t="shared" si="993"/>
        <v>0.48662969626821734</v>
      </c>
    </row>
    <row r="632" spans="1:20" x14ac:dyDescent="0.25">
      <c r="A632" s="5">
        <v>43961</v>
      </c>
      <c r="B632">
        <v>7.0578000000000003</v>
      </c>
      <c r="C632">
        <v>7.0655000000000001</v>
      </c>
      <c r="D632">
        <v>5.5327000000000002</v>
      </c>
      <c r="E632">
        <v>6.1909000000000001</v>
      </c>
      <c r="F632">
        <v>6505711.8899999997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-0.1411795407098122</v>
      </c>
      <c r="Q632">
        <f t="shared" si="990"/>
        <v>-918473.41662056418</v>
      </c>
      <c r="R632">
        <f t="shared" si="991"/>
        <v>48148270.662390478</v>
      </c>
      <c r="S632">
        <f t="shared" si="992"/>
        <v>481.48270662390479</v>
      </c>
      <c r="T632">
        <f t="shared" si="993"/>
        <v>0.4814827066239048</v>
      </c>
    </row>
    <row r="633" spans="1:20" x14ac:dyDescent="0.25">
      <c r="A633" s="5">
        <v>43960</v>
      </c>
      <c r="B633">
        <v>7.1452999999999998</v>
      </c>
      <c r="C633">
        <v>7.2629999999999999</v>
      </c>
      <c r="D633">
        <v>7</v>
      </c>
      <c r="E633">
        <v>7.0544000000000002</v>
      </c>
      <c r="F633">
        <v>1533992.13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-0.58631178707224152</v>
      </c>
      <c r="Q633">
        <f t="shared" si="990"/>
        <v>-899397.66709505417</v>
      </c>
      <c r="R633">
        <f t="shared" si="991"/>
        <v>49066744.079011045</v>
      </c>
      <c r="S633">
        <f t="shared" si="992"/>
        <v>490.66744079011045</v>
      </c>
      <c r="T633">
        <f t="shared" si="993"/>
        <v>0.49066744079011043</v>
      </c>
    </row>
    <row r="634" spans="1:20" x14ac:dyDescent="0.25">
      <c r="A634" s="5">
        <v>43959</v>
      </c>
      <c r="B634">
        <v>7.0960000000000001</v>
      </c>
      <c r="C634">
        <v>7.3175999999999997</v>
      </c>
      <c r="D634">
        <v>6.9329999999999998</v>
      </c>
      <c r="E634">
        <v>7.1444999999999999</v>
      </c>
      <c r="F634">
        <v>1874996.95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9.984399375975099E-2</v>
      </c>
      <c r="Q634">
        <f t="shared" si="990"/>
        <v>187207.18377535214</v>
      </c>
      <c r="R634">
        <f t="shared" si="991"/>
        <v>49966141.746106103</v>
      </c>
      <c r="S634">
        <f t="shared" si="992"/>
        <v>499.66141746106103</v>
      </c>
      <c r="T634">
        <f t="shared" si="993"/>
        <v>0.49966141746106102</v>
      </c>
    </row>
    <row r="635" spans="1:20" x14ac:dyDescent="0.25">
      <c r="A635" s="5">
        <v>43958</v>
      </c>
      <c r="B635">
        <v>6.8352000000000004</v>
      </c>
      <c r="C635">
        <v>7.2262000000000004</v>
      </c>
      <c r="D635">
        <v>6.7808999999999999</v>
      </c>
      <c r="E635">
        <v>7.09</v>
      </c>
      <c r="F635">
        <v>2412697.21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0.38827756568605254</v>
      </c>
      <c r="Q635">
        <f t="shared" si="990"/>
        <v>936796.1994363307</v>
      </c>
      <c r="R635">
        <f t="shared" si="991"/>
        <v>49778934.562330753</v>
      </c>
      <c r="S635">
        <f t="shared" si="992"/>
        <v>497.78934562330755</v>
      </c>
      <c r="T635">
        <f t="shared" si="993"/>
        <v>0.49778934562330757</v>
      </c>
    </row>
    <row r="636" spans="1:20" x14ac:dyDescent="0.25">
      <c r="A636" s="5">
        <v>43957</v>
      </c>
      <c r="B636">
        <v>7.1910999999999996</v>
      </c>
      <c r="C636">
        <v>7.3343999999999996</v>
      </c>
      <c r="D636">
        <v>6.7914000000000003</v>
      </c>
      <c r="E636">
        <v>6.8379000000000003</v>
      </c>
      <c r="F636">
        <v>2109888.25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-0.82872928176795557</v>
      </c>
      <c r="Q636">
        <f t="shared" si="990"/>
        <v>-1748526.1740331487</v>
      </c>
      <c r="R636">
        <f t="shared" si="991"/>
        <v>48842138.362894423</v>
      </c>
      <c r="S636">
        <f t="shared" si="992"/>
        <v>488.42138362894423</v>
      </c>
      <c r="T636">
        <f t="shared" si="993"/>
        <v>0.48842138362894422</v>
      </c>
    </row>
    <row r="637" spans="1:20" x14ac:dyDescent="0.25">
      <c r="A637" s="5">
        <v>43956</v>
      </c>
      <c r="B637">
        <v>7.2126999999999999</v>
      </c>
      <c r="C637">
        <v>7.4856999999999996</v>
      </c>
      <c r="D637">
        <v>6.9977</v>
      </c>
      <c r="E637">
        <v>7.1905000000000001</v>
      </c>
      <c r="F637">
        <v>3172857.62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-0.20983606557376941</v>
      </c>
      <c r="Q637">
        <f t="shared" si="990"/>
        <v>-665779.95960655401</v>
      </c>
      <c r="R637">
        <f t="shared" si="991"/>
        <v>50590664.536927573</v>
      </c>
      <c r="S637">
        <f t="shared" si="992"/>
        <v>505.90664536927574</v>
      </c>
      <c r="T637">
        <f t="shared" si="993"/>
        <v>0.50590664536927576</v>
      </c>
    </row>
    <row r="638" spans="1:20" x14ac:dyDescent="0.25">
      <c r="A638" s="5">
        <v>43955</v>
      </c>
      <c r="B638">
        <v>7.2092000000000001</v>
      </c>
      <c r="C638">
        <v>7.3581000000000003</v>
      </c>
      <c r="D638">
        <v>6.6384999999999996</v>
      </c>
      <c r="E638">
        <v>7.2140000000000004</v>
      </c>
      <c r="F638">
        <v>4163401.1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0.5994997220678161</v>
      </c>
      <c r="Q638">
        <f t="shared" si="990"/>
        <v>2495957.8023068397</v>
      </c>
      <c r="R638">
        <f t="shared" si="991"/>
        <v>51256444.496534124</v>
      </c>
      <c r="S638">
        <f t="shared" si="992"/>
        <v>512.56444496534129</v>
      </c>
      <c r="T638">
        <f t="shared" si="993"/>
        <v>0.51256444496534126</v>
      </c>
    </row>
    <row r="639" spans="1:20" x14ac:dyDescent="0.25">
      <c r="A639" s="5">
        <v>43954</v>
      </c>
      <c r="B639">
        <v>7.4741999999999997</v>
      </c>
      <c r="C639">
        <v>7.6294000000000004</v>
      </c>
      <c r="D639">
        <v>7.0191999999999997</v>
      </c>
      <c r="E639">
        <v>7.2077</v>
      </c>
      <c r="F639">
        <v>4745207.26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-0.38216978039986854</v>
      </c>
      <c r="Q639">
        <f t="shared" si="990"/>
        <v>-1813474.8165060619</v>
      </c>
      <c r="R639">
        <f t="shared" si="991"/>
        <v>48760486.694227286</v>
      </c>
      <c r="S639">
        <f t="shared" si="992"/>
        <v>487.60486694227285</v>
      </c>
      <c r="T639">
        <f t="shared" si="993"/>
        <v>0.48760486694227284</v>
      </c>
    </row>
    <row r="640" spans="1:20" x14ac:dyDescent="0.25">
      <c r="A640" s="5">
        <v>43953</v>
      </c>
      <c r="B640">
        <v>6.6490999999999998</v>
      </c>
      <c r="C640">
        <v>7.6233000000000004</v>
      </c>
      <c r="D640">
        <v>6.5606999999999998</v>
      </c>
      <c r="E640">
        <v>7.4718999999999998</v>
      </c>
      <c r="F640">
        <v>4584273.8899999997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0.71503858460380099</v>
      </c>
      <c r="Q640">
        <f t="shared" si="990"/>
        <v>3277932.7137417607</v>
      </c>
      <c r="R640">
        <f t="shared" si="991"/>
        <v>50573961.510733351</v>
      </c>
      <c r="S640">
        <f t="shared" si="992"/>
        <v>505.73961510733352</v>
      </c>
      <c r="T640">
        <f t="shared" si="993"/>
        <v>0.50573961510733356</v>
      </c>
    </row>
    <row r="641" spans="1:20" x14ac:dyDescent="0.25">
      <c r="A641" s="5">
        <v>43952</v>
      </c>
      <c r="B641">
        <v>6.4401999999999999</v>
      </c>
      <c r="C641">
        <v>6.6973000000000003</v>
      </c>
      <c r="D641">
        <v>6.4340000000000002</v>
      </c>
      <c r="E641">
        <v>6.6470000000000002</v>
      </c>
      <c r="F641">
        <v>1902739.36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0.61792631978731494</v>
      </c>
      <c r="Q641">
        <f t="shared" si="990"/>
        <v>1175752.730239271</v>
      </c>
      <c r="R641">
        <f t="shared" si="991"/>
        <v>47296028.796991587</v>
      </c>
      <c r="S641">
        <f t="shared" si="992"/>
        <v>472.96028796991584</v>
      </c>
      <c r="T641">
        <f t="shared" si="993"/>
        <v>0.47296028796991585</v>
      </c>
    </row>
    <row r="642" spans="1:20" x14ac:dyDescent="0.25">
      <c r="A642" s="5">
        <v>43951</v>
      </c>
      <c r="B642">
        <v>6.7450000000000001</v>
      </c>
      <c r="C642">
        <v>6.9997999999999996</v>
      </c>
      <c r="D642">
        <v>6.2907999999999999</v>
      </c>
      <c r="E642">
        <v>6.4417999999999997</v>
      </c>
      <c r="F642">
        <v>3270923.59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-0.57404795486600879</v>
      </c>
      <c r="Q642">
        <f t="shared" si="990"/>
        <v>-1877666.9973624833</v>
      </c>
      <c r="R642">
        <f t="shared" si="991"/>
        <v>46120276.066752315</v>
      </c>
      <c r="S642">
        <f t="shared" si="992"/>
        <v>461.20276066752314</v>
      </c>
      <c r="T642">
        <f t="shared" si="993"/>
        <v>0.46120276066752314</v>
      </c>
    </row>
    <row r="643" spans="1:20" x14ac:dyDescent="0.25">
      <c r="A643" s="5">
        <v>43950</v>
      </c>
      <c r="B643">
        <v>6.1422999999999996</v>
      </c>
      <c r="C643">
        <v>6.9</v>
      </c>
      <c r="D643">
        <v>6.1246999999999998</v>
      </c>
      <c r="E643">
        <v>6.7432999999999996</v>
      </c>
      <c r="F643">
        <v>4105988.78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0.59576937959499388</v>
      </c>
      <c r="Q643">
        <f t="shared" si="990"/>
        <v>2446222.3880846058</v>
      </c>
      <c r="R643">
        <f t="shared" si="991"/>
        <v>47997943.064114794</v>
      </c>
      <c r="S643">
        <f t="shared" si="992"/>
        <v>479.97943064114793</v>
      </c>
      <c r="T643">
        <f t="shared" si="993"/>
        <v>0.47997943064114795</v>
      </c>
    </row>
    <row r="644" spans="1:20" x14ac:dyDescent="0.25">
      <c r="A644" s="5">
        <v>43949</v>
      </c>
      <c r="B644">
        <v>6.1009000000000002</v>
      </c>
      <c r="C644">
        <v>6.1729000000000003</v>
      </c>
      <c r="D644">
        <v>5.952</v>
      </c>
      <c r="E644">
        <v>6.1422999999999996</v>
      </c>
      <c r="F644">
        <v>1498521.84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0.72295156179266107</v>
      </c>
      <c r="Q644">
        <f t="shared" si="990"/>
        <v>1083358.7046084122</v>
      </c>
      <c r="R644">
        <f t="shared" si="991"/>
        <v>45551720.676030189</v>
      </c>
      <c r="S644">
        <f t="shared" si="992"/>
        <v>455.51720676030186</v>
      </c>
      <c r="T644">
        <f t="shared" si="993"/>
        <v>0.45551720676030188</v>
      </c>
    </row>
    <row r="645" spans="1:20" x14ac:dyDescent="0.25">
      <c r="A645" s="5">
        <v>43948</v>
      </c>
      <c r="B645">
        <v>6.2157999999999998</v>
      </c>
      <c r="C645">
        <v>6.2751000000000001</v>
      </c>
      <c r="D645">
        <v>5.9301000000000004</v>
      </c>
      <c r="E645">
        <v>6.1029999999999998</v>
      </c>
      <c r="F645">
        <v>2844079.99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2.3188405797073168E-3</v>
      </c>
      <c r="Q645">
        <f t="shared" si="990"/>
        <v>6594.9680927455802</v>
      </c>
      <c r="R645">
        <f t="shared" si="991"/>
        <v>44468361.971421778</v>
      </c>
      <c r="S645">
        <f t="shared" si="992"/>
        <v>444.6836197142178</v>
      </c>
      <c r="T645">
        <f t="shared" si="993"/>
        <v>0.44468361971421777</v>
      </c>
    </row>
    <row r="646" spans="1:20" x14ac:dyDescent="0.25">
      <c r="A646" s="5">
        <v>43947</v>
      </c>
      <c r="B646">
        <v>5.7484999999999999</v>
      </c>
      <c r="C646">
        <v>6.2497999999999996</v>
      </c>
      <c r="D646">
        <v>5.7213000000000003</v>
      </c>
      <c r="E646">
        <v>6.2159000000000004</v>
      </c>
      <c r="F646">
        <v>3315421.98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0.87171239356670127</v>
      </c>
      <c r="Q646">
        <f t="shared" ref="Q646:Q709" si="995">F646*P646</f>
        <v>2890094.429869452</v>
      </c>
      <c r="R646">
        <f t="shared" ref="R646:R709" si="996">R647+Q646</f>
        <v>44461767.003329031</v>
      </c>
      <c r="S646">
        <f t="shared" ref="S646:S709" si="997">R646/100000</f>
        <v>444.61767003329032</v>
      </c>
      <c r="T646">
        <f t="shared" ref="T646:T709" si="998">S646/1000</f>
        <v>0.44461767003329034</v>
      </c>
    </row>
    <row r="647" spans="1:20" x14ac:dyDescent="0.25">
      <c r="A647" s="5">
        <v>43946</v>
      </c>
      <c r="B647">
        <v>5.5945</v>
      </c>
      <c r="C647">
        <v>5.8609999999999998</v>
      </c>
      <c r="D647">
        <v>5.5319000000000003</v>
      </c>
      <c r="E647">
        <v>5.75</v>
      </c>
      <c r="F647">
        <v>1511962.61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0.32543299908842338</v>
      </c>
      <c r="Q647">
        <f t="shared" si="995"/>
        <v>492042.52668186027</v>
      </c>
      <c r="R647">
        <f t="shared" si="996"/>
        <v>41571672.573459581</v>
      </c>
      <c r="S647">
        <f t="shared" si="997"/>
        <v>415.7167257345958</v>
      </c>
      <c r="T647">
        <f t="shared" si="998"/>
        <v>0.41571672573459578</v>
      </c>
    </row>
    <row r="648" spans="1:20" x14ac:dyDescent="0.25">
      <c r="A648" s="5">
        <v>43945</v>
      </c>
      <c r="B648">
        <v>5.5994000000000002</v>
      </c>
      <c r="C648">
        <v>5.7030000000000003</v>
      </c>
      <c r="D648">
        <v>5.5185000000000004</v>
      </c>
      <c r="E648">
        <v>5.5930999999999997</v>
      </c>
      <c r="F648">
        <v>1669154.97</v>
      </c>
      <c r="G648">
        <v>0</v>
      </c>
      <c r="L648" t="s">
        <v>8</v>
      </c>
      <c r="M648" t="s">
        <v>7</v>
      </c>
      <c r="N648" t="s">
        <v>8</v>
      </c>
      <c r="P648">
        <f t="shared" si="994"/>
        <v>-0.19132791327913951</v>
      </c>
      <c r="Q648">
        <f t="shared" si="995"/>
        <v>-319355.93734960468</v>
      </c>
      <c r="R648">
        <f t="shared" si="996"/>
        <v>41079630.046777718</v>
      </c>
      <c r="S648">
        <f t="shared" si="997"/>
        <v>410.7963004677772</v>
      </c>
      <c r="T648">
        <f t="shared" si="998"/>
        <v>0.41079630046777721</v>
      </c>
    </row>
    <row r="649" spans="1:20" x14ac:dyDescent="0.25">
      <c r="A649" s="5">
        <v>43944</v>
      </c>
      <c r="B649">
        <v>5.3876999999999997</v>
      </c>
      <c r="C649">
        <v>5.7850999999999999</v>
      </c>
      <c r="D649">
        <v>5.2911000000000001</v>
      </c>
      <c r="E649">
        <v>5.6028000000000002</v>
      </c>
      <c r="F649">
        <v>2053600.59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0.26194331983805763</v>
      </c>
      <c r="Q649">
        <f t="shared" si="995"/>
        <v>537926.95616599394</v>
      </c>
      <c r="R649">
        <f t="shared" si="996"/>
        <v>41398985.98412732</v>
      </c>
      <c r="S649">
        <f t="shared" si="997"/>
        <v>413.98985984127319</v>
      </c>
      <c r="T649">
        <f t="shared" si="998"/>
        <v>0.41398985984127318</v>
      </c>
    </row>
    <row r="650" spans="1:20" x14ac:dyDescent="0.25">
      <c r="A650" s="5">
        <v>43943</v>
      </c>
      <c r="B650">
        <v>5.1993</v>
      </c>
      <c r="C650">
        <v>5.4550000000000001</v>
      </c>
      <c r="D650">
        <v>5.1543999999999999</v>
      </c>
      <c r="E650">
        <v>5.3867000000000003</v>
      </c>
      <c r="F650">
        <v>1143155.8</v>
      </c>
      <c r="G650">
        <v>0</v>
      </c>
      <c r="L650" t="s">
        <v>7</v>
      </c>
      <c r="M650" t="s">
        <v>7</v>
      </c>
      <c r="N650" t="s">
        <v>8</v>
      </c>
      <c r="P650">
        <f t="shared" si="994"/>
        <v>0.54557551563539752</v>
      </c>
      <c r="Q650">
        <f t="shared" si="995"/>
        <v>623677.81503659533</v>
      </c>
      <c r="R650">
        <f t="shared" si="996"/>
        <v>40861059.027961329</v>
      </c>
      <c r="S650">
        <f t="shared" si="997"/>
        <v>408.61059027961329</v>
      </c>
      <c r="T650">
        <f t="shared" si="998"/>
        <v>0.40861059027961327</v>
      </c>
    </row>
    <row r="651" spans="1:20" x14ac:dyDescent="0.25">
      <c r="A651" s="5">
        <v>43942</v>
      </c>
      <c r="B651">
        <v>5.2209000000000003</v>
      </c>
      <c r="C651">
        <v>5.3041999999999998</v>
      </c>
      <c r="D651">
        <v>5.1151</v>
      </c>
      <c r="E651">
        <v>5.1993</v>
      </c>
      <c r="F651">
        <v>1519922.63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-0.10946589106292828</v>
      </c>
      <c r="Q651">
        <f t="shared" si="995"/>
        <v>-166379.68503965944</v>
      </c>
      <c r="R651">
        <f t="shared" si="996"/>
        <v>40237381.212924734</v>
      </c>
      <c r="S651">
        <f t="shared" si="997"/>
        <v>402.37381212924731</v>
      </c>
      <c r="T651">
        <f t="shared" si="998"/>
        <v>0.40237381212924733</v>
      </c>
    </row>
    <row r="652" spans="1:20" x14ac:dyDescent="0.25">
      <c r="A652" s="5">
        <v>43941</v>
      </c>
      <c r="B652">
        <v>5.4786999999999999</v>
      </c>
      <c r="C652">
        <v>5.6077000000000004</v>
      </c>
      <c r="D652">
        <v>5.1532</v>
      </c>
      <c r="E652">
        <v>5.2248999999999999</v>
      </c>
      <c r="F652">
        <v>1860759.24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-0.68448844884488524</v>
      </c>
      <c r="Q652">
        <f t="shared" si="995"/>
        <v>-1273668.2058613875</v>
      </c>
      <c r="R652">
        <f t="shared" si="996"/>
        <v>40403760.897964396</v>
      </c>
      <c r="S652">
        <f t="shared" si="997"/>
        <v>404.03760897964395</v>
      </c>
      <c r="T652">
        <f t="shared" si="998"/>
        <v>0.40403760897964397</v>
      </c>
    </row>
    <row r="653" spans="1:20" x14ac:dyDescent="0.25">
      <c r="A653" s="5">
        <v>43940</v>
      </c>
      <c r="B653">
        <v>5.6581000000000001</v>
      </c>
      <c r="C653">
        <v>5.7122999999999999</v>
      </c>
      <c r="D653">
        <v>5.4025999999999996</v>
      </c>
      <c r="E653">
        <v>5.4795999999999996</v>
      </c>
      <c r="F653">
        <v>1458697.8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-0.50274459154020101</v>
      </c>
      <c r="Q653">
        <f t="shared" si="995"/>
        <v>-733352.42964158987</v>
      </c>
      <c r="R653">
        <f t="shared" si="996"/>
        <v>41677429.103825785</v>
      </c>
      <c r="S653">
        <f t="shared" si="997"/>
        <v>416.77429103825784</v>
      </c>
      <c r="T653">
        <f t="shared" si="998"/>
        <v>0.41677429103825786</v>
      </c>
    </row>
    <row r="654" spans="1:20" x14ac:dyDescent="0.25">
      <c r="A654" s="5">
        <v>43939</v>
      </c>
      <c r="B654">
        <v>5.3701999999999996</v>
      </c>
      <c r="C654">
        <v>5.68</v>
      </c>
      <c r="D654">
        <v>5.3686999999999996</v>
      </c>
      <c r="E654">
        <v>5.6573000000000002</v>
      </c>
      <c r="F654">
        <v>1498919.77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0.85415997430132029</v>
      </c>
      <c r="Q654">
        <f t="shared" si="995"/>
        <v>1280317.272222941</v>
      </c>
      <c r="R654">
        <f t="shared" si="996"/>
        <v>42410781.533467375</v>
      </c>
      <c r="S654">
        <f t="shared" si="997"/>
        <v>424.10781533467377</v>
      </c>
      <c r="T654">
        <f t="shared" si="998"/>
        <v>0.42410781533467379</v>
      </c>
    </row>
    <row r="655" spans="1:20" x14ac:dyDescent="0.25">
      <c r="A655" s="5">
        <v>43938</v>
      </c>
      <c r="B655">
        <v>5.4763000000000002</v>
      </c>
      <c r="C655">
        <v>5.4983000000000004</v>
      </c>
      <c r="D655">
        <v>5.3247</v>
      </c>
      <c r="E655">
        <v>5.3707000000000003</v>
      </c>
      <c r="F655">
        <v>1110844.3799999999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-0.470046082949307</v>
      </c>
      <c r="Q655">
        <f t="shared" si="995"/>
        <v>-522148.04958525143</v>
      </c>
      <c r="R655">
        <f t="shared" si="996"/>
        <v>41130464.261244431</v>
      </c>
      <c r="S655">
        <f t="shared" si="997"/>
        <v>411.3046426124443</v>
      </c>
      <c r="T655">
        <f t="shared" si="998"/>
        <v>0.41130464261244432</v>
      </c>
    </row>
    <row r="656" spans="1:20" x14ac:dyDescent="0.25">
      <c r="A656" s="5">
        <v>43937</v>
      </c>
      <c r="B656">
        <v>5.1006999999999998</v>
      </c>
      <c r="C656">
        <v>5.5636000000000001</v>
      </c>
      <c r="D656">
        <v>4.8604000000000003</v>
      </c>
      <c r="E656">
        <v>5.4755000000000003</v>
      </c>
      <c r="F656">
        <v>2783549.34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0.74943117178612095</v>
      </c>
      <c r="Q656">
        <f t="shared" si="995"/>
        <v>2086078.6436006834</v>
      </c>
      <c r="R656">
        <f t="shared" si="996"/>
        <v>41652612.310829684</v>
      </c>
      <c r="S656">
        <f t="shared" si="997"/>
        <v>416.52612310829682</v>
      </c>
      <c r="T656">
        <f t="shared" si="998"/>
        <v>0.41652612310829684</v>
      </c>
    </row>
    <row r="657" spans="1:20" x14ac:dyDescent="0.25">
      <c r="A657" s="5">
        <v>43936</v>
      </c>
      <c r="B657">
        <v>5.2434000000000003</v>
      </c>
      <c r="C657">
        <v>5.3615000000000004</v>
      </c>
      <c r="D657">
        <v>5.0774999999999997</v>
      </c>
      <c r="E657">
        <v>5.1002000000000001</v>
      </c>
      <c r="F657">
        <v>1160189.25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-0.84014084507042019</v>
      </c>
      <c r="Q657">
        <f t="shared" si="995"/>
        <v>-974722.37693661696</v>
      </c>
      <c r="R657">
        <f t="shared" si="996"/>
        <v>39566533.667229004</v>
      </c>
      <c r="S657">
        <f t="shared" si="997"/>
        <v>395.66533667229004</v>
      </c>
      <c r="T657">
        <f t="shared" si="998"/>
        <v>0.39566533667229004</v>
      </c>
    </row>
    <row r="658" spans="1:20" x14ac:dyDescent="0.25">
      <c r="A658" s="5">
        <v>43935</v>
      </c>
      <c r="B658">
        <v>5.1829000000000001</v>
      </c>
      <c r="C658">
        <v>5.3498999999999999</v>
      </c>
      <c r="D658">
        <v>5.0998999999999999</v>
      </c>
      <c r="E658">
        <v>5.2449000000000003</v>
      </c>
      <c r="F658">
        <v>1495659.14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0.16000000000000369</v>
      </c>
      <c r="Q658">
        <f t="shared" si="995"/>
        <v>239305.46240000552</v>
      </c>
      <c r="R658">
        <f t="shared" si="996"/>
        <v>40541256.044165619</v>
      </c>
      <c r="S658">
        <f t="shared" si="997"/>
        <v>405.41256044165618</v>
      </c>
      <c r="T658">
        <f t="shared" si="998"/>
        <v>0.40541256044165619</v>
      </c>
    </row>
    <row r="659" spans="1:20" x14ac:dyDescent="0.25">
      <c r="A659" s="5">
        <v>43934</v>
      </c>
      <c r="B659">
        <v>5.3125999999999998</v>
      </c>
      <c r="C659">
        <v>5.3159000000000001</v>
      </c>
      <c r="D659">
        <v>5.0288000000000004</v>
      </c>
      <c r="E659">
        <v>5.1805000000000003</v>
      </c>
      <c r="F659">
        <v>1969690.62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5.6774642981540301E-2</v>
      </c>
      <c r="Q659">
        <f t="shared" si="995"/>
        <v>111828.48173458877</v>
      </c>
      <c r="R659">
        <f t="shared" si="996"/>
        <v>40301950.581765614</v>
      </c>
      <c r="S659">
        <f t="shared" si="997"/>
        <v>403.01950581765612</v>
      </c>
      <c r="T659">
        <f t="shared" si="998"/>
        <v>0.40301950581765611</v>
      </c>
    </row>
    <row r="660" spans="1:20" x14ac:dyDescent="0.25">
      <c r="A660" s="5">
        <v>43933</v>
      </c>
      <c r="B660">
        <v>5.2778</v>
      </c>
      <c r="C660">
        <v>5.4878999999999998</v>
      </c>
      <c r="D660">
        <v>5.1703000000000001</v>
      </c>
      <c r="E660">
        <v>5.3144999999999998</v>
      </c>
      <c r="F660">
        <v>1497010.67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-9.1939546599497379E-2</v>
      </c>
      <c r="Q660">
        <f t="shared" si="995"/>
        <v>-137634.48225440978</v>
      </c>
      <c r="R660">
        <f t="shared" si="996"/>
        <v>40190122.100031026</v>
      </c>
      <c r="S660">
        <f t="shared" si="997"/>
        <v>401.90122100031027</v>
      </c>
      <c r="T660">
        <f t="shared" si="998"/>
        <v>0.40190122100031028</v>
      </c>
    </row>
    <row r="661" spans="1:20" x14ac:dyDescent="0.25">
      <c r="A661" s="5">
        <v>43932</v>
      </c>
      <c r="B661">
        <v>5.2499000000000002</v>
      </c>
      <c r="C661">
        <v>5.4</v>
      </c>
      <c r="D661">
        <v>5.1257999999999999</v>
      </c>
      <c r="E661">
        <v>5.2804000000000002</v>
      </c>
      <c r="F661">
        <v>1689494.28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0.1276440554339901</v>
      </c>
      <c r="Q661">
        <f t="shared" si="995"/>
        <v>215653.90153172921</v>
      </c>
      <c r="R661">
        <f t="shared" si="996"/>
        <v>40327756.582285434</v>
      </c>
      <c r="S661">
        <f t="shared" si="997"/>
        <v>403.27756582285434</v>
      </c>
      <c r="T661">
        <f t="shared" si="998"/>
        <v>0.40327756582285434</v>
      </c>
    </row>
    <row r="662" spans="1:20" x14ac:dyDescent="0.25">
      <c r="A662" s="5">
        <v>43931</v>
      </c>
      <c r="B662">
        <v>5.8833000000000002</v>
      </c>
      <c r="C662">
        <v>5.9141000000000004</v>
      </c>
      <c r="D662">
        <v>5.0690999999999997</v>
      </c>
      <c r="E662">
        <v>5.2477999999999998</v>
      </c>
      <c r="F662">
        <v>2994030.31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-0.57704142011834336</v>
      </c>
      <c r="Q662">
        <f t="shared" si="995"/>
        <v>-1727679.5019597639</v>
      </c>
      <c r="R662">
        <f t="shared" si="996"/>
        <v>40112102.680753708</v>
      </c>
      <c r="S662">
        <f t="shared" si="997"/>
        <v>401.12102680753708</v>
      </c>
      <c r="T662">
        <f t="shared" si="998"/>
        <v>0.40112102680753708</v>
      </c>
    </row>
    <row r="663" spans="1:20" x14ac:dyDescent="0.25">
      <c r="A663" s="5">
        <v>43930</v>
      </c>
      <c r="B663">
        <v>5.8272000000000004</v>
      </c>
      <c r="C663">
        <v>5.968</v>
      </c>
      <c r="D663">
        <v>5.55</v>
      </c>
      <c r="E663">
        <v>5.8893000000000004</v>
      </c>
      <c r="F663">
        <v>2254821.7000000002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0.62344497607655736</v>
      </c>
      <c r="Q663">
        <f t="shared" si="995"/>
        <v>1405757.2608134025</v>
      </c>
      <c r="R663">
        <f t="shared" si="996"/>
        <v>41839782.182713471</v>
      </c>
      <c r="S663">
        <f t="shared" si="997"/>
        <v>418.39782182713469</v>
      </c>
      <c r="T663">
        <f t="shared" si="998"/>
        <v>0.4183978218271347</v>
      </c>
    </row>
    <row r="664" spans="1:20" x14ac:dyDescent="0.25">
      <c r="A664" s="5">
        <v>43929</v>
      </c>
      <c r="B664">
        <v>5.4725999999999999</v>
      </c>
      <c r="C664">
        <v>5.91</v>
      </c>
      <c r="D664">
        <v>5.4</v>
      </c>
      <c r="E664">
        <v>5.8255999999999997</v>
      </c>
      <c r="F664">
        <v>3150588.43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0.6690196078431353</v>
      </c>
      <c r="Q664">
        <f t="shared" si="995"/>
        <v>2107805.4359137192</v>
      </c>
      <c r="R664">
        <f t="shared" si="996"/>
        <v>40434024.921900071</v>
      </c>
      <c r="S664">
        <f t="shared" si="997"/>
        <v>404.34024921900073</v>
      </c>
      <c r="T664">
        <f t="shared" si="998"/>
        <v>0.40434024921900075</v>
      </c>
    </row>
    <row r="665" spans="1:20" x14ac:dyDescent="0.25">
      <c r="A665" s="5">
        <v>43928</v>
      </c>
      <c r="B665">
        <v>5.6223000000000001</v>
      </c>
      <c r="C665">
        <v>5.8250000000000002</v>
      </c>
      <c r="D665">
        <v>5.3765000000000001</v>
      </c>
      <c r="E665">
        <v>5.4748999999999999</v>
      </c>
      <c r="F665">
        <v>2660110.3199999998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-0.56120401337792736</v>
      </c>
      <c r="Q665">
        <f t="shared" si="995"/>
        <v>-1492864.5876120424</v>
      </c>
      <c r="R665">
        <f t="shared" si="996"/>
        <v>38326219.485986352</v>
      </c>
      <c r="S665">
        <f t="shared" si="997"/>
        <v>383.26219485986354</v>
      </c>
      <c r="T665">
        <f t="shared" si="998"/>
        <v>0.38326219485986351</v>
      </c>
    </row>
    <row r="666" spans="1:20" x14ac:dyDescent="0.25">
      <c r="A666" s="5">
        <v>43927</v>
      </c>
      <c r="B666">
        <v>5.0281000000000002</v>
      </c>
      <c r="C666">
        <v>5.6262999999999996</v>
      </c>
      <c r="D666">
        <v>5.0258000000000003</v>
      </c>
      <c r="E666">
        <v>5.6196999999999999</v>
      </c>
      <c r="F666">
        <v>2882987.93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0.97801831806827733</v>
      </c>
      <c r="Q666">
        <f t="shared" si="995"/>
        <v>2819615.0063097444</v>
      </c>
      <c r="R666">
        <f t="shared" si="996"/>
        <v>39819084.073598392</v>
      </c>
      <c r="S666">
        <f t="shared" si="997"/>
        <v>398.1908407359839</v>
      </c>
      <c r="T666">
        <f t="shared" si="998"/>
        <v>0.39819084073598388</v>
      </c>
    </row>
    <row r="667" spans="1:20" x14ac:dyDescent="0.25">
      <c r="A667" s="5">
        <v>43926</v>
      </c>
      <c r="B667">
        <v>5.1493000000000002</v>
      </c>
      <c r="C667">
        <v>5.1837</v>
      </c>
      <c r="D667">
        <v>4.9221000000000004</v>
      </c>
      <c r="E667">
        <v>5.0296000000000003</v>
      </c>
      <c r="F667">
        <v>1294634.8400000001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-0.17813455657492286</v>
      </c>
      <c r="Q667">
        <f t="shared" si="995"/>
        <v>-230619.20314984623</v>
      </c>
      <c r="R667">
        <f t="shared" si="996"/>
        <v>36999469.067288645</v>
      </c>
      <c r="S667">
        <f t="shared" si="997"/>
        <v>369.99469067288646</v>
      </c>
      <c r="T667">
        <f t="shared" si="998"/>
        <v>0.36999469067288648</v>
      </c>
    </row>
    <row r="668" spans="1:20" x14ac:dyDescent="0.25">
      <c r="A668" s="5">
        <v>43925</v>
      </c>
      <c r="B668">
        <v>5.1162999999999998</v>
      </c>
      <c r="C668">
        <v>5.2435999999999998</v>
      </c>
      <c r="D668">
        <v>5.0429000000000004</v>
      </c>
      <c r="E668">
        <v>5.1474000000000002</v>
      </c>
      <c r="F668">
        <v>1502218.31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4.1355256601894465E-2</v>
      </c>
      <c r="Q668">
        <f t="shared" si="995"/>
        <v>62124.623682114245</v>
      </c>
      <c r="R668">
        <f t="shared" si="996"/>
        <v>37230088.270438492</v>
      </c>
      <c r="S668">
        <f t="shared" si="997"/>
        <v>372.30088270438495</v>
      </c>
      <c r="T668">
        <f t="shared" si="998"/>
        <v>0.37230088270438494</v>
      </c>
    </row>
    <row r="669" spans="1:20" x14ac:dyDescent="0.25">
      <c r="A669" s="5">
        <v>43924</v>
      </c>
      <c r="B669">
        <v>5.0949</v>
      </c>
      <c r="C669">
        <v>5.2386999999999997</v>
      </c>
      <c r="D669">
        <v>4.9901999999999997</v>
      </c>
      <c r="E669">
        <v>5.1163999999999996</v>
      </c>
      <c r="F669">
        <v>1921122.83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1.5694164989938808E-2</v>
      </c>
      <c r="Q669">
        <f t="shared" si="995"/>
        <v>30150.418659958166</v>
      </c>
      <c r="R669">
        <f t="shared" si="996"/>
        <v>37167963.646756381</v>
      </c>
      <c r="S669">
        <f t="shared" si="997"/>
        <v>371.6796364675638</v>
      </c>
      <c r="T669">
        <f t="shared" si="998"/>
        <v>0.3716796364675638</v>
      </c>
    </row>
    <row r="670" spans="1:20" x14ac:dyDescent="0.25">
      <c r="A670" s="5">
        <v>43923</v>
      </c>
      <c r="B670">
        <v>5.0278999999999998</v>
      </c>
      <c r="C670">
        <v>5.3483999999999998</v>
      </c>
      <c r="D670">
        <v>4.9669999999999996</v>
      </c>
      <c r="E670">
        <v>5.0956999999999999</v>
      </c>
      <c r="F670">
        <v>2846603.99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-0.32511798636601891</v>
      </c>
      <c r="Q670">
        <f t="shared" si="995"/>
        <v>-925482.15721027507</v>
      </c>
      <c r="R670">
        <f t="shared" si="996"/>
        <v>37137813.228096426</v>
      </c>
      <c r="S670">
        <f t="shared" si="997"/>
        <v>371.37813228096428</v>
      </c>
      <c r="T670">
        <f t="shared" si="998"/>
        <v>0.37137813228096428</v>
      </c>
    </row>
    <row r="671" spans="1:20" x14ac:dyDescent="0.25">
      <c r="A671" s="5">
        <v>43922</v>
      </c>
      <c r="B671">
        <v>4.9374000000000002</v>
      </c>
      <c r="C671">
        <v>5.05</v>
      </c>
      <c r="D671">
        <v>4.7816000000000001</v>
      </c>
      <c r="E671">
        <v>5.0254000000000003</v>
      </c>
      <c r="F671">
        <v>2837655.42</v>
      </c>
      <c r="G671">
        <v>0</v>
      </c>
      <c r="L671" t="s">
        <v>8</v>
      </c>
      <c r="M671" t="s">
        <v>8</v>
      </c>
      <c r="N671" t="s">
        <v>8</v>
      </c>
      <c r="P671">
        <f t="shared" si="994"/>
        <v>0.8166915052160989</v>
      </c>
      <c r="Q671">
        <f t="shared" si="995"/>
        <v>2317489.0762444213</v>
      </c>
      <c r="R671">
        <f t="shared" si="996"/>
        <v>38063295.385306701</v>
      </c>
      <c r="S671">
        <f t="shared" si="997"/>
        <v>380.63295385306702</v>
      </c>
      <c r="T671">
        <f t="shared" si="998"/>
        <v>0.380632953853067</v>
      </c>
    </row>
    <row r="672" spans="1:20" x14ac:dyDescent="0.25">
      <c r="A672" s="5">
        <v>43921</v>
      </c>
      <c r="B672">
        <v>4.9532999999999996</v>
      </c>
      <c r="C672">
        <v>5.0162000000000004</v>
      </c>
      <c r="D672">
        <v>4.8579999999999997</v>
      </c>
      <c r="E672">
        <v>4.9340999999999999</v>
      </c>
      <c r="F672">
        <v>1600667.2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-3.7926675094817938E-2</v>
      </c>
      <c r="Q672">
        <f t="shared" si="995"/>
        <v>-60707.984829331959</v>
      </c>
      <c r="R672">
        <f t="shared" si="996"/>
        <v>35745806.30906228</v>
      </c>
      <c r="S672">
        <f t="shared" si="997"/>
        <v>357.45806309062277</v>
      </c>
      <c r="T672">
        <f t="shared" si="998"/>
        <v>0.35745806309062278</v>
      </c>
    </row>
    <row r="673" spans="1:20" x14ac:dyDescent="0.25">
      <c r="A673" s="5">
        <v>43920</v>
      </c>
      <c r="B673">
        <v>4.8098999999999998</v>
      </c>
      <c r="C673">
        <v>5.0549999999999997</v>
      </c>
      <c r="D673">
        <v>4.7992999999999997</v>
      </c>
      <c r="E673">
        <v>4.9528999999999996</v>
      </c>
      <c r="F673">
        <v>2323159.39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0.20140789988267452</v>
      </c>
      <c r="Q673">
        <f t="shared" si="995"/>
        <v>467902.65383261524</v>
      </c>
      <c r="R673">
        <f t="shared" si="996"/>
        <v>35806514.293891609</v>
      </c>
      <c r="S673">
        <f t="shared" si="997"/>
        <v>358.0651429389161</v>
      </c>
      <c r="T673">
        <f t="shared" si="998"/>
        <v>0.35806514293891611</v>
      </c>
    </row>
    <row r="674" spans="1:20" x14ac:dyDescent="0.25">
      <c r="A674" s="5">
        <v>43919</v>
      </c>
      <c r="B674">
        <v>4.8140999999999998</v>
      </c>
      <c r="C674">
        <v>5.0629999999999997</v>
      </c>
      <c r="D674">
        <v>4.7736999999999998</v>
      </c>
      <c r="E674">
        <v>4.8125999999999998</v>
      </c>
      <c r="F674">
        <v>2094673.65</v>
      </c>
      <c r="G674">
        <v>0</v>
      </c>
      <c r="L674" t="s">
        <v>8</v>
      </c>
      <c r="M674" t="s">
        <v>8</v>
      </c>
      <c r="N674" t="s">
        <v>8</v>
      </c>
      <c r="P674">
        <f t="shared" si="994"/>
        <v>-0.73107500864154895</v>
      </c>
      <c r="Q674">
        <f t="shared" si="995"/>
        <v>-1531363.5567749748</v>
      </c>
      <c r="R674">
        <f t="shared" si="996"/>
        <v>35338611.640058994</v>
      </c>
      <c r="S674">
        <f t="shared" si="997"/>
        <v>353.38611640058997</v>
      </c>
      <c r="T674">
        <f t="shared" si="998"/>
        <v>0.35338611640058998</v>
      </c>
    </row>
    <row r="675" spans="1:20" x14ac:dyDescent="0.25">
      <c r="A675" s="5">
        <v>43918</v>
      </c>
      <c r="B675">
        <v>4.9176000000000002</v>
      </c>
      <c r="C675">
        <v>4.9176000000000002</v>
      </c>
      <c r="D675">
        <v>4.6212</v>
      </c>
      <c r="E675">
        <v>4.8132999999999999</v>
      </c>
      <c r="F675">
        <v>2283731.3199999998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0.29622132253711064</v>
      </c>
      <c r="Q675">
        <f t="shared" si="995"/>
        <v>676489.91192982136</v>
      </c>
      <c r="R675">
        <f t="shared" si="996"/>
        <v>36869975.196833968</v>
      </c>
      <c r="S675">
        <f t="shared" si="997"/>
        <v>368.69975196833968</v>
      </c>
      <c r="T675">
        <f t="shared" si="998"/>
        <v>0.36869975196833971</v>
      </c>
    </row>
    <row r="676" spans="1:20" x14ac:dyDescent="0.25">
      <c r="A676" s="5">
        <v>43917</v>
      </c>
      <c r="B676">
        <v>5.0968</v>
      </c>
      <c r="C676">
        <v>5.2032999999999996</v>
      </c>
      <c r="D676">
        <v>4.83</v>
      </c>
      <c r="E676">
        <v>4.9208999999999996</v>
      </c>
      <c r="F676">
        <v>2000610.24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-0.51299223144923844</v>
      </c>
      <c r="Q676">
        <f t="shared" si="995"/>
        <v>-1026297.5112777965</v>
      </c>
      <c r="R676">
        <f t="shared" si="996"/>
        <v>36193485.284904145</v>
      </c>
      <c r="S676">
        <f t="shared" si="997"/>
        <v>361.93485284904142</v>
      </c>
      <c r="T676">
        <f t="shared" si="998"/>
        <v>0.36193485284904142</v>
      </c>
    </row>
    <row r="677" spans="1:20" x14ac:dyDescent="0.25">
      <c r="A677" s="5">
        <v>43916</v>
      </c>
      <c r="B677">
        <v>5.0199999999999996</v>
      </c>
      <c r="C677">
        <v>5.1153000000000004</v>
      </c>
      <c r="D677">
        <v>4.9093</v>
      </c>
      <c r="E677">
        <v>5.0968</v>
      </c>
      <c r="F677">
        <v>1969015.47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0.82038834951455952</v>
      </c>
      <c r="Q677">
        <f t="shared" si="995"/>
        <v>1615357.3516019348</v>
      </c>
      <c r="R677">
        <f t="shared" si="996"/>
        <v>37219782.79618194</v>
      </c>
      <c r="S677">
        <f t="shared" si="997"/>
        <v>372.19782796181937</v>
      </c>
      <c r="T677">
        <f t="shared" si="998"/>
        <v>0.37219782796181938</v>
      </c>
    </row>
    <row r="678" spans="1:20" x14ac:dyDescent="0.25">
      <c r="A678" s="5">
        <v>43915</v>
      </c>
      <c r="B678">
        <v>5.0636999999999999</v>
      </c>
      <c r="C678">
        <v>5.2725</v>
      </c>
      <c r="D678">
        <v>4.8981000000000003</v>
      </c>
      <c r="E678">
        <v>5.0180999999999996</v>
      </c>
      <c r="F678">
        <v>3971608.96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-0.35897435897436253</v>
      </c>
      <c r="Q678">
        <f t="shared" si="995"/>
        <v>-1425705.7805128347</v>
      </c>
      <c r="R678">
        <f t="shared" si="996"/>
        <v>35604425.444580004</v>
      </c>
      <c r="S678">
        <f t="shared" si="997"/>
        <v>356.04425444580005</v>
      </c>
      <c r="T678">
        <f t="shared" si="998"/>
        <v>0.35604425444580007</v>
      </c>
    </row>
    <row r="679" spans="1:20" x14ac:dyDescent="0.25">
      <c r="A679" s="5">
        <v>43914</v>
      </c>
      <c r="B679">
        <v>4.9701000000000004</v>
      </c>
      <c r="C679">
        <v>5.2</v>
      </c>
      <c r="D679">
        <v>4.8635999999999999</v>
      </c>
      <c r="E679">
        <v>5.0656999999999996</v>
      </c>
      <c r="F679">
        <v>3588730.93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0.20154577883471803</v>
      </c>
      <c r="Q679">
        <f t="shared" si="995"/>
        <v>723293.57031509199</v>
      </c>
      <c r="R679">
        <f t="shared" si="996"/>
        <v>37030131.225092836</v>
      </c>
      <c r="S679">
        <f t="shared" si="997"/>
        <v>370.30131225092833</v>
      </c>
      <c r="T679">
        <f t="shared" si="998"/>
        <v>0.37030131225092833</v>
      </c>
    </row>
    <row r="680" spans="1:20" x14ac:dyDescent="0.25">
      <c r="A680" s="5">
        <v>43913</v>
      </c>
      <c r="B680">
        <v>4.5921000000000003</v>
      </c>
      <c r="C680">
        <v>5.0811999999999999</v>
      </c>
      <c r="D680">
        <v>4.5129000000000001</v>
      </c>
      <c r="E680">
        <v>4.9668999999999999</v>
      </c>
      <c r="F680">
        <v>3917425.63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0.59774766848495475</v>
      </c>
      <c r="Q680">
        <f t="shared" si="995"/>
        <v>2341632.0367957051</v>
      </c>
      <c r="R680">
        <f t="shared" si="996"/>
        <v>36306837.654777743</v>
      </c>
      <c r="S680">
        <f t="shared" si="997"/>
        <v>363.0683765477774</v>
      </c>
      <c r="T680">
        <f t="shared" si="998"/>
        <v>0.3630683765477774</v>
      </c>
    </row>
    <row r="681" spans="1:20" x14ac:dyDescent="0.25">
      <c r="A681" s="5">
        <v>43912</v>
      </c>
      <c r="B681">
        <v>5.0058999999999996</v>
      </c>
      <c r="C681">
        <v>5.2370999999999999</v>
      </c>
      <c r="D681">
        <v>4.5361000000000002</v>
      </c>
      <c r="E681">
        <v>4.5934999999999997</v>
      </c>
      <c r="F681">
        <v>5066867.87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-0.83623395149786173</v>
      </c>
      <c r="Q681">
        <f t="shared" si="995"/>
        <v>-4237086.9406476542</v>
      </c>
      <c r="R681">
        <f t="shared" si="996"/>
        <v>33965205.617982037</v>
      </c>
      <c r="S681">
        <f t="shared" si="997"/>
        <v>339.65205617982036</v>
      </c>
      <c r="T681">
        <f t="shared" si="998"/>
        <v>0.33965205617982036</v>
      </c>
    </row>
    <row r="682" spans="1:20" x14ac:dyDescent="0.25">
      <c r="A682" s="5">
        <v>43911</v>
      </c>
      <c r="B682">
        <v>4.8913000000000002</v>
      </c>
      <c r="C682">
        <v>5.1497000000000002</v>
      </c>
      <c r="D682">
        <v>4.6684000000000001</v>
      </c>
      <c r="E682">
        <v>5.008</v>
      </c>
      <c r="F682">
        <v>3120870.87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0.4111780594223971</v>
      </c>
      <c r="Q682">
        <f t="shared" si="995"/>
        <v>1283233.6280344883</v>
      </c>
      <c r="R682">
        <f t="shared" si="996"/>
        <v>38202292.558629692</v>
      </c>
      <c r="S682">
        <f t="shared" si="997"/>
        <v>382.02292558629694</v>
      </c>
      <c r="T682">
        <f t="shared" si="998"/>
        <v>0.38202292558629691</v>
      </c>
    </row>
    <row r="683" spans="1:20" x14ac:dyDescent="0.25">
      <c r="A683" s="5">
        <v>43910</v>
      </c>
      <c r="B683">
        <v>5.0411000000000001</v>
      </c>
      <c r="C683">
        <v>5.5369999999999999</v>
      </c>
      <c r="D683">
        <v>4.5227000000000004</v>
      </c>
      <c r="E683">
        <v>4.8868999999999998</v>
      </c>
      <c r="F683">
        <v>5478703.0499999998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-0.28186926944691004</v>
      </c>
      <c r="Q683">
        <f t="shared" si="995"/>
        <v>-1544278.0262200579</v>
      </c>
      <c r="R683">
        <f t="shared" si="996"/>
        <v>36919058.930595204</v>
      </c>
      <c r="S683">
        <f t="shared" si="997"/>
        <v>369.19058930595202</v>
      </c>
      <c r="T683">
        <f t="shared" si="998"/>
        <v>0.369190589305952</v>
      </c>
    </row>
    <row r="684" spans="1:20" x14ac:dyDescent="0.25">
      <c r="A684" s="5">
        <v>43909</v>
      </c>
      <c r="B684">
        <v>4.6047000000000002</v>
      </c>
      <c r="C684">
        <v>5.2868000000000004</v>
      </c>
      <c r="D684">
        <v>4.4734999999999996</v>
      </c>
      <c r="E684">
        <v>5.0403000000000002</v>
      </c>
      <c r="F684">
        <v>4294046.97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0.39382761588589715</v>
      </c>
      <c r="Q684">
        <f t="shared" si="995"/>
        <v>1691114.2806971604</v>
      </c>
      <c r="R684">
        <f t="shared" si="996"/>
        <v>38463336.956815265</v>
      </c>
      <c r="S684">
        <f t="shared" si="997"/>
        <v>384.63336956815266</v>
      </c>
      <c r="T684">
        <f t="shared" si="998"/>
        <v>0.38463336956815264</v>
      </c>
    </row>
    <row r="685" spans="1:20" x14ac:dyDescent="0.25">
      <c r="A685" s="5">
        <v>43908</v>
      </c>
      <c r="B685">
        <v>4.6052</v>
      </c>
      <c r="C685">
        <v>4.6694000000000004</v>
      </c>
      <c r="D685">
        <v>4.3178999999999998</v>
      </c>
      <c r="E685">
        <v>4.6039000000000003</v>
      </c>
      <c r="F685">
        <v>2950337.06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0.62731152204836416</v>
      </c>
      <c r="Q685">
        <f t="shared" si="995"/>
        <v>1850780.431664296</v>
      </c>
      <c r="R685">
        <f t="shared" si="996"/>
        <v>36772222.676118106</v>
      </c>
      <c r="S685">
        <f t="shared" si="997"/>
        <v>367.72222676118105</v>
      </c>
      <c r="T685">
        <f t="shared" si="998"/>
        <v>0.36772222676118105</v>
      </c>
    </row>
    <row r="686" spans="1:20" x14ac:dyDescent="0.25">
      <c r="A686" s="5">
        <v>43907</v>
      </c>
      <c r="B686">
        <v>4.4954999999999998</v>
      </c>
      <c r="C686">
        <v>5</v>
      </c>
      <c r="D686">
        <v>4.3708</v>
      </c>
      <c r="E686">
        <v>4.6047000000000002</v>
      </c>
      <c r="F686">
        <v>5828053.5099999998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-0.25651621106166489</v>
      </c>
      <c r="Q686">
        <f t="shared" si="995"/>
        <v>-1494990.2042498367</v>
      </c>
      <c r="R686">
        <f t="shared" si="996"/>
        <v>34921442.24445381</v>
      </c>
      <c r="S686">
        <f t="shared" si="997"/>
        <v>349.21442244453812</v>
      </c>
      <c r="T686">
        <f t="shared" si="998"/>
        <v>0.3492144224445381</v>
      </c>
    </row>
    <row r="687" spans="1:20" x14ac:dyDescent="0.25">
      <c r="A687" s="5">
        <v>43906</v>
      </c>
      <c r="B687">
        <v>5.0427</v>
      </c>
      <c r="C687">
        <v>5.0507999999999997</v>
      </c>
      <c r="D687">
        <v>4.0453000000000001</v>
      </c>
      <c r="E687">
        <v>4.4987000000000004</v>
      </c>
      <c r="F687">
        <v>8068832.2699999996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-9.8160119343609312E-2</v>
      </c>
      <c r="Q687">
        <f t="shared" si="995"/>
        <v>-792037.53858676599</v>
      </c>
      <c r="R687">
        <f t="shared" si="996"/>
        <v>36416432.448703647</v>
      </c>
      <c r="S687">
        <f t="shared" si="997"/>
        <v>364.16432448703648</v>
      </c>
      <c r="T687">
        <f t="shared" si="998"/>
        <v>0.36416432448703651</v>
      </c>
    </row>
    <row r="688" spans="1:20" x14ac:dyDescent="0.25">
      <c r="A688" s="5">
        <v>43905</v>
      </c>
      <c r="B688">
        <v>4.5861999999999998</v>
      </c>
      <c r="C688">
        <v>5.2962999999999996</v>
      </c>
      <c r="D688">
        <v>4.5373000000000001</v>
      </c>
      <c r="E688">
        <v>5.0484</v>
      </c>
      <c r="F688">
        <v>4073907.86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0.34677206851119963</v>
      </c>
      <c r="Q688">
        <f t="shared" si="995"/>
        <v>1412717.4555362347</v>
      </c>
      <c r="R688">
        <f t="shared" si="996"/>
        <v>37208469.987290412</v>
      </c>
      <c r="S688">
        <f t="shared" si="997"/>
        <v>372.08469987290414</v>
      </c>
      <c r="T688">
        <f t="shared" si="998"/>
        <v>0.37208469987290416</v>
      </c>
    </row>
    <row r="689" spans="1:20" x14ac:dyDescent="0.25">
      <c r="A689" s="5">
        <v>43904</v>
      </c>
      <c r="B689">
        <v>4.8430999999999997</v>
      </c>
      <c r="C689">
        <v>4.9085000000000001</v>
      </c>
      <c r="D689">
        <v>4.4820000000000002</v>
      </c>
      <c r="E689">
        <v>4.5898000000000003</v>
      </c>
      <c r="F689">
        <v>4844597.8899999997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-0.49449003516998757</v>
      </c>
      <c r="Q689">
        <f t="shared" si="995"/>
        <v>-2395605.3810105473</v>
      </c>
      <c r="R689">
        <f t="shared" si="996"/>
        <v>35795752.531754181</v>
      </c>
      <c r="S689">
        <f t="shared" si="997"/>
        <v>357.95752531754181</v>
      </c>
      <c r="T689">
        <f t="shared" si="998"/>
        <v>0.35795752531754182</v>
      </c>
    </row>
    <row r="690" spans="1:20" x14ac:dyDescent="0.25">
      <c r="A690" s="5">
        <v>43903</v>
      </c>
      <c r="B690">
        <v>3.7168000000000001</v>
      </c>
      <c r="C690">
        <v>5.306</v>
      </c>
      <c r="D690">
        <v>3.0726</v>
      </c>
      <c r="E690">
        <v>4.8432000000000004</v>
      </c>
      <c r="F690">
        <v>12608546.220000001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0.58556461001164173</v>
      </c>
      <c r="Q690">
        <f t="shared" si="995"/>
        <v>7383118.4501280598</v>
      </c>
      <c r="R690">
        <f t="shared" si="996"/>
        <v>38191357.912764728</v>
      </c>
      <c r="S690">
        <f t="shared" si="997"/>
        <v>381.91357912764727</v>
      </c>
      <c r="T690">
        <f t="shared" si="998"/>
        <v>0.38191357912764728</v>
      </c>
    </row>
    <row r="691" spans="1:20" x14ac:dyDescent="0.25">
      <c r="A691" s="5">
        <v>43902</v>
      </c>
      <c r="B691">
        <v>6.5965999999999996</v>
      </c>
      <c r="C691">
        <v>6.6166999999999998</v>
      </c>
      <c r="D691">
        <v>3.5954000000000002</v>
      </c>
      <c r="E691">
        <v>3.7168000000000001</v>
      </c>
      <c r="F691">
        <v>10286772.98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-0.91963724224671506</v>
      </c>
      <c r="Q691">
        <f t="shared" si="995"/>
        <v>-9460099.5349452235</v>
      </c>
      <c r="R691">
        <f t="shared" si="996"/>
        <v>30808239.462636668</v>
      </c>
      <c r="S691">
        <f t="shared" si="997"/>
        <v>308.08239462636669</v>
      </c>
      <c r="T691">
        <f t="shared" si="998"/>
        <v>0.30808239462636672</v>
      </c>
    </row>
    <row r="692" spans="1:20" x14ac:dyDescent="0.25">
      <c r="A692" s="5">
        <v>43901</v>
      </c>
      <c r="B692">
        <v>6.8235999999999999</v>
      </c>
      <c r="C692">
        <v>6.8879000000000001</v>
      </c>
      <c r="D692">
        <v>6.1013000000000002</v>
      </c>
      <c r="E692">
        <v>6.5922000000000001</v>
      </c>
      <c r="F692">
        <v>3958747.16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0.24815662344266443</v>
      </c>
      <c r="Q692">
        <f t="shared" si="995"/>
        <v>982389.32828883722</v>
      </c>
      <c r="R692">
        <f t="shared" si="996"/>
        <v>40268338.997581892</v>
      </c>
      <c r="S692">
        <f t="shared" si="997"/>
        <v>402.6833899758189</v>
      </c>
      <c r="T692">
        <f t="shared" si="998"/>
        <v>0.40268338997581887</v>
      </c>
    </row>
    <row r="693" spans="1:20" x14ac:dyDescent="0.25">
      <c r="A693" s="5">
        <v>43900</v>
      </c>
      <c r="B693">
        <v>6.9302000000000001</v>
      </c>
      <c r="C693">
        <v>6.9646999999999997</v>
      </c>
      <c r="D693">
        <v>6.6123000000000003</v>
      </c>
      <c r="E693">
        <v>6.8285</v>
      </c>
      <c r="F693">
        <v>3143822.4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0.22701475595913795</v>
      </c>
      <c r="Q693">
        <f t="shared" si="995"/>
        <v>713694.07491487137</v>
      </c>
      <c r="R693">
        <f t="shared" si="996"/>
        <v>39285949.669293053</v>
      </c>
      <c r="S693">
        <f t="shared" si="997"/>
        <v>392.85949669293052</v>
      </c>
      <c r="T693">
        <f t="shared" si="998"/>
        <v>0.39285949669293052</v>
      </c>
    </row>
    <row r="694" spans="1:20" x14ac:dyDescent="0.25">
      <c r="A694" s="5">
        <v>43899</v>
      </c>
      <c r="B694">
        <v>6.4428999999999998</v>
      </c>
      <c r="C694">
        <v>7.0456000000000003</v>
      </c>
      <c r="D694">
        <v>6.3731999999999998</v>
      </c>
      <c r="E694">
        <v>6.9302000000000001</v>
      </c>
      <c r="F694">
        <v>7338011.54</v>
      </c>
      <c r="G694">
        <v>0</v>
      </c>
      <c r="L694" t="s">
        <v>8</v>
      </c>
      <c r="M694" t="s">
        <v>7</v>
      </c>
      <c r="N694" t="s">
        <v>7</v>
      </c>
      <c r="P694">
        <f t="shared" si="994"/>
        <v>0.65675193337299209</v>
      </c>
      <c r="Q694">
        <f t="shared" si="995"/>
        <v>4819253.2660083268</v>
      </c>
      <c r="R694">
        <f t="shared" si="996"/>
        <v>38572255.594378181</v>
      </c>
      <c r="S694">
        <f t="shared" si="997"/>
        <v>385.7225559437818</v>
      </c>
      <c r="T694">
        <f t="shared" si="998"/>
        <v>0.3857225559437818</v>
      </c>
    </row>
    <row r="695" spans="1:20" x14ac:dyDescent="0.25">
      <c r="A695" s="5">
        <v>43898</v>
      </c>
      <c r="B695">
        <v>7.8036000000000003</v>
      </c>
      <c r="C695">
        <v>7.8036000000000003</v>
      </c>
      <c r="D695">
        <v>6.2282999999999999</v>
      </c>
      <c r="E695">
        <v>6.4442000000000004</v>
      </c>
      <c r="F695">
        <v>4635764.1100000003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-0.72589348060686809</v>
      </c>
      <c r="Q695">
        <f t="shared" si="995"/>
        <v>-3365070.9450803003</v>
      </c>
      <c r="R695">
        <f t="shared" si="996"/>
        <v>33753002.328369856</v>
      </c>
      <c r="S695">
        <f t="shared" si="997"/>
        <v>337.53002328369854</v>
      </c>
      <c r="T695">
        <f t="shared" si="998"/>
        <v>0.33753002328369852</v>
      </c>
    </row>
    <row r="696" spans="1:20" x14ac:dyDescent="0.25">
      <c r="A696" s="5">
        <v>43897</v>
      </c>
      <c r="B696">
        <v>8.2192000000000007</v>
      </c>
      <c r="C696">
        <v>8.2239000000000004</v>
      </c>
      <c r="D696">
        <v>7.7436999999999996</v>
      </c>
      <c r="E696">
        <v>7.8017000000000003</v>
      </c>
      <c r="F696">
        <v>1892352.11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-0.75843398583923105</v>
      </c>
      <c r="Q696">
        <f t="shared" si="995"/>
        <v>-1435224.153398579</v>
      </c>
      <c r="R696">
        <f t="shared" si="996"/>
        <v>37118073.273450159</v>
      </c>
      <c r="S696">
        <f t="shared" si="997"/>
        <v>371.18073273450159</v>
      </c>
      <c r="T696">
        <f t="shared" si="998"/>
        <v>0.37118073273450158</v>
      </c>
    </row>
    <row r="697" spans="1:20" x14ac:dyDescent="0.25">
      <c r="A697" s="5">
        <v>43896</v>
      </c>
      <c r="B697">
        <v>8.1750000000000007</v>
      </c>
      <c r="C697">
        <v>8.3119999999999994</v>
      </c>
      <c r="D697">
        <v>7.8712</v>
      </c>
      <c r="E697">
        <v>8.2188999999999997</v>
      </c>
      <c r="F697">
        <v>2123489.33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0.57758620689655238</v>
      </c>
      <c r="Q697">
        <f t="shared" si="995"/>
        <v>1226498.1475000014</v>
      </c>
      <c r="R697">
        <f t="shared" si="996"/>
        <v>38553297.426848739</v>
      </c>
      <c r="S697">
        <f t="shared" si="997"/>
        <v>385.53297426848741</v>
      </c>
      <c r="T697">
        <f t="shared" si="998"/>
        <v>0.38553297426848743</v>
      </c>
    </row>
    <row r="698" spans="1:20" x14ac:dyDescent="0.25">
      <c r="A698" s="5">
        <v>43895</v>
      </c>
      <c r="B698">
        <v>7.9379999999999997</v>
      </c>
      <c r="C698">
        <v>8.4469999999999992</v>
      </c>
      <c r="D698">
        <v>7.9379999999999997</v>
      </c>
      <c r="E698">
        <v>8.1747999999999994</v>
      </c>
      <c r="F698">
        <v>2885865.82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-6.9548133595285139E-2</v>
      </c>
      <c r="Q698">
        <f t="shared" si="995"/>
        <v>-200706.58158742709</v>
      </c>
      <c r="R698">
        <f t="shared" si="996"/>
        <v>37326799.279348738</v>
      </c>
      <c r="S698">
        <f t="shared" si="997"/>
        <v>373.26799279348739</v>
      </c>
      <c r="T698">
        <f t="shared" si="998"/>
        <v>0.37326799279348738</v>
      </c>
    </row>
    <row r="699" spans="1:20" x14ac:dyDescent="0.25">
      <c r="A699" s="5">
        <v>43894</v>
      </c>
      <c r="B699">
        <v>8.4779999999999998</v>
      </c>
      <c r="C699">
        <v>8.5260999999999996</v>
      </c>
      <c r="D699">
        <v>7.61</v>
      </c>
      <c r="E699">
        <v>7.9381000000000004</v>
      </c>
      <c r="F699">
        <v>3470789.53</v>
      </c>
      <c r="G699">
        <v>0</v>
      </c>
      <c r="L699" t="s">
        <v>7</v>
      </c>
      <c r="M699" t="s">
        <v>8</v>
      </c>
      <c r="N699" t="s">
        <v>7</v>
      </c>
      <c r="P699">
        <f t="shared" si="994"/>
        <v>-0.28370265254884769</v>
      </c>
      <c r="Q699">
        <f t="shared" si="995"/>
        <v>-984672.19609976828</v>
      </c>
      <c r="R699">
        <f t="shared" si="996"/>
        <v>37527505.860936165</v>
      </c>
      <c r="S699">
        <f t="shared" si="997"/>
        <v>375.27505860936162</v>
      </c>
      <c r="T699">
        <f t="shared" si="998"/>
        <v>0.37527505860936161</v>
      </c>
    </row>
    <row r="700" spans="1:20" x14ac:dyDescent="0.25">
      <c r="A700" s="5">
        <v>43893</v>
      </c>
      <c r="B700">
        <v>8.4563000000000006</v>
      </c>
      <c r="C700">
        <v>8.6348000000000003</v>
      </c>
      <c r="D700">
        <v>8.1045999999999996</v>
      </c>
      <c r="E700">
        <v>8.4781999999999993</v>
      </c>
      <c r="F700">
        <v>4053136.67</v>
      </c>
      <c r="G700">
        <v>0</v>
      </c>
      <c r="L700" t="s">
        <v>7</v>
      </c>
      <c r="M700" t="s">
        <v>8</v>
      </c>
      <c r="N700" t="s">
        <v>7</v>
      </c>
      <c r="P700">
        <f t="shared" si="994"/>
        <v>0.40927951716333172</v>
      </c>
      <c r="Q700">
        <f t="shared" si="995"/>
        <v>1658865.8192945942</v>
      </c>
      <c r="R700">
        <f t="shared" si="996"/>
        <v>38512178.05703593</v>
      </c>
      <c r="S700">
        <f t="shared" si="997"/>
        <v>385.12178057035931</v>
      </c>
      <c r="T700">
        <f t="shared" si="998"/>
        <v>0.38512178057035928</v>
      </c>
    </row>
    <row r="701" spans="1:20" x14ac:dyDescent="0.25">
      <c r="A701" s="5">
        <v>43892</v>
      </c>
      <c r="B701">
        <v>7.7378999999999998</v>
      </c>
      <c r="C701">
        <v>8.6629000000000005</v>
      </c>
      <c r="D701">
        <v>7.6925999999999997</v>
      </c>
      <c r="E701">
        <v>8.4559999999999995</v>
      </c>
      <c r="F701">
        <v>4372343.71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0.57353395856951295</v>
      </c>
      <c r="Q701">
        <f t="shared" si="995"/>
        <v>2507687.5962228104</v>
      </c>
      <c r="R701">
        <f t="shared" si="996"/>
        <v>36853312.237741336</v>
      </c>
      <c r="S701">
        <f t="shared" si="997"/>
        <v>368.53312237741335</v>
      </c>
      <c r="T701">
        <f t="shared" si="998"/>
        <v>0.36853312237741337</v>
      </c>
    </row>
    <row r="702" spans="1:20" x14ac:dyDescent="0.25">
      <c r="A702" s="5">
        <v>43891</v>
      </c>
      <c r="B702">
        <v>7.3484999999999996</v>
      </c>
      <c r="C702">
        <v>7.9256000000000002</v>
      </c>
      <c r="D702">
        <v>7.3480999999999996</v>
      </c>
      <c r="E702">
        <v>7.7346000000000004</v>
      </c>
      <c r="F702">
        <v>3679595.05</v>
      </c>
      <c r="G702">
        <v>0</v>
      </c>
      <c r="L702" t="s">
        <v>8</v>
      </c>
      <c r="M702" t="s">
        <v>7</v>
      </c>
      <c r="N702" t="s">
        <v>7</v>
      </c>
      <c r="P702">
        <f t="shared" si="994"/>
        <v>0.33852813852813973</v>
      </c>
      <c r="Q702">
        <f t="shared" si="995"/>
        <v>1245646.4628138572</v>
      </c>
      <c r="R702">
        <f t="shared" si="996"/>
        <v>34345624.641518526</v>
      </c>
      <c r="S702">
        <f t="shared" si="997"/>
        <v>343.45624641518526</v>
      </c>
      <c r="T702">
        <f t="shared" si="998"/>
        <v>0.34345624641518524</v>
      </c>
    </row>
    <row r="703" spans="1:20" x14ac:dyDescent="0.25">
      <c r="A703" s="5">
        <v>43890</v>
      </c>
      <c r="B703">
        <v>7.4513999999999996</v>
      </c>
      <c r="C703">
        <v>7.6658999999999997</v>
      </c>
      <c r="D703">
        <v>7.33</v>
      </c>
      <c r="E703">
        <v>7.3540000000000001</v>
      </c>
      <c r="F703">
        <v>2263216.2000000002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-0.85710032747841591</v>
      </c>
      <c r="Q703">
        <f t="shared" si="995"/>
        <v>-1939803.3461744562</v>
      </c>
      <c r="R703">
        <f t="shared" si="996"/>
        <v>33099978.178704672</v>
      </c>
      <c r="S703">
        <f t="shared" si="997"/>
        <v>330.99978178704674</v>
      </c>
      <c r="T703">
        <f t="shared" si="998"/>
        <v>0.33099978178704675</v>
      </c>
    </row>
    <row r="704" spans="1:20" x14ac:dyDescent="0.25">
      <c r="A704" s="5">
        <v>43889</v>
      </c>
      <c r="B704">
        <v>7.7138999999999998</v>
      </c>
      <c r="C704">
        <v>7.843</v>
      </c>
      <c r="D704">
        <v>7.1765999999999996</v>
      </c>
      <c r="E704">
        <v>7.4528999999999996</v>
      </c>
      <c r="F704">
        <v>4138317.28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-0.17076830732292961</v>
      </c>
      <c r="Q704">
        <f t="shared" si="995"/>
        <v>-706693.43707083014</v>
      </c>
      <c r="R704">
        <f t="shared" si="996"/>
        <v>35039781.524879128</v>
      </c>
      <c r="S704">
        <f t="shared" si="997"/>
        <v>350.39781524879129</v>
      </c>
      <c r="T704">
        <f t="shared" si="998"/>
        <v>0.35039781524879127</v>
      </c>
    </row>
    <row r="705" spans="1:20" x14ac:dyDescent="0.25">
      <c r="A705" s="5">
        <v>43888</v>
      </c>
      <c r="B705">
        <v>7.6832000000000003</v>
      </c>
      <c r="C705">
        <v>8.0726999999999993</v>
      </c>
      <c r="D705">
        <v>7.3208000000000002</v>
      </c>
      <c r="E705">
        <v>7.7165999999999997</v>
      </c>
      <c r="F705">
        <v>4814952.58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5.2799574411490746E-2</v>
      </c>
      <c r="Q705">
        <f t="shared" si="995"/>
        <v>254227.44703550937</v>
      </c>
      <c r="R705">
        <f t="shared" si="996"/>
        <v>35746474.961949959</v>
      </c>
      <c r="S705">
        <f t="shared" si="997"/>
        <v>357.46474961949957</v>
      </c>
      <c r="T705">
        <f t="shared" si="998"/>
        <v>0.35746474961949959</v>
      </c>
    </row>
    <row r="706" spans="1:20" x14ac:dyDescent="0.25">
      <c r="A706" s="5">
        <v>43887</v>
      </c>
      <c r="B706">
        <v>9.1732999999999993</v>
      </c>
      <c r="C706">
        <v>9.3558000000000003</v>
      </c>
      <c r="D706">
        <v>7.27</v>
      </c>
      <c r="E706">
        <v>7.6822999999999997</v>
      </c>
      <c r="F706">
        <v>7205349.0599999996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-0.60466008246236458</v>
      </c>
      <c r="Q706">
        <f t="shared" si="995"/>
        <v>-4356786.9567897208</v>
      </c>
      <c r="R706">
        <f t="shared" si="996"/>
        <v>35492247.514914453</v>
      </c>
      <c r="S706">
        <f t="shared" si="997"/>
        <v>354.92247514914453</v>
      </c>
      <c r="T706">
        <f t="shared" si="998"/>
        <v>0.35492247514914455</v>
      </c>
    </row>
    <row r="707" spans="1:20" x14ac:dyDescent="0.25">
      <c r="A707" s="5">
        <v>43886</v>
      </c>
      <c r="B707">
        <v>9.3513999999999999</v>
      </c>
      <c r="C707">
        <v>9.4654000000000007</v>
      </c>
      <c r="D707">
        <v>8.92</v>
      </c>
      <c r="E707">
        <v>9.1742000000000008</v>
      </c>
      <c r="F707">
        <v>2310554.59</v>
      </c>
      <c r="G707">
        <v>0</v>
      </c>
      <c r="L707" t="s">
        <v>7</v>
      </c>
      <c r="M707" t="s">
        <v>8</v>
      </c>
      <c r="N707" t="s">
        <v>7</v>
      </c>
      <c r="P707">
        <f t="shared" si="994"/>
        <v>-6.7840117345065967E-2</v>
      </c>
      <c r="Q707">
        <f t="shared" si="995"/>
        <v>-156748.29451778077</v>
      </c>
      <c r="R707">
        <f t="shared" si="996"/>
        <v>39849034.47170417</v>
      </c>
      <c r="S707">
        <f t="shared" si="997"/>
        <v>398.49034471704169</v>
      </c>
      <c r="T707">
        <f t="shared" si="998"/>
        <v>0.3984903447170417</v>
      </c>
    </row>
    <row r="708" spans="1:20" x14ac:dyDescent="0.25">
      <c r="A708" s="5">
        <v>43885</v>
      </c>
      <c r="B708">
        <v>9.7439</v>
      </c>
      <c r="C708">
        <v>9.7799999999999994</v>
      </c>
      <c r="D708">
        <v>8.9868000000000006</v>
      </c>
      <c r="E708">
        <v>9.3481000000000005</v>
      </c>
      <c r="F708">
        <v>2602786.04</v>
      </c>
      <c r="G708">
        <v>0</v>
      </c>
      <c r="L708" t="s">
        <v>7</v>
      </c>
      <c r="M708" t="s">
        <v>8</v>
      </c>
      <c r="N708" t="s">
        <v>7</v>
      </c>
      <c r="P708">
        <f t="shared" si="994"/>
        <v>-8.9006555723649766E-2</v>
      </c>
      <c r="Q708">
        <f t="shared" si="995"/>
        <v>-231665.02070599771</v>
      </c>
      <c r="R708">
        <f t="shared" si="996"/>
        <v>40005782.766221948</v>
      </c>
      <c r="S708">
        <f t="shared" si="997"/>
        <v>400.05782766221949</v>
      </c>
      <c r="T708">
        <f t="shared" si="998"/>
        <v>0.40005782766221948</v>
      </c>
    </row>
    <row r="709" spans="1:20" x14ac:dyDescent="0.25">
      <c r="A709" s="5">
        <v>43884</v>
      </c>
      <c r="B709">
        <v>9.4868000000000006</v>
      </c>
      <c r="C709">
        <v>9.98</v>
      </c>
      <c r="D709">
        <v>9.4552999999999994</v>
      </c>
      <c r="E709">
        <v>9.7439</v>
      </c>
      <c r="F709">
        <v>2386262.2999999998</v>
      </c>
      <c r="G709">
        <v>0</v>
      </c>
      <c r="L709" t="s">
        <v>8</v>
      </c>
      <c r="M709" t="s">
        <v>8</v>
      </c>
      <c r="N709" t="s">
        <v>7</v>
      </c>
      <c r="P709">
        <f t="shared" si="994"/>
        <v>0.10005717552887385</v>
      </c>
      <c r="Q709">
        <f t="shared" si="995"/>
        <v>238762.6658090342</v>
      </c>
      <c r="R709">
        <f t="shared" si="996"/>
        <v>40237447.786927946</v>
      </c>
      <c r="S709">
        <f t="shared" si="997"/>
        <v>402.37447786927947</v>
      </c>
      <c r="T709">
        <f t="shared" si="998"/>
        <v>0.40237447786927949</v>
      </c>
    </row>
    <row r="710" spans="1:20" x14ac:dyDescent="0.25">
      <c r="A710" s="5">
        <v>43883</v>
      </c>
      <c r="B710">
        <v>9.4267000000000003</v>
      </c>
      <c r="C710">
        <v>9.7363</v>
      </c>
      <c r="D710">
        <v>9.2867999999999995</v>
      </c>
      <c r="E710">
        <v>9.4957999999999991</v>
      </c>
      <c r="F710">
        <v>2510552.67</v>
      </c>
      <c r="G710">
        <v>0</v>
      </c>
      <c r="L710" t="s">
        <v>8</v>
      </c>
      <c r="M710" t="s">
        <v>7</v>
      </c>
      <c r="N710" t="s">
        <v>7</v>
      </c>
      <c r="P710">
        <f t="shared" ref="P710:P766" si="999">IF(C710=D710,0,((E710-D710)-(C710-E710))/(C710-D710))</f>
        <v>-7.0077864293662209E-2</v>
      </c>
      <c r="Q710">
        <f t="shared" ref="Q710:Q766" si="1000">F710*P710</f>
        <v>-175934.16931035131</v>
      </c>
      <c r="R710">
        <f t="shared" ref="R710:R766" si="1001">R711+Q710</f>
        <v>39998685.121118911</v>
      </c>
      <c r="S710">
        <f t="shared" ref="S710:S766" si="1002">R710/100000</f>
        <v>399.98685121118911</v>
      </c>
      <c r="T710">
        <f t="shared" ref="T710:T766" si="1003">S710/1000</f>
        <v>0.3999868512111891</v>
      </c>
    </row>
    <row r="711" spans="1:20" x14ac:dyDescent="0.25">
      <c r="A711" s="5">
        <v>43882</v>
      </c>
      <c r="B711">
        <v>8.8824000000000005</v>
      </c>
      <c r="C711">
        <v>9.8800000000000008</v>
      </c>
      <c r="D711">
        <v>8.7771000000000008</v>
      </c>
      <c r="E711">
        <v>9.4156999999999993</v>
      </c>
      <c r="F711">
        <v>4118156.7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0.15803790008160035</v>
      </c>
      <c r="Q711">
        <f t="shared" si="1000"/>
        <v>650824.83707497304</v>
      </c>
      <c r="R711">
        <f t="shared" si="1001"/>
        <v>40174619.290429264</v>
      </c>
      <c r="S711">
        <f t="shared" si="1002"/>
        <v>401.74619290429263</v>
      </c>
      <c r="T711">
        <f t="shared" si="1003"/>
        <v>0.40174619290429264</v>
      </c>
    </row>
    <row r="712" spans="1:20" x14ac:dyDescent="0.25">
      <c r="A712" s="5">
        <v>43881</v>
      </c>
      <c r="B712">
        <v>8.8115000000000006</v>
      </c>
      <c r="C712">
        <v>9.0545000000000009</v>
      </c>
      <c r="D712">
        <v>8.3284000000000002</v>
      </c>
      <c r="E712">
        <v>8.8702000000000005</v>
      </c>
      <c r="F712">
        <v>3797612.17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0.4923564247348845</v>
      </c>
      <c r="Q712">
        <f t="shared" si="1000"/>
        <v>1869778.7505508864</v>
      </c>
      <c r="R712">
        <f t="shared" si="1001"/>
        <v>39523794.453354292</v>
      </c>
      <c r="S712">
        <f t="shared" si="1002"/>
        <v>395.23794453354293</v>
      </c>
      <c r="T712">
        <f t="shared" si="1003"/>
        <v>0.39523794453354294</v>
      </c>
    </row>
    <row r="713" spans="1:20" x14ac:dyDescent="0.25">
      <c r="A713" s="5">
        <v>43880</v>
      </c>
      <c r="B713">
        <v>9.8630999999999993</v>
      </c>
      <c r="C713">
        <v>9.8699999999999992</v>
      </c>
      <c r="D713">
        <v>8.65</v>
      </c>
      <c r="E713">
        <v>8.8130000000000006</v>
      </c>
      <c r="F713">
        <v>3017740.67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-0.73278688524590097</v>
      </c>
      <c r="Q713">
        <f t="shared" si="1000"/>
        <v>-2211360.7860491783</v>
      </c>
      <c r="R713">
        <f t="shared" si="1001"/>
        <v>37654015.702803403</v>
      </c>
      <c r="S713">
        <f t="shared" si="1002"/>
        <v>376.54015702803406</v>
      </c>
      <c r="T713">
        <f t="shared" si="1003"/>
        <v>0.37654015702803406</v>
      </c>
    </row>
    <row r="714" spans="1:20" x14ac:dyDescent="0.25">
      <c r="A714" s="5">
        <v>43879</v>
      </c>
      <c r="B714">
        <v>9.6830999999999996</v>
      </c>
      <c r="C714">
        <v>9.9990000000000006</v>
      </c>
      <c r="D714">
        <v>9.15</v>
      </c>
      <c r="E714">
        <v>9.8628999999999998</v>
      </c>
      <c r="F714">
        <v>4002950.69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0.67938751472320202</v>
      </c>
      <c r="Q714">
        <f t="shared" si="1000"/>
        <v>2719554.7208386268</v>
      </c>
      <c r="R714">
        <f t="shared" si="1001"/>
        <v>39865376.488852583</v>
      </c>
      <c r="S714">
        <f t="shared" si="1002"/>
        <v>398.65376488852581</v>
      </c>
      <c r="T714">
        <f t="shared" si="1003"/>
        <v>0.39865376488852583</v>
      </c>
    </row>
    <row r="715" spans="1:20" x14ac:dyDescent="0.25">
      <c r="A715" s="5">
        <v>43878</v>
      </c>
      <c r="B715">
        <v>9.5619999999999994</v>
      </c>
      <c r="C715">
        <v>9.9050999999999991</v>
      </c>
      <c r="D715">
        <v>8.6643000000000008</v>
      </c>
      <c r="E715">
        <v>9.6791999999999998</v>
      </c>
      <c r="F715">
        <v>7207884.5700000003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0.63588007736943963</v>
      </c>
      <c r="Q715">
        <f t="shared" si="1000"/>
        <v>4583350.1980415899</v>
      </c>
      <c r="R715">
        <f t="shared" si="1001"/>
        <v>37145821.768013954</v>
      </c>
      <c r="S715">
        <f t="shared" si="1002"/>
        <v>371.45821768013957</v>
      </c>
      <c r="T715">
        <f t="shared" si="1003"/>
        <v>0.37145821768013959</v>
      </c>
    </row>
    <row r="716" spans="1:20" x14ac:dyDescent="0.25">
      <c r="A716" s="5">
        <v>43877</v>
      </c>
      <c r="B716">
        <v>10.394299999999999</v>
      </c>
      <c r="C716">
        <v>10.667400000000001</v>
      </c>
      <c r="D716">
        <v>8.8514999999999997</v>
      </c>
      <c r="E716">
        <v>9.5637000000000008</v>
      </c>
      <c r="F716">
        <v>7096045.5899999999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-0.21559557244341573</v>
      </c>
      <c r="Q716">
        <f t="shared" si="1000"/>
        <v>-1529876.0110606258</v>
      </c>
      <c r="R716">
        <f t="shared" si="1001"/>
        <v>32562471.569972366</v>
      </c>
      <c r="S716">
        <f t="shared" si="1002"/>
        <v>325.62471569972365</v>
      </c>
      <c r="T716">
        <f t="shared" si="1003"/>
        <v>0.32562471569972368</v>
      </c>
    </row>
    <row r="717" spans="1:20" x14ac:dyDescent="0.25">
      <c r="A717" s="5">
        <v>43876</v>
      </c>
      <c r="B717">
        <v>12.006600000000001</v>
      </c>
      <c r="C717">
        <v>12.061199999999999</v>
      </c>
      <c r="D717">
        <v>9.76</v>
      </c>
      <c r="E717">
        <v>10.406599999999999</v>
      </c>
      <c r="F717">
        <v>5956360.8399999999</v>
      </c>
      <c r="G717">
        <v>0</v>
      </c>
      <c r="L717" t="s">
        <v>7</v>
      </c>
      <c r="M717" t="s">
        <v>7</v>
      </c>
      <c r="N717" t="s">
        <v>7</v>
      </c>
      <c r="P717">
        <f t="shared" si="999"/>
        <v>-0.43803233095776162</v>
      </c>
      <c r="Q717">
        <f t="shared" si="1000"/>
        <v>-2609078.6227707309</v>
      </c>
      <c r="R717">
        <f t="shared" si="1001"/>
        <v>34092347.581032991</v>
      </c>
      <c r="S717">
        <f t="shared" si="1002"/>
        <v>340.92347581032993</v>
      </c>
      <c r="T717">
        <f t="shared" si="1003"/>
        <v>0.34092347581032995</v>
      </c>
    </row>
    <row r="718" spans="1:20" x14ac:dyDescent="0.25">
      <c r="A718" s="5">
        <v>43875</v>
      </c>
      <c r="B718">
        <v>12.0495</v>
      </c>
      <c r="C718">
        <v>12.074199999999999</v>
      </c>
      <c r="D718">
        <v>11.6707</v>
      </c>
      <c r="E718">
        <v>12.009399999999999</v>
      </c>
      <c r="F718">
        <v>2153356.85</v>
      </c>
      <c r="G718">
        <v>0</v>
      </c>
      <c r="L718" t="s">
        <v>7</v>
      </c>
      <c r="M718" t="s">
        <v>8</v>
      </c>
      <c r="N718" t="s">
        <v>8</v>
      </c>
      <c r="P718">
        <f t="shared" si="999"/>
        <v>0.67881040892193267</v>
      </c>
      <c r="Q718">
        <f t="shared" si="1000"/>
        <v>1461721.043903345</v>
      </c>
      <c r="R718">
        <f t="shared" si="1001"/>
        <v>36701426.203803726</v>
      </c>
      <c r="S718">
        <f t="shared" si="1002"/>
        <v>367.01426203803726</v>
      </c>
      <c r="T718">
        <f t="shared" si="1003"/>
        <v>0.36701426203803728</v>
      </c>
    </row>
    <row r="719" spans="1:20" x14ac:dyDescent="0.25">
      <c r="A719" s="5">
        <v>43874</v>
      </c>
      <c r="B719">
        <v>12.213200000000001</v>
      </c>
      <c r="C719">
        <v>13.0624</v>
      </c>
      <c r="D719">
        <v>11.000500000000001</v>
      </c>
      <c r="E719">
        <v>12.055</v>
      </c>
      <c r="F719">
        <v>6326173.3099999996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2.2843008875308501E-2</v>
      </c>
      <c r="Q719">
        <f t="shared" si="1000"/>
        <v>144508.83306706973</v>
      </c>
      <c r="R719">
        <f t="shared" si="1001"/>
        <v>35239705.159900382</v>
      </c>
      <c r="S719">
        <f t="shared" si="1002"/>
        <v>352.39705159900382</v>
      </c>
      <c r="T719">
        <f t="shared" si="1003"/>
        <v>0.35239705159900381</v>
      </c>
    </row>
    <row r="720" spans="1:20" x14ac:dyDescent="0.25">
      <c r="A720" s="5">
        <v>43873</v>
      </c>
      <c r="B720">
        <v>11.958500000000001</v>
      </c>
      <c r="C720">
        <v>12.47</v>
      </c>
      <c r="D720">
        <v>11.951499999999999</v>
      </c>
      <c r="E720">
        <v>12.2074</v>
      </c>
      <c r="F720">
        <v>3472891.06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-1.2921890067503097E-2</v>
      </c>
      <c r="Q720">
        <f t="shared" si="1000"/>
        <v>-44876.316493734303</v>
      </c>
      <c r="R720">
        <f t="shared" si="1001"/>
        <v>35095196.326833315</v>
      </c>
      <c r="S720">
        <f t="shared" si="1002"/>
        <v>350.95196326833315</v>
      </c>
      <c r="T720">
        <f t="shared" si="1003"/>
        <v>0.35095196326833317</v>
      </c>
    </row>
    <row r="721" spans="1:20" x14ac:dyDescent="0.25">
      <c r="A721" s="5">
        <v>43872</v>
      </c>
      <c r="B721">
        <v>11.8386</v>
      </c>
      <c r="C721">
        <v>12.146100000000001</v>
      </c>
      <c r="D721">
        <v>11.5869</v>
      </c>
      <c r="E721">
        <v>11.96</v>
      </c>
      <c r="F721">
        <v>4044074.9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0.33440629470672562</v>
      </c>
      <c r="Q721">
        <f t="shared" si="1000"/>
        <v>1352364.1028254719</v>
      </c>
      <c r="R721">
        <f t="shared" si="1001"/>
        <v>35140072.64332705</v>
      </c>
      <c r="S721">
        <f t="shared" si="1002"/>
        <v>351.40072643327051</v>
      </c>
      <c r="T721">
        <f t="shared" si="1003"/>
        <v>0.35140072643327053</v>
      </c>
    </row>
    <row r="722" spans="1:20" x14ac:dyDescent="0.25">
      <c r="A722" s="5">
        <v>43871</v>
      </c>
      <c r="B722">
        <v>11.701000000000001</v>
      </c>
      <c r="C722">
        <v>12.076700000000001</v>
      </c>
      <c r="D722">
        <v>11.350300000000001</v>
      </c>
      <c r="E722">
        <v>11.838699999999999</v>
      </c>
      <c r="F722">
        <v>4249729.1900000004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0.34471365638766149</v>
      </c>
      <c r="Q722">
        <f t="shared" si="1000"/>
        <v>1464939.6877422752</v>
      </c>
      <c r="R722">
        <f t="shared" si="1001"/>
        <v>33787708.54050158</v>
      </c>
      <c r="S722">
        <f t="shared" si="1002"/>
        <v>337.87708540501581</v>
      </c>
      <c r="T722">
        <f t="shared" si="1003"/>
        <v>0.33787708540501582</v>
      </c>
    </row>
    <row r="723" spans="1:20" x14ac:dyDescent="0.25">
      <c r="A723" s="5">
        <v>43870</v>
      </c>
      <c r="B723">
        <v>11.6965</v>
      </c>
      <c r="C723">
        <v>12.1486</v>
      </c>
      <c r="D723">
        <v>11.2759</v>
      </c>
      <c r="E723">
        <v>11.702500000000001</v>
      </c>
      <c r="F723">
        <v>3054471.27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-2.2344448264007062E-2</v>
      </c>
      <c r="Q723">
        <f t="shared" si="1000"/>
        <v>-68250.47526641094</v>
      </c>
      <c r="R723">
        <f t="shared" si="1001"/>
        <v>32322768.852759305</v>
      </c>
      <c r="S723">
        <f t="shared" si="1002"/>
        <v>323.22768852759305</v>
      </c>
      <c r="T723">
        <f t="shared" si="1003"/>
        <v>0.32322768852759304</v>
      </c>
    </row>
    <row r="724" spans="1:20" x14ac:dyDescent="0.25">
      <c r="A724" s="5">
        <v>43869</v>
      </c>
      <c r="B724">
        <v>11.696199999999999</v>
      </c>
      <c r="C724">
        <v>11.9498</v>
      </c>
      <c r="D724">
        <v>11.1111</v>
      </c>
      <c r="E724">
        <v>11.698399999999999</v>
      </c>
      <c r="F724">
        <v>2989750.46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0.40050077500894127</v>
      </c>
      <c r="Q724">
        <f t="shared" si="1000"/>
        <v>1197397.3763133388</v>
      </c>
      <c r="R724">
        <f t="shared" si="1001"/>
        <v>32391019.328025717</v>
      </c>
      <c r="S724">
        <f t="shared" si="1002"/>
        <v>323.91019328025715</v>
      </c>
      <c r="T724">
        <f t="shared" si="1003"/>
        <v>0.32391019328025716</v>
      </c>
    </row>
    <row r="725" spans="1:20" x14ac:dyDescent="0.25">
      <c r="A725" s="5">
        <v>43868</v>
      </c>
      <c r="B725">
        <v>12.113899999999999</v>
      </c>
      <c r="C725">
        <v>12.2689</v>
      </c>
      <c r="D725">
        <v>11.28</v>
      </c>
      <c r="E725">
        <v>11.6967</v>
      </c>
      <c r="F725">
        <v>4633378.79</v>
      </c>
      <c r="G725">
        <v>0</v>
      </c>
      <c r="L725" t="s">
        <v>7</v>
      </c>
      <c r="M725" t="s">
        <v>8</v>
      </c>
      <c r="N725" t="s">
        <v>8</v>
      </c>
      <c r="P725">
        <f t="shared" si="999"/>
        <v>-0.15724542420871657</v>
      </c>
      <c r="Q725">
        <f t="shared" si="1000"/>
        <v>-728577.61335321993</v>
      </c>
      <c r="R725">
        <f t="shared" si="1001"/>
        <v>31193621.951712377</v>
      </c>
      <c r="S725">
        <f t="shared" si="1002"/>
        <v>311.93621951712379</v>
      </c>
      <c r="T725">
        <f t="shared" si="1003"/>
        <v>0.3119362195171238</v>
      </c>
    </row>
    <row r="726" spans="1:20" x14ac:dyDescent="0.25">
      <c r="A726" s="5">
        <v>43867</v>
      </c>
      <c r="B726">
        <v>12.34</v>
      </c>
      <c r="C726">
        <v>13.222799999999999</v>
      </c>
      <c r="D726">
        <v>10.9696</v>
      </c>
      <c r="E726">
        <v>12.113200000000001</v>
      </c>
      <c r="F726">
        <v>8405057.3399999999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1.508965027516531E-2</v>
      </c>
      <c r="Q726">
        <f t="shared" si="1000"/>
        <v>126829.37580331121</v>
      </c>
      <c r="R726">
        <f t="shared" si="1001"/>
        <v>31922199.565065596</v>
      </c>
      <c r="S726">
        <f t="shared" si="1002"/>
        <v>319.22199565065597</v>
      </c>
      <c r="T726">
        <f t="shared" si="1003"/>
        <v>0.31922199565065595</v>
      </c>
    </row>
    <row r="727" spans="1:20" x14ac:dyDescent="0.25">
      <c r="A727" s="5">
        <v>43866</v>
      </c>
      <c r="B727">
        <v>11.4155</v>
      </c>
      <c r="C727">
        <v>12.6426</v>
      </c>
      <c r="D727">
        <v>11.3184</v>
      </c>
      <c r="E727">
        <v>12.3345</v>
      </c>
      <c r="F727">
        <v>4822356.49</v>
      </c>
      <c r="G727">
        <v>0</v>
      </c>
      <c r="L727" t="s">
        <v>8</v>
      </c>
      <c r="M727" t="s">
        <v>7</v>
      </c>
      <c r="N727" t="s">
        <v>8</v>
      </c>
      <c r="P727">
        <f t="shared" si="999"/>
        <v>0.53466243769823329</v>
      </c>
      <c r="Q727">
        <f t="shared" si="1000"/>
        <v>2578332.8763932963</v>
      </c>
      <c r="R727">
        <f t="shared" si="1001"/>
        <v>31795370.189262286</v>
      </c>
      <c r="S727">
        <f t="shared" si="1002"/>
        <v>317.95370189262286</v>
      </c>
      <c r="T727">
        <f t="shared" si="1003"/>
        <v>0.31795370189262284</v>
      </c>
    </row>
    <row r="728" spans="1:20" x14ac:dyDescent="0.25">
      <c r="A728" s="5">
        <v>43865</v>
      </c>
      <c r="B728">
        <v>11.77</v>
      </c>
      <c r="C728">
        <v>11.907999999999999</v>
      </c>
      <c r="D728">
        <v>11.07</v>
      </c>
      <c r="E728">
        <v>11.411099999999999</v>
      </c>
      <c r="F728">
        <v>4272858.82</v>
      </c>
      <c r="G728">
        <v>0</v>
      </c>
      <c r="L728" t="s">
        <v>7</v>
      </c>
      <c r="M728" t="s">
        <v>7</v>
      </c>
      <c r="N728" t="s">
        <v>8</v>
      </c>
      <c r="P728">
        <f t="shared" si="999"/>
        <v>-0.18591885441527589</v>
      </c>
      <c r="Q728">
        <f t="shared" si="1000"/>
        <v>-794405.01689260756</v>
      </c>
      <c r="R728">
        <f t="shared" si="1001"/>
        <v>29217037.31286899</v>
      </c>
      <c r="S728">
        <f t="shared" si="1002"/>
        <v>292.1703731286899</v>
      </c>
      <c r="T728">
        <f t="shared" si="1003"/>
        <v>0.29217037312868988</v>
      </c>
    </row>
    <row r="729" spans="1:20" x14ac:dyDescent="0.25">
      <c r="A729" s="5">
        <v>43864</v>
      </c>
      <c r="B729">
        <v>11.364000000000001</v>
      </c>
      <c r="C729">
        <v>12.2216</v>
      </c>
      <c r="D729">
        <v>11.287800000000001</v>
      </c>
      <c r="E729">
        <v>11.7782</v>
      </c>
      <c r="F729">
        <v>4945289</v>
      </c>
      <c r="G729">
        <v>0</v>
      </c>
      <c r="L729" t="s">
        <v>8</v>
      </c>
      <c r="M729" t="s">
        <v>7</v>
      </c>
      <c r="N729" t="s">
        <v>8</v>
      </c>
      <c r="P729">
        <f t="shared" si="999"/>
        <v>5.0331976868707252E-2</v>
      </c>
      <c r="Q729">
        <f t="shared" si="1000"/>
        <v>248906.17155707243</v>
      </c>
      <c r="R729">
        <f t="shared" si="1001"/>
        <v>30011442.329761598</v>
      </c>
      <c r="S729">
        <f t="shared" si="1002"/>
        <v>300.11442329761599</v>
      </c>
      <c r="T729">
        <f t="shared" si="1003"/>
        <v>0.30011442329761601</v>
      </c>
    </row>
    <row r="730" spans="1:20" x14ac:dyDescent="0.25">
      <c r="A730" s="5">
        <v>43863</v>
      </c>
      <c r="B730">
        <v>11.5275</v>
      </c>
      <c r="C730">
        <v>11.748100000000001</v>
      </c>
      <c r="D730">
        <v>11.1401</v>
      </c>
      <c r="E730">
        <v>11.3658</v>
      </c>
      <c r="F730">
        <v>3871717.98</v>
      </c>
      <c r="G730">
        <v>0</v>
      </c>
      <c r="L730" t="s">
        <v>8</v>
      </c>
      <c r="M730" t="s">
        <v>7</v>
      </c>
      <c r="N730" t="s">
        <v>8</v>
      </c>
      <c r="P730">
        <f t="shared" si="999"/>
        <v>-0.25756578947368558</v>
      </c>
      <c r="Q730">
        <f t="shared" si="1000"/>
        <v>-997222.09813816322</v>
      </c>
      <c r="R730">
        <f t="shared" si="1001"/>
        <v>29762536.158204526</v>
      </c>
      <c r="S730">
        <f t="shared" si="1002"/>
        <v>297.62536158204523</v>
      </c>
      <c r="T730">
        <f t="shared" si="1003"/>
        <v>0.29762536158204522</v>
      </c>
    </row>
    <row r="731" spans="1:20" x14ac:dyDescent="0.25">
      <c r="A731" s="5">
        <v>43862</v>
      </c>
      <c r="B731">
        <v>11.337400000000001</v>
      </c>
      <c r="C731">
        <v>11.799899999999999</v>
      </c>
      <c r="D731">
        <v>11.0306</v>
      </c>
      <c r="E731">
        <v>11.5282</v>
      </c>
      <c r="F731">
        <v>4495096.72</v>
      </c>
      <c r="G731">
        <v>0</v>
      </c>
      <c r="L731" t="s">
        <v>8</v>
      </c>
      <c r="M731" t="s">
        <v>7</v>
      </c>
      <c r="N731" t="s">
        <v>8</v>
      </c>
      <c r="P731">
        <f t="shared" si="999"/>
        <v>0.2936435720785146</v>
      </c>
      <c r="Q731">
        <f t="shared" si="1000"/>
        <v>1319956.2576992144</v>
      </c>
      <c r="R731">
        <f t="shared" si="1001"/>
        <v>30759758.25634269</v>
      </c>
      <c r="S731">
        <f t="shared" si="1002"/>
        <v>307.5975825634269</v>
      </c>
      <c r="T731">
        <f t="shared" si="1003"/>
        <v>0.3075975825634269</v>
      </c>
    </row>
    <row r="732" spans="1:20" x14ac:dyDescent="0.25">
      <c r="A732" s="5">
        <v>43861</v>
      </c>
      <c r="B732">
        <v>12.2872</v>
      </c>
      <c r="C732">
        <v>12.311400000000001</v>
      </c>
      <c r="D732">
        <v>10.710100000000001</v>
      </c>
      <c r="E732">
        <v>11.337999999999999</v>
      </c>
      <c r="F732">
        <v>6927747.2300000004</v>
      </c>
      <c r="G732">
        <v>0</v>
      </c>
      <c r="L732" t="s">
        <v>7</v>
      </c>
      <c r="M732" t="s">
        <v>7</v>
      </c>
      <c r="N732" t="s">
        <v>8</v>
      </c>
      <c r="P732">
        <f t="shared" si="999"/>
        <v>-0.21576219321801224</v>
      </c>
      <c r="Q732">
        <f t="shared" si="1000"/>
        <v>-1494745.9364048091</v>
      </c>
      <c r="R732">
        <f t="shared" si="1001"/>
        <v>29439801.998643477</v>
      </c>
      <c r="S732">
        <f t="shared" si="1002"/>
        <v>294.39801998643475</v>
      </c>
      <c r="T732">
        <f t="shared" si="1003"/>
        <v>0.29439801998643472</v>
      </c>
    </row>
    <row r="733" spans="1:20" x14ac:dyDescent="0.25">
      <c r="A733" s="5">
        <v>43860</v>
      </c>
      <c r="B733">
        <v>12.228199999999999</v>
      </c>
      <c r="C733">
        <v>12.7189</v>
      </c>
      <c r="D733">
        <v>11.6722</v>
      </c>
      <c r="E733">
        <v>12.2842</v>
      </c>
      <c r="F733">
        <v>9131565.7699999996</v>
      </c>
      <c r="G733">
        <v>0</v>
      </c>
      <c r="L733" t="s">
        <v>7</v>
      </c>
      <c r="M733" t="s">
        <v>8</v>
      </c>
      <c r="N733" t="s">
        <v>8</v>
      </c>
      <c r="P733">
        <f t="shared" si="999"/>
        <v>0.16938950988822085</v>
      </c>
      <c r="Q733">
        <f t="shared" si="1000"/>
        <v>1546791.450292354</v>
      </c>
      <c r="R733">
        <f t="shared" si="1001"/>
        <v>30934547.935048286</v>
      </c>
      <c r="S733">
        <f t="shared" si="1002"/>
        <v>309.34547935048283</v>
      </c>
      <c r="T733">
        <f t="shared" si="1003"/>
        <v>0.30934547935048284</v>
      </c>
    </row>
    <row r="734" spans="1:20" x14ac:dyDescent="0.25">
      <c r="A734" s="5">
        <v>43859</v>
      </c>
      <c r="B734">
        <v>11.3697</v>
      </c>
      <c r="C734">
        <v>12.8789</v>
      </c>
      <c r="D734">
        <v>11.3316</v>
      </c>
      <c r="E734">
        <v>12.223100000000001</v>
      </c>
      <c r="F734">
        <v>12337574.439999999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0.15232986492600101</v>
      </c>
      <c r="Q734">
        <f t="shared" si="1000"/>
        <v>1879381.0479596825</v>
      </c>
      <c r="R734">
        <f t="shared" si="1001"/>
        <v>29387756.484755933</v>
      </c>
      <c r="S734">
        <f t="shared" si="1002"/>
        <v>293.87756484755931</v>
      </c>
      <c r="T734">
        <f t="shared" si="1003"/>
        <v>0.29387756484755934</v>
      </c>
    </row>
    <row r="735" spans="1:20" x14ac:dyDescent="0.25">
      <c r="A735" s="5">
        <v>43858</v>
      </c>
      <c r="B735">
        <v>10.4229</v>
      </c>
      <c r="C735">
        <v>11.7</v>
      </c>
      <c r="D735">
        <v>10.357200000000001</v>
      </c>
      <c r="E735">
        <v>11.3697</v>
      </c>
      <c r="F735">
        <v>11521471.140000001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0.5080428954423597</v>
      </c>
      <c r="Q735">
        <f t="shared" si="1000"/>
        <v>5853401.5577211855</v>
      </c>
      <c r="R735">
        <f t="shared" si="1001"/>
        <v>27508375.436796252</v>
      </c>
      <c r="S735">
        <f t="shared" si="1002"/>
        <v>275.08375436796251</v>
      </c>
      <c r="T735">
        <f t="shared" si="1003"/>
        <v>0.27508375436796251</v>
      </c>
    </row>
    <row r="736" spans="1:20" x14ac:dyDescent="0.25">
      <c r="A736" s="5">
        <v>43857</v>
      </c>
      <c r="B736">
        <v>9.1898</v>
      </c>
      <c r="C736">
        <v>11.1721</v>
      </c>
      <c r="D736">
        <v>9.1654</v>
      </c>
      <c r="E736">
        <v>10.4161</v>
      </c>
      <c r="F736">
        <v>9777170.7599999998</v>
      </c>
      <c r="G736">
        <v>0</v>
      </c>
      <c r="L736" t="s">
        <v>8</v>
      </c>
      <c r="M736" t="s">
        <v>8</v>
      </c>
      <c r="N736" t="s">
        <v>8</v>
      </c>
      <c r="P736">
        <f t="shared" si="999"/>
        <v>0.24652414411720727</v>
      </c>
      <c r="Q736">
        <f t="shared" si="1000"/>
        <v>2410308.6534967851</v>
      </c>
      <c r="R736">
        <f t="shared" si="1001"/>
        <v>21654973.879075065</v>
      </c>
      <c r="S736">
        <f t="shared" si="1002"/>
        <v>216.54973879075067</v>
      </c>
      <c r="T736">
        <f t="shared" si="1003"/>
        <v>0.21654973879075068</v>
      </c>
    </row>
    <row r="737" spans="1:20" x14ac:dyDescent="0.25">
      <c r="A737" s="5">
        <v>43856</v>
      </c>
      <c r="B737">
        <v>8.3902999999999999</v>
      </c>
      <c r="C737">
        <v>9.3780000000000001</v>
      </c>
      <c r="D737">
        <v>8.2286999999999999</v>
      </c>
      <c r="E737">
        <v>9.19</v>
      </c>
      <c r="F737">
        <v>3700026.35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0.67284434003306259</v>
      </c>
      <c r="Q737">
        <f t="shared" si="1000"/>
        <v>2489541.7875706917</v>
      </c>
      <c r="R737">
        <f t="shared" si="1001"/>
        <v>19244665.225578282</v>
      </c>
      <c r="S737">
        <f t="shared" si="1002"/>
        <v>192.44665225578282</v>
      </c>
      <c r="T737">
        <f t="shared" si="1003"/>
        <v>0.19244665225578284</v>
      </c>
    </row>
    <row r="738" spans="1:20" x14ac:dyDescent="0.25">
      <c r="A738" s="5">
        <v>43855</v>
      </c>
      <c r="B738">
        <v>8.6119000000000003</v>
      </c>
      <c r="C738">
        <v>8.65</v>
      </c>
      <c r="D738">
        <v>8.1</v>
      </c>
      <c r="E738">
        <v>8.3965999999999994</v>
      </c>
      <c r="F738">
        <v>2870637.12</v>
      </c>
      <c r="G738">
        <v>0</v>
      </c>
      <c r="L738" t="s">
        <v>8</v>
      </c>
      <c r="M738" t="s">
        <v>7</v>
      </c>
      <c r="N738" t="s">
        <v>7</v>
      </c>
      <c r="P738">
        <f t="shared" si="999"/>
        <v>7.8545454545452253E-2</v>
      </c>
      <c r="Q738">
        <f t="shared" si="1000"/>
        <v>225475.49742544797</v>
      </c>
      <c r="R738">
        <f t="shared" si="1001"/>
        <v>16755123.438007591</v>
      </c>
      <c r="S738">
        <f t="shared" si="1002"/>
        <v>167.55123438007593</v>
      </c>
      <c r="T738">
        <f t="shared" si="1003"/>
        <v>0.16755123438007594</v>
      </c>
    </row>
    <row r="739" spans="1:20" x14ac:dyDescent="0.25">
      <c r="A739" s="5">
        <v>43854</v>
      </c>
      <c r="B739">
        <v>8.4403000000000006</v>
      </c>
      <c r="C739">
        <v>8.8440999999999992</v>
      </c>
      <c r="D739">
        <v>7.8400999999999996</v>
      </c>
      <c r="E739">
        <v>8.6118000000000006</v>
      </c>
      <c r="F739">
        <v>6109306.6100000003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0.53725099601593884</v>
      </c>
      <c r="Q739">
        <f t="shared" si="1000"/>
        <v>3282231.0611892589</v>
      </c>
      <c r="R739">
        <f t="shared" si="1001"/>
        <v>16529647.940582143</v>
      </c>
      <c r="S739">
        <f t="shared" si="1002"/>
        <v>165.29647940582143</v>
      </c>
      <c r="T739">
        <f t="shared" si="1003"/>
        <v>0.16529647940582143</v>
      </c>
    </row>
    <row r="740" spans="1:20" x14ac:dyDescent="0.25">
      <c r="A740" s="5">
        <v>43853</v>
      </c>
      <c r="B740">
        <v>9.3459000000000003</v>
      </c>
      <c r="C740">
        <v>9.39</v>
      </c>
      <c r="D740">
        <v>8.1864000000000008</v>
      </c>
      <c r="E740">
        <v>8.4420999999999999</v>
      </c>
      <c r="F740">
        <v>4851643.93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-0.57510800930541839</v>
      </c>
      <c r="Q740">
        <f t="shared" si="1000"/>
        <v>-2790219.2824410163</v>
      </c>
      <c r="R740">
        <f t="shared" si="1001"/>
        <v>13247416.879392885</v>
      </c>
      <c r="S740">
        <f t="shared" si="1002"/>
        <v>132.47416879392884</v>
      </c>
      <c r="T740">
        <f t="shared" si="1003"/>
        <v>0.13247416879392884</v>
      </c>
    </row>
    <row r="741" spans="1:20" x14ac:dyDescent="0.25">
      <c r="A741" s="5">
        <v>43852</v>
      </c>
      <c r="B741">
        <v>8.9369999999999994</v>
      </c>
      <c r="C741">
        <v>9.5274999999999999</v>
      </c>
      <c r="D741">
        <v>8.9121000000000006</v>
      </c>
      <c r="E741">
        <v>9.3457000000000008</v>
      </c>
      <c r="F741">
        <v>4277149.34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0.40916477088073028</v>
      </c>
      <c r="Q741">
        <f t="shared" si="1000"/>
        <v>1750058.8297237668</v>
      </c>
      <c r="R741">
        <f t="shared" si="1001"/>
        <v>16037636.161833901</v>
      </c>
      <c r="S741">
        <f t="shared" si="1002"/>
        <v>160.37636161833902</v>
      </c>
      <c r="T741">
        <f t="shared" si="1003"/>
        <v>0.16037636161833901</v>
      </c>
    </row>
    <row r="742" spans="1:20" x14ac:dyDescent="0.25">
      <c r="A742" s="5">
        <v>43851</v>
      </c>
      <c r="B742">
        <v>8.6240000000000006</v>
      </c>
      <c r="C742">
        <v>9.1469000000000005</v>
      </c>
      <c r="D742">
        <v>8.5000999999999998</v>
      </c>
      <c r="E742">
        <v>8.9429999999999996</v>
      </c>
      <c r="F742">
        <v>3982256.64</v>
      </c>
      <c r="G742">
        <v>0</v>
      </c>
      <c r="L742" t="s">
        <v>8</v>
      </c>
      <c r="M742" t="s">
        <v>7</v>
      </c>
      <c r="N742" t="s">
        <v>7</v>
      </c>
      <c r="P742">
        <f t="shared" si="999"/>
        <v>0.36951144094001043</v>
      </c>
      <c r="Q742">
        <f t="shared" si="1000"/>
        <v>1471489.3892393245</v>
      </c>
      <c r="R742">
        <f t="shared" si="1001"/>
        <v>14287577.332110135</v>
      </c>
      <c r="S742">
        <f t="shared" si="1002"/>
        <v>142.87577332110135</v>
      </c>
      <c r="T742">
        <f t="shared" si="1003"/>
        <v>0.14287577332110135</v>
      </c>
    </row>
    <row r="743" spans="1:20" x14ac:dyDescent="0.25">
      <c r="A743" s="5">
        <v>43850</v>
      </c>
      <c r="B743">
        <v>8.5258000000000003</v>
      </c>
      <c r="C743">
        <v>9.0945999999999998</v>
      </c>
      <c r="D743">
        <v>8.0511999999999997</v>
      </c>
      <c r="E743">
        <v>8.6347000000000005</v>
      </c>
      <c r="F743">
        <v>6508082.79</v>
      </c>
      <c r="G743">
        <v>0</v>
      </c>
      <c r="L743" t="s">
        <v>8</v>
      </c>
      <c r="M743" t="s">
        <v>7</v>
      </c>
      <c r="N743" t="s">
        <v>7</v>
      </c>
      <c r="P743">
        <f t="shared" si="999"/>
        <v>0.11845888441633264</v>
      </c>
      <c r="Q743">
        <f t="shared" si="1000"/>
        <v>770940.22699253366</v>
      </c>
      <c r="R743">
        <f t="shared" si="1001"/>
        <v>12816087.942870811</v>
      </c>
      <c r="S743">
        <f t="shared" si="1002"/>
        <v>128.16087942870811</v>
      </c>
      <c r="T743">
        <f t="shared" si="1003"/>
        <v>0.1281608794287081</v>
      </c>
    </row>
    <row r="744" spans="1:20" x14ac:dyDescent="0.25">
      <c r="A744" s="5">
        <v>43849</v>
      </c>
      <c r="B744">
        <v>8.2990999999999993</v>
      </c>
      <c r="C744">
        <v>9.4600000000000009</v>
      </c>
      <c r="D744">
        <v>7.77</v>
      </c>
      <c r="E744">
        <v>8.5267999999999997</v>
      </c>
      <c r="F744">
        <v>11983020.23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-0.10437869822485259</v>
      </c>
      <c r="Q744">
        <f t="shared" si="1000"/>
        <v>-1250772.0524094736</v>
      </c>
      <c r="R744">
        <f t="shared" si="1001"/>
        <v>12045147.715878276</v>
      </c>
      <c r="S744">
        <f t="shared" si="1002"/>
        <v>120.45147715878277</v>
      </c>
      <c r="T744">
        <f t="shared" si="1003"/>
        <v>0.12045147715878277</v>
      </c>
    </row>
    <row r="745" spans="1:20" x14ac:dyDescent="0.25">
      <c r="A745" s="5">
        <v>43848</v>
      </c>
      <c r="B745">
        <v>9.4563000000000006</v>
      </c>
      <c r="C745">
        <v>9.766</v>
      </c>
      <c r="D745">
        <v>8.1</v>
      </c>
      <c r="E745">
        <v>8.2943999999999996</v>
      </c>
      <c r="F745">
        <v>13254147.33</v>
      </c>
      <c r="G745">
        <v>0</v>
      </c>
      <c r="L745" t="s">
        <v>7</v>
      </c>
      <c r="M745" t="s">
        <v>7</v>
      </c>
      <c r="N745" t="s">
        <v>7</v>
      </c>
      <c r="P745">
        <f t="shared" si="999"/>
        <v>-0.76662665066026425</v>
      </c>
      <c r="Q745">
        <f t="shared" si="1000"/>
        <v>-10160982.574955584</v>
      </c>
      <c r="R745">
        <f t="shared" si="1001"/>
        <v>13295919.76828775</v>
      </c>
      <c r="S745">
        <f t="shared" si="1002"/>
        <v>132.95919768287749</v>
      </c>
      <c r="T745">
        <f t="shared" si="1003"/>
        <v>0.13295919768287748</v>
      </c>
    </row>
    <row r="746" spans="1:20" x14ac:dyDescent="0.25">
      <c r="A746" s="5">
        <v>43847</v>
      </c>
      <c r="B746">
        <v>8.4029000000000007</v>
      </c>
      <c r="C746">
        <v>12.0299</v>
      </c>
      <c r="D746">
        <v>8.1648999999999994</v>
      </c>
      <c r="E746">
        <v>9.4792000000000005</v>
      </c>
      <c r="F746">
        <v>20398865.039999999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-0.31989650711513529</v>
      </c>
      <c r="Q746">
        <f t="shared" si="1000"/>
        <v>-6525525.6754090441</v>
      </c>
      <c r="R746">
        <f t="shared" si="1001"/>
        <v>23456902.343243334</v>
      </c>
      <c r="S746">
        <f t="shared" si="1002"/>
        <v>234.56902343243334</v>
      </c>
      <c r="T746">
        <f t="shared" si="1003"/>
        <v>0.23456902343243333</v>
      </c>
    </row>
    <row r="747" spans="1:20" x14ac:dyDescent="0.25">
      <c r="A747" s="5">
        <v>43846</v>
      </c>
      <c r="B747">
        <v>7.9863999999999997</v>
      </c>
      <c r="C747">
        <v>8.65</v>
      </c>
      <c r="D747">
        <v>7.3087</v>
      </c>
      <c r="E747">
        <v>8.4139999999999997</v>
      </c>
      <c r="F747">
        <v>8608940.5399999991</v>
      </c>
      <c r="G747">
        <v>0</v>
      </c>
      <c r="L747" t="s">
        <v>8</v>
      </c>
      <c r="M747" t="s">
        <v>8</v>
      </c>
      <c r="N747" t="s">
        <v>8</v>
      </c>
      <c r="P747">
        <f t="shared" si="999"/>
        <v>0.64810258704242063</v>
      </c>
      <c r="Q747">
        <f t="shared" si="1000"/>
        <v>5579476.6356683727</v>
      </c>
      <c r="R747">
        <f t="shared" si="1001"/>
        <v>29982428.01865238</v>
      </c>
      <c r="S747">
        <f t="shared" si="1002"/>
        <v>299.82428018652382</v>
      </c>
      <c r="T747">
        <f t="shared" si="1003"/>
        <v>0.29982428018652379</v>
      </c>
    </row>
    <row r="748" spans="1:20" x14ac:dyDescent="0.25">
      <c r="A748" s="5">
        <v>43845</v>
      </c>
      <c r="B748">
        <v>6.7834000000000003</v>
      </c>
      <c r="C748">
        <v>8.1277000000000008</v>
      </c>
      <c r="D748">
        <v>6.6222000000000003</v>
      </c>
      <c r="E748">
        <v>7.9911000000000003</v>
      </c>
      <c r="F748">
        <v>10584307.67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0.81853204915310462</v>
      </c>
      <c r="Q748">
        <f t="shared" si="1000"/>
        <v>8663595.0459920224</v>
      </c>
      <c r="R748">
        <f t="shared" si="1001"/>
        <v>24402951.382984005</v>
      </c>
      <c r="S748">
        <f t="shared" si="1002"/>
        <v>244.02951382984006</v>
      </c>
      <c r="T748">
        <f t="shared" si="1003"/>
        <v>0.24402951382984006</v>
      </c>
    </row>
    <row r="749" spans="1:20" x14ac:dyDescent="0.25">
      <c r="A749" s="5">
        <v>43844</v>
      </c>
      <c r="B749">
        <v>5.4725000000000001</v>
      </c>
      <c r="C749">
        <v>7.0163000000000002</v>
      </c>
      <c r="D749">
        <v>5.4710999999999999</v>
      </c>
      <c r="E749">
        <v>6.7895000000000003</v>
      </c>
      <c r="F749">
        <v>8355276.0199999996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0.706445767538183</v>
      </c>
      <c r="Q749">
        <f t="shared" si="1000"/>
        <v>5902549.3809422748</v>
      </c>
      <c r="R749">
        <f t="shared" si="1001"/>
        <v>15739356.336991984</v>
      </c>
      <c r="S749">
        <f t="shared" si="1002"/>
        <v>157.39356336991983</v>
      </c>
      <c r="T749">
        <f t="shared" si="1003"/>
        <v>0.15739356336991983</v>
      </c>
    </row>
    <row r="750" spans="1:20" x14ac:dyDescent="0.25">
      <c r="A750" s="5">
        <v>43843</v>
      </c>
      <c r="B750">
        <v>5.5801999999999996</v>
      </c>
      <c r="C750">
        <v>5.5987</v>
      </c>
      <c r="D750">
        <v>5.3106</v>
      </c>
      <c r="E750">
        <v>5.4676999999999998</v>
      </c>
      <c r="F750">
        <v>1110546.67</v>
      </c>
      <c r="G750">
        <v>0</v>
      </c>
      <c r="L750" t="s">
        <v>7</v>
      </c>
      <c r="M750" t="s">
        <v>8</v>
      </c>
      <c r="N750" t="s">
        <v>8</v>
      </c>
      <c r="P750">
        <f t="shared" si="999"/>
        <v>9.0593543908363647E-2</v>
      </c>
      <c r="Q750">
        <f t="shared" si="1000"/>
        <v>100608.35851093203</v>
      </c>
      <c r="R750">
        <f t="shared" si="1001"/>
        <v>9836806.9560497086</v>
      </c>
      <c r="S750">
        <f t="shared" si="1002"/>
        <v>98.368069560497091</v>
      </c>
      <c r="T750">
        <f t="shared" si="1003"/>
        <v>9.8368069560497096E-2</v>
      </c>
    </row>
    <row r="751" spans="1:20" x14ac:dyDescent="0.25">
      <c r="A751" s="5">
        <v>43842</v>
      </c>
      <c r="B751">
        <v>5.5685000000000002</v>
      </c>
      <c r="C751">
        <v>5.6471999999999998</v>
      </c>
      <c r="D751">
        <v>5.3598999999999997</v>
      </c>
      <c r="E751">
        <v>5.5765000000000002</v>
      </c>
      <c r="F751">
        <v>2130708.1</v>
      </c>
      <c r="G751">
        <v>0</v>
      </c>
      <c r="L751" t="s">
        <v>7</v>
      </c>
      <c r="M751" t="s">
        <v>8</v>
      </c>
      <c r="N751" t="s">
        <v>8</v>
      </c>
      <c r="P751">
        <f t="shared" si="999"/>
        <v>0.50783153498085964</v>
      </c>
      <c r="Q751">
        <f t="shared" si="1000"/>
        <v>1082040.7650191511</v>
      </c>
      <c r="R751">
        <f t="shared" si="1001"/>
        <v>9736198.5975387767</v>
      </c>
      <c r="S751">
        <f t="shared" si="1002"/>
        <v>97.361985975387768</v>
      </c>
      <c r="T751">
        <f t="shared" si="1003"/>
        <v>9.7361985975387769E-2</v>
      </c>
    </row>
    <row r="752" spans="1:20" x14ac:dyDescent="0.25">
      <c r="A752" s="5">
        <v>43841</v>
      </c>
      <c r="B752">
        <v>5.3608000000000002</v>
      </c>
      <c r="C752">
        <v>5.8289</v>
      </c>
      <c r="D752">
        <v>5.3167</v>
      </c>
      <c r="E752">
        <v>5.5704000000000002</v>
      </c>
      <c r="F752">
        <v>5110726.49</v>
      </c>
      <c r="G752">
        <v>0</v>
      </c>
      <c r="L752" t="s">
        <v>8</v>
      </c>
      <c r="M752" t="s">
        <v>8</v>
      </c>
      <c r="N752" t="s">
        <v>8</v>
      </c>
      <c r="P752">
        <f t="shared" si="999"/>
        <v>-9.3713393205768665E-3</v>
      </c>
      <c r="Q752">
        <f t="shared" si="1000"/>
        <v>-47894.352112450797</v>
      </c>
      <c r="R752">
        <f t="shared" si="1001"/>
        <v>8654157.8325196262</v>
      </c>
      <c r="S752">
        <f t="shared" si="1002"/>
        <v>86.541578325196269</v>
      </c>
      <c r="T752">
        <f t="shared" si="1003"/>
        <v>8.6541578325196267E-2</v>
      </c>
    </row>
    <row r="753" spans="1:20" x14ac:dyDescent="0.25">
      <c r="A753" s="5">
        <v>43840</v>
      </c>
      <c r="B753">
        <v>5.1866000000000003</v>
      </c>
      <c r="C753">
        <v>5.4013</v>
      </c>
      <c r="D753">
        <v>4.9101999999999997</v>
      </c>
      <c r="E753">
        <v>5.36</v>
      </c>
      <c r="F753">
        <v>4501794.17</v>
      </c>
      <c r="G753">
        <v>0</v>
      </c>
      <c r="L753" t="s">
        <v>8</v>
      </c>
      <c r="M753" t="s">
        <v>8</v>
      </c>
      <c r="N753" t="s">
        <v>8</v>
      </c>
      <c r="P753">
        <f t="shared" si="999"/>
        <v>0.83180614946039644</v>
      </c>
      <c r="Q753">
        <f t="shared" si="1000"/>
        <v>3744620.0742109613</v>
      </c>
      <c r="R753">
        <f t="shared" si="1001"/>
        <v>8702052.1846320778</v>
      </c>
      <c r="S753">
        <f t="shared" si="1002"/>
        <v>87.020521846320776</v>
      </c>
      <c r="T753">
        <f t="shared" si="1003"/>
        <v>8.7020521846320781E-2</v>
      </c>
    </row>
    <row r="754" spans="1:20" x14ac:dyDescent="0.25">
      <c r="A754" s="5">
        <v>43839</v>
      </c>
      <c r="B754">
        <v>4.952</v>
      </c>
      <c r="C754">
        <v>5.21</v>
      </c>
      <c r="D754">
        <v>4.8723999999999998</v>
      </c>
      <c r="E754">
        <v>5.1848000000000001</v>
      </c>
      <c r="F754">
        <v>2404361.04</v>
      </c>
      <c r="G754">
        <v>0</v>
      </c>
      <c r="L754" t="s">
        <v>8</v>
      </c>
      <c r="M754" t="s">
        <v>8</v>
      </c>
      <c r="N754" t="s">
        <v>8</v>
      </c>
      <c r="P754">
        <f t="shared" si="999"/>
        <v>0.85071090047393438</v>
      </c>
      <c r="Q754">
        <f t="shared" si="1000"/>
        <v>2045416.1454028455</v>
      </c>
      <c r="R754">
        <f t="shared" si="1001"/>
        <v>4957432.1104211165</v>
      </c>
      <c r="S754">
        <f t="shared" si="1002"/>
        <v>49.574321104211165</v>
      </c>
      <c r="T754">
        <f t="shared" si="1003"/>
        <v>4.9574321104211165E-2</v>
      </c>
    </row>
    <row r="755" spans="1:20" x14ac:dyDescent="0.25">
      <c r="A755" s="5">
        <v>43838</v>
      </c>
      <c r="B755">
        <v>4.8352000000000004</v>
      </c>
      <c r="C755">
        <v>5.0589000000000004</v>
      </c>
      <c r="D755">
        <v>4.6938000000000004</v>
      </c>
      <c r="E755">
        <v>4.9520999999999997</v>
      </c>
      <c r="F755">
        <v>2433430.6800000002</v>
      </c>
      <c r="G755">
        <v>0</v>
      </c>
      <c r="L755" t="s">
        <v>7</v>
      </c>
      <c r="M755" t="s">
        <v>8</v>
      </c>
      <c r="N755" t="s">
        <v>8</v>
      </c>
      <c r="P755">
        <f t="shared" si="999"/>
        <v>0.41495480690221487</v>
      </c>
      <c r="Q755">
        <f t="shared" si="1000"/>
        <v>1009763.7579293255</v>
      </c>
      <c r="R755">
        <f t="shared" si="1001"/>
        <v>2912015.965018271</v>
      </c>
      <c r="S755">
        <f t="shared" si="1002"/>
        <v>29.12015965018271</v>
      </c>
      <c r="T755">
        <f t="shared" si="1003"/>
        <v>2.9120159650182709E-2</v>
      </c>
    </row>
    <row r="756" spans="1:20" x14ac:dyDescent="0.25">
      <c r="A756" s="5">
        <v>43837</v>
      </c>
      <c r="B756">
        <v>5.0305999999999997</v>
      </c>
      <c r="C756">
        <v>5.0789999999999997</v>
      </c>
      <c r="D756">
        <v>4.7119999999999997</v>
      </c>
      <c r="E756">
        <v>4.8343999999999996</v>
      </c>
      <c r="F756">
        <v>2580872.33</v>
      </c>
      <c r="G756">
        <v>0</v>
      </c>
      <c r="L756" t="s">
        <v>7</v>
      </c>
      <c r="M756" t="s">
        <v>8</v>
      </c>
      <c r="N756" t="s">
        <v>8</v>
      </c>
      <c r="P756">
        <f t="shared" si="999"/>
        <v>-0.33297002724795727</v>
      </c>
      <c r="Q756">
        <f t="shared" si="1000"/>
        <v>-859353.13004359894</v>
      </c>
      <c r="R756">
        <f t="shared" si="1001"/>
        <v>1902252.2070889454</v>
      </c>
      <c r="S756">
        <f t="shared" si="1002"/>
        <v>19.022522070889455</v>
      </c>
      <c r="T756">
        <f t="shared" si="1003"/>
        <v>1.9022522070889454E-2</v>
      </c>
    </row>
    <row r="757" spans="1:20" x14ac:dyDescent="0.25">
      <c r="A757" s="5">
        <v>43836</v>
      </c>
      <c r="B757">
        <v>4.8783000000000003</v>
      </c>
      <c r="C757">
        <v>5.1558999999999999</v>
      </c>
      <c r="D757">
        <v>4.8411</v>
      </c>
      <c r="E757">
        <v>5.0332999999999997</v>
      </c>
      <c r="F757">
        <v>2444397.79</v>
      </c>
      <c r="G757">
        <v>0</v>
      </c>
      <c r="L757" t="s">
        <v>8</v>
      </c>
      <c r="M757" t="s">
        <v>8</v>
      </c>
      <c r="N757" t="s">
        <v>8</v>
      </c>
      <c r="P757">
        <f t="shared" si="999"/>
        <v>0.22109275730622441</v>
      </c>
      <c r="Q757">
        <f t="shared" si="1000"/>
        <v>540438.64734434127</v>
      </c>
      <c r="R757">
        <f t="shared" si="1001"/>
        <v>2761605.3371325443</v>
      </c>
      <c r="S757">
        <f t="shared" si="1002"/>
        <v>27.616053371325442</v>
      </c>
      <c r="T757">
        <f t="shared" si="1003"/>
        <v>2.7616053371325441E-2</v>
      </c>
    </row>
    <row r="758" spans="1:20" x14ac:dyDescent="0.25">
      <c r="A758" s="5">
        <v>43835</v>
      </c>
      <c r="B758">
        <v>4.7587000000000002</v>
      </c>
      <c r="C758">
        <v>5.0052000000000003</v>
      </c>
      <c r="D758">
        <v>4.7324999999999999</v>
      </c>
      <c r="E758">
        <v>4.8784000000000001</v>
      </c>
      <c r="F758">
        <v>2448806.94</v>
      </c>
      <c r="G758">
        <v>0</v>
      </c>
      <c r="L758" t="s">
        <v>8</v>
      </c>
      <c r="M758" t="s">
        <v>8</v>
      </c>
      <c r="N758" t="s">
        <v>8</v>
      </c>
      <c r="P758">
        <f t="shared" si="999"/>
        <v>7.0040337367069549E-2</v>
      </c>
      <c r="Q758">
        <f t="shared" si="1000"/>
        <v>171515.26422442123</v>
      </c>
      <c r="R758">
        <f t="shared" si="1001"/>
        <v>2221166.6897882032</v>
      </c>
      <c r="S758">
        <f t="shared" si="1002"/>
        <v>22.211666897882033</v>
      </c>
      <c r="T758">
        <f t="shared" si="1003"/>
        <v>2.2211666897882034E-2</v>
      </c>
    </row>
    <row r="759" spans="1:20" x14ac:dyDescent="0.25">
      <c r="A759" s="5">
        <v>43834</v>
      </c>
      <c r="B759">
        <v>4.5769000000000002</v>
      </c>
      <c r="C759">
        <v>4.7842000000000002</v>
      </c>
      <c r="D759">
        <v>4.5206999999999997</v>
      </c>
      <c r="E759">
        <v>4.7598000000000003</v>
      </c>
      <c r="F759">
        <v>1679464.53</v>
      </c>
      <c r="G759">
        <v>0</v>
      </c>
      <c r="L759" t="s">
        <v>8</v>
      </c>
      <c r="M759" t="s">
        <v>8</v>
      </c>
      <c r="N759" t="s">
        <v>8</v>
      </c>
      <c r="P759">
        <f t="shared" si="999"/>
        <v>0.8148007590132833</v>
      </c>
      <c r="Q759">
        <f t="shared" si="1000"/>
        <v>1368428.9737798872</v>
      </c>
      <c r="R759">
        <f t="shared" si="1001"/>
        <v>2049651.425563782</v>
      </c>
      <c r="S759">
        <f t="shared" si="1002"/>
        <v>20.49651425563782</v>
      </c>
      <c r="T759">
        <f t="shared" si="1003"/>
        <v>2.049651425563782E-2</v>
      </c>
    </row>
    <row r="760" spans="1:20" x14ac:dyDescent="0.25">
      <c r="A760" s="5">
        <v>43833</v>
      </c>
      <c r="B760">
        <v>4.2328999999999999</v>
      </c>
      <c r="C760">
        <v>4.6299000000000001</v>
      </c>
      <c r="D760">
        <v>4.1791</v>
      </c>
      <c r="E760">
        <v>4.5768000000000004</v>
      </c>
      <c r="F760">
        <v>2720581.72</v>
      </c>
      <c r="G760">
        <v>0</v>
      </c>
      <c r="L760" t="s">
        <v>8</v>
      </c>
      <c r="M760" t="s">
        <v>8</v>
      </c>
      <c r="N760" t="s">
        <v>8</v>
      </c>
      <c r="P760">
        <f t="shared" si="999"/>
        <v>0.76441881100266329</v>
      </c>
      <c r="Q760">
        <f t="shared" si="1000"/>
        <v>2079663.8436379808</v>
      </c>
      <c r="R760">
        <f t="shared" si="1001"/>
        <v>681222.45178389479</v>
      </c>
      <c r="S760">
        <f t="shared" si="1002"/>
        <v>6.8122245178389482</v>
      </c>
      <c r="T760">
        <f t="shared" si="1003"/>
        <v>6.8122245178389483E-3</v>
      </c>
    </row>
    <row r="761" spans="1:20" x14ac:dyDescent="0.25">
      <c r="A761" s="5">
        <v>43832</v>
      </c>
      <c r="B761">
        <v>4.5069999999999997</v>
      </c>
      <c r="C761">
        <v>4.5122999999999998</v>
      </c>
      <c r="D761">
        <v>4.1680000000000001</v>
      </c>
      <c r="E761">
        <v>4.2282999999999999</v>
      </c>
      <c r="F761">
        <v>1838183.26</v>
      </c>
      <c r="G761">
        <v>0</v>
      </c>
      <c r="L761" t="s">
        <v>8</v>
      </c>
      <c r="M761" t="s">
        <v>8</v>
      </c>
      <c r="N761" t="s">
        <v>8</v>
      </c>
      <c r="P761">
        <f t="shared" si="999"/>
        <v>-0.64972407783909458</v>
      </c>
      <c r="Q761">
        <f t="shared" si="1000"/>
        <v>-1194311.9235027607</v>
      </c>
      <c r="R761">
        <f t="shared" si="1001"/>
        <v>-1398441.391854086</v>
      </c>
      <c r="S761">
        <f t="shared" si="1002"/>
        <v>-13.984413918540859</v>
      </c>
      <c r="T761">
        <f t="shared" si="1003"/>
        <v>-1.3984413918540859E-2</v>
      </c>
    </row>
    <row r="762" spans="1:20" x14ac:dyDescent="0.25">
      <c r="A762" s="5">
        <v>43831</v>
      </c>
      <c r="B762">
        <v>4.4945000000000004</v>
      </c>
      <c r="C762">
        <v>4.5742000000000003</v>
      </c>
      <c r="D762">
        <v>4.4722999999999997</v>
      </c>
      <c r="E762">
        <v>4.5034999999999998</v>
      </c>
      <c r="F762">
        <v>526602.35</v>
      </c>
      <c r="G762">
        <v>0</v>
      </c>
      <c r="P762">
        <f t="shared" si="999"/>
        <v>-0.38763493621197354</v>
      </c>
      <c r="Q762">
        <f t="shared" si="1000"/>
        <v>-204129.46835132534</v>
      </c>
      <c r="R762">
        <f t="shared" si="1001"/>
        <v>-204129.46835132534</v>
      </c>
      <c r="S762">
        <f t="shared" si="1002"/>
        <v>-2.0412946835132533</v>
      </c>
      <c r="T762">
        <f t="shared" si="1003"/>
        <v>-2.0412946835132533E-3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KF426" sqref="KF42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$A$425</v>
      </c>
      <c r="D111" s="1" t="str">
        <f>ADDRESS(C121-1,D121,1,1)</f>
        <v>$KF$425</v>
      </c>
      <c r="E111"/>
    </row>
    <row r="112" spans="1:5" x14ac:dyDescent="0.25">
      <c r="A112" s="7">
        <v>12164.144957890772</v>
      </c>
      <c r="C112" s="1" t="str">
        <f>ADDRESS(C121,1,1,1)</f>
        <v>$A$426</v>
      </c>
      <c r="D112" s="1" t="str">
        <f>ADDRESS(C121,D121-1,1,1)</f>
        <v>$KE$426</v>
      </c>
      <c r="E112"/>
    </row>
    <row r="113" spans="1:5" x14ac:dyDescent="0.25">
      <c r="A113" s="7">
        <v>11925.63231165762</v>
      </c>
      <c r="C113" s="1" t="str">
        <f>ADDRESS(C121+1,1,1,1)</f>
        <v>$A$427</v>
      </c>
      <c r="D113" s="1" t="str">
        <f>ADDRESS(C121-1,D121+1,1,1)</f>
        <v>$KG$425</v>
      </c>
    </row>
    <row r="114" spans="1:5" x14ac:dyDescent="0.25">
      <c r="A114" s="7">
        <v>11691.796383978059</v>
      </c>
      <c r="C114" s="1" t="str">
        <f>ADDRESS(C121,D121,1,1)</f>
        <v>$KF$426</v>
      </c>
      <c r="D114" s="1" t="str">
        <f>ADDRESS(C121+1,D121+1,1,1)</f>
        <v>$KG$427</v>
      </c>
    </row>
    <row r="115" spans="1:5" x14ac:dyDescent="0.25">
      <c r="A115" s="7">
        <v>11462.545474488292</v>
      </c>
      <c r="C115" s="1" t="str">
        <f>ADDRESS(C121+1,D121,1,1)</f>
        <v>$KF$427</v>
      </c>
    </row>
    <row r="116" spans="1:5" x14ac:dyDescent="0.25">
      <c r="A116" s="7">
        <v>11237.789680870874</v>
      </c>
      <c r="C116" s="1">
        <f>C117-1</f>
        <v>425</v>
      </c>
    </row>
    <row r="117" spans="1:5" x14ac:dyDescent="0.25">
      <c r="A117" s="7">
        <v>11017.440863598895</v>
      </c>
      <c r="C117" s="1">
        <f>C121</f>
        <v>426</v>
      </c>
      <c r="D117" s="1">
        <f>D121</f>
        <v>292</v>
      </c>
    </row>
    <row r="118" spans="1:5" x14ac:dyDescent="0.25">
      <c r="A118" s="7">
        <v>10801.412611371465</v>
      </c>
      <c r="C118" s="1">
        <f>C117+1</f>
        <v>427</v>
      </c>
      <c r="D118" s="1">
        <f>D117+1</f>
        <v>293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426</v>
      </c>
      <c r="D121" s="19">
        <v>292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R426</v>
      </c>
      <c r="D123" s="1" t="str">
        <f>"C"&amp;D121</f>
        <v>C292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24.24530510409388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176" x14ac:dyDescent="0.25">
      <c r="A321" s="7">
        <v>193.93030865451311</v>
      </c>
      <c r="B321"/>
      <c r="C321"/>
      <c r="D321"/>
      <c r="E321"/>
    </row>
    <row r="322" spans="1:176" x14ac:dyDescent="0.25">
      <c r="A322" s="7">
        <v>190.127753582856</v>
      </c>
      <c r="B322"/>
      <c r="C322"/>
      <c r="D322"/>
      <c r="E322"/>
    </row>
    <row r="323" spans="1:176" x14ac:dyDescent="0.25">
      <c r="A323" s="7">
        <v>186.3997584145647</v>
      </c>
      <c r="B323"/>
      <c r="C323"/>
      <c r="D323"/>
      <c r="E323"/>
    </row>
    <row r="324" spans="1:176" x14ac:dyDescent="0.25">
      <c r="A324" s="7">
        <v>182.7448611907497</v>
      </c>
      <c r="B324"/>
      <c r="C324"/>
      <c r="D324"/>
      <c r="E324"/>
    </row>
    <row r="325" spans="1:176" x14ac:dyDescent="0.25">
      <c r="A325" s="7">
        <v>179.16162861838205</v>
      </c>
      <c r="B325"/>
      <c r="C325"/>
      <c r="D325"/>
      <c r="E325"/>
      <c r="FS325" s="27" t="s">
        <v>8</v>
      </c>
    </row>
    <row r="326" spans="1:176" x14ac:dyDescent="0.25">
      <c r="A326" s="7">
        <v>175.6486555082177</v>
      </c>
      <c r="B326"/>
      <c r="C326"/>
      <c r="D326"/>
      <c r="E326"/>
      <c r="FS326" s="27" t="s">
        <v>8</v>
      </c>
      <c r="FT326" s="27" t="s">
        <v>7</v>
      </c>
    </row>
    <row r="327" spans="1:176" x14ac:dyDescent="0.25">
      <c r="A327" s="7">
        <v>172.20456422374284</v>
      </c>
      <c r="B327"/>
      <c r="C327"/>
      <c r="D327"/>
      <c r="E327"/>
      <c r="FS327" s="27" t="s">
        <v>8</v>
      </c>
      <c r="FT327" s="27" t="s">
        <v>7</v>
      </c>
    </row>
    <row r="328" spans="1:176" x14ac:dyDescent="0.25">
      <c r="A328" s="7">
        <v>168.82800414092435</v>
      </c>
      <c r="B328"/>
      <c r="C328"/>
      <c r="D328"/>
      <c r="E328"/>
      <c r="FS328" s="27" t="s">
        <v>8</v>
      </c>
      <c r="FT328" s="27" t="s">
        <v>7</v>
      </c>
    </row>
    <row r="329" spans="1:176" x14ac:dyDescent="0.25">
      <c r="A329" s="7">
        <v>165.51765111855329</v>
      </c>
      <c r="B329"/>
      <c r="C329"/>
      <c r="D329"/>
      <c r="E329"/>
      <c r="FS329" s="27" t="s">
        <v>8</v>
      </c>
      <c r="FT329" s="27" t="s">
        <v>7</v>
      </c>
    </row>
    <row r="330" spans="1:176" x14ac:dyDescent="0.25">
      <c r="A330" s="7">
        <v>162.2722069789738</v>
      </c>
      <c r="B330"/>
      <c r="C330"/>
      <c r="D330"/>
      <c r="E330"/>
      <c r="FS330" s="27" t="s">
        <v>8</v>
      </c>
      <c r="FT330" s="27" t="s">
        <v>7</v>
      </c>
    </row>
    <row r="331" spans="1:176" x14ac:dyDescent="0.25">
      <c r="A331" s="7">
        <v>159.09039899899392</v>
      </c>
      <c r="B331"/>
      <c r="C331"/>
      <c r="D331"/>
      <c r="E331"/>
      <c r="FS331" s="27" t="s">
        <v>8</v>
      </c>
      <c r="FT331" s="27" t="s">
        <v>7</v>
      </c>
    </row>
    <row r="332" spans="1:176" x14ac:dyDescent="0.25">
      <c r="A332" s="7">
        <v>155.97097941077834</v>
      </c>
      <c r="B332"/>
      <c r="C332"/>
      <c r="D332"/>
      <c r="E332"/>
      <c r="FS332" s="27" t="s">
        <v>8</v>
      </c>
      <c r="FT332" s="27" t="s">
        <v>7</v>
      </c>
    </row>
    <row r="333" spans="1:176" x14ac:dyDescent="0.25">
      <c r="A333" s="7">
        <v>152.91272491252778</v>
      </c>
      <c r="B333"/>
      <c r="C333"/>
      <c r="D333"/>
      <c r="E333"/>
      <c r="FS333" s="27" t="s">
        <v>8</v>
      </c>
      <c r="FT333" s="27" t="s">
        <v>7</v>
      </c>
    </row>
    <row r="334" spans="1:176" x14ac:dyDescent="0.25">
      <c r="A334" s="7">
        <v>149.91443618875272</v>
      </c>
      <c r="B334"/>
      <c r="C334"/>
      <c r="D334"/>
      <c r="E334"/>
      <c r="FS334" s="27" t="s">
        <v>8</v>
      </c>
      <c r="FT334" s="27" t="s">
        <v>7</v>
      </c>
    </row>
    <row r="335" spans="1:176" x14ac:dyDescent="0.25">
      <c r="A335" s="7">
        <v>146.97493743995364</v>
      </c>
      <c r="B335"/>
      <c r="C335"/>
      <c r="D335"/>
      <c r="E335"/>
      <c r="FS335" s="27" t="s">
        <v>8</v>
      </c>
      <c r="FT335" s="27" t="s">
        <v>7</v>
      </c>
    </row>
    <row r="336" spans="1:176" x14ac:dyDescent="0.25">
      <c r="A336" s="7">
        <v>144.09307592152317</v>
      </c>
      <c r="B336"/>
      <c r="C336"/>
      <c r="D336"/>
      <c r="E336"/>
      <c r="FS336" s="27" t="s">
        <v>8</v>
      </c>
      <c r="FT336" s="27" t="s">
        <v>7</v>
      </c>
    </row>
    <row r="337" spans="1:182" x14ac:dyDescent="0.25">
      <c r="A337" s="7">
        <v>141.26772149168937</v>
      </c>
      <c r="B337"/>
      <c r="C337"/>
      <c r="D337"/>
      <c r="E337"/>
      <c r="FS337" s="27" t="s">
        <v>8</v>
      </c>
      <c r="FT337" s="27" t="s">
        <v>7</v>
      </c>
    </row>
    <row r="338" spans="1:182" x14ac:dyDescent="0.25">
      <c r="A338" s="7">
        <v>138.4977661683229</v>
      </c>
      <c r="B338"/>
      <c r="C338"/>
      <c r="D338"/>
      <c r="E338"/>
      <c r="FS338" s="27" t="s">
        <v>8</v>
      </c>
      <c r="FT338" s="27" t="s">
        <v>7</v>
      </c>
    </row>
    <row r="339" spans="1:182" x14ac:dyDescent="0.25">
      <c r="A339" s="7">
        <v>135.7821236944342</v>
      </c>
      <c r="B339"/>
      <c r="C339"/>
      <c r="D339"/>
      <c r="E339"/>
      <c r="FS339" s="27" t="s">
        <v>8</v>
      </c>
      <c r="FT339" s="27" t="s">
        <v>7</v>
      </c>
    </row>
    <row r="340" spans="1:182" x14ac:dyDescent="0.25">
      <c r="A340" s="7">
        <v>133.11972911219038</v>
      </c>
      <c r="B340"/>
      <c r="C340"/>
      <c r="D340"/>
      <c r="E340"/>
      <c r="FS340" s="27" t="s">
        <v>8</v>
      </c>
      <c r="FT340" s="27" t="s">
        <v>7</v>
      </c>
      <c r="FU340" s="27" t="s">
        <v>8</v>
      </c>
    </row>
    <row r="341" spans="1:182" x14ac:dyDescent="0.25">
      <c r="A341" s="7">
        <v>130.50953834528468</v>
      </c>
      <c r="B341"/>
      <c r="C341"/>
      <c r="D341"/>
      <c r="E341"/>
      <c r="FS341" s="27" t="s">
        <v>8</v>
      </c>
      <c r="FT341" s="27" t="s">
        <v>7</v>
      </c>
      <c r="FU341" s="27" t="s">
        <v>8</v>
      </c>
      <c r="FV341" s="27" t="s">
        <v>7</v>
      </c>
    </row>
    <row r="342" spans="1:182" x14ac:dyDescent="0.25">
      <c r="A342" s="7">
        <v>127.95052778949477</v>
      </c>
      <c r="B342"/>
      <c r="C342"/>
      <c r="D342"/>
      <c r="E342"/>
      <c r="FS342" s="27" t="s">
        <v>8</v>
      </c>
      <c r="FT342" s="27" t="s">
        <v>7</v>
      </c>
      <c r="FU342" s="27" t="s">
        <v>8</v>
      </c>
      <c r="FV342" s="27" t="s">
        <v>7</v>
      </c>
    </row>
    <row r="343" spans="1:182" x14ac:dyDescent="0.25">
      <c r="A343" s="7">
        <v>125.44169391126938</v>
      </c>
      <c r="B343"/>
      <c r="C343"/>
      <c r="D343"/>
      <c r="E343"/>
      <c r="FS343" s="27" t="s">
        <v>8</v>
      </c>
      <c r="FT343" s="27" t="s">
        <v>7</v>
      </c>
      <c r="FU343" s="27" t="s">
        <v>8</v>
      </c>
      <c r="FV343" s="27" t="s">
        <v>7</v>
      </c>
    </row>
    <row r="344" spans="1:182" x14ac:dyDescent="0.25">
      <c r="A344" s="7">
        <v>122.98205285418567</v>
      </c>
      <c r="B344"/>
      <c r="C344"/>
      <c r="D344"/>
      <c r="E344"/>
      <c r="FS344" s="27" t="s">
        <v>8</v>
      </c>
      <c r="FT344" s="27" t="s">
        <v>7</v>
      </c>
      <c r="FU344" s="27" t="s">
        <v>8</v>
      </c>
      <c r="FV344" s="27" t="s">
        <v>7</v>
      </c>
    </row>
    <row r="345" spans="1:182" x14ac:dyDescent="0.25">
      <c r="A345" s="7">
        <v>120.5706400531232</v>
      </c>
      <c r="B345"/>
      <c r="C345"/>
      <c r="D345"/>
      <c r="E345"/>
      <c r="FS345" s="27" t="s">
        <v>8</v>
      </c>
      <c r="FT345" s="27" t="s">
        <v>7</v>
      </c>
      <c r="FU345" s="27" t="s">
        <v>8</v>
      </c>
      <c r="FV345" s="27" t="s">
        <v>7</v>
      </c>
    </row>
    <row r="346" spans="1:182" x14ac:dyDescent="0.25">
      <c r="A346" s="7">
        <v>118.20650985600314</v>
      </c>
      <c r="B346"/>
      <c r="C346"/>
      <c r="D346"/>
      <c r="E346"/>
      <c r="FS346" s="27" t="s">
        <v>8</v>
      </c>
      <c r="FT346" s="27" t="s">
        <v>7</v>
      </c>
      <c r="FU346" s="27" t="s">
        <v>8</v>
      </c>
      <c r="FV346" s="27" t="s">
        <v>7</v>
      </c>
    </row>
    <row r="347" spans="1:182" x14ac:dyDescent="0.25">
      <c r="A347" s="7">
        <v>115.88873515294425</v>
      </c>
      <c r="B347"/>
      <c r="C347"/>
      <c r="D347"/>
      <c r="E347"/>
      <c r="FS347" s="27" t="s">
        <v>8</v>
      </c>
      <c r="FT347" s="27" t="s">
        <v>7</v>
      </c>
      <c r="FU347" s="27" t="s">
        <v>8</v>
      </c>
      <c r="FV347" s="27" t="s">
        <v>7</v>
      </c>
      <c r="FW347" s="27" t="s">
        <v>8</v>
      </c>
    </row>
    <row r="348" spans="1:182" x14ac:dyDescent="0.25">
      <c r="A348" s="7">
        <v>113.61640701269044</v>
      </c>
      <c r="B348"/>
      <c r="C348"/>
      <c r="D348"/>
      <c r="E348"/>
      <c r="FS348" s="27" t="s">
        <v>8</v>
      </c>
      <c r="FT348" s="27" t="s">
        <v>7</v>
      </c>
      <c r="FU348" s="27" t="s">
        <v>8</v>
      </c>
      <c r="FV348" s="27" t="s">
        <v>7</v>
      </c>
      <c r="FW348" s="27" t="s">
        <v>8</v>
      </c>
      <c r="FX348" s="27" t="s">
        <v>7</v>
      </c>
      <c r="FY348" s="27" t="s">
        <v>8</v>
      </c>
    </row>
    <row r="349" spans="1:182" x14ac:dyDescent="0.25">
      <c r="A349" s="7">
        <v>111.38863432616711</v>
      </c>
      <c r="B349"/>
      <c r="C349"/>
      <c r="D349"/>
      <c r="E349"/>
      <c r="FS349" s="27" t="s">
        <v>8</v>
      </c>
      <c r="FT349" s="27" t="s">
        <v>7</v>
      </c>
      <c r="FU349" s="27" t="s">
        <v>8</v>
      </c>
      <c r="FV349" s="27" t="s">
        <v>7</v>
      </c>
      <c r="FW349" s="27" t="s">
        <v>8</v>
      </c>
      <c r="FX349" s="27" t="s">
        <v>7</v>
      </c>
      <c r="FY349" s="27" t="s">
        <v>8</v>
      </c>
      <c r="FZ349" s="27" t="s">
        <v>7</v>
      </c>
    </row>
    <row r="350" spans="1:182" x14ac:dyDescent="0.25">
      <c r="A350" s="7">
        <v>109.20454345702657</v>
      </c>
      <c r="B350"/>
      <c r="C350"/>
      <c r="D350"/>
      <c r="E350"/>
      <c r="FS350" s="27" t="s">
        <v>8</v>
      </c>
      <c r="FT350" s="27" t="s">
        <v>7</v>
      </c>
      <c r="FV350" s="27" t="s">
        <v>7</v>
      </c>
      <c r="FW350" s="27" t="s">
        <v>8</v>
      </c>
      <c r="FX350" s="27" t="s">
        <v>7</v>
      </c>
      <c r="FY350" s="27" t="s">
        <v>8</v>
      </c>
      <c r="FZ350" s="27" t="s">
        <v>7</v>
      </c>
    </row>
    <row r="351" spans="1:182" x14ac:dyDescent="0.25">
      <c r="A351" s="7">
        <v>107.06327789904566</v>
      </c>
      <c r="B351"/>
      <c r="C351"/>
      <c r="D351"/>
      <c r="E351"/>
      <c r="FS351" s="27" t="s">
        <v>8</v>
      </c>
      <c r="FV351" s="27" t="s">
        <v>7</v>
      </c>
      <c r="FW351" s="27" t="s">
        <v>8</v>
      </c>
      <c r="FX351" s="27" t="s">
        <v>7</v>
      </c>
      <c r="FY351" s="27" t="s">
        <v>8</v>
      </c>
      <c r="FZ351" s="27" t="s">
        <v>7</v>
      </c>
    </row>
    <row r="352" spans="1:182" x14ac:dyDescent="0.25">
      <c r="A352" s="7">
        <v>104.96399794024084</v>
      </c>
      <c r="B352"/>
      <c r="C352"/>
      <c r="D352"/>
      <c r="E352"/>
      <c r="FS352" s="27" t="s">
        <v>8</v>
      </c>
      <c r="FV352" s="27" t="s">
        <v>7</v>
      </c>
      <c r="FW352" s="27" t="s">
        <v>8</v>
      </c>
      <c r="FX352" s="27" t="s">
        <v>7</v>
      </c>
      <c r="FY352" s="27" t="s">
        <v>8</v>
      </c>
      <c r="FZ352" s="27" t="s">
        <v>7</v>
      </c>
    </row>
    <row r="353" spans="1:231" x14ac:dyDescent="0.25">
      <c r="A353" s="7">
        <v>102.90588033356946</v>
      </c>
      <c r="B353"/>
      <c r="C353"/>
      <c r="D353"/>
      <c r="E353"/>
      <c r="FS353" s="27" t="s">
        <v>8</v>
      </c>
      <c r="FV353" s="27" t="s">
        <v>7</v>
      </c>
      <c r="FW353" s="27" t="s">
        <v>8</v>
      </c>
      <c r="FX353" s="27" t="s">
        <v>7</v>
      </c>
      <c r="FY353" s="27" t="s">
        <v>8</v>
      </c>
      <c r="FZ353" s="27" t="s">
        <v>7</v>
      </c>
    </row>
    <row r="354" spans="1:231" x14ac:dyDescent="0.25">
      <c r="A354" s="7">
        <v>100.88811797408771</v>
      </c>
      <c r="B354"/>
      <c r="C354"/>
      <c r="D354"/>
      <c r="E354"/>
      <c r="FS354" s="27" t="s">
        <v>8</v>
      </c>
      <c r="FV354" s="27" t="s">
        <v>7</v>
      </c>
      <c r="FW354" s="27" t="s">
        <v>8</v>
      </c>
      <c r="FX354" s="27" t="s">
        <v>7</v>
      </c>
      <c r="FY354" s="27" t="s">
        <v>8</v>
      </c>
      <c r="FZ354" s="27" t="s">
        <v>7</v>
      </c>
    </row>
    <row r="355" spans="1:231" x14ac:dyDescent="0.25">
      <c r="A355" s="7">
        <v>98.909919582438931</v>
      </c>
      <c r="B355"/>
      <c r="C355"/>
      <c r="D355"/>
      <c r="E355"/>
      <c r="FS355" s="27" t="s">
        <v>8</v>
      </c>
      <c r="FV355" s="27" t="s">
        <v>7</v>
      </c>
      <c r="FW355" s="27" t="s">
        <v>8</v>
      </c>
      <c r="FX355" s="27" t="s">
        <v>7</v>
      </c>
      <c r="FY355" s="27" t="s">
        <v>8</v>
      </c>
      <c r="FZ355" s="27" t="s">
        <v>7</v>
      </c>
    </row>
    <row r="356" spans="1:231" x14ac:dyDescent="0.25">
      <c r="A356" s="7">
        <v>96.970509394547975</v>
      </c>
      <c r="B356"/>
      <c r="C356"/>
      <c r="D356"/>
      <c r="E356"/>
      <c r="FS356" s="27" t="s">
        <v>8</v>
      </c>
      <c r="FV356" s="27" t="s">
        <v>7</v>
      </c>
      <c r="FW356" s="27" t="s">
        <v>8</v>
      </c>
      <c r="FX356" s="27" t="s">
        <v>7</v>
      </c>
      <c r="FY356" s="27" t="s">
        <v>8</v>
      </c>
      <c r="FZ356" s="27" t="s">
        <v>7</v>
      </c>
    </row>
    <row r="357" spans="1:231" x14ac:dyDescent="0.25">
      <c r="A357" s="7">
        <v>95.069126857399979</v>
      </c>
      <c r="B357"/>
      <c r="C357"/>
      <c r="D357"/>
      <c r="E357"/>
      <c r="FS357" s="27" t="s">
        <v>8</v>
      </c>
      <c r="FV357" s="27" t="s">
        <v>7</v>
      </c>
      <c r="FW357" s="27" t="s">
        <v>8</v>
      </c>
      <c r="FX357" s="27" t="s">
        <v>7</v>
      </c>
      <c r="FY357" s="27" t="s">
        <v>8</v>
      </c>
      <c r="FZ357" s="27" t="s">
        <v>7</v>
      </c>
      <c r="GA357" s="27" t="s">
        <v>8</v>
      </c>
    </row>
    <row r="358" spans="1:231" x14ac:dyDescent="0.25">
      <c r="A358" s="7">
        <v>93.205026330784293</v>
      </c>
      <c r="B358"/>
      <c r="C358"/>
      <c r="D358"/>
      <c r="E358"/>
      <c r="FS358" s="27" t="s">
        <v>8</v>
      </c>
      <c r="FV358" s="27" t="s">
        <v>7</v>
      </c>
      <c r="FW358" s="27" t="s">
        <v>8</v>
      </c>
      <c r="FX358" s="27" t="s">
        <v>7</v>
      </c>
      <c r="FY358" s="27" t="s">
        <v>8</v>
      </c>
      <c r="FZ358" s="27" t="s">
        <v>7</v>
      </c>
      <c r="GA358" s="27" t="s">
        <v>8</v>
      </c>
      <c r="GB358" s="27" t="s">
        <v>7</v>
      </c>
    </row>
    <row r="359" spans="1:231" x14ac:dyDescent="0.25">
      <c r="A359" s="7">
        <v>91.377476794886562</v>
      </c>
      <c r="B359"/>
      <c r="C359"/>
      <c r="D359"/>
      <c r="E359"/>
      <c r="FS359" s="27" t="s">
        <v>8</v>
      </c>
      <c r="FV359" s="27" t="s">
        <v>7</v>
      </c>
      <c r="FX359" s="27" t="s">
        <v>7</v>
      </c>
      <c r="FY359" s="27" t="s">
        <v>8</v>
      </c>
      <c r="FZ359" s="27" t="s">
        <v>7</v>
      </c>
      <c r="GA359" s="27" t="s">
        <v>8</v>
      </c>
      <c r="GB359" s="27" t="s">
        <v>7</v>
      </c>
    </row>
    <row r="360" spans="1:231" x14ac:dyDescent="0.25">
      <c r="A360" s="7">
        <v>89.58576156361427</v>
      </c>
      <c r="B360"/>
      <c r="C360"/>
      <c r="D360"/>
      <c r="E360"/>
      <c r="FS360" s="27" t="s">
        <v>8</v>
      </c>
      <c r="FX360" s="27" t="s">
        <v>7</v>
      </c>
      <c r="FY360" s="27" t="s">
        <v>8</v>
      </c>
      <c r="FZ360" s="27" t="s">
        <v>7</v>
      </c>
      <c r="GA360" s="27" t="s">
        <v>8</v>
      </c>
      <c r="GB360" s="27" t="s">
        <v>7</v>
      </c>
    </row>
    <row r="361" spans="1:231" x14ac:dyDescent="0.25">
      <c r="A361" s="7">
        <v>87.829178003543404</v>
      </c>
      <c r="B361"/>
      <c r="C361"/>
      <c r="D361"/>
      <c r="E361"/>
      <c r="FS361" s="27" t="s">
        <v>8</v>
      </c>
      <c r="FX361" s="27" t="s">
        <v>7</v>
      </c>
      <c r="FY361" s="27" t="s">
        <v>8</v>
      </c>
      <c r="FZ361" s="27" t="s">
        <v>7</v>
      </c>
      <c r="GA361" s="27" t="s">
        <v>8</v>
      </c>
      <c r="GB361" s="27" t="s">
        <v>7</v>
      </c>
    </row>
    <row r="362" spans="1:231" x14ac:dyDescent="0.25">
      <c r="A362" s="7">
        <v>86.107037258375883</v>
      </c>
      <c r="B362"/>
      <c r="C362"/>
      <c r="D362"/>
      <c r="E362"/>
      <c r="FS362" s="27" t="s">
        <v>8</v>
      </c>
      <c r="FX362" s="27" t="s">
        <v>7</v>
      </c>
      <c r="FY362" s="27" t="s">
        <v>8</v>
      </c>
      <c r="FZ362" s="27" t="s">
        <v>7</v>
      </c>
      <c r="GA362" s="27" t="s">
        <v>8</v>
      </c>
      <c r="GB362" s="27" t="s">
        <v>7</v>
      </c>
    </row>
    <row r="363" spans="1:231" x14ac:dyDescent="0.25">
      <c r="A363" s="7">
        <v>84.418663978799884</v>
      </c>
      <c r="B363"/>
      <c r="C363"/>
      <c r="D363"/>
      <c r="E363"/>
      <c r="FS363" s="27" t="s">
        <v>8</v>
      </c>
      <c r="FX363" s="27" t="s">
        <v>7</v>
      </c>
      <c r="FY363" s="27" t="s">
        <v>8</v>
      </c>
      <c r="FZ363" s="27" t="s">
        <v>7</v>
      </c>
      <c r="GA363" s="27" t="s">
        <v>8</v>
      </c>
      <c r="GB363" s="27" t="s">
        <v>7</v>
      </c>
    </row>
    <row r="364" spans="1:231" x14ac:dyDescent="0.25">
      <c r="A364" s="7">
        <v>82.763396057646943</v>
      </c>
      <c r="B364"/>
      <c r="C364"/>
      <c r="D364"/>
      <c r="E364"/>
      <c r="FS364" s="27" t="s">
        <v>8</v>
      </c>
      <c r="FX364" s="27" t="s">
        <v>7</v>
      </c>
      <c r="FY364" s="27" t="s">
        <v>8</v>
      </c>
      <c r="FZ364" s="27" t="s">
        <v>7</v>
      </c>
      <c r="GA364" s="27" t="s">
        <v>8</v>
      </c>
      <c r="GB364" s="27" t="s">
        <v>7</v>
      </c>
      <c r="GG364" s="27" t="s">
        <v>8</v>
      </c>
    </row>
    <row r="365" spans="1:231" x14ac:dyDescent="0.25">
      <c r="A365" s="7">
        <v>81.140584370242095</v>
      </c>
      <c r="B365"/>
      <c r="C365"/>
      <c r="D365"/>
      <c r="E365"/>
      <c r="FS365" s="27" t="s">
        <v>8</v>
      </c>
      <c r="FX365" s="27" t="s">
        <v>7</v>
      </c>
      <c r="FY365" s="27" t="s">
        <v>8</v>
      </c>
      <c r="FZ365" s="27" t="s">
        <v>7</v>
      </c>
      <c r="GB365" s="27" t="s">
        <v>7</v>
      </c>
      <c r="GG365" s="27" t="s">
        <v>8</v>
      </c>
      <c r="GH365" s="27" t="s">
        <v>7</v>
      </c>
    </row>
    <row r="366" spans="1:231" x14ac:dyDescent="0.25">
      <c r="A366" s="7">
        <v>79.549592519845191</v>
      </c>
      <c r="B366"/>
      <c r="C366"/>
      <c r="D366"/>
      <c r="E366"/>
      <c r="FS366" s="27" t="s">
        <v>8</v>
      </c>
      <c r="FX366" s="27" t="s">
        <v>7</v>
      </c>
      <c r="FY366" s="27" t="s">
        <v>8</v>
      </c>
      <c r="GB366" s="27" t="s">
        <v>7</v>
      </c>
      <c r="GC366" s="27" t="s">
        <v>8</v>
      </c>
      <c r="GG366" s="27" t="s">
        <v>8</v>
      </c>
      <c r="GH366" s="27" t="s">
        <v>7</v>
      </c>
    </row>
    <row r="367" spans="1:231" x14ac:dyDescent="0.25">
      <c r="A367" s="7">
        <v>77.989796588083522</v>
      </c>
      <c r="B367"/>
      <c r="C367"/>
      <c r="D367"/>
      <c r="E367"/>
      <c r="FS367" s="27" t="s">
        <v>8</v>
      </c>
      <c r="FX367" s="27" t="s">
        <v>7</v>
      </c>
      <c r="FY367" s="27" t="s">
        <v>8</v>
      </c>
      <c r="GB367" s="27" t="s">
        <v>7</v>
      </c>
      <c r="GC367" s="27" t="s">
        <v>8</v>
      </c>
      <c r="GD367" s="27" t="s">
        <v>7</v>
      </c>
      <c r="GG367" s="27" t="s">
        <v>8</v>
      </c>
      <c r="GH367" s="27" t="s">
        <v>7</v>
      </c>
    </row>
    <row r="368" spans="1:231" x14ac:dyDescent="0.25">
      <c r="A368" s="7">
        <v>76.460584890277957</v>
      </c>
      <c r="B368"/>
      <c r="C368"/>
      <c r="D368"/>
      <c r="E368"/>
      <c r="FS368" s="27" t="s">
        <v>8</v>
      </c>
      <c r="FX368" s="27" t="s">
        <v>7</v>
      </c>
      <c r="GB368" s="27" t="s">
        <v>7</v>
      </c>
      <c r="GC368" s="27" t="s">
        <v>8</v>
      </c>
      <c r="GD368" s="27" t="s">
        <v>7</v>
      </c>
      <c r="GG368" s="27" t="s">
        <v>8</v>
      </c>
      <c r="GH368" s="27" t="s">
        <v>7</v>
      </c>
      <c r="HQ368" s="27" t="s">
        <v>8</v>
      </c>
      <c r="HW368" s="27" t="s">
        <v>8</v>
      </c>
    </row>
    <row r="369" spans="1:258" x14ac:dyDescent="0.25">
      <c r="A369" s="7">
        <v>74.961357735566622</v>
      </c>
      <c r="B369"/>
      <c r="C369"/>
      <c r="D369"/>
      <c r="E369"/>
      <c r="FS369" s="27" t="s">
        <v>8</v>
      </c>
      <c r="GB369" s="27" t="s">
        <v>7</v>
      </c>
      <c r="GC369" s="27" t="s">
        <v>8</v>
      </c>
      <c r="GD369" s="27" t="s">
        <v>7</v>
      </c>
      <c r="GG369" s="27" t="s">
        <v>8</v>
      </c>
      <c r="GH369" s="27" t="s">
        <v>7</v>
      </c>
      <c r="HQ369" s="27" t="s">
        <v>8</v>
      </c>
      <c r="HR369" s="27" t="s">
        <v>7</v>
      </c>
      <c r="HW369" s="27" t="s">
        <v>8</v>
      </c>
      <c r="HX369" s="27" t="s">
        <v>7</v>
      </c>
    </row>
    <row r="370" spans="1:258" x14ac:dyDescent="0.25">
      <c r="A370" s="7">
        <v>73.491527191731976</v>
      </c>
      <c r="B370"/>
      <c r="C370"/>
      <c r="D370"/>
      <c r="E370"/>
      <c r="FS370" s="27" t="s">
        <v>8</v>
      </c>
      <c r="GB370" s="27" t="s">
        <v>7</v>
      </c>
      <c r="GC370" s="27" t="s">
        <v>8</v>
      </c>
      <c r="GD370" s="27" t="s">
        <v>7</v>
      </c>
      <c r="GG370" s="27" t="s">
        <v>8</v>
      </c>
      <c r="GH370" s="27" t="s">
        <v>7</v>
      </c>
      <c r="HQ370" s="27" t="s">
        <v>8</v>
      </c>
      <c r="HR370" s="27" t="s">
        <v>7</v>
      </c>
      <c r="HW370" s="27" t="s">
        <v>8</v>
      </c>
      <c r="HX370" s="27" t="s">
        <v>7</v>
      </c>
    </row>
    <row r="371" spans="1:258" x14ac:dyDescent="0.25">
      <c r="A371" s="7">
        <v>72.050516854639184</v>
      </c>
      <c r="B371"/>
      <c r="C371"/>
      <c r="D371"/>
      <c r="E371"/>
      <c r="FS371" s="27" t="s">
        <v>8</v>
      </c>
      <c r="GB371" s="27" t="s">
        <v>7</v>
      </c>
      <c r="GC371" s="27" t="s">
        <v>8</v>
      </c>
      <c r="GD371" s="27" t="s">
        <v>7</v>
      </c>
      <c r="GG371" s="27" t="s">
        <v>8</v>
      </c>
      <c r="GH371" s="27" t="s">
        <v>7</v>
      </c>
      <c r="GK371" s="27" t="s">
        <v>8</v>
      </c>
      <c r="HQ371" s="27" t="s">
        <v>8</v>
      </c>
      <c r="HR371" s="27" t="s">
        <v>7</v>
      </c>
      <c r="HW371" s="27" t="s">
        <v>8</v>
      </c>
      <c r="HX371" s="27" t="s">
        <v>7</v>
      </c>
    </row>
    <row r="372" spans="1:258" x14ac:dyDescent="0.25">
      <c r="A372" s="7">
        <v>70.637761622195271</v>
      </c>
      <c r="B372"/>
      <c r="C372"/>
      <c r="D372"/>
      <c r="E372"/>
      <c r="FS372" s="27" t="s">
        <v>8</v>
      </c>
      <c r="GB372" s="27" t="s">
        <v>7</v>
      </c>
      <c r="GC372" s="27" t="s">
        <v>8</v>
      </c>
      <c r="GD372" s="27" t="s">
        <v>7</v>
      </c>
      <c r="GG372" s="27" t="s">
        <v>8</v>
      </c>
      <c r="GH372" s="27" t="s">
        <v>7</v>
      </c>
      <c r="GI372" s="27" t="s">
        <v>8</v>
      </c>
      <c r="GK372" s="27" t="s">
        <v>8</v>
      </c>
      <c r="GL372" s="27" t="s">
        <v>7</v>
      </c>
      <c r="HQ372" s="27" t="s">
        <v>8</v>
      </c>
      <c r="HR372" s="27" t="s">
        <v>7</v>
      </c>
      <c r="HW372" s="27" t="s">
        <v>8</v>
      </c>
      <c r="HX372" s="27" t="s">
        <v>7</v>
      </c>
    </row>
    <row r="373" spans="1:258" x14ac:dyDescent="0.25">
      <c r="A373" s="7">
        <v>69.252707472740454</v>
      </c>
      <c r="B373"/>
      <c r="C373"/>
      <c r="D373"/>
      <c r="E373"/>
      <c r="FS373" s="27" t="s">
        <v>8</v>
      </c>
      <c r="GB373" s="27" t="s">
        <v>7</v>
      </c>
      <c r="GC373" s="27" t="s">
        <v>8</v>
      </c>
      <c r="GD373" s="27" t="s">
        <v>7</v>
      </c>
      <c r="GG373" s="27" t="s">
        <v>8</v>
      </c>
      <c r="GH373" s="27" t="s">
        <v>7</v>
      </c>
      <c r="GI373" s="27" t="s">
        <v>8</v>
      </c>
      <c r="GJ373" s="27" t="s">
        <v>7</v>
      </c>
      <c r="GK373" s="27" t="s">
        <v>8</v>
      </c>
      <c r="GL373" s="27" t="s">
        <v>7</v>
      </c>
      <c r="HQ373" s="27" t="s">
        <v>8</v>
      </c>
      <c r="HR373" s="27" t="s">
        <v>7</v>
      </c>
      <c r="HS373" s="27" t="s">
        <v>8</v>
      </c>
      <c r="HW373" s="27" t="s">
        <v>8</v>
      </c>
      <c r="HX373" s="27" t="s">
        <v>7</v>
      </c>
    </row>
    <row r="374" spans="1:258" x14ac:dyDescent="0.25">
      <c r="A374" s="7">
        <v>67.894811247784759</v>
      </c>
      <c r="B374"/>
      <c r="C374"/>
      <c r="D374"/>
      <c r="E374"/>
      <c r="FS374" s="27" t="s">
        <v>8</v>
      </c>
      <c r="GB374" s="27" t="s">
        <v>7</v>
      </c>
      <c r="GC374" s="27" t="s">
        <v>8</v>
      </c>
      <c r="GD374" s="27" t="s">
        <v>7</v>
      </c>
      <c r="GG374" s="27" t="s">
        <v>8</v>
      </c>
      <c r="GH374" s="27" t="s">
        <v>7</v>
      </c>
      <c r="GI374" s="27" t="s">
        <v>8</v>
      </c>
      <c r="GJ374" s="27" t="s">
        <v>7</v>
      </c>
      <c r="GK374" s="27" t="s">
        <v>8</v>
      </c>
      <c r="GL374" s="27" t="s">
        <v>7</v>
      </c>
      <c r="HQ374" s="27" t="s">
        <v>8</v>
      </c>
      <c r="HR374" s="27" t="s">
        <v>7</v>
      </c>
      <c r="HS374" s="27" t="s">
        <v>8</v>
      </c>
      <c r="HT374" s="27" t="s">
        <v>7</v>
      </c>
      <c r="HW374" s="27" t="s">
        <v>8</v>
      </c>
      <c r="HX374" s="27" t="s">
        <v>7</v>
      </c>
    </row>
    <row r="375" spans="1:258" x14ac:dyDescent="0.25">
      <c r="A375" s="7">
        <v>66.563540439004669</v>
      </c>
      <c r="B375"/>
      <c r="C375"/>
      <c r="D375"/>
      <c r="E375"/>
      <c r="FS375" s="27" t="s">
        <v>8</v>
      </c>
      <c r="GB375" s="27" t="s">
        <v>7</v>
      </c>
      <c r="GC375" s="27" t="s">
        <v>8</v>
      </c>
      <c r="GD375" s="27" t="s">
        <v>7</v>
      </c>
      <c r="GG375" s="27" t="s">
        <v>8</v>
      </c>
      <c r="GH375" s="27" t="s">
        <v>7</v>
      </c>
      <c r="GI375" s="27" t="s">
        <v>8</v>
      </c>
      <c r="GJ375" s="27" t="s">
        <v>7</v>
      </c>
      <c r="GL375" s="27" t="s">
        <v>7</v>
      </c>
      <c r="GM375" s="27" t="s">
        <v>8</v>
      </c>
      <c r="HQ375" s="27" t="s">
        <v>8</v>
      </c>
      <c r="HR375" s="27" t="s">
        <v>7</v>
      </c>
      <c r="HS375" s="27" t="s">
        <v>8</v>
      </c>
      <c r="HT375" s="27" t="s">
        <v>7</v>
      </c>
      <c r="HU375" s="27" t="s">
        <v>8</v>
      </c>
      <c r="HW375" s="27" t="s">
        <v>8</v>
      </c>
      <c r="HX375" s="27" t="s">
        <v>7</v>
      </c>
    </row>
    <row r="376" spans="1:258" x14ac:dyDescent="0.25">
      <c r="A376" s="7">
        <v>65.258372979416336</v>
      </c>
      <c r="B376"/>
      <c r="C376"/>
      <c r="D376"/>
      <c r="E376"/>
      <c r="FS376" s="27" t="s">
        <v>8</v>
      </c>
      <c r="GB376" s="27" t="s">
        <v>7</v>
      </c>
      <c r="GC376" s="27" t="s">
        <v>8</v>
      </c>
      <c r="GD376" s="27" t="s">
        <v>7</v>
      </c>
      <c r="GG376" s="27" t="s">
        <v>8</v>
      </c>
      <c r="GH376" s="27" t="s">
        <v>7</v>
      </c>
      <c r="GI376" s="27" t="s">
        <v>8</v>
      </c>
      <c r="GL376" s="27" t="s">
        <v>7</v>
      </c>
      <c r="GM376" s="27" t="s">
        <v>8</v>
      </c>
      <c r="GN376" s="27" t="s">
        <v>7</v>
      </c>
      <c r="HO376" s="27" t="s">
        <v>8</v>
      </c>
      <c r="HQ376" s="27" t="s">
        <v>8</v>
      </c>
      <c r="HR376" s="27" t="s">
        <v>7</v>
      </c>
      <c r="HS376" s="27" t="s">
        <v>8</v>
      </c>
      <c r="HT376" s="27" t="s">
        <v>7</v>
      </c>
      <c r="HU376" s="27" t="s">
        <v>8</v>
      </c>
      <c r="HV376" s="27" t="s">
        <v>7</v>
      </c>
      <c r="HW376" s="27" t="s">
        <v>8</v>
      </c>
      <c r="HX376" s="27" t="s">
        <v>7</v>
      </c>
      <c r="IU376" s="27" t="s">
        <v>8</v>
      </c>
    </row>
    <row r="377" spans="1:258" x14ac:dyDescent="0.25">
      <c r="A377" s="7">
        <v>63.978797038643471</v>
      </c>
      <c r="B377"/>
      <c r="C377"/>
      <c r="D377"/>
      <c r="E377"/>
      <c r="FS377" s="27" t="s">
        <v>8</v>
      </c>
      <c r="GB377" s="27" t="s">
        <v>7</v>
      </c>
      <c r="GC377" s="27" t="s">
        <v>8</v>
      </c>
      <c r="GD377" s="27" t="s">
        <v>7</v>
      </c>
      <c r="GE377" s="27" t="s">
        <v>8</v>
      </c>
      <c r="GG377" s="27" t="s">
        <v>8</v>
      </c>
      <c r="GH377" s="27" t="s">
        <v>7</v>
      </c>
      <c r="GI377" s="27" t="s">
        <v>8</v>
      </c>
      <c r="GL377" s="27" t="s">
        <v>7</v>
      </c>
      <c r="GM377" s="27" t="s">
        <v>8</v>
      </c>
      <c r="GN377" s="27" t="s">
        <v>7</v>
      </c>
      <c r="HO377" s="27" t="s">
        <v>8</v>
      </c>
      <c r="HP377" s="27" t="s">
        <v>7</v>
      </c>
      <c r="HQ377" s="27" t="s">
        <v>8</v>
      </c>
      <c r="HR377" s="27" t="s">
        <v>7</v>
      </c>
      <c r="HS377" s="27" t="s">
        <v>8</v>
      </c>
      <c r="HT377" s="27" t="s">
        <v>7</v>
      </c>
      <c r="HU377" s="27" t="s">
        <v>8</v>
      </c>
      <c r="HV377" s="27" t="s">
        <v>7</v>
      </c>
      <c r="HW377" s="27" t="s">
        <v>8</v>
      </c>
      <c r="HX377" s="27" t="s">
        <v>7</v>
      </c>
      <c r="IU377" s="27" t="s">
        <v>8</v>
      </c>
      <c r="IV377" s="27" t="s">
        <v>7</v>
      </c>
    </row>
    <row r="378" spans="1:258" x14ac:dyDescent="0.25">
      <c r="A378" s="7">
        <v>62.724310822199477</v>
      </c>
      <c r="B378"/>
      <c r="C378"/>
      <c r="D378"/>
      <c r="E378"/>
      <c r="FS378" s="27" t="s">
        <v>8</v>
      </c>
      <c r="GB378" s="27" t="s">
        <v>7</v>
      </c>
      <c r="GC378" s="27" t="s">
        <v>8</v>
      </c>
      <c r="GD378" s="27" t="s">
        <v>7</v>
      </c>
      <c r="GE378" s="27" t="s">
        <v>8</v>
      </c>
      <c r="GF378" s="27" t="s">
        <v>7</v>
      </c>
      <c r="GG378" s="27" t="s">
        <v>8</v>
      </c>
      <c r="GH378" s="27" t="s">
        <v>7</v>
      </c>
      <c r="GI378" s="27" t="s">
        <v>8</v>
      </c>
      <c r="GL378" s="27" t="s">
        <v>7</v>
      </c>
      <c r="GM378" s="27" t="s">
        <v>8</v>
      </c>
      <c r="GN378" s="27" t="s">
        <v>7</v>
      </c>
      <c r="GO378" s="27" t="s">
        <v>8</v>
      </c>
      <c r="HM378" s="27" t="s">
        <v>8</v>
      </c>
      <c r="HO378" s="27" t="s">
        <v>8</v>
      </c>
      <c r="HP378" s="27" t="s">
        <v>7</v>
      </c>
      <c r="HQ378" s="27" t="s">
        <v>8</v>
      </c>
      <c r="HR378" s="27" t="s">
        <v>7</v>
      </c>
      <c r="HS378" s="27" t="s">
        <v>8</v>
      </c>
      <c r="HT378" s="27" t="s">
        <v>7</v>
      </c>
      <c r="HU378" s="27" t="s">
        <v>8</v>
      </c>
      <c r="HV378" s="27" t="s">
        <v>7</v>
      </c>
      <c r="HW378" s="27" t="s">
        <v>8</v>
      </c>
      <c r="HX378" s="27" t="s">
        <v>7</v>
      </c>
      <c r="IU378" s="27" t="s">
        <v>8</v>
      </c>
      <c r="IV378" s="27" t="s">
        <v>7</v>
      </c>
    </row>
    <row r="379" spans="1:258" x14ac:dyDescent="0.25">
      <c r="A379" s="7">
        <v>61.494422374705366</v>
      </c>
      <c r="B379"/>
      <c r="C379"/>
      <c r="D379"/>
      <c r="E379"/>
      <c r="FS379" s="27" t="s">
        <v>8</v>
      </c>
      <c r="GB379" s="27" t="s">
        <v>7</v>
      </c>
      <c r="GC379" s="27" t="s">
        <v>8</v>
      </c>
      <c r="GD379" s="27" t="s">
        <v>7</v>
      </c>
      <c r="GE379" s="27" t="s">
        <v>8</v>
      </c>
      <c r="GF379" s="27" t="s">
        <v>7</v>
      </c>
      <c r="GG379" s="27" t="s">
        <v>8</v>
      </c>
      <c r="GH379" s="27" t="s">
        <v>7</v>
      </c>
      <c r="GI379" s="27" t="s">
        <v>8</v>
      </c>
      <c r="GL379" s="27" t="s">
        <v>7</v>
      </c>
      <c r="GN379" s="27" t="s">
        <v>7</v>
      </c>
      <c r="GO379" s="27" t="s">
        <v>8</v>
      </c>
      <c r="GP379" s="27" t="s">
        <v>7</v>
      </c>
      <c r="GU379" s="27" t="s">
        <v>8</v>
      </c>
      <c r="HM379" s="27" t="s">
        <v>8</v>
      </c>
      <c r="HN379" s="27" t="s">
        <v>7</v>
      </c>
      <c r="HO379" s="27" t="s">
        <v>8</v>
      </c>
      <c r="HP379" s="27" t="s">
        <v>7</v>
      </c>
      <c r="HQ379" s="27" t="s">
        <v>8</v>
      </c>
      <c r="HR379" s="27" t="s">
        <v>7</v>
      </c>
      <c r="HS379" s="27" t="s">
        <v>8</v>
      </c>
      <c r="HT379" s="27" t="s">
        <v>7</v>
      </c>
      <c r="HU379" s="27" t="s">
        <v>8</v>
      </c>
      <c r="HV379" s="27" t="s">
        <v>7</v>
      </c>
      <c r="HX379" s="27" t="s">
        <v>7</v>
      </c>
      <c r="IU379" s="27" t="s">
        <v>8</v>
      </c>
      <c r="IV379" s="27" t="s">
        <v>7</v>
      </c>
    </row>
    <row r="380" spans="1:258" x14ac:dyDescent="0.25">
      <c r="A380" s="7">
        <v>60.288649386966043</v>
      </c>
      <c r="B380"/>
      <c r="C380"/>
      <c r="D380"/>
      <c r="E380"/>
      <c r="FS380" s="27" t="s">
        <v>8</v>
      </c>
      <c r="GB380" s="27" t="s">
        <v>7</v>
      </c>
      <c r="GC380" s="27" t="s">
        <v>8</v>
      </c>
      <c r="GD380" s="27" t="s">
        <v>7</v>
      </c>
      <c r="GE380" s="27" t="s">
        <v>8</v>
      </c>
      <c r="GF380" s="27" t="s">
        <v>7</v>
      </c>
      <c r="GG380" s="27" t="s">
        <v>8</v>
      </c>
      <c r="GH380" s="27" t="s">
        <v>7</v>
      </c>
      <c r="GN380" s="27" t="s">
        <v>7</v>
      </c>
      <c r="GO380" s="27" t="s">
        <v>8</v>
      </c>
      <c r="GP380" s="27" t="s">
        <v>7</v>
      </c>
      <c r="GQ380" s="27" t="s">
        <v>8</v>
      </c>
      <c r="GU380" s="27" t="s">
        <v>8</v>
      </c>
      <c r="GV380" s="27" t="s">
        <v>7</v>
      </c>
      <c r="HM380" s="27" t="s">
        <v>8</v>
      </c>
      <c r="HN380" s="27" t="s">
        <v>7</v>
      </c>
      <c r="HO380" s="27" t="s">
        <v>8</v>
      </c>
      <c r="HP380" s="27" t="s">
        <v>7</v>
      </c>
      <c r="HR380" s="27" t="s">
        <v>7</v>
      </c>
      <c r="HT380" s="27" t="s">
        <v>7</v>
      </c>
      <c r="HU380" s="27" t="s">
        <v>8</v>
      </c>
      <c r="HX380" s="27" t="s">
        <v>7</v>
      </c>
      <c r="HY380" s="27" t="s">
        <v>8</v>
      </c>
      <c r="IU380" s="27" t="s">
        <v>8</v>
      </c>
      <c r="IV380" s="27" t="s">
        <v>7</v>
      </c>
    </row>
    <row r="381" spans="1:258" x14ac:dyDescent="0.25">
      <c r="A381" s="7">
        <v>59.106519006829451</v>
      </c>
      <c r="B381"/>
      <c r="C381"/>
      <c r="D381"/>
      <c r="E381"/>
      <c r="FS381" s="27" t="s">
        <v>8</v>
      </c>
      <c r="GB381" s="27" t="s">
        <v>7</v>
      </c>
      <c r="GC381" s="27" t="s">
        <v>8</v>
      </c>
      <c r="GD381" s="27" t="s">
        <v>7</v>
      </c>
      <c r="GE381" s="27" t="s">
        <v>8</v>
      </c>
      <c r="GF381" s="27" t="s">
        <v>7</v>
      </c>
      <c r="GG381" s="27" t="s">
        <v>8</v>
      </c>
      <c r="GN381" s="27" t="s">
        <v>7</v>
      </c>
      <c r="GO381" s="27" t="s">
        <v>8</v>
      </c>
      <c r="GP381" s="27" t="s">
        <v>7</v>
      </c>
      <c r="GQ381" s="27" t="s">
        <v>8</v>
      </c>
      <c r="GR381" s="27" t="s">
        <v>7</v>
      </c>
      <c r="GU381" s="27" t="s">
        <v>8</v>
      </c>
      <c r="GV381" s="27" t="s">
        <v>7</v>
      </c>
      <c r="HM381" s="27" t="s">
        <v>8</v>
      </c>
      <c r="HN381" s="27" t="s">
        <v>7</v>
      </c>
      <c r="HO381" s="27" t="s">
        <v>8</v>
      </c>
      <c r="HT381" s="27" t="s">
        <v>7</v>
      </c>
      <c r="HX381" s="27" t="s">
        <v>7</v>
      </c>
      <c r="HY381" s="27" t="s">
        <v>8</v>
      </c>
      <c r="HZ381" s="27" t="s">
        <v>7</v>
      </c>
      <c r="IA381" s="27" t="s">
        <v>8</v>
      </c>
      <c r="IO381" s="27" t="s">
        <v>8</v>
      </c>
      <c r="IU381" s="27" t="s">
        <v>8</v>
      </c>
      <c r="IV381" s="27" t="s">
        <v>7</v>
      </c>
    </row>
    <row r="382" spans="1:258" x14ac:dyDescent="0.25">
      <c r="A382" s="7">
        <v>57.947567653754362</v>
      </c>
      <c r="B382"/>
      <c r="C382"/>
      <c r="D382"/>
      <c r="E382"/>
      <c r="FS382" s="27" t="s">
        <v>8</v>
      </c>
      <c r="GB382" s="27" t="s">
        <v>7</v>
      </c>
      <c r="GC382" s="27" t="s">
        <v>8</v>
      </c>
      <c r="GD382" s="27" t="s">
        <v>7</v>
      </c>
      <c r="GE382" s="27" t="s">
        <v>8</v>
      </c>
      <c r="GF382" s="27" t="s">
        <v>7</v>
      </c>
      <c r="GG382" s="27" t="s">
        <v>8</v>
      </c>
      <c r="GN382" s="27" t="s">
        <v>7</v>
      </c>
      <c r="GO382" s="27" t="s">
        <v>8</v>
      </c>
      <c r="GP382" s="27" t="s">
        <v>7</v>
      </c>
      <c r="GQ382" s="27" t="s">
        <v>8</v>
      </c>
      <c r="GR382" s="27" t="s">
        <v>7</v>
      </c>
      <c r="GU382" s="27" t="s">
        <v>8</v>
      </c>
      <c r="GV382" s="27" t="s">
        <v>7</v>
      </c>
      <c r="GW382" s="27" t="s">
        <v>8</v>
      </c>
      <c r="HM382" s="27" t="s">
        <v>8</v>
      </c>
      <c r="HN382" s="27" t="s">
        <v>7</v>
      </c>
      <c r="HO382" s="27" t="s">
        <v>8</v>
      </c>
      <c r="HX382" s="27" t="s">
        <v>7</v>
      </c>
      <c r="HY382" s="27" t="s">
        <v>8</v>
      </c>
      <c r="HZ382" s="27" t="s">
        <v>7</v>
      </c>
      <c r="IA382" s="27" t="s">
        <v>8</v>
      </c>
      <c r="IB382" s="27" t="s">
        <v>7</v>
      </c>
      <c r="IO382" s="27" t="s">
        <v>8</v>
      </c>
      <c r="IP382" s="27" t="s">
        <v>7</v>
      </c>
      <c r="IQ382" s="27" t="s">
        <v>8</v>
      </c>
      <c r="IU382" s="27" t="s">
        <v>8</v>
      </c>
      <c r="IV382" s="27" t="s">
        <v>7</v>
      </c>
      <c r="IW382" s="27" t="s">
        <v>8</v>
      </c>
    </row>
    <row r="383" spans="1:258" x14ac:dyDescent="0.25">
      <c r="A383" s="7">
        <v>56.811340837014079</v>
      </c>
      <c r="B383"/>
      <c r="C383"/>
      <c r="D383"/>
      <c r="E383"/>
      <c r="FS383" s="27" t="s">
        <v>8</v>
      </c>
      <c r="GB383" s="27" t="s">
        <v>7</v>
      </c>
      <c r="GC383" s="27" t="s">
        <v>8</v>
      </c>
      <c r="GD383" s="27" t="s">
        <v>7</v>
      </c>
      <c r="GE383" s="27" t="s">
        <v>8</v>
      </c>
      <c r="GF383" s="27" t="s">
        <v>7</v>
      </c>
      <c r="GG383" s="27" t="s">
        <v>8</v>
      </c>
      <c r="GN383" s="27" t="s">
        <v>7</v>
      </c>
      <c r="GO383" s="27" t="s">
        <v>8</v>
      </c>
      <c r="GP383" s="27" t="s">
        <v>7</v>
      </c>
      <c r="GQ383" s="27" t="s">
        <v>8</v>
      </c>
      <c r="GR383" s="27" t="s">
        <v>7</v>
      </c>
      <c r="GU383" s="27" t="s">
        <v>8</v>
      </c>
      <c r="GV383" s="27" t="s">
        <v>7</v>
      </c>
      <c r="GW383" s="27" t="s">
        <v>8</v>
      </c>
      <c r="GX383" s="27" t="s">
        <v>7</v>
      </c>
      <c r="GY383" s="27" t="s">
        <v>8</v>
      </c>
      <c r="HM383" s="27" t="s">
        <v>8</v>
      </c>
      <c r="HN383" s="27" t="s">
        <v>7</v>
      </c>
      <c r="HO383" s="27" t="s">
        <v>8</v>
      </c>
      <c r="HX383" s="27" t="s">
        <v>7</v>
      </c>
      <c r="HY383" s="27" t="s">
        <v>8</v>
      </c>
      <c r="HZ383" s="27" t="s">
        <v>7</v>
      </c>
      <c r="IA383" s="27" t="s">
        <v>8</v>
      </c>
      <c r="IB383" s="27" t="s">
        <v>7</v>
      </c>
      <c r="IK383" s="27" t="s">
        <v>8</v>
      </c>
      <c r="IM383" s="27" t="s">
        <v>8</v>
      </c>
      <c r="IO383" s="27" t="s">
        <v>8</v>
      </c>
      <c r="IP383" s="27" t="s">
        <v>7</v>
      </c>
      <c r="IQ383" s="27" t="s">
        <v>8</v>
      </c>
      <c r="IR383" s="27" t="s">
        <v>7</v>
      </c>
      <c r="IS383" s="27" t="s">
        <v>8</v>
      </c>
      <c r="IU383" s="27" t="s">
        <v>8</v>
      </c>
      <c r="IV383" s="27" t="s">
        <v>7</v>
      </c>
      <c r="IW383" s="27" t="s">
        <v>8</v>
      </c>
      <c r="IX383" s="27" t="s">
        <v>7</v>
      </c>
    </row>
    <row r="384" spans="1:258" x14ac:dyDescent="0.25">
      <c r="A384" s="7">
        <v>55.69739297746478</v>
      </c>
      <c r="B384"/>
      <c r="C384"/>
      <c r="D384"/>
      <c r="E384"/>
      <c r="FS384" s="27" t="s">
        <v>8</v>
      </c>
      <c r="GB384" s="27" t="s">
        <v>7</v>
      </c>
      <c r="GC384" s="27" t="s">
        <v>8</v>
      </c>
      <c r="GD384" s="27" t="s">
        <v>7</v>
      </c>
      <c r="GE384" s="27" t="s">
        <v>8</v>
      </c>
      <c r="GF384" s="27" t="s">
        <v>7</v>
      </c>
      <c r="GG384" s="27" t="s">
        <v>8</v>
      </c>
      <c r="GN384" s="27" t="s">
        <v>7</v>
      </c>
      <c r="GO384" s="27" t="s">
        <v>8</v>
      </c>
      <c r="GP384" s="27" t="s">
        <v>7</v>
      </c>
      <c r="GQ384" s="27" t="s">
        <v>8</v>
      </c>
      <c r="GR384" s="27" t="s">
        <v>7</v>
      </c>
      <c r="GU384" s="27" t="s">
        <v>8</v>
      </c>
      <c r="GV384" s="27" t="s">
        <v>7</v>
      </c>
      <c r="GW384" s="27" t="s">
        <v>8</v>
      </c>
      <c r="GX384" s="27" t="s">
        <v>7</v>
      </c>
      <c r="GY384" s="27" t="s">
        <v>8</v>
      </c>
      <c r="GZ384" s="27" t="s">
        <v>7</v>
      </c>
      <c r="HI384" s="27" t="s">
        <v>8</v>
      </c>
      <c r="HM384" s="27" t="s">
        <v>8</v>
      </c>
      <c r="HN384" s="27" t="s">
        <v>7</v>
      </c>
      <c r="HX384" s="27" t="s">
        <v>7</v>
      </c>
      <c r="HY384" s="27" t="s">
        <v>8</v>
      </c>
      <c r="HZ384" s="27" t="s">
        <v>7</v>
      </c>
      <c r="IA384" s="27" t="s">
        <v>8</v>
      </c>
      <c r="IB384" s="27" t="s">
        <v>7</v>
      </c>
      <c r="IK384" s="27" t="s">
        <v>8</v>
      </c>
      <c r="IL384" s="27" t="s">
        <v>7</v>
      </c>
      <c r="IM384" s="27" t="s">
        <v>8</v>
      </c>
      <c r="IN384" s="27" t="s">
        <v>7</v>
      </c>
      <c r="IO384" s="27" t="s">
        <v>8</v>
      </c>
      <c r="IP384" s="27" t="s">
        <v>7</v>
      </c>
      <c r="IQ384" s="27" t="s">
        <v>8</v>
      </c>
      <c r="IR384" s="27" t="s">
        <v>7</v>
      </c>
      <c r="IS384" s="27" t="s">
        <v>8</v>
      </c>
      <c r="IT384" s="27" t="s">
        <v>7</v>
      </c>
      <c r="IU384" s="27" t="s">
        <v>8</v>
      </c>
      <c r="IV384" s="27" t="s">
        <v>7</v>
      </c>
      <c r="IW384" s="27" t="s">
        <v>8</v>
      </c>
      <c r="IX384" s="27" t="s">
        <v>7</v>
      </c>
    </row>
    <row r="385" spans="1:272" x14ac:dyDescent="0.25">
      <c r="A385" s="7">
        <v>54.605287232808607</v>
      </c>
      <c r="B385"/>
      <c r="C385"/>
      <c r="D385"/>
      <c r="E385"/>
      <c r="FS385" s="27" t="s">
        <v>8</v>
      </c>
      <c r="GB385" s="27" t="s">
        <v>7</v>
      </c>
      <c r="GC385" s="27" t="s">
        <v>8</v>
      </c>
      <c r="GD385" s="27" t="s">
        <v>7</v>
      </c>
      <c r="GF385" s="27" t="s">
        <v>7</v>
      </c>
      <c r="GG385" s="27" t="s">
        <v>8</v>
      </c>
      <c r="GN385" s="27" t="s">
        <v>7</v>
      </c>
      <c r="GO385" s="27" t="s">
        <v>8</v>
      </c>
      <c r="GP385" s="27" t="s">
        <v>7</v>
      </c>
      <c r="GQ385" s="27" t="s">
        <v>8</v>
      </c>
      <c r="GR385" s="27" t="s">
        <v>7</v>
      </c>
      <c r="GU385" s="27" t="s">
        <v>8</v>
      </c>
      <c r="GV385" s="27" t="s">
        <v>7</v>
      </c>
      <c r="GW385" s="27" t="s">
        <v>8</v>
      </c>
      <c r="GX385" s="27" t="s">
        <v>7</v>
      </c>
      <c r="GY385" s="27" t="s">
        <v>8</v>
      </c>
      <c r="GZ385" s="27" t="s">
        <v>7</v>
      </c>
      <c r="HI385" s="27" t="s">
        <v>8</v>
      </c>
      <c r="HJ385" s="27" t="s">
        <v>7</v>
      </c>
      <c r="HM385" s="27" t="s">
        <v>8</v>
      </c>
      <c r="HX385" s="27" t="s">
        <v>7</v>
      </c>
      <c r="HY385" s="27" t="s">
        <v>8</v>
      </c>
      <c r="HZ385" s="27" t="s">
        <v>7</v>
      </c>
      <c r="IA385" s="27" t="s">
        <v>8</v>
      </c>
      <c r="IB385" s="27" t="s">
        <v>7</v>
      </c>
      <c r="II385" s="27" t="s">
        <v>8</v>
      </c>
      <c r="IK385" s="27" t="s">
        <v>8</v>
      </c>
      <c r="IL385" s="27" t="s">
        <v>7</v>
      </c>
      <c r="IM385" s="27" t="s">
        <v>8</v>
      </c>
      <c r="IN385" s="27" t="s">
        <v>7</v>
      </c>
      <c r="IO385" s="27" t="s">
        <v>8</v>
      </c>
      <c r="IP385" s="27" t="s">
        <v>7</v>
      </c>
      <c r="IQ385" s="27" t="s">
        <v>8</v>
      </c>
      <c r="IR385" s="27" t="s">
        <v>7</v>
      </c>
      <c r="IS385" s="27" t="s">
        <v>8</v>
      </c>
      <c r="IT385" s="27" t="s">
        <v>7</v>
      </c>
      <c r="IU385" s="27" t="s">
        <v>8</v>
      </c>
      <c r="IV385" s="27" t="s">
        <v>7</v>
      </c>
      <c r="IW385" s="27" t="s">
        <v>8</v>
      </c>
      <c r="IX385" s="27" t="s">
        <v>7</v>
      </c>
    </row>
    <row r="386" spans="1:272" x14ac:dyDescent="0.25">
      <c r="A386" s="7">
        <v>53.534595326282947</v>
      </c>
      <c r="B386"/>
      <c r="C386"/>
      <c r="D386"/>
      <c r="E386"/>
      <c r="FS386" s="27" t="s">
        <v>8</v>
      </c>
      <c r="GB386" s="27" t="s">
        <v>7</v>
      </c>
      <c r="GC386" s="27" t="s">
        <v>8</v>
      </c>
      <c r="GF386" s="27" t="s">
        <v>7</v>
      </c>
      <c r="GG386" s="27" t="s">
        <v>8</v>
      </c>
      <c r="GN386" s="27" t="s">
        <v>7</v>
      </c>
      <c r="GO386" s="27" t="s">
        <v>8</v>
      </c>
      <c r="GP386" s="27" t="s">
        <v>7</v>
      </c>
      <c r="GR386" s="27" t="s">
        <v>7</v>
      </c>
      <c r="GU386" s="27" t="s">
        <v>8</v>
      </c>
      <c r="GV386" s="27" t="s">
        <v>7</v>
      </c>
      <c r="GW386" s="27" t="s">
        <v>8</v>
      </c>
      <c r="GX386" s="27" t="s">
        <v>7</v>
      </c>
      <c r="GZ386" s="27" t="s">
        <v>7</v>
      </c>
      <c r="HI386" s="27" t="s">
        <v>8</v>
      </c>
      <c r="HJ386" s="27" t="s">
        <v>7</v>
      </c>
      <c r="HK386" s="27" t="s">
        <v>8</v>
      </c>
      <c r="HM386" s="27" t="s">
        <v>8</v>
      </c>
      <c r="HX386" s="27" t="s">
        <v>7</v>
      </c>
      <c r="HY386" s="27" t="s">
        <v>8</v>
      </c>
      <c r="HZ386" s="27" t="s">
        <v>7</v>
      </c>
      <c r="IB386" s="27" t="s">
        <v>7</v>
      </c>
      <c r="II386" s="27" t="s">
        <v>8</v>
      </c>
      <c r="IJ386" s="27" t="s">
        <v>7</v>
      </c>
      <c r="IK386" s="27" t="s">
        <v>8</v>
      </c>
      <c r="IL386" s="27" t="s">
        <v>7</v>
      </c>
      <c r="IM386" s="27" t="s">
        <v>8</v>
      </c>
      <c r="IN386" s="27" t="s">
        <v>7</v>
      </c>
      <c r="IO386" s="27" t="s">
        <v>8</v>
      </c>
      <c r="IP386" s="27" t="s">
        <v>7</v>
      </c>
      <c r="IQ386" s="27" t="s">
        <v>8</v>
      </c>
      <c r="IR386" s="27" t="s">
        <v>7</v>
      </c>
      <c r="IS386" s="27" t="s">
        <v>8</v>
      </c>
      <c r="IT386" s="27" t="s">
        <v>7</v>
      </c>
      <c r="IU386" s="27" t="s">
        <v>8</v>
      </c>
      <c r="IV386" s="27" t="s">
        <v>7</v>
      </c>
      <c r="IW386" s="27" t="s">
        <v>8</v>
      </c>
      <c r="IX386" s="27" t="s">
        <v>7</v>
      </c>
    </row>
    <row r="387" spans="1:272" x14ac:dyDescent="0.25">
      <c r="A387" s="7">
        <v>52.484897378708773</v>
      </c>
      <c r="B387"/>
      <c r="C387"/>
      <c r="D387"/>
      <c r="E387"/>
      <c r="FS387" s="27" t="s">
        <v>8</v>
      </c>
      <c r="GB387" s="27" t="s">
        <v>7</v>
      </c>
      <c r="GC387" s="27" t="s">
        <v>8</v>
      </c>
      <c r="GF387" s="27" t="s">
        <v>7</v>
      </c>
      <c r="GG387" s="27" t="s">
        <v>8</v>
      </c>
      <c r="GN387" s="27" t="s">
        <v>7</v>
      </c>
      <c r="GO387" s="27" t="s">
        <v>8</v>
      </c>
      <c r="GR387" s="27" t="s">
        <v>7</v>
      </c>
      <c r="GU387" s="27" t="s">
        <v>8</v>
      </c>
      <c r="GV387" s="27" t="s">
        <v>7</v>
      </c>
      <c r="GW387" s="27" t="s">
        <v>8</v>
      </c>
      <c r="GZ387" s="27" t="s">
        <v>7</v>
      </c>
      <c r="HI387" s="27" t="s">
        <v>8</v>
      </c>
      <c r="HJ387" s="27" t="s">
        <v>7</v>
      </c>
      <c r="HK387" s="27" t="s">
        <v>8</v>
      </c>
      <c r="HL387" s="27" t="s">
        <v>7</v>
      </c>
      <c r="HM387" s="27" t="s">
        <v>8</v>
      </c>
      <c r="HX387" s="27" t="s">
        <v>7</v>
      </c>
      <c r="HY387" s="27" t="s">
        <v>8</v>
      </c>
      <c r="IB387" s="27" t="s">
        <v>7</v>
      </c>
      <c r="II387" s="27" t="s">
        <v>8</v>
      </c>
      <c r="IJ387" s="27" t="s">
        <v>7</v>
      </c>
      <c r="IK387" s="27" t="s">
        <v>8</v>
      </c>
      <c r="IL387" s="27" t="s">
        <v>7</v>
      </c>
      <c r="IM387" s="27" t="s">
        <v>8</v>
      </c>
      <c r="IN387" s="27" t="s">
        <v>7</v>
      </c>
      <c r="IO387" s="27" t="s">
        <v>8</v>
      </c>
      <c r="IP387" s="27" t="s">
        <v>7</v>
      </c>
      <c r="IQ387" s="27" t="s">
        <v>8</v>
      </c>
      <c r="IR387" s="27" t="s">
        <v>7</v>
      </c>
      <c r="IT387" s="27" t="s">
        <v>7</v>
      </c>
      <c r="IU387" s="27" t="s">
        <v>8</v>
      </c>
      <c r="IV387" s="27" t="s">
        <v>7</v>
      </c>
      <c r="IX387" s="27" t="s">
        <v>7</v>
      </c>
      <c r="JC387" s="27" t="s">
        <v>8</v>
      </c>
    </row>
    <row r="388" spans="1:272" x14ac:dyDescent="0.25">
      <c r="A388" s="7">
        <v>51.455781743832127</v>
      </c>
      <c r="B388"/>
      <c r="C388"/>
      <c r="D388"/>
      <c r="E388"/>
      <c r="FS388" s="27" t="s">
        <v>8</v>
      </c>
      <c r="GB388" s="27" t="s">
        <v>7</v>
      </c>
      <c r="GC388" s="27" t="s">
        <v>8</v>
      </c>
      <c r="GF388" s="27" t="s">
        <v>7</v>
      </c>
      <c r="GG388" s="27" t="s">
        <v>8</v>
      </c>
      <c r="GN388" s="27" t="s">
        <v>7</v>
      </c>
      <c r="GO388" s="27" t="s">
        <v>8</v>
      </c>
      <c r="GR388" s="27" t="s">
        <v>7</v>
      </c>
      <c r="GU388" s="27" t="s">
        <v>8</v>
      </c>
      <c r="GV388" s="27" t="s">
        <v>7</v>
      </c>
      <c r="GZ388" s="27" t="s">
        <v>7</v>
      </c>
      <c r="HG388" s="27" t="s">
        <v>8</v>
      </c>
      <c r="HI388" s="27" t="s">
        <v>8</v>
      </c>
      <c r="HJ388" s="27" t="s">
        <v>7</v>
      </c>
      <c r="HK388" s="27" t="s">
        <v>8</v>
      </c>
      <c r="HL388" s="27" t="s">
        <v>7</v>
      </c>
      <c r="HM388" s="27" t="s">
        <v>8</v>
      </c>
      <c r="HX388" s="27" t="s">
        <v>7</v>
      </c>
      <c r="HY388" s="27" t="s">
        <v>8</v>
      </c>
      <c r="IB388" s="27" t="s">
        <v>7</v>
      </c>
      <c r="IC388" s="27" t="s">
        <v>8</v>
      </c>
      <c r="II388" s="27" t="s">
        <v>8</v>
      </c>
      <c r="IJ388" s="27" t="s">
        <v>7</v>
      </c>
      <c r="IK388" s="27" t="s">
        <v>8</v>
      </c>
      <c r="IL388" s="27" t="s">
        <v>7</v>
      </c>
      <c r="IN388" s="27" t="s">
        <v>7</v>
      </c>
      <c r="IO388" s="27" t="s">
        <v>8</v>
      </c>
      <c r="IP388" s="27" t="s">
        <v>7</v>
      </c>
      <c r="IQ388" s="27" t="s">
        <v>8</v>
      </c>
      <c r="IT388" s="27" t="s">
        <v>7</v>
      </c>
      <c r="IX388" s="27" t="s">
        <v>7</v>
      </c>
      <c r="IY388" s="27" t="s">
        <v>8</v>
      </c>
      <c r="JA388" s="27" t="s">
        <v>8</v>
      </c>
      <c r="JC388" s="27" t="s">
        <v>8</v>
      </c>
      <c r="JD388" s="27" t="s">
        <v>7</v>
      </c>
    </row>
    <row r="389" spans="1:272" x14ac:dyDescent="0.25">
      <c r="A389" s="7">
        <v>50.446844846894244</v>
      </c>
      <c r="B389"/>
      <c r="C389"/>
      <c r="D389"/>
      <c r="E389"/>
      <c r="FS389" s="27" t="s">
        <v>8</v>
      </c>
      <c r="GB389" s="27" t="s">
        <v>7</v>
      </c>
      <c r="GC389" s="27" t="s">
        <v>8</v>
      </c>
      <c r="GF389" s="27" t="s">
        <v>7</v>
      </c>
      <c r="GG389" s="27" t="s">
        <v>8</v>
      </c>
      <c r="GN389" s="27" t="s">
        <v>7</v>
      </c>
      <c r="GO389" s="27" t="s">
        <v>8</v>
      </c>
      <c r="GR389" s="27" t="s">
        <v>7</v>
      </c>
      <c r="GU389" s="27" t="s">
        <v>8</v>
      </c>
      <c r="GZ389" s="27" t="s">
        <v>7</v>
      </c>
      <c r="HA389" s="27" t="s">
        <v>8</v>
      </c>
      <c r="HG389" s="27" t="s">
        <v>8</v>
      </c>
      <c r="HH389" s="27" t="s">
        <v>7</v>
      </c>
      <c r="HI389" s="27" t="s">
        <v>8</v>
      </c>
      <c r="HJ389" s="27" t="s">
        <v>7</v>
      </c>
      <c r="HK389" s="27" t="s">
        <v>8</v>
      </c>
      <c r="HL389" s="27" t="s">
        <v>7</v>
      </c>
      <c r="HM389" s="27" t="s">
        <v>8</v>
      </c>
      <c r="HX389" s="27" t="s">
        <v>7</v>
      </c>
      <c r="HY389" s="27" t="s">
        <v>8</v>
      </c>
      <c r="IB389" s="27" t="s">
        <v>7</v>
      </c>
      <c r="IC389" s="27" t="s">
        <v>8</v>
      </c>
      <c r="ID389" s="27" t="s">
        <v>7</v>
      </c>
      <c r="II389" s="27" t="s">
        <v>8</v>
      </c>
      <c r="IJ389" s="27" t="s">
        <v>7</v>
      </c>
      <c r="IN389" s="27" t="s">
        <v>7</v>
      </c>
      <c r="IP389" s="27" t="s">
        <v>7</v>
      </c>
      <c r="IQ389" s="27" t="s">
        <v>8</v>
      </c>
      <c r="IX389" s="27" t="s">
        <v>7</v>
      </c>
      <c r="IY389" s="27" t="s">
        <v>8</v>
      </c>
      <c r="IZ389" s="27" t="s">
        <v>7</v>
      </c>
      <c r="JA389" s="27" t="s">
        <v>8</v>
      </c>
      <c r="JB389" s="27" t="s">
        <v>7</v>
      </c>
      <c r="JC389" s="27" t="s">
        <v>8</v>
      </c>
      <c r="JD389" s="27" t="s">
        <v>7</v>
      </c>
    </row>
    <row r="390" spans="1:272" x14ac:dyDescent="0.25">
      <c r="A390" s="7">
        <v>49.457691026366902</v>
      </c>
      <c r="B390"/>
      <c r="C390"/>
      <c r="D390"/>
      <c r="E390"/>
      <c r="FG390" s="27" t="s">
        <v>8</v>
      </c>
      <c r="FS390" s="27" t="s">
        <v>8</v>
      </c>
      <c r="GB390" s="27" t="s">
        <v>7</v>
      </c>
      <c r="GC390" s="27" t="s">
        <v>8</v>
      </c>
      <c r="GF390" s="27" t="s">
        <v>7</v>
      </c>
      <c r="GG390" s="27" t="s">
        <v>8</v>
      </c>
      <c r="GN390" s="27" t="s">
        <v>7</v>
      </c>
      <c r="GR390" s="27" t="s">
        <v>7</v>
      </c>
      <c r="GU390" s="27" t="s">
        <v>8</v>
      </c>
      <c r="GZ390" s="27" t="s">
        <v>7</v>
      </c>
      <c r="HA390" s="27" t="s">
        <v>8</v>
      </c>
      <c r="HB390" s="27" t="s">
        <v>7</v>
      </c>
      <c r="HG390" s="27" t="s">
        <v>8</v>
      </c>
      <c r="HH390" s="27" t="s">
        <v>7</v>
      </c>
      <c r="HI390" s="27" t="s">
        <v>8</v>
      </c>
      <c r="HJ390" s="27" t="s">
        <v>7</v>
      </c>
      <c r="HK390" s="27" t="s">
        <v>8</v>
      </c>
      <c r="HL390" s="27" t="s">
        <v>7</v>
      </c>
      <c r="HM390" s="27" t="s">
        <v>8</v>
      </c>
      <c r="HX390" s="27" t="s">
        <v>7</v>
      </c>
      <c r="HY390" s="27" t="s">
        <v>8</v>
      </c>
      <c r="IB390" s="27" t="s">
        <v>7</v>
      </c>
      <c r="IC390" s="27" t="s">
        <v>8</v>
      </c>
      <c r="ID390" s="27" t="s">
        <v>7</v>
      </c>
      <c r="IE390" s="27" t="s">
        <v>8</v>
      </c>
      <c r="II390" s="27" t="s">
        <v>8</v>
      </c>
      <c r="IP390" s="27" t="s">
        <v>7</v>
      </c>
      <c r="IQ390" s="27" t="s">
        <v>8</v>
      </c>
      <c r="IX390" s="27" t="s">
        <v>7</v>
      </c>
      <c r="IY390" s="27" t="s">
        <v>8</v>
      </c>
      <c r="IZ390" s="27" t="s">
        <v>7</v>
      </c>
      <c r="JA390" s="27" t="s">
        <v>8</v>
      </c>
      <c r="JB390" s="27" t="s">
        <v>7</v>
      </c>
      <c r="JC390" s="27" t="s">
        <v>8</v>
      </c>
      <c r="JD390" s="27" t="s">
        <v>7</v>
      </c>
      <c r="JG390" s="27" t="s">
        <v>8</v>
      </c>
    </row>
    <row r="391" spans="1:272" x14ac:dyDescent="0.25">
      <c r="A391" s="7">
        <v>48.487932378791079</v>
      </c>
      <c r="B391"/>
      <c r="C391"/>
      <c r="D391"/>
      <c r="E391"/>
      <c r="FG391" s="27" t="s">
        <v>8</v>
      </c>
      <c r="FH391" s="27" t="s">
        <v>7</v>
      </c>
      <c r="FS391" s="27" t="s">
        <v>8</v>
      </c>
      <c r="GB391" s="27" t="s">
        <v>7</v>
      </c>
      <c r="GC391" s="27" t="s">
        <v>8</v>
      </c>
      <c r="GF391" s="27" t="s">
        <v>7</v>
      </c>
      <c r="GG391" s="27" t="s">
        <v>8</v>
      </c>
      <c r="GR391" s="27" t="s">
        <v>7</v>
      </c>
      <c r="GU391" s="27" t="s">
        <v>8</v>
      </c>
      <c r="GZ391" s="27" t="s">
        <v>7</v>
      </c>
      <c r="HA391" s="27" t="s">
        <v>8</v>
      </c>
      <c r="HB391" s="27" t="s">
        <v>7</v>
      </c>
      <c r="HG391" s="27" t="s">
        <v>8</v>
      </c>
      <c r="HH391" s="27" t="s">
        <v>7</v>
      </c>
      <c r="HI391" s="27" t="s">
        <v>8</v>
      </c>
      <c r="HJ391" s="27" t="s">
        <v>7</v>
      </c>
      <c r="HK391" s="27" t="s">
        <v>8</v>
      </c>
      <c r="HL391" s="27" t="s">
        <v>7</v>
      </c>
      <c r="HX391" s="27" t="s">
        <v>7</v>
      </c>
      <c r="IB391" s="27" t="s">
        <v>7</v>
      </c>
      <c r="IC391" s="27" t="s">
        <v>8</v>
      </c>
      <c r="ID391" s="27" t="s">
        <v>7</v>
      </c>
      <c r="IE391" s="27" t="s">
        <v>8</v>
      </c>
      <c r="IF391" s="27" t="s">
        <v>7</v>
      </c>
      <c r="IG391" s="27" t="s">
        <v>8</v>
      </c>
      <c r="II391" s="27" t="s">
        <v>8</v>
      </c>
      <c r="IP391" s="27" t="s">
        <v>7</v>
      </c>
      <c r="IQ391" s="27" t="s">
        <v>8</v>
      </c>
      <c r="IX391" s="27" t="s">
        <v>7</v>
      </c>
      <c r="IY391" s="27" t="s">
        <v>8</v>
      </c>
      <c r="IZ391" s="27" t="s">
        <v>7</v>
      </c>
      <c r="JA391" s="27" t="s">
        <v>8</v>
      </c>
      <c r="JB391" s="27" t="s">
        <v>7</v>
      </c>
      <c r="JD391" s="27" t="s">
        <v>7</v>
      </c>
      <c r="JG391" s="27" t="s">
        <v>8</v>
      </c>
      <c r="JH391" s="27" t="s">
        <v>7</v>
      </c>
    </row>
    <row r="392" spans="1:272" x14ac:dyDescent="0.25">
      <c r="A392" s="7">
        <v>47.537188606657921</v>
      </c>
      <c r="B392"/>
      <c r="C392"/>
      <c r="D392"/>
      <c r="E392"/>
      <c r="FG392" s="27" t="s">
        <v>8</v>
      </c>
      <c r="FH392" s="27" t="s">
        <v>7</v>
      </c>
      <c r="FS392" s="27" t="s">
        <v>8</v>
      </c>
      <c r="GB392" s="27" t="s">
        <v>7</v>
      </c>
      <c r="GC392" s="27" t="s">
        <v>8</v>
      </c>
      <c r="GF392" s="27" t="s">
        <v>7</v>
      </c>
      <c r="GG392" s="27" t="s">
        <v>8</v>
      </c>
      <c r="GR392" s="27" t="s">
        <v>7</v>
      </c>
      <c r="GU392" s="27" t="s">
        <v>8</v>
      </c>
      <c r="GZ392" s="27" t="s">
        <v>7</v>
      </c>
      <c r="HA392" s="27" t="s">
        <v>8</v>
      </c>
      <c r="HB392" s="27" t="s">
        <v>7</v>
      </c>
      <c r="HG392" s="27" t="s">
        <v>8</v>
      </c>
      <c r="HH392" s="27" t="s">
        <v>7</v>
      </c>
      <c r="HI392" s="27" t="s">
        <v>8</v>
      </c>
      <c r="HJ392" s="27" t="s">
        <v>7</v>
      </c>
      <c r="HK392" s="27" t="s">
        <v>8</v>
      </c>
      <c r="IB392" s="27" t="s">
        <v>7</v>
      </c>
      <c r="IC392" s="27" t="s">
        <v>8</v>
      </c>
      <c r="ID392" s="27" t="s">
        <v>7</v>
      </c>
      <c r="IE392" s="27" t="s">
        <v>8</v>
      </c>
      <c r="IF392" s="27" t="s">
        <v>7</v>
      </c>
      <c r="IG392" s="27" t="s">
        <v>8</v>
      </c>
      <c r="IH392" s="27" t="s">
        <v>7</v>
      </c>
      <c r="II392" s="27" t="s">
        <v>8</v>
      </c>
      <c r="IP392" s="27" t="s">
        <v>7</v>
      </c>
      <c r="IQ392" s="27" t="s">
        <v>8</v>
      </c>
      <c r="IX392" s="27" t="s">
        <v>7</v>
      </c>
      <c r="IZ392" s="27" t="s">
        <v>7</v>
      </c>
      <c r="JD392" s="27" t="s">
        <v>7</v>
      </c>
      <c r="JE392" s="27" t="s">
        <v>8</v>
      </c>
      <c r="JG392" s="27" t="s">
        <v>8</v>
      </c>
      <c r="JH392" s="27" t="s">
        <v>7</v>
      </c>
    </row>
    <row r="393" spans="1:272" x14ac:dyDescent="0.25">
      <c r="A393" s="7">
        <v>46.605086869272469</v>
      </c>
      <c r="B393"/>
      <c r="C393"/>
      <c r="D393"/>
      <c r="E393"/>
      <c r="FG393" s="27" t="s">
        <v>8</v>
      </c>
      <c r="FH393" s="27" t="s">
        <v>7</v>
      </c>
      <c r="FQ393" s="27" t="s">
        <v>8</v>
      </c>
      <c r="FS393" s="27" t="s">
        <v>8</v>
      </c>
      <c r="GB393" s="27" t="s">
        <v>7</v>
      </c>
      <c r="GC393" s="27" t="s">
        <v>8</v>
      </c>
      <c r="GF393" s="27" t="s">
        <v>7</v>
      </c>
      <c r="GG393" s="27" t="s">
        <v>8</v>
      </c>
      <c r="GR393" s="27" t="s">
        <v>7</v>
      </c>
      <c r="GU393" s="27" t="s">
        <v>8</v>
      </c>
      <c r="GZ393" s="27" t="s">
        <v>7</v>
      </c>
      <c r="HB393" s="27" t="s">
        <v>7</v>
      </c>
      <c r="HC393" s="27" t="s">
        <v>8</v>
      </c>
      <c r="HG393" s="27" t="s">
        <v>8</v>
      </c>
      <c r="HH393" s="27" t="s">
        <v>7</v>
      </c>
      <c r="HJ393" s="27" t="s">
        <v>7</v>
      </c>
      <c r="IB393" s="27" t="s">
        <v>7</v>
      </c>
      <c r="IC393" s="27" t="s">
        <v>8</v>
      </c>
      <c r="ID393" s="27" t="s">
        <v>7</v>
      </c>
      <c r="IE393" s="27" t="s">
        <v>8</v>
      </c>
      <c r="IF393" s="27" t="s">
        <v>7</v>
      </c>
      <c r="IG393" s="27" t="s">
        <v>8</v>
      </c>
      <c r="IH393" s="27" t="s">
        <v>7</v>
      </c>
      <c r="II393" s="27" t="s">
        <v>8</v>
      </c>
      <c r="IP393" s="27" t="s">
        <v>7</v>
      </c>
      <c r="IQ393" s="27" t="s">
        <v>8</v>
      </c>
      <c r="JD393" s="27" t="s">
        <v>7</v>
      </c>
      <c r="JE393" s="27" t="s">
        <v>8</v>
      </c>
      <c r="JF393" s="27" t="s">
        <v>7</v>
      </c>
      <c r="JG393" s="27" t="s">
        <v>8</v>
      </c>
      <c r="JH393" s="27" t="s">
        <v>7</v>
      </c>
    </row>
    <row r="394" spans="1:272" x14ac:dyDescent="0.25">
      <c r="A394" s="7">
        <v>45.691261636541633</v>
      </c>
      <c r="B394"/>
      <c r="C394"/>
      <c r="D394"/>
      <c r="E394"/>
      <c r="FG394" s="27" t="s">
        <v>8</v>
      </c>
      <c r="FH394" s="27" t="s">
        <v>7</v>
      </c>
      <c r="FQ394" s="27" t="s">
        <v>8</v>
      </c>
      <c r="FR394" s="27" t="s">
        <v>7</v>
      </c>
      <c r="FS394" s="27" t="s">
        <v>8</v>
      </c>
      <c r="GB394" s="27" t="s">
        <v>7</v>
      </c>
      <c r="GC394" s="27" t="s">
        <v>8</v>
      </c>
      <c r="GF394" s="27" t="s">
        <v>7</v>
      </c>
      <c r="GG394" s="27" t="s">
        <v>8</v>
      </c>
      <c r="GR394" s="27" t="s">
        <v>7</v>
      </c>
      <c r="GU394" s="27" t="s">
        <v>8</v>
      </c>
      <c r="HB394" s="27" t="s">
        <v>7</v>
      </c>
      <c r="HC394" s="27" t="s">
        <v>8</v>
      </c>
      <c r="HD394" s="27" t="s">
        <v>7</v>
      </c>
      <c r="HG394" s="27" t="s">
        <v>8</v>
      </c>
      <c r="IB394" s="27" t="s">
        <v>7</v>
      </c>
      <c r="IC394" s="27" t="s">
        <v>8</v>
      </c>
      <c r="ID394" s="27" t="s">
        <v>7</v>
      </c>
      <c r="IE394" s="27" t="s">
        <v>8</v>
      </c>
      <c r="IF394" s="27" t="s">
        <v>7</v>
      </c>
      <c r="IG394" s="27" t="s">
        <v>8</v>
      </c>
      <c r="IH394" s="27" t="s">
        <v>7</v>
      </c>
      <c r="II394" s="27" t="s">
        <v>8</v>
      </c>
      <c r="IP394" s="27" t="s">
        <v>7</v>
      </c>
      <c r="IQ394" s="27" t="s">
        <v>8</v>
      </c>
      <c r="JD394" s="27" t="s">
        <v>7</v>
      </c>
      <c r="JE394" s="27" t="s">
        <v>8</v>
      </c>
      <c r="JF394" s="27" t="s">
        <v>7</v>
      </c>
      <c r="JG394" s="27" t="s">
        <v>8</v>
      </c>
      <c r="JH394" s="27" t="s">
        <v>7</v>
      </c>
    </row>
    <row r="395" spans="1:272" x14ac:dyDescent="0.25">
      <c r="A395" s="7">
        <v>44.795354545629053</v>
      </c>
      <c r="B395"/>
      <c r="C395"/>
      <c r="D395"/>
      <c r="E395"/>
      <c r="FG395" s="27" t="s">
        <v>8</v>
      </c>
      <c r="FH395" s="27" t="s">
        <v>7</v>
      </c>
      <c r="FQ395" s="27" t="s">
        <v>8</v>
      </c>
      <c r="FR395" s="27" t="s">
        <v>7</v>
      </c>
      <c r="FS395" s="27" t="s">
        <v>8</v>
      </c>
      <c r="GB395" s="27" t="s">
        <v>7</v>
      </c>
      <c r="GC395" s="27" t="s">
        <v>8</v>
      </c>
      <c r="GF395" s="27" t="s">
        <v>7</v>
      </c>
      <c r="GG395" s="27" t="s">
        <v>8</v>
      </c>
      <c r="GR395" s="27" t="s">
        <v>7</v>
      </c>
      <c r="GS395" s="27" t="s">
        <v>8</v>
      </c>
      <c r="GU395" s="27" t="s">
        <v>8</v>
      </c>
      <c r="HB395" s="27" t="s">
        <v>7</v>
      </c>
      <c r="HC395" s="27" t="s">
        <v>8</v>
      </c>
      <c r="HD395" s="27" t="s">
        <v>7</v>
      </c>
      <c r="HG395" s="27" t="s">
        <v>8</v>
      </c>
      <c r="IB395" s="27" t="s">
        <v>7</v>
      </c>
      <c r="ID395" s="27" t="s">
        <v>7</v>
      </c>
      <c r="IF395" s="27" t="s">
        <v>7</v>
      </c>
      <c r="IH395" s="27" t="s">
        <v>7</v>
      </c>
      <c r="IP395" s="27" t="s">
        <v>7</v>
      </c>
      <c r="IQ395" s="27" t="s">
        <v>8</v>
      </c>
      <c r="JD395" s="27" t="s">
        <v>7</v>
      </c>
      <c r="JF395" s="27" t="s">
        <v>7</v>
      </c>
      <c r="JH395" s="27" t="s">
        <v>7</v>
      </c>
    </row>
    <row r="396" spans="1:272" x14ac:dyDescent="0.25">
      <c r="A396" s="7">
        <v>43.917014260420636</v>
      </c>
      <c r="B396"/>
      <c r="C396"/>
      <c r="D396"/>
      <c r="E396"/>
      <c r="FG396" s="27" t="s">
        <v>8</v>
      </c>
      <c r="FH396" s="27" t="s">
        <v>7</v>
      </c>
      <c r="FQ396" s="27" t="s">
        <v>8</v>
      </c>
      <c r="FR396" s="27" t="s">
        <v>7</v>
      </c>
      <c r="FS396" s="27" t="s">
        <v>8</v>
      </c>
      <c r="GB396" s="27" t="s">
        <v>7</v>
      </c>
      <c r="GC396" s="27" t="s">
        <v>8</v>
      </c>
      <c r="GF396" s="27" t="s">
        <v>7</v>
      </c>
      <c r="GG396" s="27" t="s">
        <v>8</v>
      </c>
      <c r="GR396" s="27" t="s">
        <v>7</v>
      </c>
      <c r="GS396" s="27" t="s">
        <v>8</v>
      </c>
      <c r="GT396" s="27" t="s">
        <v>7</v>
      </c>
      <c r="GU396" s="27" t="s">
        <v>8</v>
      </c>
      <c r="HB396" s="27" t="s">
        <v>7</v>
      </c>
      <c r="HC396" s="27" t="s">
        <v>8</v>
      </c>
      <c r="HD396" s="27" t="s">
        <v>7</v>
      </c>
      <c r="HE396" s="18" t="s">
        <v>8</v>
      </c>
      <c r="HG396" s="27" t="s">
        <v>8</v>
      </c>
      <c r="IP396" s="27" t="s">
        <v>7</v>
      </c>
      <c r="IQ396" s="27" t="s">
        <v>8</v>
      </c>
      <c r="JH396" s="27" t="s">
        <v>7</v>
      </c>
    </row>
    <row r="397" spans="1:272" x14ac:dyDescent="0.25">
      <c r="A397" s="7">
        <v>43.055896333745721</v>
      </c>
      <c r="B397"/>
      <c r="C397"/>
      <c r="D397"/>
      <c r="E397"/>
      <c r="FG397" s="27" t="s">
        <v>8</v>
      </c>
      <c r="FH397" s="27" t="s">
        <v>7</v>
      </c>
      <c r="FQ397" s="27" t="s">
        <v>8</v>
      </c>
      <c r="FR397" s="27" t="s">
        <v>7</v>
      </c>
      <c r="FS397" s="27" t="s">
        <v>8</v>
      </c>
      <c r="GB397" s="27" t="s">
        <v>7</v>
      </c>
      <c r="GC397" s="27" t="s">
        <v>8</v>
      </c>
      <c r="GF397" s="27" t="s">
        <v>7</v>
      </c>
      <c r="GG397" s="27" t="s">
        <v>8</v>
      </c>
      <c r="GR397" s="27" t="s">
        <v>7</v>
      </c>
      <c r="GS397" s="27" t="s">
        <v>8</v>
      </c>
      <c r="GT397" s="27" t="s">
        <v>7</v>
      </c>
      <c r="GU397" s="27" t="s">
        <v>8</v>
      </c>
      <c r="HB397" s="27" t="s">
        <v>7</v>
      </c>
      <c r="HD397" s="27" t="s">
        <v>7</v>
      </c>
      <c r="HE397" s="27" t="s">
        <v>8</v>
      </c>
      <c r="HF397" s="27" t="s">
        <v>7</v>
      </c>
      <c r="HG397" s="27" t="s">
        <v>8</v>
      </c>
      <c r="IP397" s="27" t="s">
        <v>7</v>
      </c>
      <c r="IQ397" s="27" t="s">
        <v>8</v>
      </c>
      <c r="JH397" s="27" t="s">
        <v>7</v>
      </c>
    </row>
    <row r="398" spans="1:272" x14ac:dyDescent="0.25">
      <c r="A398" s="7">
        <v>42.211663072299729</v>
      </c>
      <c r="B398"/>
      <c r="C398"/>
      <c r="D398"/>
      <c r="E398"/>
      <c r="FG398" s="27" t="s">
        <v>8</v>
      </c>
      <c r="FH398" s="27" t="s">
        <v>7</v>
      </c>
      <c r="FQ398" s="27" t="s">
        <v>8</v>
      </c>
      <c r="FR398" s="27" t="s">
        <v>7</v>
      </c>
      <c r="GB398" s="27" t="s">
        <v>7</v>
      </c>
      <c r="GC398" s="27" t="s">
        <v>8</v>
      </c>
      <c r="GF398" s="27" t="s">
        <v>7</v>
      </c>
      <c r="GG398" s="27" t="s">
        <v>8</v>
      </c>
      <c r="GR398" s="27" t="s">
        <v>7</v>
      </c>
      <c r="GS398" s="27" t="s">
        <v>8</v>
      </c>
      <c r="GT398" s="27" t="s">
        <v>7</v>
      </c>
      <c r="GU398" s="27" t="s">
        <v>8</v>
      </c>
      <c r="HD398" s="27" t="s">
        <v>7</v>
      </c>
      <c r="HE398" s="27" t="s">
        <v>8</v>
      </c>
      <c r="HF398" s="27" t="s">
        <v>7</v>
      </c>
      <c r="HG398" s="27" t="s">
        <v>8</v>
      </c>
      <c r="IP398" s="27" t="s">
        <v>7</v>
      </c>
      <c r="JH398" s="27" t="s">
        <v>7</v>
      </c>
    </row>
    <row r="399" spans="1:272" x14ac:dyDescent="0.25">
      <c r="A399" s="7">
        <v>41.383983404215421</v>
      </c>
      <c r="B399"/>
      <c r="C399"/>
      <c r="D399"/>
      <c r="E399"/>
      <c r="FG399" s="27" t="s">
        <v>8</v>
      </c>
      <c r="FH399" s="27" t="s">
        <v>7</v>
      </c>
      <c r="FQ399" s="27" t="s">
        <v>8</v>
      </c>
      <c r="GB399" s="27" t="s">
        <v>7</v>
      </c>
      <c r="GC399" s="27" t="s">
        <v>8</v>
      </c>
      <c r="GF399" s="27" t="s">
        <v>7</v>
      </c>
      <c r="GG399" s="27" t="s">
        <v>8</v>
      </c>
      <c r="GR399" s="27" t="s">
        <v>7</v>
      </c>
      <c r="GS399" s="27" t="s">
        <v>8</v>
      </c>
      <c r="GT399" s="27" t="s">
        <v>7</v>
      </c>
      <c r="GU399" s="27" t="s">
        <v>8</v>
      </c>
      <c r="HD399" s="27" t="s">
        <v>7</v>
      </c>
      <c r="HE399" s="27" t="s">
        <v>8</v>
      </c>
      <c r="HF399" s="27" t="s">
        <v>7</v>
      </c>
      <c r="HG399" s="27" t="s">
        <v>8</v>
      </c>
      <c r="JH399" s="27" t="s">
        <v>7</v>
      </c>
      <c r="JK399" s="27" t="s">
        <v>8</v>
      </c>
    </row>
    <row r="400" spans="1:272" x14ac:dyDescent="0.25">
      <c r="A400" s="7">
        <v>40.572532749230803</v>
      </c>
      <c r="B400"/>
      <c r="C400"/>
      <c r="D400"/>
      <c r="E400"/>
      <c r="FG400" s="27" t="s">
        <v>8</v>
      </c>
      <c r="FH400" s="27" t="s">
        <v>7</v>
      </c>
      <c r="FQ400" s="27" t="s">
        <v>8</v>
      </c>
      <c r="GB400" s="27" t="s">
        <v>7</v>
      </c>
      <c r="GF400" s="27" t="s">
        <v>7</v>
      </c>
      <c r="GR400" s="27" t="s">
        <v>7</v>
      </c>
      <c r="GS400" s="27" t="s">
        <v>8</v>
      </c>
      <c r="GT400" s="27" t="s">
        <v>7</v>
      </c>
      <c r="GU400" s="27" t="s">
        <v>8</v>
      </c>
      <c r="HD400" s="27" t="s">
        <v>7</v>
      </c>
      <c r="HF400" s="27" t="s">
        <v>7</v>
      </c>
      <c r="HG400" s="27" t="s">
        <v>8</v>
      </c>
      <c r="JH400" s="27" t="s">
        <v>7</v>
      </c>
      <c r="JI400" s="27" t="s">
        <v>8</v>
      </c>
      <c r="JK400" s="27" t="s">
        <v>8</v>
      </c>
      <c r="JL400" s="27" t="s">
        <v>7</v>
      </c>
    </row>
    <row r="401" spans="1:288" x14ac:dyDescent="0.25">
      <c r="A401" s="7">
        <v>39.776992891402749</v>
      </c>
      <c r="B401"/>
      <c r="C401"/>
      <c r="D401"/>
      <c r="E401"/>
      <c r="FG401" s="27" t="s">
        <v>8</v>
      </c>
      <c r="FH401" s="27" t="s">
        <v>7</v>
      </c>
      <c r="FQ401" s="27" t="s">
        <v>8</v>
      </c>
      <c r="GR401" s="27" t="s">
        <v>7</v>
      </c>
      <c r="GS401" s="27" t="s">
        <v>8</v>
      </c>
      <c r="GT401" s="27" t="s">
        <v>7</v>
      </c>
      <c r="GU401" s="27" t="s">
        <v>8</v>
      </c>
      <c r="HF401" s="27" t="s">
        <v>7</v>
      </c>
      <c r="HG401" s="27" t="s">
        <v>8</v>
      </c>
      <c r="JH401" s="27" t="s">
        <v>7</v>
      </c>
      <c r="JI401" s="27" t="s">
        <v>8</v>
      </c>
      <c r="JJ401" s="27" t="s">
        <v>7</v>
      </c>
      <c r="JK401" s="27" t="s">
        <v>8</v>
      </c>
      <c r="JL401" s="27" t="s">
        <v>7</v>
      </c>
    </row>
    <row r="402" spans="1:288" x14ac:dyDescent="0.25">
      <c r="A402" s="7">
        <v>38.997051854316418</v>
      </c>
      <c r="B402"/>
      <c r="C402"/>
      <c r="D402"/>
      <c r="E402"/>
      <c r="FG402" s="27" t="s">
        <v>8</v>
      </c>
      <c r="FH402" s="27" t="s">
        <v>7</v>
      </c>
      <c r="FK402" s="27" t="s">
        <v>8</v>
      </c>
      <c r="FQ402" s="27" t="s">
        <v>8</v>
      </c>
      <c r="GR402" s="27" t="s">
        <v>7</v>
      </c>
      <c r="GS402" s="27" t="s">
        <v>8</v>
      </c>
      <c r="GT402" s="27" t="s">
        <v>7</v>
      </c>
      <c r="GU402" s="27" t="s">
        <v>8</v>
      </c>
      <c r="HF402" s="27" t="s">
        <v>7</v>
      </c>
      <c r="HG402" s="27" t="s">
        <v>8</v>
      </c>
      <c r="JH402" s="27" t="s">
        <v>7</v>
      </c>
      <c r="JI402" s="27" t="s">
        <v>8</v>
      </c>
      <c r="JJ402" s="27" t="s">
        <v>7</v>
      </c>
      <c r="JK402" s="27" t="s">
        <v>8</v>
      </c>
      <c r="JL402" s="27" t="s">
        <v>7</v>
      </c>
    </row>
    <row r="403" spans="1:288" x14ac:dyDescent="0.25">
      <c r="A403" s="7">
        <v>38.232403778741585</v>
      </c>
      <c r="B403"/>
      <c r="C403"/>
      <c r="D403"/>
      <c r="E403"/>
      <c r="FG403" s="27" t="s">
        <v>8</v>
      </c>
      <c r="FH403" s="27" t="s">
        <v>7</v>
      </c>
      <c r="FI403" s="27" t="s">
        <v>8</v>
      </c>
      <c r="FK403" s="27" t="s">
        <v>8</v>
      </c>
      <c r="FL403" s="27" t="s">
        <v>7</v>
      </c>
      <c r="FQ403" s="27" t="s">
        <v>8</v>
      </c>
      <c r="GR403" s="27" t="s">
        <v>7</v>
      </c>
      <c r="GS403" s="27" t="s">
        <v>8</v>
      </c>
      <c r="GT403" s="27" t="s">
        <v>7</v>
      </c>
      <c r="HF403" s="27" t="s">
        <v>7</v>
      </c>
      <c r="JH403" s="27" t="s">
        <v>7</v>
      </c>
      <c r="JI403" s="27" t="s">
        <v>8</v>
      </c>
      <c r="JJ403" s="27" t="s">
        <v>7</v>
      </c>
      <c r="JK403" s="27" t="s">
        <v>8</v>
      </c>
      <c r="JL403" s="27" t="s">
        <v>7</v>
      </c>
      <c r="JM403" s="27" t="s">
        <v>8</v>
      </c>
      <c r="JU403" s="27" t="s">
        <v>8</v>
      </c>
    </row>
    <row r="404" spans="1:288" x14ac:dyDescent="0.25">
      <c r="A404" s="7">
        <v>37.48274880268783</v>
      </c>
      <c r="B404"/>
      <c r="C404"/>
      <c r="D404"/>
      <c r="E404"/>
      <c r="FG404" s="27" t="s">
        <v>8</v>
      </c>
      <c r="FH404" s="27" t="s">
        <v>7</v>
      </c>
      <c r="FI404" s="27" t="s">
        <v>8</v>
      </c>
      <c r="FJ404" s="27" t="s">
        <v>7</v>
      </c>
      <c r="FK404" s="27" t="s">
        <v>8</v>
      </c>
      <c r="FL404" s="27" t="s">
        <v>7</v>
      </c>
      <c r="FQ404" s="27" t="s">
        <v>8</v>
      </c>
      <c r="GR404" s="27" t="s">
        <v>7</v>
      </c>
      <c r="GS404" s="27" t="s">
        <v>8</v>
      </c>
      <c r="JH404" s="27" t="s">
        <v>7</v>
      </c>
      <c r="JI404" s="27" t="s">
        <v>8</v>
      </c>
      <c r="JJ404" s="27" t="s">
        <v>7</v>
      </c>
      <c r="JK404" s="27" t="s">
        <v>8</v>
      </c>
      <c r="JL404" s="27" t="s">
        <v>7</v>
      </c>
      <c r="JM404" s="27" t="s">
        <v>8</v>
      </c>
      <c r="JN404" s="27" t="s">
        <v>7</v>
      </c>
      <c r="JU404" s="27" t="s">
        <v>8</v>
      </c>
      <c r="JV404" s="27" t="s">
        <v>7</v>
      </c>
    </row>
    <row r="405" spans="1:288" x14ac:dyDescent="0.25">
      <c r="A405" s="7">
        <v>36.747792943811596</v>
      </c>
      <c r="B405"/>
      <c r="C405"/>
      <c r="D405"/>
      <c r="E405"/>
      <c r="FG405" s="27" t="s">
        <v>8</v>
      </c>
      <c r="FH405" s="27" t="s">
        <v>7</v>
      </c>
      <c r="FI405" s="27" t="s">
        <v>8</v>
      </c>
      <c r="FJ405" s="27" t="s">
        <v>7</v>
      </c>
      <c r="FK405" s="27" t="s">
        <v>8</v>
      </c>
      <c r="FL405" s="27" t="s">
        <v>7</v>
      </c>
      <c r="FQ405" s="27" t="s">
        <v>8</v>
      </c>
      <c r="GR405" s="27" t="s">
        <v>7</v>
      </c>
      <c r="GS405" s="27" t="s">
        <v>8</v>
      </c>
      <c r="JH405" s="27" t="s">
        <v>7</v>
      </c>
      <c r="JI405" s="27" t="s">
        <v>8</v>
      </c>
      <c r="JJ405" s="27" t="s">
        <v>7</v>
      </c>
      <c r="JK405" s="27" t="s">
        <v>8</v>
      </c>
      <c r="JL405" s="27" t="s">
        <v>7</v>
      </c>
      <c r="JM405" s="27" t="s">
        <v>8</v>
      </c>
      <c r="JN405" s="27" t="s">
        <v>7</v>
      </c>
      <c r="JQ405" s="27" t="s">
        <v>8</v>
      </c>
      <c r="JU405" s="27" t="s">
        <v>8</v>
      </c>
      <c r="JV405" s="27" t="s">
        <v>7</v>
      </c>
    </row>
    <row r="406" spans="1:288" x14ac:dyDescent="0.25">
      <c r="A406" s="7">
        <v>36.027247984129012</v>
      </c>
      <c r="B406"/>
      <c r="C406"/>
      <c r="D406"/>
      <c r="E406"/>
      <c r="FG406" s="27" t="s">
        <v>8</v>
      </c>
      <c r="FH406" s="27" t="s">
        <v>7</v>
      </c>
      <c r="FI406" s="27" t="s">
        <v>8</v>
      </c>
      <c r="FJ406" s="27" t="s">
        <v>7</v>
      </c>
      <c r="FK406" s="27" t="s">
        <v>8</v>
      </c>
      <c r="FL406" s="27" t="s">
        <v>7</v>
      </c>
      <c r="FO406" s="27" t="s">
        <v>8</v>
      </c>
      <c r="FQ406" s="27" t="s">
        <v>8</v>
      </c>
      <c r="GR406" s="27" t="s">
        <v>7</v>
      </c>
      <c r="GS406" s="27" t="s">
        <v>8</v>
      </c>
      <c r="JH406" s="27" t="s">
        <v>7</v>
      </c>
      <c r="JI406" s="27" t="s">
        <v>8</v>
      </c>
      <c r="JJ406" s="27" t="s">
        <v>7</v>
      </c>
      <c r="JK406" s="27" t="s">
        <v>8</v>
      </c>
      <c r="JL406" s="27" t="s">
        <v>7</v>
      </c>
      <c r="JN406" s="27" t="s">
        <v>7</v>
      </c>
      <c r="JO406" s="27" t="s">
        <v>8</v>
      </c>
      <c r="JQ406" s="27" t="s">
        <v>8</v>
      </c>
      <c r="JR406" s="27" t="s">
        <v>7</v>
      </c>
      <c r="JS406" s="27" t="s">
        <v>8</v>
      </c>
      <c r="JU406" s="27" t="s">
        <v>8</v>
      </c>
      <c r="JV406" s="27" t="s">
        <v>7</v>
      </c>
    </row>
    <row r="407" spans="1:288" x14ac:dyDescent="0.25">
      <c r="A407" s="7">
        <v>35.320831356989224</v>
      </c>
      <c r="B407"/>
      <c r="C407"/>
      <c r="D407"/>
      <c r="E407"/>
      <c r="FG407" s="27" t="s">
        <v>8</v>
      </c>
      <c r="FH407" s="27" t="s">
        <v>7</v>
      </c>
      <c r="FI407" s="27" t="s">
        <v>8</v>
      </c>
      <c r="FJ407" s="27" t="s">
        <v>7</v>
      </c>
      <c r="FK407" s="27" t="s">
        <v>8</v>
      </c>
      <c r="FL407" s="27" t="s">
        <v>7</v>
      </c>
      <c r="FO407" s="27" t="s">
        <v>8</v>
      </c>
      <c r="FP407" s="27" t="s">
        <v>7</v>
      </c>
      <c r="FQ407" s="27" t="s">
        <v>8</v>
      </c>
      <c r="GR407" s="27" t="s">
        <v>7</v>
      </c>
      <c r="GS407" s="27" t="s">
        <v>8</v>
      </c>
      <c r="JH407" s="27" t="s">
        <v>7</v>
      </c>
      <c r="JI407" s="27" t="s">
        <v>8</v>
      </c>
      <c r="JJ407" s="27" t="s">
        <v>7</v>
      </c>
      <c r="JN407" s="27" t="s">
        <v>7</v>
      </c>
      <c r="JO407" s="27" t="s">
        <v>8</v>
      </c>
      <c r="JP407" s="27" t="s">
        <v>7</v>
      </c>
      <c r="JQ407" s="27" t="s">
        <v>8</v>
      </c>
      <c r="JR407" s="27" t="s">
        <v>7</v>
      </c>
      <c r="JS407" s="27" t="s">
        <v>8</v>
      </c>
      <c r="JT407" s="27" t="s">
        <v>7</v>
      </c>
      <c r="JU407" s="27" t="s">
        <v>8</v>
      </c>
      <c r="JV407" s="27" t="s">
        <v>7</v>
      </c>
    </row>
    <row r="408" spans="1:288" x14ac:dyDescent="0.25">
      <c r="A408" s="7">
        <v>34.628266036263945</v>
      </c>
      <c r="B408"/>
      <c r="C408"/>
      <c r="D408"/>
      <c r="E408"/>
      <c r="FG408" s="27" t="s">
        <v>8</v>
      </c>
      <c r="FH408" s="27" t="s">
        <v>7</v>
      </c>
      <c r="FI408" s="27" t="s">
        <v>8</v>
      </c>
      <c r="FJ408" s="27" t="s">
        <v>7</v>
      </c>
      <c r="FK408" s="27" t="s">
        <v>8</v>
      </c>
      <c r="FL408" s="27" t="s">
        <v>7</v>
      </c>
      <c r="FO408" s="27" t="s">
        <v>8</v>
      </c>
      <c r="FP408" s="27" t="s">
        <v>7</v>
      </c>
      <c r="FQ408" s="27" t="s">
        <v>8</v>
      </c>
      <c r="GR408" s="27" t="s">
        <v>7</v>
      </c>
      <c r="GS408" s="27" t="s">
        <v>8</v>
      </c>
      <c r="JH408" s="27" t="s">
        <v>7</v>
      </c>
      <c r="JI408" s="27" t="s">
        <v>8</v>
      </c>
      <c r="JN408" s="27" t="s">
        <v>7</v>
      </c>
      <c r="JO408" s="27" t="s">
        <v>8</v>
      </c>
      <c r="JP408" s="27" t="s">
        <v>7</v>
      </c>
      <c r="JQ408" s="27" t="s">
        <v>8</v>
      </c>
      <c r="JR408" s="27" t="s">
        <v>7</v>
      </c>
      <c r="JS408" s="27" t="s">
        <v>8</v>
      </c>
      <c r="JT408" s="27" t="s">
        <v>7</v>
      </c>
      <c r="JU408" s="27" t="s">
        <v>8</v>
      </c>
      <c r="JV408" s="27" t="s">
        <v>7</v>
      </c>
      <c r="KA408" s="27" t="s">
        <v>8</v>
      </c>
    </row>
    <row r="409" spans="1:288" x14ac:dyDescent="0.25">
      <c r="A409" s="7">
        <v>33.949280427709752</v>
      </c>
      <c r="B409"/>
      <c r="C409"/>
      <c r="D409"/>
      <c r="E409"/>
      <c r="FG409" s="27" t="s">
        <v>8</v>
      </c>
      <c r="FH409" s="27" t="s">
        <v>7</v>
      </c>
      <c r="FI409" s="27" t="s">
        <v>8</v>
      </c>
      <c r="FJ409" s="27" t="s">
        <v>7</v>
      </c>
      <c r="FK409" s="27" t="s">
        <v>8</v>
      </c>
      <c r="FL409" s="27" t="s">
        <v>7</v>
      </c>
      <c r="FO409" s="27" t="s">
        <v>8</v>
      </c>
      <c r="FP409" s="27" t="s">
        <v>7</v>
      </c>
      <c r="GR409" s="27" t="s">
        <v>7</v>
      </c>
      <c r="GS409" s="27" t="s">
        <v>8</v>
      </c>
      <c r="JH409" s="27" t="s">
        <v>7</v>
      </c>
      <c r="JI409" s="27" t="s">
        <v>8</v>
      </c>
      <c r="JN409" s="27" t="s">
        <v>7</v>
      </c>
      <c r="JP409" s="27" t="s">
        <v>7</v>
      </c>
      <c r="JQ409" s="27" t="s">
        <v>8</v>
      </c>
      <c r="JR409" s="27" t="s">
        <v>7</v>
      </c>
      <c r="JS409" s="27" t="s">
        <v>8</v>
      </c>
      <c r="JT409" s="27" t="s">
        <v>7</v>
      </c>
      <c r="JV409" s="27" t="s">
        <v>7</v>
      </c>
      <c r="KA409" s="27" t="s">
        <v>8</v>
      </c>
      <c r="KB409" s="27" t="s">
        <v>7</v>
      </c>
    </row>
    <row r="410" spans="1:288" x14ac:dyDescent="0.25">
      <c r="A410" s="7">
        <v>33.28360826246054</v>
      </c>
      <c r="B410"/>
      <c r="C410"/>
      <c r="D410"/>
      <c r="E410"/>
      <c r="FG410" s="27" t="s">
        <v>8</v>
      </c>
      <c r="FH410" s="27" t="s">
        <v>7</v>
      </c>
      <c r="FI410" s="27" t="s">
        <v>8</v>
      </c>
      <c r="FJ410" s="27" t="s">
        <v>7</v>
      </c>
      <c r="FK410" s="27" t="s">
        <v>8</v>
      </c>
      <c r="FL410" s="27" t="s">
        <v>7</v>
      </c>
      <c r="FO410" s="27" t="s">
        <v>8</v>
      </c>
      <c r="GR410" s="27" t="s">
        <v>7</v>
      </c>
      <c r="GS410" s="27" t="s">
        <v>8</v>
      </c>
      <c r="JH410" s="27" t="s">
        <v>7</v>
      </c>
      <c r="JI410" s="27" t="s">
        <v>8</v>
      </c>
      <c r="JP410" s="27" t="s">
        <v>7</v>
      </c>
      <c r="JR410" s="27" t="s">
        <v>7</v>
      </c>
      <c r="JV410" s="27" t="s">
        <v>7</v>
      </c>
      <c r="JY410" s="27" t="s">
        <v>8</v>
      </c>
      <c r="KA410" s="27" t="s">
        <v>8</v>
      </c>
      <c r="KB410" s="27" t="s">
        <v>7</v>
      </c>
    </row>
    <row r="411" spans="1:288" x14ac:dyDescent="0.25">
      <c r="A411" s="7">
        <v>32.630988492608374</v>
      </c>
      <c r="B411"/>
      <c r="C411"/>
      <c r="D411"/>
      <c r="E411"/>
      <c r="FG411" s="27" t="s">
        <v>8</v>
      </c>
      <c r="FH411" s="27" t="s">
        <v>7</v>
      </c>
      <c r="FI411" s="27" t="s">
        <v>8</v>
      </c>
      <c r="FJ411" s="27" t="s">
        <v>7</v>
      </c>
      <c r="FK411" s="27" t="s">
        <v>8</v>
      </c>
      <c r="FL411" s="27" t="s">
        <v>7</v>
      </c>
      <c r="FM411" s="27" t="s">
        <v>8</v>
      </c>
      <c r="FO411" s="27" t="s">
        <v>8</v>
      </c>
      <c r="GR411" s="27" t="s">
        <v>7</v>
      </c>
      <c r="JH411" s="27" t="s">
        <v>7</v>
      </c>
      <c r="JI411" s="27" t="s">
        <v>8</v>
      </c>
      <c r="JV411" s="27" t="s">
        <v>7</v>
      </c>
      <c r="JY411" s="27" t="s">
        <v>8</v>
      </c>
      <c r="JZ411" s="27" t="s">
        <v>7</v>
      </c>
      <c r="KA411" s="27" t="s">
        <v>8</v>
      </c>
      <c r="KB411" s="27" t="s">
        <v>7</v>
      </c>
    </row>
    <row r="412" spans="1:288" x14ac:dyDescent="0.25">
      <c r="A412" s="7">
        <v>31.99116518883174</v>
      </c>
      <c r="B412"/>
      <c r="C412"/>
      <c r="D412"/>
      <c r="E412"/>
      <c r="FG412" s="27" t="s">
        <v>8</v>
      </c>
      <c r="FH412" s="27" t="s">
        <v>7</v>
      </c>
      <c r="FI412" s="27" t="s">
        <v>8</v>
      </c>
      <c r="FJ412" s="27" t="s">
        <v>7</v>
      </c>
      <c r="FK412" s="27" t="s">
        <v>8</v>
      </c>
      <c r="FL412" s="27" t="s">
        <v>7</v>
      </c>
      <c r="FM412" s="27" t="s">
        <v>8</v>
      </c>
      <c r="FN412" s="27" t="s">
        <v>7</v>
      </c>
      <c r="FO412" s="27" t="s">
        <v>8</v>
      </c>
      <c r="JH412" s="27" t="s">
        <v>7</v>
      </c>
      <c r="JI412" s="27" t="s">
        <v>8</v>
      </c>
      <c r="JV412" s="27" t="s">
        <v>7</v>
      </c>
      <c r="JY412" s="27" t="s">
        <v>8</v>
      </c>
      <c r="JZ412" s="27" t="s">
        <v>7</v>
      </c>
      <c r="KA412" s="27" t="s">
        <v>8</v>
      </c>
      <c r="KB412" s="27" t="s">
        <v>7</v>
      </c>
    </row>
    <row r="413" spans="1:288" x14ac:dyDescent="0.25">
      <c r="A413" s="7">
        <v>31.363887440031117</v>
      </c>
      <c r="B413"/>
      <c r="C413"/>
      <c r="D413"/>
      <c r="E413"/>
      <c r="FG413" s="27" t="s">
        <v>8</v>
      </c>
      <c r="FH413" s="27" t="s">
        <v>7</v>
      </c>
      <c r="FJ413" s="27" t="s">
        <v>7</v>
      </c>
      <c r="FK413" s="27" t="s">
        <v>8</v>
      </c>
      <c r="FL413" s="27" t="s">
        <v>7</v>
      </c>
      <c r="FM413" s="27" t="s">
        <v>8</v>
      </c>
      <c r="FN413" s="27" t="s">
        <v>7</v>
      </c>
      <c r="FO413" s="27" t="s">
        <v>8</v>
      </c>
      <c r="JH413" s="27" t="s">
        <v>7</v>
      </c>
      <c r="JI413" s="27" t="s">
        <v>8</v>
      </c>
      <c r="JV413" s="27" t="s">
        <v>7</v>
      </c>
      <c r="JY413" s="27" t="s">
        <v>8</v>
      </c>
      <c r="JZ413" s="27" t="s">
        <v>7</v>
      </c>
      <c r="KA413" s="27" t="s">
        <v>8</v>
      </c>
      <c r="KB413" s="27" t="s">
        <v>7</v>
      </c>
    </row>
    <row r="414" spans="1:288" x14ac:dyDescent="0.25">
      <c r="A414" s="7">
        <v>30.748909254932467</v>
      </c>
      <c r="B414"/>
      <c r="C414"/>
      <c r="D414"/>
      <c r="E414"/>
      <c r="FG414" s="27" t="s">
        <v>8</v>
      </c>
      <c r="FJ414" s="27" t="s">
        <v>7</v>
      </c>
      <c r="FK414" s="27" t="s">
        <v>8</v>
      </c>
      <c r="FL414" s="27" t="s">
        <v>7</v>
      </c>
      <c r="FM414" s="27" t="s">
        <v>8</v>
      </c>
      <c r="FN414" s="27" t="s">
        <v>7</v>
      </c>
      <c r="FO414" s="27" t="s">
        <v>8</v>
      </c>
      <c r="JH414" s="27" t="s">
        <v>7</v>
      </c>
      <c r="JI414" s="27" t="s">
        <v>8</v>
      </c>
      <c r="JV414" s="27" t="s">
        <v>7</v>
      </c>
      <c r="JY414" s="27" t="s">
        <v>8</v>
      </c>
      <c r="JZ414" s="27" t="s">
        <v>7</v>
      </c>
      <c r="KB414" s="27" t="s">
        <v>7</v>
      </c>
    </row>
    <row r="415" spans="1:288" x14ac:dyDescent="0.25">
      <c r="A415" s="7">
        <v>30.145989465620065</v>
      </c>
      <c r="B415"/>
      <c r="C415"/>
      <c r="D415"/>
      <c r="E415"/>
      <c r="FG415" s="27" t="s">
        <v>8</v>
      </c>
      <c r="FJ415" s="27" t="s">
        <v>7</v>
      </c>
      <c r="FL415" s="27" t="s">
        <v>7</v>
      </c>
      <c r="FM415" s="27" t="s">
        <v>8</v>
      </c>
      <c r="FN415" s="27" t="s">
        <v>7</v>
      </c>
      <c r="FO415" s="27" t="s">
        <v>8</v>
      </c>
      <c r="JH415" s="27" t="s">
        <v>7</v>
      </c>
      <c r="JI415" s="27" t="s">
        <v>8</v>
      </c>
      <c r="JV415" s="27" t="s">
        <v>7</v>
      </c>
      <c r="JW415" s="27" t="s">
        <v>8</v>
      </c>
      <c r="JY415" s="27" t="s">
        <v>8</v>
      </c>
      <c r="KB415" s="27" t="s">
        <v>7</v>
      </c>
    </row>
    <row r="416" spans="1:288" x14ac:dyDescent="0.25">
      <c r="A416" s="7">
        <v>29.55489163296085</v>
      </c>
      <c r="B416"/>
      <c r="C416"/>
      <c r="D416"/>
      <c r="E416"/>
      <c r="FG416" s="27" t="s">
        <v>8</v>
      </c>
      <c r="FL416" s="27" t="s">
        <v>7</v>
      </c>
      <c r="FM416" s="27" t="s">
        <v>8</v>
      </c>
      <c r="FN416" s="27" t="s">
        <v>7</v>
      </c>
      <c r="FO416" s="27" t="s">
        <v>8</v>
      </c>
      <c r="JH416" s="27" t="s">
        <v>7</v>
      </c>
      <c r="JI416" s="27" t="s">
        <v>8</v>
      </c>
      <c r="JV416" s="27" t="s">
        <v>7</v>
      </c>
      <c r="JW416" s="27" t="s">
        <v>8</v>
      </c>
      <c r="JX416" s="27" t="s">
        <v>7</v>
      </c>
      <c r="JY416" s="27" t="s">
        <v>8</v>
      </c>
      <c r="KB416" s="27" t="s">
        <v>7</v>
      </c>
    </row>
    <row r="417" spans="1:292" x14ac:dyDescent="0.25">
      <c r="A417" s="7">
        <v>28.975383953883185</v>
      </c>
      <c r="B417"/>
      <c r="C417"/>
      <c r="D417"/>
      <c r="E417"/>
      <c r="FG417" s="27" t="s">
        <v>8</v>
      </c>
      <c r="FL417" s="27" t="s">
        <v>7</v>
      </c>
      <c r="FM417" s="27" t="s">
        <v>8</v>
      </c>
      <c r="FN417" s="27" t="s">
        <v>7</v>
      </c>
      <c r="FO417" s="27" t="s">
        <v>8</v>
      </c>
      <c r="JH417" s="27" t="s">
        <v>7</v>
      </c>
      <c r="JI417" s="27" t="s">
        <v>8</v>
      </c>
      <c r="JV417" s="27" t="s">
        <v>7</v>
      </c>
      <c r="JW417" s="27" t="s">
        <v>8</v>
      </c>
      <c r="JX417" s="27" t="s">
        <v>7</v>
      </c>
      <c r="JY417" s="27" t="s">
        <v>8</v>
      </c>
      <c r="KB417" s="27" t="s">
        <v>7</v>
      </c>
    </row>
    <row r="418" spans="1:292" x14ac:dyDescent="0.25">
      <c r="A418" s="7">
        <v>28.407239170473709</v>
      </c>
      <c r="B418"/>
      <c r="C418"/>
      <c r="D418"/>
      <c r="E418"/>
      <c r="FG418" s="27" t="s">
        <v>8</v>
      </c>
      <c r="FL418" s="27" t="s">
        <v>7</v>
      </c>
      <c r="FM418" s="27" t="s">
        <v>8</v>
      </c>
      <c r="FN418" s="27" t="s">
        <v>7</v>
      </c>
      <c r="FO418" s="27" t="s">
        <v>8</v>
      </c>
      <c r="JH418" s="27" t="s">
        <v>7</v>
      </c>
      <c r="JV418" s="27" t="s">
        <v>7</v>
      </c>
      <c r="JX418" s="27" t="s">
        <v>7</v>
      </c>
      <c r="JY418" s="27" t="s">
        <v>8</v>
      </c>
      <c r="KB418" s="27" t="s">
        <v>7</v>
      </c>
    </row>
    <row r="419" spans="1:292" x14ac:dyDescent="0.25">
      <c r="A419" s="7">
        <v>27.850234480856578</v>
      </c>
      <c r="B419"/>
      <c r="C419"/>
      <c r="D419"/>
      <c r="E419"/>
      <c r="FG419" s="27" t="s">
        <v>8</v>
      </c>
      <c r="FL419" s="27" t="s">
        <v>7</v>
      </c>
      <c r="FM419" s="27" t="s">
        <v>8</v>
      </c>
      <c r="FN419" s="27" t="s">
        <v>7</v>
      </c>
      <c r="JX419" s="27" t="s">
        <v>7</v>
      </c>
      <c r="JY419" s="27" t="s">
        <v>8</v>
      </c>
      <c r="KB419" s="27" t="s">
        <v>7</v>
      </c>
    </row>
    <row r="420" spans="1:292" x14ac:dyDescent="0.25">
      <c r="A420" s="7">
        <v>27.304151451820175</v>
      </c>
      <c r="B420"/>
      <c r="C420"/>
      <c r="D420"/>
      <c r="E420"/>
      <c r="FG420" s="27" t="s">
        <v>8</v>
      </c>
      <c r="FL420" s="27" t="s">
        <v>7</v>
      </c>
      <c r="FM420" s="27" t="s">
        <v>8</v>
      </c>
      <c r="JX420" s="27" t="s">
        <v>7</v>
      </c>
      <c r="KB420" s="27" t="s">
        <v>7</v>
      </c>
    </row>
    <row r="421" spans="1:292" x14ac:dyDescent="0.25">
      <c r="A421" s="7">
        <v>26.768775933157034</v>
      </c>
      <c r="B421"/>
      <c r="C421"/>
      <c r="D421"/>
      <c r="E421"/>
      <c r="FG421" s="27" t="s">
        <v>8</v>
      </c>
      <c r="FL421" s="27" t="s">
        <v>7</v>
      </c>
      <c r="FM421" s="27" t="s">
        <v>8</v>
      </c>
      <c r="KB421" s="27" t="s">
        <v>7</v>
      </c>
    </row>
    <row r="422" spans="1:292" x14ac:dyDescent="0.25">
      <c r="A422" s="7">
        <v>26.243897973683367</v>
      </c>
      <c r="B422"/>
      <c r="C422"/>
      <c r="D422"/>
      <c r="E422"/>
      <c r="FG422" s="27" t="s">
        <v>8</v>
      </c>
      <c r="FL422" s="27" t="s">
        <v>7</v>
      </c>
      <c r="FM422" s="27" t="s">
        <v>8</v>
      </c>
      <c r="KB422" s="27" t="s">
        <v>7</v>
      </c>
      <c r="KE422" s="27" t="s">
        <v>8</v>
      </c>
    </row>
    <row r="423" spans="1:292" x14ac:dyDescent="0.25">
      <c r="A423" s="7">
        <v>25.729311738905263</v>
      </c>
      <c r="B423"/>
      <c r="C423"/>
      <c r="D423"/>
      <c r="E423"/>
      <c r="FG423" s="27" t="s">
        <v>8</v>
      </c>
      <c r="FL423" s="27" t="s">
        <v>7</v>
      </c>
      <c r="FM423" s="27" t="s">
        <v>8</v>
      </c>
      <c r="KB423" s="27" t="s">
        <v>7</v>
      </c>
      <c r="KE423" s="27" t="s">
        <v>8</v>
      </c>
      <c r="KF423" s="27" t="s">
        <v>7</v>
      </c>
    </row>
    <row r="424" spans="1:292" x14ac:dyDescent="0.25">
      <c r="A424" s="7">
        <v>25.224815430299277</v>
      </c>
      <c r="B424"/>
      <c r="C424"/>
      <c r="D424"/>
      <c r="E424"/>
      <c r="FG424" s="27" t="s">
        <v>8</v>
      </c>
      <c r="FL424" s="27" t="s">
        <v>7</v>
      </c>
      <c r="KB424" s="27" t="s">
        <v>7</v>
      </c>
      <c r="KC424" s="27" t="s">
        <v>8</v>
      </c>
      <c r="KE424" s="27" t="s">
        <v>8</v>
      </c>
      <c r="KF424" s="27" t="s">
        <v>7</v>
      </c>
    </row>
    <row r="425" spans="1:292" x14ac:dyDescent="0.25">
      <c r="A425" s="7">
        <v>24.73021120617576</v>
      </c>
      <c r="B425"/>
      <c r="C425"/>
      <c r="D425"/>
      <c r="E425"/>
      <c r="FG425" s="27" t="s">
        <v>8</v>
      </c>
      <c r="KB425" s="27" t="s">
        <v>7</v>
      </c>
      <c r="KC425" s="27" t="s">
        <v>8</v>
      </c>
      <c r="KD425" s="27" t="s">
        <v>7</v>
      </c>
      <c r="KE425" s="27" t="s">
        <v>8</v>
      </c>
      <c r="KF425" s="27" t="s">
        <v>7</v>
      </c>
    </row>
    <row r="426" spans="1:292" x14ac:dyDescent="0.25">
      <c r="A426" s="7">
        <v>24.24530510409388</v>
      </c>
      <c r="B426"/>
      <c r="C426"/>
      <c r="D426"/>
      <c r="E426"/>
      <c r="FG426" s="27" t="s">
        <v>8</v>
      </c>
      <c r="KB426" s="27" t="s">
        <v>7</v>
      </c>
      <c r="KC426" s="27" t="s">
        <v>8</v>
      </c>
      <c r="KD426" s="27" t="s">
        <v>7</v>
      </c>
      <c r="KE426" s="27" t="s">
        <v>8</v>
      </c>
      <c r="KF426" s="27" t="s">
        <v>7</v>
      </c>
    </row>
    <row r="427" spans="1:292" x14ac:dyDescent="0.25">
      <c r="A427" s="7">
        <v>23.769906964797922</v>
      </c>
      <c r="B427"/>
      <c r="C427"/>
      <c r="D427"/>
      <c r="E427"/>
      <c r="FG427" s="27" t="s">
        <v>8</v>
      </c>
      <c r="KB427" s="27" t="s">
        <v>7</v>
      </c>
      <c r="KC427" s="27" t="s">
        <v>8</v>
      </c>
      <c r="KD427" s="27" t="s">
        <v>7</v>
      </c>
      <c r="KE427" s="27" t="s">
        <v>8</v>
      </c>
    </row>
    <row r="428" spans="1:292" x14ac:dyDescent="0.25">
      <c r="A428" s="7">
        <v>23.303830357645023</v>
      </c>
      <c r="B428"/>
      <c r="C428"/>
      <c r="D428"/>
      <c r="E428"/>
      <c r="FG428" s="27" t="s">
        <v>8</v>
      </c>
      <c r="KB428" s="27" t="s">
        <v>7</v>
      </c>
      <c r="KC428" s="27" t="s">
        <v>8</v>
      </c>
      <c r="KD428" s="27" t="s">
        <v>7</v>
      </c>
      <c r="KE428" s="27" t="s">
        <v>8</v>
      </c>
    </row>
    <row r="429" spans="1:292" x14ac:dyDescent="0.25">
      <c r="A429" s="7">
        <v>22.84689250749512</v>
      </c>
      <c r="B429"/>
      <c r="C429"/>
      <c r="D429"/>
      <c r="E429"/>
      <c r="FG429" s="27" t="s">
        <v>8</v>
      </c>
      <c r="KB429" s="27" t="s">
        <v>7</v>
      </c>
      <c r="KC429" s="27" t="s">
        <v>8</v>
      </c>
      <c r="KD429" s="27" t="s">
        <v>7</v>
      </c>
      <c r="KE429" s="27" t="s">
        <v>8</v>
      </c>
    </row>
    <row r="430" spans="1:292" x14ac:dyDescent="0.25">
      <c r="A430" s="7">
        <v>22.398914223034431</v>
      </c>
      <c r="B430"/>
      <c r="C430"/>
      <c r="D430"/>
      <c r="E430"/>
      <c r="FG430" s="27" t="s">
        <v>8</v>
      </c>
      <c r="KB430" s="27" t="s">
        <v>7</v>
      </c>
      <c r="KC430" s="27" t="s">
        <v>8</v>
      </c>
      <c r="KD430" s="27" t="s">
        <v>7</v>
      </c>
      <c r="KE430" s="27" t="s">
        <v>8</v>
      </c>
    </row>
    <row r="431" spans="1:292" x14ac:dyDescent="0.25">
      <c r="A431" s="7">
        <v>21.959719826504344</v>
      </c>
      <c r="B431"/>
      <c r="C431"/>
      <c r="D431"/>
      <c r="E431"/>
      <c r="FG431" s="27" t="s">
        <v>8</v>
      </c>
      <c r="KB431" s="27" t="s">
        <v>7</v>
      </c>
      <c r="KC431" s="27" t="s">
        <v>8</v>
      </c>
      <c r="KD431" s="27" t="s">
        <v>7</v>
      </c>
    </row>
    <row r="432" spans="1:292" x14ac:dyDescent="0.25">
      <c r="A432" s="7">
        <v>21.52913708480818</v>
      </c>
      <c r="B432"/>
      <c r="C432"/>
      <c r="D432"/>
      <c r="E432"/>
      <c r="FG432" s="27" t="s">
        <v>8</v>
      </c>
      <c r="KB432" s="27" t="s">
        <v>7</v>
      </c>
    </row>
    <row r="433" spans="1:163" x14ac:dyDescent="0.25">
      <c r="A433" s="7">
        <v>21.106997141968804</v>
      </c>
      <c r="B433"/>
      <c r="C433"/>
      <c r="D433"/>
      <c r="E433"/>
      <c r="FE433" s="27" t="s">
        <v>8</v>
      </c>
      <c r="FG433" s="27" t="s">
        <v>8</v>
      </c>
    </row>
    <row r="434" spans="1:163" x14ac:dyDescent="0.25">
      <c r="A434" s="7">
        <v>20.693134452910591</v>
      </c>
      <c r="B434"/>
      <c r="C434"/>
      <c r="D434"/>
      <c r="E434"/>
      <c r="FC434" s="27" t="s">
        <v>8</v>
      </c>
      <c r="FE434" s="27" t="s">
        <v>8</v>
      </c>
      <c r="FF434" s="27" t="s">
        <v>7</v>
      </c>
      <c r="FG434" s="27" t="s">
        <v>8</v>
      </c>
    </row>
    <row r="435" spans="1:163" x14ac:dyDescent="0.25">
      <c r="A435" s="7">
        <v>20.287386718539796</v>
      </c>
      <c r="B435"/>
      <c r="C435"/>
      <c r="D435"/>
      <c r="E435"/>
      <c r="FC435" s="27" t="s">
        <v>8</v>
      </c>
      <c r="FD435" s="27" t="s">
        <v>7</v>
      </c>
      <c r="FE435" s="27" t="s">
        <v>8</v>
      </c>
      <c r="FF435" s="27" t="s">
        <v>7</v>
      </c>
      <c r="FG435" s="27" t="s">
        <v>8</v>
      </c>
    </row>
    <row r="436" spans="1:163" x14ac:dyDescent="0.25">
      <c r="A436" s="7">
        <v>19.889594822097838</v>
      </c>
      <c r="B436"/>
      <c r="C436"/>
      <c r="D436"/>
      <c r="E436"/>
      <c r="FC436" s="27" t="s">
        <v>8</v>
      </c>
      <c r="FD436" s="27" t="s">
        <v>7</v>
      </c>
      <c r="FE436" s="27" t="s">
        <v>8</v>
      </c>
      <c r="FF436" s="27" t="s">
        <v>7</v>
      </c>
      <c r="FG436" s="27" t="s">
        <v>8</v>
      </c>
    </row>
    <row r="437" spans="1:163" x14ac:dyDescent="0.25">
      <c r="A437" s="7">
        <v>19.499602766762585</v>
      </c>
      <c r="B437"/>
      <c r="C437"/>
      <c r="D437"/>
      <c r="E437"/>
      <c r="FC437" s="27" t="s">
        <v>8</v>
      </c>
      <c r="FD437" s="27" t="s">
        <v>7</v>
      </c>
      <c r="FE437" s="27" t="s">
        <v>8</v>
      </c>
      <c r="FF437" s="27" t="s">
        <v>7</v>
      </c>
      <c r="FG437" s="27" t="s">
        <v>8</v>
      </c>
    </row>
    <row r="438" spans="1:163" x14ac:dyDescent="0.25">
      <c r="A438" s="7">
        <v>19.117257614473122</v>
      </c>
      <c r="B438"/>
      <c r="C438"/>
      <c r="D438"/>
      <c r="E438"/>
      <c r="FC438" s="27" t="s">
        <v>8</v>
      </c>
      <c r="FD438" s="27" t="s">
        <v>7</v>
      </c>
      <c r="FE438" s="27" t="s">
        <v>8</v>
      </c>
      <c r="FF438" s="27" t="s">
        <v>7</v>
      </c>
    </row>
    <row r="439" spans="1:163" x14ac:dyDescent="0.25">
      <c r="A439" s="7">
        <v>18.74240942595404</v>
      </c>
      <c r="B439"/>
      <c r="C439"/>
      <c r="D439"/>
      <c r="E439"/>
      <c r="FC439" s="27" t="s">
        <v>8</v>
      </c>
      <c r="FD439" s="27" t="s">
        <v>7</v>
      </c>
      <c r="FE439" s="27" t="s">
        <v>8</v>
      </c>
    </row>
    <row r="440" spans="1:163" x14ac:dyDescent="0.25">
      <c r="A440" s="7">
        <v>18.374911201915726</v>
      </c>
      <c r="B440"/>
      <c r="C440"/>
      <c r="D440"/>
      <c r="E440"/>
      <c r="FC440" s="27" t="s">
        <v>8</v>
      </c>
      <c r="FD440" s="27" t="s">
        <v>7</v>
      </c>
      <c r="FE440" s="27" t="s">
        <v>8</v>
      </c>
    </row>
    <row r="441" spans="1:163" x14ac:dyDescent="0.25">
      <c r="A441" s="7">
        <v>18.014618825407574</v>
      </c>
      <c r="B441"/>
      <c r="C441"/>
      <c r="D441"/>
      <c r="E441"/>
      <c r="EE441" s="27" t="s">
        <v>8</v>
      </c>
      <c r="FC441" s="27" t="s">
        <v>8</v>
      </c>
      <c r="FD441" s="27" t="s">
        <v>7</v>
      </c>
    </row>
    <row r="442" spans="1:163" x14ac:dyDescent="0.25">
      <c r="A442" s="7">
        <v>17.661391005301542</v>
      </c>
      <c r="B442"/>
      <c r="C442"/>
      <c r="D442"/>
      <c r="E442"/>
      <c r="EE442" s="27" t="s">
        <v>8</v>
      </c>
      <c r="EF442" s="27" t="s">
        <v>7</v>
      </c>
      <c r="FC442" s="27" t="s">
        <v>8</v>
      </c>
    </row>
    <row r="443" spans="1:163" x14ac:dyDescent="0.25">
      <c r="A443" s="7">
        <v>17.315089220883866</v>
      </c>
      <c r="B443"/>
      <c r="C443"/>
      <c r="D443"/>
      <c r="E443"/>
      <c r="EE443" s="27" t="s">
        <v>8</v>
      </c>
      <c r="EF443" s="27" t="s">
        <v>7</v>
      </c>
      <c r="EI443" s="27" t="s">
        <v>8</v>
      </c>
      <c r="FC443" s="27" t="s">
        <v>8</v>
      </c>
    </row>
    <row r="444" spans="1:163" x14ac:dyDescent="0.25">
      <c r="A444" s="7">
        <v>16.975577667533202</v>
      </c>
      <c r="B444"/>
      <c r="C444"/>
      <c r="D444"/>
      <c r="E444"/>
      <c r="EE444" s="27" t="s">
        <v>8</v>
      </c>
      <c r="EF444" s="27" t="s">
        <v>7</v>
      </c>
      <c r="EI444" s="27" t="s">
        <v>8</v>
      </c>
      <c r="EJ444" s="27" t="s">
        <v>7</v>
      </c>
      <c r="FC444" s="27" t="s">
        <v>8</v>
      </c>
    </row>
    <row r="445" spans="1:163" x14ac:dyDescent="0.25">
      <c r="A445" s="7">
        <v>16.642723203463923</v>
      </c>
      <c r="B445"/>
      <c r="C445"/>
      <c r="D445"/>
      <c r="E445"/>
      <c r="EE445" s="27" t="s">
        <v>8</v>
      </c>
      <c r="EF445" s="27" t="s">
        <v>7</v>
      </c>
      <c r="EI445" s="27" t="s">
        <v>8</v>
      </c>
      <c r="EJ445" s="27" t="s">
        <v>7</v>
      </c>
      <c r="FC445" s="27" t="s">
        <v>8</v>
      </c>
    </row>
    <row r="446" spans="1:163" x14ac:dyDescent="0.25">
      <c r="A446" s="7">
        <v>16.316395297513651</v>
      </c>
      <c r="B446"/>
      <c r="C446"/>
      <c r="D446"/>
      <c r="E446"/>
      <c r="EE446" s="27" t="s">
        <v>8</v>
      </c>
      <c r="EF446" s="27" t="s">
        <v>7</v>
      </c>
      <c r="EI446" s="27" t="s">
        <v>8</v>
      </c>
      <c r="EJ446" s="27" t="s">
        <v>7</v>
      </c>
      <c r="FC446" s="27" t="s">
        <v>8</v>
      </c>
    </row>
    <row r="447" spans="1:163" x14ac:dyDescent="0.25">
      <c r="A447" s="7">
        <v>15.996465977954561</v>
      </c>
      <c r="B447"/>
      <c r="C447"/>
      <c r="D447"/>
      <c r="E447"/>
      <c r="EE447" s="27" t="s">
        <v>8</v>
      </c>
      <c r="EF447" s="27" t="s">
        <v>7</v>
      </c>
      <c r="EI447" s="27" t="s">
        <v>8</v>
      </c>
      <c r="EJ447" s="27" t="s">
        <v>7</v>
      </c>
      <c r="FC447" s="27" t="s">
        <v>8</v>
      </c>
    </row>
    <row r="448" spans="1:163" x14ac:dyDescent="0.25">
      <c r="A448" s="7">
        <v>15.682809782308393</v>
      </c>
      <c r="B448"/>
      <c r="C448"/>
      <c r="D448"/>
      <c r="E448"/>
      <c r="EE448" s="27" t="s">
        <v>8</v>
      </c>
      <c r="EF448" s="27" t="s">
        <v>7</v>
      </c>
      <c r="EG448" s="27" t="s">
        <v>8</v>
      </c>
      <c r="EI448" s="27" t="s">
        <v>8</v>
      </c>
      <c r="EJ448" s="27" t="s">
        <v>7</v>
      </c>
      <c r="FC448" s="27" t="s">
        <v>8</v>
      </c>
    </row>
    <row r="449" spans="1:159" x14ac:dyDescent="0.25">
      <c r="A449" s="7">
        <v>15.375303708145482</v>
      </c>
      <c r="B449"/>
      <c r="C449"/>
      <c r="D449"/>
      <c r="E449"/>
      <c r="EE449" s="27" t="s">
        <v>8</v>
      </c>
      <c r="EF449" s="27" t="s">
        <v>7</v>
      </c>
      <c r="EG449" s="27" t="s">
        <v>8</v>
      </c>
      <c r="EH449" s="27" t="s">
        <v>7</v>
      </c>
      <c r="EI449" s="27" t="s">
        <v>8</v>
      </c>
      <c r="EJ449" s="27" t="s">
        <v>7</v>
      </c>
      <c r="FA449" s="27" t="s">
        <v>8</v>
      </c>
      <c r="FC449" s="27" t="s">
        <v>8</v>
      </c>
    </row>
    <row r="450" spans="1:159" x14ac:dyDescent="0.25">
      <c r="A450" s="7">
        <v>15.073827164848511</v>
      </c>
      <c r="B450"/>
      <c r="C450"/>
      <c r="D450"/>
      <c r="E450"/>
      <c r="EE450" s="27" t="s">
        <v>8</v>
      </c>
      <c r="EF450" s="27" t="s">
        <v>7</v>
      </c>
      <c r="EG450" s="27" t="s">
        <v>8</v>
      </c>
      <c r="EH450" s="27" t="s">
        <v>7</v>
      </c>
      <c r="EI450" s="27" t="s">
        <v>8</v>
      </c>
      <c r="EJ450" s="27" t="s">
        <v>7</v>
      </c>
      <c r="FA450" s="27" t="s">
        <v>8</v>
      </c>
      <c r="FB450" s="27" t="s">
        <v>7</v>
      </c>
      <c r="FC450" s="27" t="s">
        <v>8</v>
      </c>
    </row>
    <row r="451" spans="1:159" x14ac:dyDescent="0.25">
      <c r="A451" s="7">
        <v>14.77826192632207</v>
      </c>
      <c r="B451"/>
      <c r="C451"/>
      <c r="D451"/>
      <c r="E451"/>
      <c r="EE451" s="27" t="s">
        <v>8</v>
      </c>
      <c r="EF451" s="27" t="s">
        <v>7</v>
      </c>
      <c r="EG451" s="27" t="s">
        <v>8</v>
      </c>
      <c r="EH451" s="27" t="s">
        <v>7</v>
      </c>
      <c r="EI451" s="27" t="s">
        <v>8</v>
      </c>
      <c r="EJ451" s="27" t="s">
        <v>7</v>
      </c>
      <c r="FA451" s="27" t="s">
        <v>8</v>
      </c>
      <c r="FB451" s="27" t="s">
        <v>7</v>
      </c>
      <c r="FC451" s="27" t="s">
        <v>8</v>
      </c>
    </row>
    <row r="452" spans="1:159" x14ac:dyDescent="0.25">
      <c r="A452" s="7">
        <v>14.488492084629481</v>
      </c>
      <c r="B452"/>
      <c r="C452"/>
      <c r="D452"/>
      <c r="E452"/>
      <c r="EE452" s="27" t="s">
        <v>8</v>
      </c>
      <c r="EF452" s="27" t="s">
        <v>7</v>
      </c>
      <c r="EG452" s="27" t="s">
        <v>8</v>
      </c>
      <c r="EH452" s="27" t="s">
        <v>7</v>
      </c>
      <c r="EJ452" s="27" t="s">
        <v>7</v>
      </c>
      <c r="FA452" s="27" t="s">
        <v>8</v>
      </c>
      <c r="FB452" s="27" t="s">
        <v>7</v>
      </c>
      <c r="FC452" s="27" t="s">
        <v>8</v>
      </c>
    </row>
    <row r="453" spans="1:159" x14ac:dyDescent="0.25">
      <c r="A453" s="7">
        <v>14.204404004538707</v>
      </c>
      <c r="B453"/>
      <c r="C453"/>
      <c r="D453"/>
      <c r="E453"/>
      <c r="EE453" s="27" t="s">
        <v>8</v>
      </c>
      <c r="EF453" s="27" t="s">
        <v>7</v>
      </c>
      <c r="EG453" s="27" t="s">
        <v>8</v>
      </c>
      <c r="EJ453" s="27" t="s">
        <v>7</v>
      </c>
      <c r="EU453" s="27" t="s">
        <v>8</v>
      </c>
      <c r="FA453" s="27" t="s">
        <v>8</v>
      </c>
      <c r="FB453" s="27" t="s">
        <v>7</v>
      </c>
      <c r="FC453" s="27" t="s">
        <v>8</v>
      </c>
    </row>
    <row r="454" spans="1:159" x14ac:dyDescent="0.25">
      <c r="A454" s="7">
        <v>13.925886278959517</v>
      </c>
      <c r="B454"/>
      <c r="C454"/>
      <c r="D454"/>
      <c r="E454"/>
      <c r="EE454" s="27" t="s">
        <v>8</v>
      </c>
      <c r="EF454" s="27" t="s">
        <v>7</v>
      </c>
      <c r="EG454" s="27" t="s">
        <v>8</v>
      </c>
      <c r="EJ454" s="27" t="s">
        <v>7</v>
      </c>
      <c r="EU454" s="27" t="s">
        <v>8</v>
      </c>
      <c r="EV454" s="27" t="s">
        <v>7</v>
      </c>
      <c r="FA454" s="27" t="s">
        <v>8</v>
      </c>
      <c r="FB454" s="27" t="s">
        <v>7</v>
      </c>
      <c r="FC454" s="27" t="s">
        <v>8</v>
      </c>
    </row>
    <row r="455" spans="1:159" x14ac:dyDescent="0.25">
      <c r="A455" s="7">
        <v>13.652829685254428</v>
      </c>
      <c r="B455"/>
      <c r="C455"/>
      <c r="D455"/>
      <c r="E455"/>
      <c r="EE455" s="27" t="s">
        <v>8</v>
      </c>
      <c r="EF455" s="27" t="s">
        <v>7</v>
      </c>
      <c r="EG455" s="27" t="s">
        <v>8</v>
      </c>
      <c r="EJ455" s="27" t="s">
        <v>7</v>
      </c>
      <c r="EU455" s="27" t="s">
        <v>8</v>
      </c>
      <c r="EV455" s="27" t="s">
        <v>7</v>
      </c>
      <c r="FA455" s="27" t="s">
        <v>8</v>
      </c>
      <c r="FB455" s="27" t="s">
        <v>7</v>
      </c>
      <c r="FC455" s="27" t="s">
        <v>8</v>
      </c>
    </row>
    <row r="456" spans="1:159" x14ac:dyDescent="0.25">
      <c r="A456" s="7">
        <v>13.385127142406303</v>
      </c>
      <c r="B456"/>
      <c r="C456"/>
      <c r="D456"/>
      <c r="E456"/>
      <c r="EE456" s="27" t="s">
        <v>8</v>
      </c>
      <c r="EF456" s="27" t="s">
        <v>7</v>
      </c>
      <c r="EG456" s="27" t="s">
        <v>8</v>
      </c>
      <c r="EJ456" s="27" t="s">
        <v>7</v>
      </c>
      <c r="EU456" s="27" t="s">
        <v>8</v>
      </c>
      <c r="EV456" s="27" t="s">
        <v>7</v>
      </c>
      <c r="FA456" s="27" t="s">
        <v>8</v>
      </c>
      <c r="FB456" s="27" t="s">
        <v>7</v>
      </c>
    </row>
    <row r="457" spans="1:159" x14ac:dyDescent="0.25">
      <c r="A457" s="7">
        <v>13.122673669025787</v>
      </c>
      <c r="B457"/>
      <c r="C457"/>
      <c r="D457"/>
      <c r="E457"/>
      <c r="Q457" s="27" t="s">
        <v>8</v>
      </c>
      <c r="EE457" s="27" t="s">
        <v>8</v>
      </c>
      <c r="EF457" s="27" t="s">
        <v>7</v>
      </c>
      <c r="EJ457" s="27" t="s">
        <v>7</v>
      </c>
      <c r="EU457" s="27" t="s">
        <v>8</v>
      </c>
      <c r="EV457" s="27" t="s">
        <v>7</v>
      </c>
      <c r="FA457" s="27" t="s">
        <v>8</v>
      </c>
    </row>
    <row r="458" spans="1:159" x14ac:dyDescent="0.25">
      <c r="A458" s="7">
        <v>12.865366342182144</v>
      </c>
      <c r="B458"/>
      <c r="C458"/>
      <c r="D458"/>
      <c r="E458"/>
      <c r="M458" s="27" t="s">
        <v>8</v>
      </c>
      <c r="Q458" s="27" t="s">
        <v>8</v>
      </c>
      <c r="R458" s="27" t="s">
        <v>7</v>
      </c>
      <c r="U458" s="27" t="s">
        <v>8</v>
      </c>
      <c r="EE458" s="27" t="s">
        <v>8</v>
      </c>
      <c r="EJ458" s="27" t="s">
        <v>7</v>
      </c>
      <c r="EU458" s="27" t="s">
        <v>8</v>
      </c>
      <c r="EV458" s="27" t="s">
        <v>7</v>
      </c>
      <c r="EW458" s="27" t="s">
        <v>8</v>
      </c>
      <c r="FA458" s="27" t="s">
        <v>8</v>
      </c>
    </row>
    <row r="459" spans="1:159" x14ac:dyDescent="0.25">
      <c r="A459" s="7">
        <v>12.613104257041318</v>
      </c>
      <c r="B459"/>
      <c r="C459"/>
      <c r="D459"/>
      <c r="E459"/>
      <c r="M459" s="27" t="s">
        <v>8</v>
      </c>
      <c r="N459" s="27" t="s">
        <v>7</v>
      </c>
      <c r="Q459" s="27" t="s">
        <v>8</v>
      </c>
      <c r="R459" s="27" t="s">
        <v>7</v>
      </c>
      <c r="U459" s="27" t="s">
        <v>8</v>
      </c>
      <c r="V459" s="27" t="s">
        <v>7</v>
      </c>
      <c r="EE459" s="27" t="s">
        <v>8</v>
      </c>
      <c r="EJ459" s="27" t="s">
        <v>7</v>
      </c>
      <c r="EQ459" s="27" t="s">
        <v>8</v>
      </c>
      <c r="EU459" s="27" t="s">
        <v>8</v>
      </c>
      <c r="EV459" s="27" t="s">
        <v>7</v>
      </c>
      <c r="EW459" s="27" t="s">
        <v>8</v>
      </c>
      <c r="EX459" s="27" t="s">
        <v>7</v>
      </c>
      <c r="EY459" s="27" t="s">
        <v>8</v>
      </c>
      <c r="FA459" s="27" t="s">
        <v>8</v>
      </c>
    </row>
    <row r="460" spans="1:159" x14ac:dyDescent="0.25">
      <c r="A460" s="7">
        <v>12.36578848729541</v>
      </c>
      <c r="B460"/>
      <c r="C460"/>
      <c r="D460"/>
      <c r="E460"/>
      <c r="M460" s="27" t="s">
        <v>8</v>
      </c>
      <c r="N460" s="27" t="s">
        <v>7</v>
      </c>
      <c r="Q460" s="27" t="s">
        <v>8</v>
      </c>
      <c r="R460" s="27" t="s">
        <v>7</v>
      </c>
      <c r="U460" s="27" t="s">
        <v>8</v>
      </c>
      <c r="V460" s="27" t="s">
        <v>7</v>
      </c>
      <c r="EE460" s="27" t="s">
        <v>8</v>
      </c>
      <c r="EJ460" s="27" t="s">
        <v>7</v>
      </c>
      <c r="EK460" s="27" t="s">
        <v>8</v>
      </c>
      <c r="EQ460" s="27" t="s">
        <v>8</v>
      </c>
      <c r="ER460" s="27" t="s">
        <v>7</v>
      </c>
      <c r="ES460" s="27" t="s">
        <v>8</v>
      </c>
      <c r="EU460" s="27" t="s">
        <v>8</v>
      </c>
      <c r="EV460" s="27" t="s">
        <v>7</v>
      </c>
      <c r="EW460" s="27" t="s">
        <v>8</v>
      </c>
      <c r="EX460" s="27" t="s">
        <v>7</v>
      </c>
      <c r="EY460" s="27" t="s">
        <v>8</v>
      </c>
      <c r="EZ460" s="27" t="s">
        <v>7</v>
      </c>
      <c r="FA460" s="27" t="s">
        <v>8</v>
      </c>
    </row>
    <row r="461" spans="1:159" x14ac:dyDescent="0.25">
      <c r="A461" s="7">
        <v>12.123322046368049</v>
      </c>
      <c r="B461"/>
      <c r="C461"/>
      <c r="D461"/>
      <c r="E461"/>
      <c r="M461" s="27" t="s">
        <v>8</v>
      </c>
      <c r="N461" s="27" t="s">
        <v>7</v>
      </c>
      <c r="O461" s="27" t="s">
        <v>8</v>
      </c>
      <c r="Q461" s="27" t="s">
        <v>8</v>
      </c>
      <c r="R461" s="27" t="s">
        <v>7</v>
      </c>
      <c r="S461" s="27" t="s">
        <v>8</v>
      </c>
      <c r="U461" s="27" t="s">
        <v>8</v>
      </c>
      <c r="V461" s="27" t="s">
        <v>7</v>
      </c>
      <c r="EE461" s="27" t="s">
        <v>8</v>
      </c>
      <c r="EJ461" s="27" t="s">
        <v>7</v>
      </c>
      <c r="EK461" s="27" t="s">
        <v>8</v>
      </c>
      <c r="EL461" s="27" t="s">
        <v>7</v>
      </c>
      <c r="EQ461" s="27" t="s">
        <v>8</v>
      </c>
      <c r="ER461" s="27" t="s">
        <v>7</v>
      </c>
      <c r="ES461" s="27" t="s">
        <v>8</v>
      </c>
      <c r="ET461" s="27" t="s">
        <v>7</v>
      </c>
      <c r="EU461" s="27" t="s">
        <v>8</v>
      </c>
      <c r="EV461" s="27" t="s">
        <v>7</v>
      </c>
      <c r="EW461" s="27" t="s">
        <v>8</v>
      </c>
      <c r="EX461" s="27" t="s">
        <v>7</v>
      </c>
      <c r="EY461" s="27" t="s">
        <v>8</v>
      </c>
      <c r="EZ461" s="27" t="s">
        <v>7</v>
      </c>
      <c r="FA461" s="27" t="s">
        <v>8</v>
      </c>
    </row>
    <row r="462" spans="1:159" x14ac:dyDescent="0.25">
      <c r="A462" s="7">
        <v>11.88560984938044</v>
      </c>
      <c r="B462"/>
      <c r="C462"/>
      <c r="D462"/>
      <c r="E462"/>
      <c r="I462" s="27" t="s">
        <v>8</v>
      </c>
      <c r="M462" s="27" t="s">
        <v>8</v>
      </c>
      <c r="N462" s="27" t="s">
        <v>7</v>
      </c>
      <c r="O462" s="27" t="s">
        <v>8</v>
      </c>
      <c r="P462" s="27" t="s">
        <v>7</v>
      </c>
      <c r="Q462" s="27" t="s">
        <v>8</v>
      </c>
      <c r="R462" s="27" t="s">
        <v>7</v>
      </c>
      <c r="S462" s="27" t="s">
        <v>8</v>
      </c>
      <c r="T462" s="27" t="s">
        <v>7</v>
      </c>
      <c r="U462" s="27" t="s">
        <v>8</v>
      </c>
      <c r="V462" s="27" t="s">
        <v>7</v>
      </c>
      <c r="EE462" s="27" t="s">
        <v>8</v>
      </c>
      <c r="EJ462" s="27" t="s">
        <v>7</v>
      </c>
      <c r="EK462" s="27" t="s">
        <v>8</v>
      </c>
      <c r="EL462" s="27" t="s">
        <v>7</v>
      </c>
      <c r="EQ462" s="27" t="s">
        <v>8</v>
      </c>
      <c r="ER462" s="27" t="s">
        <v>7</v>
      </c>
      <c r="ES462" s="27" t="s">
        <v>8</v>
      </c>
      <c r="ET462" s="27" t="s">
        <v>7</v>
      </c>
      <c r="EU462" s="27" t="s">
        <v>8</v>
      </c>
      <c r="EV462" s="27" t="s">
        <v>7</v>
      </c>
      <c r="EW462" s="27" t="s">
        <v>8</v>
      </c>
      <c r="EX462" s="27" t="s">
        <v>7</v>
      </c>
      <c r="EY462" s="27" t="s">
        <v>8</v>
      </c>
      <c r="EZ462" s="27" t="s">
        <v>7</v>
      </c>
      <c r="FA462" s="27" t="s">
        <v>8</v>
      </c>
    </row>
    <row r="463" spans="1:159" x14ac:dyDescent="0.25">
      <c r="A463" s="7">
        <v>11.652558675863176</v>
      </c>
      <c r="B463"/>
      <c r="C463"/>
      <c r="D463"/>
      <c r="E463"/>
      <c r="I463" s="27" t="s">
        <v>8</v>
      </c>
      <c r="J463" s="27" t="s">
        <v>7</v>
      </c>
      <c r="M463" s="27" t="s">
        <v>8</v>
      </c>
      <c r="N463" s="27" t="s">
        <v>7</v>
      </c>
      <c r="O463" s="27" t="s">
        <v>8</v>
      </c>
      <c r="P463" s="27" t="s">
        <v>7</v>
      </c>
      <c r="Q463" s="27" t="s">
        <v>8</v>
      </c>
      <c r="R463" s="27" t="s">
        <v>7</v>
      </c>
      <c r="S463" s="27" t="s">
        <v>8</v>
      </c>
      <c r="T463" s="27" t="s">
        <v>7</v>
      </c>
      <c r="U463" s="27" t="s">
        <v>8</v>
      </c>
      <c r="V463" s="27" t="s">
        <v>7</v>
      </c>
      <c r="EE463" s="27" t="s">
        <v>8</v>
      </c>
      <c r="EJ463" s="27" t="s">
        <v>7</v>
      </c>
      <c r="EK463" s="27" t="s">
        <v>8</v>
      </c>
      <c r="EL463" s="27" t="s">
        <v>7</v>
      </c>
      <c r="EO463" s="27" t="s">
        <v>8</v>
      </c>
      <c r="EQ463" s="27" t="s">
        <v>8</v>
      </c>
      <c r="ER463" s="27" t="s">
        <v>7</v>
      </c>
      <c r="ET463" s="27" t="s">
        <v>7</v>
      </c>
      <c r="EV463" s="27" t="s">
        <v>7</v>
      </c>
      <c r="EX463" s="27" t="s">
        <v>7</v>
      </c>
      <c r="EZ463" s="27" t="s">
        <v>7</v>
      </c>
      <c r="FA463" s="27" t="s">
        <v>8</v>
      </c>
    </row>
    <row r="464" spans="1:159" x14ac:dyDescent="0.25">
      <c r="A464" s="7">
        <v>11.424077133199193</v>
      </c>
      <c r="B464"/>
      <c r="C464"/>
      <c r="D464"/>
      <c r="E464"/>
      <c r="I464" s="27" t="s">
        <v>8</v>
      </c>
      <c r="J464" s="27" t="s">
        <v>7</v>
      </c>
      <c r="M464" s="27" t="s">
        <v>8</v>
      </c>
      <c r="N464" s="27" t="s">
        <v>7</v>
      </c>
      <c r="O464" s="27" t="s">
        <v>8</v>
      </c>
      <c r="P464" s="27" t="s">
        <v>7</v>
      </c>
      <c r="Q464" s="27" t="s">
        <v>8</v>
      </c>
      <c r="R464" s="27" t="s">
        <v>7</v>
      </c>
      <c r="S464" s="27" t="s">
        <v>8</v>
      </c>
      <c r="T464" s="27" t="s">
        <v>7</v>
      </c>
      <c r="V464" s="27" t="s">
        <v>7</v>
      </c>
      <c r="EE464" s="27" t="s">
        <v>8</v>
      </c>
      <c r="EJ464" s="27" t="s">
        <v>7</v>
      </c>
      <c r="EK464" s="27" t="s">
        <v>8</v>
      </c>
      <c r="EL464" s="27" t="s">
        <v>7</v>
      </c>
      <c r="EM464" s="27" t="s">
        <v>8</v>
      </c>
      <c r="EO464" s="27" t="s">
        <v>8</v>
      </c>
      <c r="EP464" s="27" t="s">
        <v>7</v>
      </c>
      <c r="EQ464" s="27" t="s">
        <v>8</v>
      </c>
      <c r="EZ464" s="27" t="s">
        <v>7</v>
      </c>
      <c r="FA464" s="27" t="s">
        <v>8</v>
      </c>
    </row>
    <row r="465" spans="1:157" x14ac:dyDescent="0.25">
      <c r="A465" s="7">
        <v>11.200075620783522</v>
      </c>
      <c r="B465"/>
      <c r="C465"/>
      <c r="D465"/>
      <c r="E465"/>
      <c r="I465" s="27" t="s">
        <v>8</v>
      </c>
      <c r="J465" s="27" t="s">
        <v>7</v>
      </c>
      <c r="M465" s="27" t="s">
        <v>8</v>
      </c>
      <c r="N465" s="27" t="s">
        <v>7</v>
      </c>
      <c r="O465" s="27" t="s">
        <v>8</v>
      </c>
      <c r="P465" s="27" t="s">
        <v>7</v>
      </c>
      <c r="R465" s="27" t="s">
        <v>7</v>
      </c>
      <c r="V465" s="27" t="s">
        <v>7</v>
      </c>
      <c r="EE465" s="27" t="s">
        <v>8</v>
      </c>
      <c r="EJ465" s="27" t="s">
        <v>7</v>
      </c>
      <c r="EK465" s="27" t="s">
        <v>8</v>
      </c>
      <c r="EL465" s="27" t="s">
        <v>7</v>
      </c>
      <c r="EM465" s="27" t="s">
        <v>8</v>
      </c>
      <c r="EN465" s="27" t="s">
        <v>7</v>
      </c>
      <c r="EO465" s="27" t="s">
        <v>8</v>
      </c>
      <c r="EP465" s="27" t="s">
        <v>7</v>
      </c>
      <c r="EQ465" s="27" t="s">
        <v>8</v>
      </c>
      <c r="EZ465" s="27" t="s">
        <v>7</v>
      </c>
      <c r="FA465" s="27" t="s">
        <v>8</v>
      </c>
    </row>
    <row r="466" spans="1:157" x14ac:dyDescent="0.25">
      <c r="A466" s="7">
        <v>10.980466294885806</v>
      </c>
      <c r="B466"/>
      <c r="C466"/>
      <c r="D466"/>
      <c r="E466"/>
      <c r="I466" s="27" t="s">
        <v>8</v>
      </c>
      <c r="J466" s="27" t="s">
        <v>7</v>
      </c>
      <c r="M466" s="27" t="s">
        <v>8</v>
      </c>
      <c r="N466" s="27" t="s">
        <v>7</v>
      </c>
      <c r="O466" s="27" t="s">
        <v>8</v>
      </c>
      <c r="V466" s="27" t="s">
        <v>7</v>
      </c>
      <c r="EE466" s="27" t="s">
        <v>8</v>
      </c>
      <c r="EJ466" s="27" t="s">
        <v>7</v>
      </c>
      <c r="EK466" s="27" t="s">
        <v>8</v>
      </c>
      <c r="EL466" s="27" t="s">
        <v>7</v>
      </c>
      <c r="EM466" s="27" t="s">
        <v>8</v>
      </c>
      <c r="EN466" s="27" t="s">
        <v>7</v>
      </c>
      <c r="EO466" s="27" t="s">
        <v>8</v>
      </c>
      <c r="EP466" s="27" t="s">
        <v>7</v>
      </c>
      <c r="EQ466" s="27" t="s">
        <v>8</v>
      </c>
      <c r="EZ466" s="27" t="s">
        <v>7</v>
      </c>
      <c r="FA466" s="27" t="s">
        <v>8</v>
      </c>
    </row>
    <row r="467" spans="1:157" x14ac:dyDescent="0.25">
      <c r="A467" s="7">
        <v>10.765163034201771</v>
      </c>
      <c r="B467"/>
      <c r="C467"/>
      <c r="D467"/>
      <c r="E467"/>
      <c r="I467" s="27" t="s">
        <v>8</v>
      </c>
      <c r="J467" s="27" t="s">
        <v>7</v>
      </c>
      <c r="M467" s="27" t="s">
        <v>8</v>
      </c>
      <c r="N467" s="27" t="s">
        <v>7</v>
      </c>
      <c r="V467" s="27" t="s">
        <v>7</v>
      </c>
      <c r="EE467" s="27" t="s">
        <v>8</v>
      </c>
      <c r="EJ467" s="27" t="s">
        <v>7</v>
      </c>
      <c r="EK467" s="27" t="s">
        <v>8</v>
      </c>
      <c r="EL467" s="27" t="s">
        <v>7</v>
      </c>
      <c r="EM467" s="27" t="s">
        <v>8</v>
      </c>
      <c r="EN467" s="27" t="s">
        <v>7</v>
      </c>
      <c r="EO467" s="27" t="s">
        <v>8</v>
      </c>
      <c r="EP467" s="27" t="s">
        <v>7</v>
      </c>
      <c r="EQ467" s="27" t="s">
        <v>8</v>
      </c>
      <c r="EZ467" s="27" t="s">
        <v>7</v>
      </c>
    </row>
    <row r="468" spans="1:157" x14ac:dyDescent="0.25">
      <c r="A468" s="7">
        <v>10.554081406080169</v>
      </c>
      <c r="B468"/>
      <c r="C468"/>
      <c r="D468"/>
      <c r="E468"/>
      <c r="I468" s="27" t="s">
        <v>8</v>
      </c>
      <c r="J468" s="27" t="s">
        <v>7</v>
      </c>
      <c r="M468" s="27" t="s">
        <v>8</v>
      </c>
      <c r="V468" s="27" t="s">
        <v>7</v>
      </c>
      <c r="EE468" s="27" t="s">
        <v>8</v>
      </c>
      <c r="EJ468" s="27" t="s">
        <v>7</v>
      </c>
      <c r="EK468" s="27" t="s">
        <v>8</v>
      </c>
      <c r="EL468" s="27" t="s">
        <v>7</v>
      </c>
      <c r="EM468" s="27" t="s">
        <v>8</v>
      </c>
      <c r="EN468" s="27" t="s">
        <v>7</v>
      </c>
      <c r="EO468" s="27" t="s">
        <v>8</v>
      </c>
      <c r="EP468" s="27" t="s">
        <v>7</v>
      </c>
      <c r="EQ468" s="27" t="s">
        <v>8</v>
      </c>
    </row>
    <row r="469" spans="1:157" x14ac:dyDescent="0.25">
      <c r="A469" s="7">
        <v>10.34713863341193</v>
      </c>
      <c r="B469"/>
      <c r="C469"/>
      <c r="D469"/>
      <c r="E469"/>
      <c r="I469" s="27" t="s">
        <v>8</v>
      </c>
      <c r="J469" s="27" t="s">
        <v>7</v>
      </c>
      <c r="M469" s="27" t="s">
        <v>8</v>
      </c>
      <c r="V469" s="27" t="s">
        <v>7</v>
      </c>
      <c r="EE469" s="27" t="s">
        <v>8</v>
      </c>
      <c r="EJ469" s="27" t="s">
        <v>7</v>
      </c>
      <c r="EK469" s="27" t="s">
        <v>8</v>
      </c>
      <c r="EL469" s="27" t="s">
        <v>7</v>
      </c>
      <c r="EM469" s="27" t="s">
        <v>8</v>
      </c>
      <c r="EN469" s="27" t="s">
        <v>7</v>
      </c>
      <c r="EO469" s="27" t="s">
        <v>8</v>
      </c>
      <c r="EP469" s="27" t="s">
        <v>7</v>
      </c>
    </row>
    <row r="470" spans="1:157" x14ac:dyDescent="0.25">
      <c r="A470" s="7">
        <v>10.14425356216856</v>
      </c>
      <c r="B470"/>
      <c r="C470"/>
      <c r="D470"/>
      <c r="E470"/>
      <c r="I470" s="27" t="s">
        <v>8</v>
      </c>
      <c r="J470" s="27" t="s">
        <v>7</v>
      </c>
      <c r="M470" s="27" t="s">
        <v>8</v>
      </c>
      <c r="V470" s="27" t="s">
        <v>7</v>
      </c>
      <c r="EE470" s="27" t="s">
        <v>8</v>
      </c>
      <c r="EJ470" s="27" t="s">
        <v>7</v>
      </c>
      <c r="EK470" s="27" t="s">
        <v>8</v>
      </c>
      <c r="EL470" s="27" t="s">
        <v>7</v>
      </c>
      <c r="EN470" s="27" t="s">
        <v>7</v>
      </c>
      <c r="EO470" s="27" t="s">
        <v>8</v>
      </c>
    </row>
    <row r="471" spans="1:157" x14ac:dyDescent="0.25">
      <c r="A471" s="7">
        <v>9.9453466295770188</v>
      </c>
      <c r="B471"/>
      <c r="C471"/>
      <c r="D471"/>
      <c r="E471"/>
      <c r="I471" s="27" t="s">
        <v>8</v>
      </c>
      <c r="J471" s="27" t="s">
        <v>7</v>
      </c>
      <c r="M471" s="27" t="s">
        <v>8</v>
      </c>
      <c r="V471" s="27" t="s">
        <v>7</v>
      </c>
      <c r="W471" s="27" t="s">
        <v>8</v>
      </c>
      <c r="Y471" s="27" t="s">
        <v>8</v>
      </c>
      <c r="DO471" s="27" t="s">
        <v>8</v>
      </c>
      <c r="EE471" s="27" t="s">
        <v>8</v>
      </c>
      <c r="EJ471" s="27" t="s">
        <v>7</v>
      </c>
      <c r="EK471" s="27" t="s">
        <v>8</v>
      </c>
      <c r="EN471" s="27" t="s">
        <v>7</v>
      </c>
      <c r="EO471" s="27" t="s">
        <v>8</v>
      </c>
    </row>
    <row r="472" spans="1:157" x14ac:dyDescent="0.25">
      <c r="A472" s="7">
        <v>9.7503398329186464</v>
      </c>
      <c r="B472"/>
      <c r="C472"/>
      <c r="D472"/>
      <c r="E472"/>
      <c r="I472" s="27" t="s">
        <v>8</v>
      </c>
      <c r="J472" s="27" t="s">
        <v>7</v>
      </c>
      <c r="M472" s="27" t="s">
        <v>8</v>
      </c>
      <c r="V472" s="27" t="s">
        <v>7</v>
      </c>
      <c r="W472" s="27" t="s">
        <v>8</v>
      </c>
      <c r="X472" s="27" t="s">
        <v>7</v>
      </c>
      <c r="Y472" s="27" t="s">
        <v>8</v>
      </c>
      <c r="Z472" s="27" t="s">
        <v>7</v>
      </c>
      <c r="DO472" s="27" t="s">
        <v>8</v>
      </c>
      <c r="DP472" s="27" t="s">
        <v>7</v>
      </c>
      <c r="EE472" s="27" t="s">
        <v>8</v>
      </c>
      <c r="EJ472" s="27" t="s">
        <v>7</v>
      </c>
      <c r="EK472" s="27" t="s">
        <v>8</v>
      </c>
      <c r="EN472" s="27" t="s">
        <v>7</v>
      </c>
    </row>
    <row r="473" spans="1:157" x14ac:dyDescent="0.25">
      <c r="A473" s="7">
        <v>9.5591566989398498</v>
      </c>
      <c r="B473"/>
      <c r="C473"/>
      <c r="D473"/>
      <c r="E473"/>
      <c r="I473" s="27" t="s">
        <v>8</v>
      </c>
      <c r="J473" s="27" t="s">
        <v>7</v>
      </c>
      <c r="M473" s="27" t="s">
        <v>8</v>
      </c>
      <c r="V473" s="27" t="s">
        <v>7</v>
      </c>
      <c r="W473" s="27" t="s">
        <v>8</v>
      </c>
      <c r="X473" s="27" t="s">
        <v>7</v>
      </c>
      <c r="Y473" s="27" t="s">
        <v>8</v>
      </c>
      <c r="Z473" s="27" t="s">
        <v>7</v>
      </c>
      <c r="DO473" s="27" t="s">
        <v>8</v>
      </c>
      <c r="DP473" s="27" t="s">
        <v>7</v>
      </c>
      <c r="EE473" s="27" t="s">
        <v>8</v>
      </c>
      <c r="EJ473" s="27" t="s">
        <v>7</v>
      </c>
      <c r="EK473" s="27" t="s">
        <v>8</v>
      </c>
    </row>
    <row r="474" spans="1:157" x14ac:dyDescent="0.25">
      <c r="A474" s="7">
        <v>9.3717222538625968</v>
      </c>
      <c r="B474"/>
      <c r="C474"/>
      <c r="D474"/>
      <c r="E474"/>
      <c r="I474" s="27" t="s">
        <v>8</v>
      </c>
      <c r="J474" s="27" t="s">
        <v>7</v>
      </c>
      <c r="K474" s="27" t="s">
        <v>8</v>
      </c>
      <c r="M474" s="27" t="s">
        <v>8</v>
      </c>
      <c r="V474" s="27" t="s">
        <v>7</v>
      </c>
      <c r="W474" s="27" t="s">
        <v>8</v>
      </c>
      <c r="X474" s="27" t="s">
        <v>7</v>
      </c>
      <c r="Y474" s="27" t="s">
        <v>8</v>
      </c>
      <c r="Z474" s="27" t="s">
        <v>7</v>
      </c>
      <c r="DO474" s="27" t="s">
        <v>8</v>
      </c>
      <c r="DP474" s="27" t="s">
        <v>7</v>
      </c>
      <c r="EE474" s="27" t="s">
        <v>8</v>
      </c>
      <c r="EJ474" s="27" t="s">
        <v>7</v>
      </c>
      <c r="EK474" s="27" t="s">
        <v>8</v>
      </c>
    </row>
    <row r="475" spans="1:157" x14ac:dyDescent="0.25">
      <c r="A475" s="7">
        <v>9.1879629939829375</v>
      </c>
      <c r="B475"/>
      <c r="C475"/>
      <c r="D475"/>
      <c r="E475"/>
      <c r="I475" s="27" t="s">
        <v>8</v>
      </c>
      <c r="J475" s="27" t="s">
        <v>7</v>
      </c>
      <c r="K475" s="27" t="s">
        <v>8</v>
      </c>
      <c r="L475" s="27" t="s">
        <v>7</v>
      </c>
      <c r="M475" s="27" t="s">
        <v>8</v>
      </c>
      <c r="V475" s="27" t="s">
        <v>7</v>
      </c>
      <c r="W475" s="27" t="s">
        <v>8</v>
      </c>
      <c r="X475" s="27" t="s">
        <v>7</v>
      </c>
      <c r="Y475" s="27" t="s">
        <v>8</v>
      </c>
      <c r="Z475" s="27" t="s">
        <v>7</v>
      </c>
      <c r="DO475" s="27" t="s">
        <v>8</v>
      </c>
      <c r="DP475" s="27" t="s">
        <v>7</v>
      </c>
      <c r="EE475" s="27" t="s">
        <v>8</v>
      </c>
      <c r="EJ475" s="27" t="s">
        <v>7</v>
      </c>
    </row>
    <row r="476" spans="1:157" x14ac:dyDescent="0.25">
      <c r="A476" s="7">
        <v>9.0078068568460168</v>
      </c>
      <c r="B476"/>
      <c r="C476"/>
      <c r="D476"/>
      <c r="E476"/>
      <c r="I476" s="27" t="s">
        <v>8</v>
      </c>
      <c r="J476" s="27" t="s">
        <v>7</v>
      </c>
      <c r="K476" s="27" t="s">
        <v>8</v>
      </c>
      <c r="L476" s="27" t="s">
        <v>7</v>
      </c>
      <c r="M476" s="27" t="s">
        <v>8</v>
      </c>
      <c r="V476" s="27" t="s">
        <v>7</v>
      </c>
      <c r="W476" s="27" t="s">
        <v>8</v>
      </c>
      <c r="X476" s="27" t="s">
        <v>7</v>
      </c>
      <c r="Y476" s="27" t="s">
        <v>8</v>
      </c>
      <c r="Z476" s="27" t="s">
        <v>7</v>
      </c>
      <c r="DO476" s="27" t="s">
        <v>8</v>
      </c>
      <c r="DP476" s="27" t="s">
        <v>7</v>
      </c>
      <c r="EC476" s="27" t="s">
        <v>8</v>
      </c>
      <c r="EE476" s="27" t="s">
        <v>8</v>
      </c>
    </row>
    <row r="477" spans="1:157" x14ac:dyDescent="0.25">
      <c r="A477" s="7">
        <v>8.8311831929862912</v>
      </c>
      <c r="B477"/>
      <c r="C477"/>
      <c r="D477"/>
      <c r="E477"/>
      <c r="I477" s="27" t="s">
        <v>8</v>
      </c>
      <c r="J477" s="27" t="s">
        <v>7</v>
      </c>
      <c r="K477" s="27" t="s">
        <v>8</v>
      </c>
      <c r="L477" s="27" t="s">
        <v>7</v>
      </c>
      <c r="M477" s="27" t="s">
        <v>8</v>
      </c>
      <c r="V477" s="27" t="s">
        <v>7</v>
      </c>
      <c r="X477" s="27" t="s">
        <v>7</v>
      </c>
      <c r="Y477" s="27" t="s">
        <v>8</v>
      </c>
      <c r="Z477" s="27" t="s">
        <v>7</v>
      </c>
      <c r="DO477" s="27" t="s">
        <v>8</v>
      </c>
      <c r="DP477" s="27" t="s">
        <v>7</v>
      </c>
      <c r="EC477" s="27" t="s">
        <v>8</v>
      </c>
      <c r="ED477" s="27" t="s">
        <v>7</v>
      </c>
      <c r="EE477" s="27" t="s">
        <v>8</v>
      </c>
    </row>
    <row r="478" spans="1:157" x14ac:dyDescent="0.25">
      <c r="A478" s="7">
        <v>8.6580227382218542</v>
      </c>
      <c r="B478"/>
      <c r="C478"/>
      <c r="D478"/>
      <c r="E478"/>
      <c r="I478" s="27" t="s">
        <v>8</v>
      </c>
      <c r="J478" s="27" t="s">
        <v>7</v>
      </c>
      <c r="K478" s="27" t="s">
        <v>8</v>
      </c>
      <c r="L478" s="27" t="s">
        <v>7</v>
      </c>
      <c r="M478" s="27" t="s">
        <v>8</v>
      </c>
      <c r="X478" s="27" t="s">
        <v>7</v>
      </c>
      <c r="Y478" s="27" t="s">
        <v>8</v>
      </c>
      <c r="Z478" s="27" t="s">
        <v>7</v>
      </c>
      <c r="AC478" s="27" t="s">
        <v>8</v>
      </c>
      <c r="DO478" s="27" t="s">
        <v>8</v>
      </c>
      <c r="DP478" s="27" t="s">
        <v>7</v>
      </c>
      <c r="EC478" s="27" t="s">
        <v>8</v>
      </c>
      <c r="ED478" s="27" t="s">
        <v>7</v>
      </c>
      <c r="EE478" s="27" t="s">
        <v>8</v>
      </c>
    </row>
    <row r="479" spans="1:157" x14ac:dyDescent="0.25">
      <c r="A479" s="7">
        <v>8.4882575864920131</v>
      </c>
      <c r="B479"/>
      <c r="C479"/>
      <c r="D479"/>
      <c r="E479"/>
      <c r="I479" s="27" t="s">
        <v>8</v>
      </c>
      <c r="J479" s="27" t="s">
        <v>7</v>
      </c>
      <c r="K479" s="27" t="s">
        <v>8</v>
      </c>
      <c r="L479" s="27" t="s">
        <v>7</v>
      </c>
      <c r="M479" s="27" t="s">
        <v>8</v>
      </c>
      <c r="X479" s="27" t="s">
        <v>7</v>
      </c>
      <c r="Z479" s="27" t="s">
        <v>7</v>
      </c>
      <c r="AC479" s="27" t="s">
        <v>8</v>
      </c>
      <c r="AD479" s="27" t="s">
        <v>7</v>
      </c>
      <c r="DO479" s="27" t="s">
        <v>8</v>
      </c>
      <c r="DP479" s="27" t="s">
        <v>7</v>
      </c>
      <c r="DW479" s="27" t="s">
        <v>8</v>
      </c>
      <c r="EA479" s="27" t="s">
        <v>8</v>
      </c>
      <c r="EC479" s="27" t="s">
        <v>8</v>
      </c>
      <c r="ED479" s="27" t="s">
        <v>7</v>
      </c>
      <c r="EE479" s="27" t="s">
        <v>8</v>
      </c>
    </row>
    <row r="480" spans="1:157" x14ac:dyDescent="0.25">
      <c r="A480" s="7">
        <v>8.3218211632274635</v>
      </c>
      <c r="B480"/>
      <c r="C480"/>
      <c r="D480"/>
      <c r="E480"/>
      <c r="I480" s="27" t="s">
        <v>8</v>
      </c>
      <c r="J480" s="27" t="s">
        <v>7</v>
      </c>
      <c r="K480" s="27" t="s">
        <v>8</v>
      </c>
      <c r="L480" s="27" t="s">
        <v>7</v>
      </c>
      <c r="M480" s="27" t="s">
        <v>8</v>
      </c>
      <c r="Z480" s="27" t="s">
        <v>7</v>
      </c>
      <c r="AC480" s="27" t="s">
        <v>8</v>
      </c>
      <c r="AD480" s="27" t="s">
        <v>7</v>
      </c>
      <c r="AE480" s="27" t="s">
        <v>8</v>
      </c>
      <c r="DO480" s="27" t="s">
        <v>8</v>
      </c>
      <c r="DP480" s="27" t="s">
        <v>7</v>
      </c>
      <c r="DW480" s="27" t="s">
        <v>8</v>
      </c>
      <c r="DX480" s="27" t="s">
        <v>7</v>
      </c>
      <c r="EA480" s="27" t="s">
        <v>8</v>
      </c>
      <c r="EB480" s="27" t="s">
        <v>7</v>
      </c>
      <c r="EC480" s="27" t="s">
        <v>8</v>
      </c>
      <c r="ED480" s="27" t="s">
        <v>7</v>
      </c>
      <c r="EE480" s="27" t="s">
        <v>8</v>
      </c>
    </row>
    <row r="481" spans="1:135" x14ac:dyDescent="0.25">
      <c r="A481" s="7">
        <v>8.1586481992426112</v>
      </c>
      <c r="B481"/>
      <c r="C481"/>
      <c r="D481"/>
      <c r="E481"/>
      <c r="I481" s="27" t="s">
        <v>8</v>
      </c>
      <c r="J481" s="27" t="s">
        <v>7</v>
      </c>
      <c r="K481" s="27" t="s">
        <v>8</v>
      </c>
      <c r="L481" s="27" t="s">
        <v>7</v>
      </c>
      <c r="M481" s="27" t="s">
        <v>8</v>
      </c>
      <c r="Z481" s="27" t="s">
        <v>7</v>
      </c>
      <c r="AC481" s="27" t="s">
        <v>8</v>
      </c>
      <c r="AD481" s="27" t="s">
        <v>7</v>
      </c>
      <c r="AE481" s="27" t="s">
        <v>8</v>
      </c>
      <c r="AF481" s="27" t="s">
        <v>7</v>
      </c>
      <c r="BW481" s="27" t="s">
        <v>8</v>
      </c>
      <c r="DO481" s="27" t="s">
        <v>8</v>
      </c>
      <c r="DP481" s="27" t="s">
        <v>7</v>
      </c>
      <c r="DU481" s="27" t="s">
        <v>8</v>
      </c>
      <c r="DW481" s="27" t="s">
        <v>8</v>
      </c>
      <c r="DX481" s="27" t="s">
        <v>7</v>
      </c>
      <c r="EA481" s="27" t="s">
        <v>8</v>
      </c>
      <c r="EB481" s="27" t="s">
        <v>7</v>
      </c>
      <c r="EC481" s="27" t="s">
        <v>8</v>
      </c>
      <c r="ED481" s="27" t="s">
        <v>7</v>
      </c>
      <c r="EE481" s="27" t="s">
        <v>8</v>
      </c>
    </row>
    <row r="482" spans="1:135" x14ac:dyDescent="0.25">
      <c r="A482" s="7">
        <v>7.9986747051398144</v>
      </c>
      <c r="B482"/>
      <c r="C482"/>
      <c r="D482"/>
      <c r="E482"/>
      <c r="I482" s="27" t="s">
        <v>8</v>
      </c>
      <c r="J482" s="27" t="s">
        <v>7</v>
      </c>
      <c r="K482" s="27" t="s">
        <v>8</v>
      </c>
      <c r="L482" s="27" t="s">
        <v>7</v>
      </c>
      <c r="M482" s="27" t="s">
        <v>8</v>
      </c>
      <c r="Z482" s="27" t="s">
        <v>7</v>
      </c>
      <c r="AA482" s="27" t="s">
        <v>8</v>
      </c>
      <c r="AC482" s="27" t="s">
        <v>8</v>
      </c>
      <c r="AD482" s="27" t="s">
        <v>7</v>
      </c>
      <c r="AE482" s="27" t="s">
        <v>8</v>
      </c>
      <c r="AF482" s="27" t="s">
        <v>7</v>
      </c>
      <c r="BW482" s="27" t="s">
        <v>8</v>
      </c>
      <c r="BX482" s="27" t="s">
        <v>7</v>
      </c>
      <c r="DO482" s="27" t="s">
        <v>8</v>
      </c>
      <c r="DP482" s="27" t="s">
        <v>7</v>
      </c>
      <c r="DS482" s="27" t="s">
        <v>8</v>
      </c>
      <c r="DU482" s="27" t="s">
        <v>8</v>
      </c>
      <c r="DV482" s="27" t="s">
        <v>7</v>
      </c>
      <c r="DW482" s="27" t="s">
        <v>8</v>
      </c>
      <c r="DX482" s="27" t="s">
        <v>7</v>
      </c>
      <c r="EA482" s="27" t="s">
        <v>8</v>
      </c>
      <c r="EB482" s="27" t="s">
        <v>7</v>
      </c>
      <c r="EC482" s="27" t="s">
        <v>8</v>
      </c>
      <c r="ED482" s="27" t="s">
        <v>7</v>
      </c>
      <c r="EE482" s="27" t="s">
        <v>8</v>
      </c>
    </row>
    <row r="483" spans="1:135" x14ac:dyDescent="0.25">
      <c r="A483" s="7">
        <v>7.8418379462155041</v>
      </c>
      <c r="B483"/>
      <c r="C483"/>
      <c r="D483"/>
      <c r="E483"/>
      <c r="I483" s="27" t="s">
        <v>8</v>
      </c>
      <c r="J483" s="27" t="s">
        <v>7</v>
      </c>
      <c r="L483" s="27" t="s">
        <v>7</v>
      </c>
      <c r="Z483" s="27" t="s">
        <v>7</v>
      </c>
      <c r="AA483" s="27" t="s">
        <v>8</v>
      </c>
      <c r="AB483" s="27" t="s">
        <v>7</v>
      </c>
      <c r="AC483" s="27" t="s">
        <v>8</v>
      </c>
      <c r="AD483" s="27" t="s">
        <v>7</v>
      </c>
      <c r="AE483" s="27" t="s">
        <v>8</v>
      </c>
      <c r="AF483" s="27" t="s">
        <v>7</v>
      </c>
      <c r="BW483" s="27" t="s">
        <v>8</v>
      </c>
      <c r="BX483" s="27" t="s">
        <v>7</v>
      </c>
      <c r="CW483" s="27" t="s">
        <v>8</v>
      </c>
      <c r="DO483" s="27" t="s">
        <v>8</v>
      </c>
      <c r="DP483" s="27" t="s">
        <v>7</v>
      </c>
      <c r="DS483" s="27" t="s">
        <v>8</v>
      </c>
      <c r="DT483" s="27" t="s">
        <v>7</v>
      </c>
      <c r="DU483" s="27" t="s">
        <v>8</v>
      </c>
      <c r="DV483" s="27" t="s">
        <v>7</v>
      </c>
      <c r="DW483" s="27" t="s">
        <v>8</v>
      </c>
      <c r="DX483" s="27" t="s">
        <v>7</v>
      </c>
      <c r="DY483" s="27" t="s">
        <v>8</v>
      </c>
      <c r="EA483" s="27" t="s">
        <v>8</v>
      </c>
      <c r="EB483" s="27" t="s">
        <v>7</v>
      </c>
      <c r="EC483" s="27" t="s">
        <v>8</v>
      </c>
      <c r="ED483" s="27" t="s">
        <v>7</v>
      </c>
    </row>
    <row r="484" spans="1:135" x14ac:dyDescent="0.25">
      <c r="A484" s="7">
        <v>7.688076417858337</v>
      </c>
      <c r="B484"/>
      <c r="C484"/>
      <c r="D484"/>
      <c r="E484"/>
      <c r="I484" s="27" t="s">
        <v>8</v>
      </c>
      <c r="Z484" s="27" t="s">
        <v>7</v>
      </c>
      <c r="AA484" s="27" t="s">
        <v>8</v>
      </c>
      <c r="AB484" s="27" t="s">
        <v>7</v>
      </c>
      <c r="AC484" s="27" t="s">
        <v>8</v>
      </c>
      <c r="AD484" s="27" t="s">
        <v>7</v>
      </c>
      <c r="AF484" s="27" t="s">
        <v>7</v>
      </c>
      <c r="BW484" s="27" t="s">
        <v>8</v>
      </c>
      <c r="BX484" s="27" t="s">
        <v>7</v>
      </c>
      <c r="CA484" s="27" t="s">
        <v>8</v>
      </c>
      <c r="CW484" s="27" t="s">
        <v>8</v>
      </c>
      <c r="CX484" s="27" t="s">
        <v>7</v>
      </c>
      <c r="DM484" s="27" t="s">
        <v>8</v>
      </c>
      <c r="DO484" s="27" t="s">
        <v>8</v>
      </c>
      <c r="DP484" s="27" t="s">
        <v>7</v>
      </c>
      <c r="DS484" s="27" t="s">
        <v>8</v>
      </c>
      <c r="DT484" s="27" t="s">
        <v>7</v>
      </c>
      <c r="DU484" s="27" t="s">
        <v>8</v>
      </c>
      <c r="DV484" s="27" t="s">
        <v>7</v>
      </c>
      <c r="DW484" s="27" t="s">
        <v>8</v>
      </c>
      <c r="DX484" s="27" t="s">
        <v>7</v>
      </c>
      <c r="DY484" s="27" t="s">
        <v>8</v>
      </c>
      <c r="DZ484" s="27" t="s">
        <v>7</v>
      </c>
      <c r="EA484" s="27" t="s">
        <v>8</v>
      </c>
      <c r="EB484" s="27" t="s">
        <v>7</v>
      </c>
      <c r="EC484" s="27" t="s">
        <v>8</v>
      </c>
    </row>
    <row r="485" spans="1:135" x14ac:dyDescent="0.25">
      <c r="A485" s="7">
        <v>7.5373298214297417</v>
      </c>
      <c r="B485"/>
      <c r="C485"/>
      <c r="D485"/>
      <c r="E485"/>
      <c r="I485" s="27" t="s">
        <v>8</v>
      </c>
      <c r="Z485" s="27" t="s">
        <v>7</v>
      </c>
      <c r="AA485" s="27" t="s">
        <v>8</v>
      </c>
      <c r="AB485" s="27" t="s">
        <v>7</v>
      </c>
      <c r="AC485" s="27" t="s">
        <v>8</v>
      </c>
      <c r="AF485" s="27" t="s">
        <v>7</v>
      </c>
      <c r="BA485" s="27" t="s">
        <v>8</v>
      </c>
      <c r="BK485" s="27" t="s">
        <v>8</v>
      </c>
      <c r="BU485" s="27" t="s">
        <v>8</v>
      </c>
      <c r="BW485" s="27" t="s">
        <v>8</v>
      </c>
      <c r="BX485" s="27" t="s">
        <v>7</v>
      </c>
      <c r="CA485" s="27" t="s">
        <v>8</v>
      </c>
      <c r="CB485" s="27" t="s">
        <v>7</v>
      </c>
      <c r="CW485" s="27" t="s">
        <v>8</v>
      </c>
      <c r="CX485" s="27" t="s">
        <v>7</v>
      </c>
      <c r="DK485" s="27" t="s">
        <v>8</v>
      </c>
      <c r="DM485" s="27" t="s">
        <v>8</v>
      </c>
      <c r="DN485" s="27" t="s">
        <v>7</v>
      </c>
      <c r="DO485" s="27" t="s">
        <v>8</v>
      </c>
      <c r="DP485" s="27" t="s">
        <v>7</v>
      </c>
      <c r="DQ485" s="27" t="s">
        <v>8</v>
      </c>
      <c r="DS485" s="27" t="s">
        <v>8</v>
      </c>
      <c r="DT485" s="27" t="s">
        <v>7</v>
      </c>
      <c r="DU485" s="27" t="s">
        <v>8</v>
      </c>
      <c r="DV485" s="27" t="s">
        <v>7</v>
      </c>
      <c r="DW485" s="27" t="s">
        <v>8</v>
      </c>
      <c r="DX485" s="27" t="s">
        <v>7</v>
      </c>
      <c r="DY485" s="27" t="s">
        <v>8</v>
      </c>
      <c r="DZ485" s="27" t="s">
        <v>7</v>
      </c>
      <c r="EA485" s="27" t="s">
        <v>8</v>
      </c>
      <c r="EB485" s="27" t="s">
        <v>7</v>
      </c>
      <c r="EC485" s="27" t="s">
        <v>8</v>
      </c>
    </row>
    <row r="486" spans="1:135" x14ac:dyDescent="0.25">
      <c r="A486" s="7">
        <v>7.389539040617394</v>
      </c>
      <c r="B486"/>
      <c r="C486"/>
      <c r="D486"/>
      <c r="E486"/>
      <c r="I486" s="27" t="s">
        <v>8</v>
      </c>
      <c r="Z486" s="27" t="s">
        <v>7</v>
      </c>
      <c r="AB486" s="27" t="s">
        <v>7</v>
      </c>
      <c r="AC486" s="27" t="s">
        <v>8</v>
      </c>
      <c r="AF486" s="27" t="s">
        <v>7</v>
      </c>
      <c r="BA486" s="27" t="s">
        <v>8</v>
      </c>
      <c r="BB486" s="27" t="s">
        <v>7</v>
      </c>
      <c r="BC486" s="27" t="s">
        <v>8</v>
      </c>
      <c r="BK486" s="27" t="s">
        <v>8</v>
      </c>
      <c r="BL486" s="27" t="s">
        <v>7</v>
      </c>
      <c r="BU486" s="27" t="s">
        <v>8</v>
      </c>
      <c r="BV486" s="27" t="s">
        <v>7</v>
      </c>
      <c r="BW486" s="27" t="s">
        <v>8</v>
      </c>
      <c r="BX486" s="27" t="s">
        <v>7</v>
      </c>
      <c r="CA486" s="27" t="s">
        <v>8</v>
      </c>
      <c r="CB486" s="27" t="s">
        <v>7</v>
      </c>
      <c r="CW486" s="27" t="s">
        <v>8</v>
      </c>
      <c r="CX486" s="27" t="s">
        <v>7</v>
      </c>
      <c r="DK486" s="27" t="s">
        <v>8</v>
      </c>
      <c r="DL486" s="27" t="s">
        <v>7</v>
      </c>
      <c r="DM486" s="27" t="s">
        <v>8</v>
      </c>
      <c r="DN486" s="27" t="s">
        <v>7</v>
      </c>
      <c r="DO486" s="27" t="s">
        <v>8</v>
      </c>
      <c r="DP486" s="27" t="s">
        <v>7</v>
      </c>
      <c r="DQ486" s="27" t="s">
        <v>8</v>
      </c>
      <c r="DR486" s="27" t="s">
        <v>7</v>
      </c>
      <c r="DS486" s="27" t="s">
        <v>8</v>
      </c>
      <c r="DT486" s="27" t="s">
        <v>7</v>
      </c>
      <c r="DU486" s="27" t="s">
        <v>8</v>
      </c>
      <c r="DV486" s="27" t="s">
        <v>7</v>
      </c>
      <c r="DX486" s="27" t="s">
        <v>7</v>
      </c>
      <c r="DY486" s="27" t="s">
        <v>8</v>
      </c>
      <c r="DZ486" s="27" t="s">
        <v>7</v>
      </c>
      <c r="EA486" s="27" t="s">
        <v>8</v>
      </c>
      <c r="EB486" s="27" t="s">
        <v>7</v>
      </c>
      <c r="EC486" s="27" t="s">
        <v>8</v>
      </c>
    </row>
    <row r="487" spans="1:135" x14ac:dyDescent="0.25">
      <c r="A487" s="7">
        <v>7.2446461182523469</v>
      </c>
      <c r="B487"/>
      <c r="C487"/>
      <c r="D487"/>
      <c r="E487"/>
      <c r="I487" s="27" t="s">
        <v>8</v>
      </c>
      <c r="AB487" s="27" t="s">
        <v>7</v>
      </c>
      <c r="AF487" s="27" t="s">
        <v>7</v>
      </c>
      <c r="BA487" s="27" t="s">
        <v>8</v>
      </c>
      <c r="BB487" s="27" t="s">
        <v>7</v>
      </c>
      <c r="BC487" s="27" t="s">
        <v>8</v>
      </c>
      <c r="BD487" s="27" t="s">
        <v>7</v>
      </c>
      <c r="BE487" s="27" t="s">
        <v>8</v>
      </c>
      <c r="BK487" s="27" t="s">
        <v>8</v>
      </c>
      <c r="BL487" s="27" t="s">
        <v>7</v>
      </c>
      <c r="BM487" s="27" t="s">
        <v>8</v>
      </c>
      <c r="BU487" s="27" t="s">
        <v>8</v>
      </c>
      <c r="BV487" s="27" t="s">
        <v>7</v>
      </c>
      <c r="BW487" s="27" t="s">
        <v>8</v>
      </c>
      <c r="BX487" s="27" t="s">
        <v>7</v>
      </c>
      <c r="CA487" s="27" t="s">
        <v>8</v>
      </c>
      <c r="CB487" s="27" t="s">
        <v>7</v>
      </c>
      <c r="CW487" s="27" t="s">
        <v>8</v>
      </c>
      <c r="CX487" s="27" t="s">
        <v>7</v>
      </c>
      <c r="DK487" s="27" t="s">
        <v>8</v>
      </c>
      <c r="DL487" s="27" t="s">
        <v>7</v>
      </c>
      <c r="DM487" s="27" t="s">
        <v>8</v>
      </c>
      <c r="DN487" s="27" t="s">
        <v>7</v>
      </c>
      <c r="DO487" s="27" t="s">
        <v>8</v>
      </c>
      <c r="DP487" s="27" t="s">
        <v>7</v>
      </c>
      <c r="DQ487" s="27" t="s">
        <v>8</v>
      </c>
      <c r="DR487" s="27" t="s">
        <v>7</v>
      </c>
      <c r="DS487" s="27" t="s">
        <v>8</v>
      </c>
      <c r="DT487" s="27" t="s">
        <v>7</v>
      </c>
      <c r="DX487" s="27" t="s">
        <v>7</v>
      </c>
      <c r="DY487" s="27" t="s">
        <v>8</v>
      </c>
      <c r="DZ487" s="27" t="s">
        <v>7</v>
      </c>
      <c r="EA487" s="27" t="s">
        <v>8</v>
      </c>
      <c r="EB487" s="27" t="s">
        <v>7</v>
      </c>
    </row>
    <row r="488" spans="1:135" x14ac:dyDescent="0.25">
      <c r="A488" s="7">
        <v>7.1025942335807324</v>
      </c>
      <c r="B488"/>
      <c r="C488"/>
      <c r="D488"/>
      <c r="E488"/>
      <c r="I488" s="27" t="s">
        <v>8</v>
      </c>
      <c r="AF488" s="27" t="s">
        <v>7</v>
      </c>
      <c r="BA488" s="27" t="s">
        <v>8</v>
      </c>
      <c r="BB488" s="27" t="s">
        <v>7</v>
      </c>
      <c r="BC488" s="27" t="s">
        <v>8</v>
      </c>
      <c r="BD488" s="27" t="s">
        <v>7</v>
      </c>
      <c r="BE488" s="27" t="s">
        <v>8</v>
      </c>
      <c r="BF488" s="27" t="s">
        <v>7</v>
      </c>
      <c r="BK488" s="27" t="s">
        <v>8</v>
      </c>
      <c r="BL488" s="27" t="s">
        <v>7</v>
      </c>
      <c r="BM488" s="27" t="s">
        <v>8</v>
      </c>
      <c r="BN488" s="27" t="s">
        <v>7</v>
      </c>
      <c r="BU488" s="27" t="s">
        <v>8</v>
      </c>
      <c r="BV488" s="27" t="s">
        <v>7</v>
      </c>
      <c r="BX488" s="27" t="s">
        <v>7</v>
      </c>
      <c r="BY488" s="27" t="s">
        <v>8</v>
      </c>
      <c r="CA488" s="27" t="s">
        <v>8</v>
      </c>
      <c r="CB488" s="27" t="s">
        <v>7</v>
      </c>
      <c r="CW488" s="27" t="s">
        <v>8</v>
      </c>
      <c r="CX488" s="27" t="s">
        <v>7</v>
      </c>
      <c r="DK488" s="27" t="s">
        <v>8</v>
      </c>
      <c r="DL488" s="27" t="s">
        <v>7</v>
      </c>
      <c r="DM488" s="27" t="s">
        <v>8</v>
      </c>
      <c r="DN488" s="27" t="s">
        <v>7</v>
      </c>
      <c r="DO488" s="27" t="s">
        <v>8</v>
      </c>
      <c r="DP488" s="27" t="s">
        <v>7</v>
      </c>
      <c r="DQ488" s="27" t="s">
        <v>8</v>
      </c>
      <c r="DR488" s="27" t="s">
        <v>7</v>
      </c>
      <c r="DS488" s="27" t="s">
        <v>8</v>
      </c>
      <c r="DX488" s="27" t="s">
        <v>7</v>
      </c>
      <c r="DY488" s="27" t="s">
        <v>8</v>
      </c>
      <c r="DZ488" s="27" t="s">
        <v>7</v>
      </c>
      <c r="EA488" s="27" t="s">
        <v>8</v>
      </c>
    </row>
    <row r="489" spans="1:135" x14ac:dyDescent="0.25">
      <c r="A489" s="7">
        <v>6.9633276799811101</v>
      </c>
      <c r="B489"/>
      <c r="C489"/>
      <c r="D489"/>
      <c r="E489"/>
      <c r="I489" s="27" t="s">
        <v>8</v>
      </c>
      <c r="AF489" s="27" t="s">
        <v>7</v>
      </c>
      <c r="AG489" s="27" t="s">
        <v>8</v>
      </c>
      <c r="AY489" s="27" t="s">
        <v>8</v>
      </c>
      <c r="BA489" s="27" t="s">
        <v>8</v>
      </c>
      <c r="BB489" s="27" t="s">
        <v>7</v>
      </c>
      <c r="BC489" s="27" t="s">
        <v>8</v>
      </c>
      <c r="BD489" s="27" t="s">
        <v>7</v>
      </c>
      <c r="BE489" s="27" t="s">
        <v>8</v>
      </c>
      <c r="BF489" s="27" t="s">
        <v>7</v>
      </c>
      <c r="BK489" s="27" t="s">
        <v>8</v>
      </c>
      <c r="BL489" s="27" t="s">
        <v>7</v>
      </c>
      <c r="BM489" s="27" t="s">
        <v>8</v>
      </c>
      <c r="BN489" s="27" t="s">
        <v>7</v>
      </c>
      <c r="BU489" s="27" t="s">
        <v>8</v>
      </c>
      <c r="BX489" s="27" t="s">
        <v>7</v>
      </c>
      <c r="BY489" s="27" t="s">
        <v>8</v>
      </c>
      <c r="BZ489" s="27" t="s">
        <v>7</v>
      </c>
      <c r="CA489" s="27" t="s">
        <v>8</v>
      </c>
      <c r="CB489" s="27" t="s">
        <v>7</v>
      </c>
      <c r="CW489" s="27" t="s">
        <v>8</v>
      </c>
      <c r="CX489" s="27" t="s">
        <v>7</v>
      </c>
      <c r="CY489" s="27" t="s">
        <v>8</v>
      </c>
      <c r="DG489" s="27" t="s">
        <v>8</v>
      </c>
      <c r="DK489" s="27" t="s">
        <v>8</v>
      </c>
      <c r="DL489" s="27" t="s">
        <v>7</v>
      </c>
      <c r="DM489" s="27" t="s">
        <v>8</v>
      </c>
      <c r="DN489" s="27" t="s">
        <v>7</v>
      </c>
      <c r="DO489" s="27" t="s">
        <v>8</v>
      </c>
      <c r="DP489" s="27" t="s">
        <v>7</v>
      </c>
      <c r="DQ489" s="27" t="s">
        <v>8</v>
      </c>
      <c r="DR489" s="27" t="s">
        <v>7</v>
      </c>
      <c r="DX489" s="27" t="s">
        <v>7</v>
      </c>
      <c r="DY489" s="27" t="s">
        <v>8</v>
      </c>
      <c r="DZ489" s="27" t="s">
        <v>7</v>
      </c>
      <c r="EA489" s="27" t="s">
        <v>8</v>
      </c>
    </row>
    <row r="490" spans="1:135" x14ac:dyDescent="0.25">
      <c r="A490" s="7">
        <v>6.8267918431187349</v>
      </c>
      <c r="B490"/>
      <c r="C490"/>
      <c r="D490"/>
      <c r="E490"/>
      <c r="I490" s="27" t="s">
        <v>8</v>
      </c>
      <c r="AF490" s="27" t="s">
        <v>7</v>
      </c>
      <c r="AG490" s="27" t="s">
        <v>8</v>
      </c>
      <c r="AH490" s="27" t="s">
        <v>7</v>
      </c>
      <c r="AY490" s="27" t="s">
        <v>8</v>
      </c>
      <c r="AZ490" s="27" t="s">
        <v>7</v>
      </c>
      <c r="BA490" s="27" t="s">
        <v>8</v>
      </c>
      <c r="BB490" s="27" t="s">
        <v>7</v>
      </c>
      <c r="BC490" s="27" t="s">
        <v>8</v>
      </c>
      <c r="BD490" s="27" t="s">
        <v>7</v>
      </c>
      <c r="BF490" s="27" t="s">
        <v>7</v>
      </c>
      <c r="BI490" s="27" t="s">
        <v>8</v>
      </c>
      <c r="BK490" s="27" t="s">
        <v>8</v>
      </c>
      <c r="BL490" s="27" t="s">
        <v>7</v>
      </c>
      <c r="BM490" s="27" t="s">
        <v>8</v>
      </c>
      <c r="BN490" s="27" t="s">
        <v>7</v>
      </c>
      <c r="BU490" s="27" t="s">
        <v>8</v>
      </c>
      <c r="BX490" s="27" t="s">
        <v>7</v>
      </c>
      <c r="BY490" s="27" t="s">
        <v>8</v>
      </c>
      <c r="BZ490" s="27" t="s">
        <v>7</v>
      </c>
      <c r="CA490" s="27" t="s">
        <v>8</v>
      </c>
      <c r="CB490" s="27" t="s">
        <v>7</v>
      </c>
      <c r="CW490" s="27" t="s">
        <v>8</v>
      </c>
      <c r="CX490" s="27" t="s">
        <v>7</v>
      </c>
      <c r="CY490" s="27" t="s">
        <v>8</v>
      </c>
      <c r="CZ490" s="27" t="s">
        <v>7</v>
      </c>
      <c r="DE490" s="27" t="s">
        <v>8</v>
      </c>
      <c r="DG490" s="27" t="s">
        <v>8</v>
      </c>
      <c r="DH490" s="27" t="s">
        <v>7</v>
      </c>
      <c r="DK490" s="27" t="s">
        <v>8</v>
      </c>
      <c r="DL490" s="27" t="s">
        <v>7</v>
      </c>
      <c r="DM490" s="27" t="s">
        <v>8</v>
      </c>
      <c r="DN490" s="27" t="s">
        <v>7</v>
      </c>
      <c r="DO490" s="27" t="s">
        <v>8</v>
      </c>
      <c r="DP490" s="27" t="s">
        <v>7</v>
      </c>
      <c r="DQ490" s="27" t="s">
        <v>8</v>
      </c>
      <c r="DX490" s="27" t="s">
        <v>7</v>
      </c>
      <c r="DY490" s="27" t="s">
        <v>8</v>
      </c>
      <c r="DZ490" s="27" t="s">
        <v>7</v>
      </c>
      <c r="EA490" s="27" t="s">
        <v>8</v>
      </c>
    </row>
    <row r="491" spans="1:135" x14ac:dyDescent="0.25">
      <c r="A491" s="7">
        <v>6.692933179528171</v>
      </c>
      <c r="B491"/>
      <c r="C491"/>
      <c r="D491"/>
      <c r="E491"/>
      <c r="I491" s="27" t="s">
        <v>8</v>
      </c>
      <c r="AF491" s="27" t="s">
        <v>7</v>
      </c>
      <c r="AG491" s="27" t="s">
        <v>8</v>
      </c>
      <c r="AH491" s="27" t="s">
        <v>7</v>
      </c>
      <c r="AY491" s="27" t="s">
        <v>8</v>
      </c>
      <c r="AZ491" s="27" t="s">
        <v>7</v>
      </c>
      <c r="BA491" s="27" t="s">
        <v>8</v>
      </c>
      <c r="BB491" s="27" t="s">
        <v>7</v>
      </c>
      <c r="BF491" s="27" t="s">
        <v>7</v>
      </c>
      <c r="BI491" s="27" t="s">
        <v>8</v>
      </c>
      <c r="BJ491" s="27" t="s">
        <v>7</v>
      </c>
      <c r="BK491" s="27" t="s">
        <v>8</v>
      </c>
      <c r="BL491" s="27" t="s">
        <v>7</v>
      </c>
      <c r="BN491" s="27" t="s">
        <v>7</v>
      </c>
      <c r="BS491" s="27" t="s">
        <v>8</v>
      </c>
      <c r="BU491" s="27" t="s">
        <v>8</v>
      </c>
      <c r="BX491" s="27" t="s">
        <v>7</v>
      </c>
      <c r="BZ491" s="27" t="s">
        <v>7</v>
      </c>
      <c r="CA491" s="27" t="s">
        <v>8</v>
      </c>
      <c r="CB491" s="27" t="s">
        <v>7</v>
      </c>
      <c r="CC491" s="27" t="s">
        <v>8</v>
      </c>
      <c r="CU491" s="27" t="s">
        <v>8</v>
      </c>
      <c r="CW491" s="27" t="s">
        <v>8</v>
      </c>
      <c r="CX491" s="27" t="s">
        <v>7</v>
      </c>
      <c r="CY491" s="27" t="s">
        <v>8</v>
      </c>
      <c r="CZ491" s="27" t="s">
        <v>7</v>
      </c>
      <c r="DE491" s="27" t="s">
        <v>8</v>
      </c>
      <c r="DF491" s="27" t="s">
        <v>7</v>
      </c>
      <c r="DG491" s="27" t="s">
        <v>8</v>
      </c>
      <c r="DH491" s="27" t="s">
        <v>7</v>
      </c>
      <c r="DK491" s="27" t="s">
        <v>8</v>
      </c>
      <c r="DL491" s="27" t="s">
        <v>7</v>
      </c>
      <c r="DN491" s="27" t="s">
        <v>7</v>
      </c>
      <c r="DP491" s="27" t="s">
        <v>7</v>
      </c>
      <c r="DQ491" s="27" t="s">
        <v>8</v>
      </c>
      <c r="DX491" s="27" t="s">
        <v>7</v>
      </c>
      <c r="DZ491" s="27" t="s">
        <v>7</v>
      </c>
    </row>
    <row r="492" spans="1:135" x14ac:dyDescent="0.25">
      <c r="A492" s="7">
        <v>6.5616991956158541</v>
      </c>
      <c r="B492"/>
      <c r="C492"/>
      <c r="D492"/>
      <c r="E492"/>
      <c r="I492" s="27" t="s">
        <v>8</v>
      </c>
      <c r="AF492" s="27" t="s">
        <v>7</v>
      </c>
      <c r="AG492" s="27" t="s">
        <v>8</v>
      </c>
      <c r="AH492" s="27" t="s">
        <v>7</v>
      </c>
      <c r="AY492" s="27" t="s">
        <v>8</v>
      </c>
      <c r="AZ492" s="27" t="s">
        <v>7</v>
      </c>
      <c r="BF492" s="27" t="s">
        <v>7</v>
      </c>
      <c r="BI492" s="27" t="s">
        <v>8</v>
      </c>
      <c r="BJ492" s="27" t="s">
        <v>7</v>
      </c>
      <c r="BK492" s="27" t="s">
        <v>8</v>
      </c>
      <c r="BN492" s="27" t="s">
        <v>7</v>
      </c>
      <c r="BS492" s="27" t="s">
        <v>8</v>
      </c>
      <c r="BT492" s="27" t="s">
        <v>7</v>
      </c>
      <c r="BU492" s="27" t="s">
        <v>8</v>
      </c>
      <c r="BZ492" s="27" t="s">
        <v>7</v>
      </c>
      <c r="CB492" s="27" t="s">
        <v>7</v>
      </c>
      <c r="CC492" s="27" t="s">
        <v>8</v>
      </c>
      <c r="CD492" s="27" t="s">
        <v>7</v>
      </c>
      <c r="CU492" s="27" t="s">
        <v>8</v>
      </c>
      <c r="CV492" s="27" t="s">
        <v>7</v>
      </c>
      <c r="CW492" s="27" t="s">
        <v>8</v>
      </c>
      <c r="CX492" s="27" t="s">
        <v>7</v>
      </c>
      <c r="CY492" s="27" t="s">
        <v>8</v>
      </c>
      <c r="CZ492" s="27" t="s">
        <v>7</v>
      </c>
      <c r="DA492" s="27" t="s">
        <v>8</v>
      </c>
      <c r="DE492" s="27" t="s">
        <v>8</v>
      </c>
      <c r="DF492" s="27" t="s">
        <v>7</v>
      </c>
      <c r="DG492" s="27" t="s">
        <v>8</v>
      </c>
      <c r="DH492" s="27" t="s">
        <v>7</v>
      </c>
      <c r="DK492" s="27" t="s">
        <v>8</v>
      </c>
      <c r="DP492" s="27" t="s">
        <v>7</v>
      </c>
      <c r="DQ492" s="27" t="s">
        <v>8</v>
      </c>
    </row>
    <row r="493" spans="1:135" x14ac:dyDescent="0.25">
      <c r="A493" s="7">
        <v>6.4330384270743668</v>
      </c>
      <c r="B493"/>
      <c r="C493"/>
      <c r="D493"/>
      <c r="E493"/>
      <c r="I493" s="27" t="s">
        <v>8</v>
      </c>
      <c r="AF493" s="27" t="s">
        <v>7</v>
      </c>
      <c r="AG493" s="27" t="s">
        <v>8</v>
      </c>
      <c r="AH493" s="27" t="s">
        <v>7</v>
      </c>
      <c r="AY493" s="27" t="s">
        <v>8</v>
      </c>
      <c r="BF493" s="27" t="s">
        <v>7</v>
      </c>
      <c r="BI493" s="27" t="s">
        <v>8</v>
      </c>
      <c r="BJ493" s="27" t="s">
        <v>7</v>
      </c>
      <c r="BK493" s="27" t="s">
        <v>8</v>
      </c>
      <c r="BN493" s="27" t="s">
        <v>7</v>
      </c>
      <c r="BO493" s="27" t="s">
        <v>8</v>
      </c>
      <c r="BQ493" s="27" t="s">
        <v>8</v>
      </c>
      <c r="BS493" s="27" t="s">
        <v>8</v>
      </c>
      <c r="BT493" s="27" t="s">
        <v>7</v>
      </c>
      <c r="BU493" s="27" t="s">
        <v>8</v>
      </c>
      <c r="CB493" s="27" t="s">
        <v>7</v>
      </c>
      <c r="CC493" s="27" t="s">
        <v>8</v>
      </c>
      <c r="CD493" s="27" t="s">
        <v>7</v>
      </c>
      <c r="CU493" s="27" t="s">
        <v>8</v>
      </c>
      <c r="CV493" s="27" t="s">
        <v>7</v>
      </c>
      <c r="CW493" s="27" t="s">
        <v>8</v>
      </c>
      <c r="CX493" s="27" t="s">
        <v>7</v>
      </c>
      <c r="CY493" s="27" t="s">
        <v>8</v>
      </c>
      <c r="CZ493" s="27" t="s">
        <v>7</v>
      </c>
      <c r="DA493" s="27" t="s">
        <v>8</v>
      </c>
      <c r="DB493" s="27" t="s">
        <v>7</v>
      </c>
      <c r="DE493" s="27" t="s">
        <v>8</v>
      </c>
      <c r="DF493" s="27" t="s">
        <v>7</v>
      </c>
      <c r="DG493" s="27" t="s">
        <v>8</v>
      </c>
      <c r="DH493" s="27" t="s">
        <v>7</v>
      </c>
      <c r="DK493" s="27" t="s">
        <v>8</v>
      </c>
      <c r="DP493" s="27" t="s">
        <v>7</v>
      </c>
      <c r="DQ493" s="27" t="s">
        <v>8</v>
      </c>
    </row>
    <row r="494" spans="1:135" x14ac:dyDescent="0.25">
      <c r="A494" s="7">
        <v>6.3069004187003594</v>
      </c>
      <c r="B494"/>
      <c r="C494"/>
      <c r="D494"/>
      <c r="E494"/>
      <c r="I494" s="27" t="s">
        <v>8</v>
      </c>
      <c r="AF494" s="27" t="s">
        <v>7</v>
      </c>
      <c r="AH494" s="27" t="s">
        <v>7</v>
      </c>
      <c r="AY494" s="27" t="s">
        <v>8</v>
      </c>
      <c r="BF494" s="27" t="s">
        <v>7</v>
      </c>
      <c r="BG494" s="27" t="s">
        <v>8</v>
      </c>
      <c r="BI494" s="27" t="s">
        <v>8</v>
      </c>
      <c r="BJ494" s="27" t="s">
        <v>7</v>
      </c>
      <c r="BK494" s="27" t="s">
        <v>8</v>
      </c>
      <c r="BN494" s="27" t="s">
        <v>7</v>
      </c>
      <c r="BO494" s="27" t="s">
        <v>8</v>
      </c>
      <c r="BP494" s="27" t="s">
        <v>7</v>
      </c>
      <c r="BQ494" s="27" t="s">
        <v>8</v>
      </c>
      <c r="BR494" s="27" t="s">
        <v>7</v>
      </c>
      <c r="BS494" s="27" t="s">
        <v>8</v>
      </c>
      <c r="BT494" s="27" t="s">
        <v>7</v>
      </c>
      <c r="BU494" s="27" t="s">
        <v>8</v>
      </c>
      <c r="CB494" s="27" t="s">
        <v>7</v>
      </c>
      <c r="CD494" s="27" t="s">
        <v>7</v>
      </c>
      <c r="CS494" s="27" t="s">
        <v>8</v>
      </c>
      <c r="CU494" s="27" t="s">
        <v>8</v>
      </c>
      <c r="CV494" s="27" t="s">
        <v>7</v>
      </c>
      <c r="CW494" s="27" t="s">
        <v>8</v>
      </c>
      <c r="CX494" s="27" t="s">
        <v>7</v>
      </c>
      <c r="CY494" s="27" t="s">
        <v>8</v>
      </c>
      <c r="CZ494" s="27" t="s">
        <v>7</v>
      </c>
      <c r="DA494" s="27" t="s">
        <v>8</v>
      </c>
      <c r="DB494" s="27" t="s">
        <v>7</v>
      </c>
      <c r="DE494" s="27" t="s">
        <v>8</v>
      </c>
      <c r="DF494" s="27" t="s">
        <v>7</v>
      </c>
      <c r="DH494" s="27" t="s">
        <v>7</v>
      </c>
      <c r="DK494" s="27" t="s">
        <v>8</v>
      </c>
      <c r="DP494" s="27" t="s">
        <v>7</v>
      </c>
    </row>
    <row r="495" spans="1:135" x14ac:dyDescent="0.25">
      <c r="A495" s="7">
        <v>6.1832357046081956</v>
      </c>
      <c r="B495"/>
      <c r="C495"/>
      <c r="D495"/>
      <c r="E495"/>
      <c r="I495" s="27" t="s">
        <v>8</v>
      </c>
      <c r="AH495" s="27" t="s">
        <v>7</v>
      </c>
      <c r="AY495" s="27" t="s">
        <v>8</v>
      </c>
      <c r="BF495" s="27" t="s">
        <v>7</v>
      </c>
      <c r="BG495" s="27" t="s">
        <v>8</v>
      </c>
      <c r="BH495" s="27" t="s">
        <v>7</v>
      </c>
      <c r="BI495" s="27" t="s">
        <v>8</v>
      </c>
      <c r="BJ495" s="27" t="s">
        <v>7</v>
      </c>
      <c r="BK495" s="27" t="s">
        <v>8</v>
      </c>
      <c r="BN495" s="27" t="s">
        <v>7</v>
      </c>
      <c r="BO495" s="27" t="s">
        <v>8</v>
      </c>
      <c r="BP495" s="27" t="s">
        <v>7</v>
      </c>
      <c r="BQ495" s="27" t="s">
        <v>8</v>
      </c>
      <c r="BR495" s="27" t="s">
        <v>7</v>
      </c>
      <c r="BS495" s="27" t="s">
        <v>8</v>
      </c>
      <c r="BT495" s="27" t="s">
        <v>7</v>
      </c>
      <c r="BU495" s="27" t="s">
        <v>8</v>
      </c>
      <c r="CD495" s="27" t="s">
        <v>7</v>
      </c>
      <c r="CS495" s="27" t="s">
        <v>8</v>
      </c>
      <c r="CT495" s="27" t="s">
        <v>7</v>
      </c>
      <c r="CU495" s="27" t="s">
        <v>8</v>
      </c>
      <c r="CV495" s="27" t="s">
        <v>7</v>
      </c>
      <c r="CW495" s="27" t="s">
        <v>8</v>
      </c>
      <c r="CX495" s="27" t="s">
        <v>7</v>
      </c>
      <c r="CY495" s="27" t="s">
        <v>8</v>
      </c>
      <c r="CZ495" s="27" t="s">
        <v>7</v>
      </c>
      <c r="DA495" s="27" t="s">
        <v>8</v>
      </c>
      <c r="DB495" s="27" t="s">
        <v>7</v>
      </c>
      <c r="DC495" s="27" t="s">
        <v>8</v>
      </c>
      <c r="DE495" s="27" t="s">
        <v>8</v>
      </c>
      <c r="DH495" s="27" t="s">
        <v>7</v>
      </c>
      <c r="DK495" s="27" t="s">
        <v>8</v>
      </c>
    </row>
    <row r="496" spans="1:135" x14ac:dyDescent="0.25">
      <c r="A496" s="7">
        <v>6.0619957888315641</v>
      </c>
      <c r="B496"/>
      <c r="C496"/>
      <c r="D496"/>
      <c r="E496"/>
      <c r="I496" s="27" t="s">
        <v>8</v>
      </c>
      <c r="AH496" s="27" t="s">
        <v>7</v>
      </c>
      <c r="AY496" s="27" t="s">
        <v>8</v>
      </c>
      <c r="BF496" s="27" t="s">
        <v>7</v>
      </c>
      <c r="BG496" s="27" t="s">
        <v>8</v>
      </c>
      <c r="BH496" s="27" t="s">
        <v>7</v>
      </c>
      <c r="BI496" s="27" t="s">
        <v>8</v>
      </c>
      <c r="BJ496" s="27" t="s">
        <v>7</v>
      </c>
      <c r="BK496" s="27" t="s">
        <v>8</v>
      </c>
      <c r="BN496" s="27" t="s">
        <v>7</v>
      </c>
      <c r="BP496" s="27" t="s">
        <v>7</v>
      </c>
      <c r="BR496" s="27" t="s">
        <v>7</v>
      </c>
      <c r="BS496" s="27" t="s">
        <v>8</v>
      </c>
      <c r="BT496" s="27" t="s">
        <v>7</v>
      </c>
      <c r="BU496" s="27" t="s">
        <v>8</v>
      </c>
      <c r="CD496" s="27" t="s">
        <v>7</v>
      </c>
      <c r="CS496" s="27" t="s">
        <v>8</v>
      </c>
      <c r="CT496" s="27" t="s">
        <v>7</v>
      </c>
      <c r="CU496" s="27" t="s">
        <v>8</v>
      </c>
      <c r="CV496" s="27" t="s">
        <v>7</v>
      </c>
      <c r="CW496" s="27" t="s">
        <v>8</v>
      </c>
      <c r="CX496" s="27" t="s">
        <v>7</v>
      </c>
      <c r="CY496" s="27" t="s">
        <v>8</v>
      </c>
      <c r="CZ496" s="27" t="s">
        <v>7</v>
      </c>
      <c r="DB496" s="27" t="s">
        <v>7</v>
      </c>
      <c r="DC496" s="27" t="s">
        <v>8</v>
      </c>
      <c r="DD496" s="27" t="s">
        <v>7</v>
      </c>
      <c r="DE496" s="27" t="s">
        <v>8</v>
      </c>
      <c r="DH496" s="27" t="s">
        <v>7</v>
      </c>
      <c r="DI496" s="27" t="s">
        <v>8</v>
      </c>
      <c r="DK496" s="27" t="s">
        <v>8</v>
      </c>
    </row>
    <row r="497" spans="1:115" x14ac:dyDescent="0.25">
      <c r="A497" s="7">
        <v>5.9431331263054545</v>
      </c>
      <c r="B497"/>
      <c r="C497"/>
      <c r="D497"/>
      <c r="E497"/>
      <c r="I497" s="27" t="s">
        <v>8</v>
      </c>
      <c r="AH497" s="27" t="s">
        <v>7</v>
      </c>
      <c r="AS497" s="27" t="s">
        <v>8</v>
      </c>
      <c r="AY497" s="27" t="s">
        <v>8</v>
      </c>
      <c r="BF497" s="27" t="s">
        <v>7</v>
      </c>
      <c r="BG497" s="27" t="s">
        <v>8</v>
      </c>
      <c r="BH497" s="27" t="s">
        <v>7</v>
      </c>
      <c r="BJ497" s="27" t="s">
        <v>7</v>
      </c>
      <c r="BR497" s="27" t="s">
        <v>7</v>
      </c>
      <c r="BS497" s="27" t="s">
        <v>8</v>
      </c>
      <c r="BT497" s="27" t="s">
        <v>7</v>
      </c>
      <c r="CD497" s="27" t="s">
        <v>7</v>
      </c>
      <c r="CS497" s="27" t="s">
        <v>8</v>
      </c>
      <c r="CT497" s="27" t="s">
        <v>7</v>
      </c>
      <c r="CU497" s="27" t="s">
        <v>8</v>
      </c>
      <c r="CV497" s="27" t="s">
        <v>7</v>
      </c>
      <c r="CX497" s="27" t="s">
        <v>7</v>
      </c>
      <c r="CY497" s="27" t="s">
        <v>8</v>
      </c>
      <c r="DB497" s="27" t="s">
        <v>7</v>
      </c>
      <c r="DC497" s="27" t="s">
        <v>8</v>
      </c>
      <c r="DD497" s="27" t="s">
        <v>7</v>
      </c>
      <c r="DE497" s="27" t="s">
        <v>8</v>
      </c>
      <c r="DH497" s="27" t="s">
        <v>7</v>
      </c>
      <c r="DI497" s="27" t="s">
        <v>8</v>
      </c>
      <c r="DJ497" s="27" t="s">
        <v>7</v>
      </c>
      <c r="DK497" s="27" t="s">
        <v>8</v>
      </c>
    </row>
    <row r="498" spans="1:115" x14ac:dyDescent="0.25">
      <c r="A498" s="7">
        <v>5.8266011042210337</v>
      </c>
      <c r="B498"/>
      <c r="C498"/>
      <c r="D498"/>
      <c r="E498"/>
      <c r="G498" s="27" t="s">
        <v>8</v>
      </c>
      <c r="I498" s="27" t="s">
        <v>8</v>
      </c>
      <c r="AH498" s="27" t="s">
        <v>7</v>
      </c>
      <c r="AS498" s="27" t="s">
        <v>8</v>
      </c>
      <c r="AT498" s="27" t="s">
        <v>7</v>
      </c>
      <c r="AY498" s="27" t="s">
        <v>8</v>
      </c>
      <c r="BF498" s="27" t="s">
        <v>7</v>
      </c>
      <c r="BG498" s="27" t="s">
        <v>8</v>
      </c>
      <c r="BR498" s="27" t="s">
        <v>7</v>
      </c>
      <c r="BS498" s="27" t="s">
        <v>8</v>
      </c>
      <c r="CD498" s="27" t="s">
        <v>7</v>
      </c>
      <c r="CS498" s="27" t="s">
        <v>8</v>
      </c>
      <c r="CT498" s="27" t="s">
        <v>7</v>
      </c>
      <c r="CX498" s="27" t="s">
        <v>7</v>
      </c>
      <c r="CY498" s="27" t="s">
        <v>8</v>
      </c>
      <c r="DB498" s="27" t="s">
        <v>7</v>
      </c>
      <c r="DC498" s="27" t="s">
        <v>8</v>
      </c>
      <c r="DD498" s="27" t="s">
        <v>7</v>
      </c>
      <c r="DE498" s="27" t="s">
        <v>8</v>
      </c>
      <c r="DH498" s="27" t="s">
        <v>7</v>
      </c>
      <c r="DI498" s="27" t="s">
        <v>8</v>
      </c>
      <c r="DJ498" s="27" t="s">
        <v>7</v>
      </c>
      <c r="DK498" s="27" t="s">
        <v>8</v>
      </c>
    </row>
    <row r="499" spans="1:115" x14ac:dyDescent="0.25">
      <c r="A499" s="7">
        <v>5.7123540237461112</v>
      </c>
      <c r="B499"/>
      <c r="C499"/>
      <c r="D499"/>
      <c r="E499"/>
      <c r="G499" s="27" t="s">
        <v>8</v>
      </c>
      <c r="H499" s="27" t="s">
        <v>7</v>
      </c>
      <c r="I499" s="27" t="s">
        <v>8</v>
      </c>
      <c r="AH499" s="27" t="s">
        <v>7</v>
      </c>
      <c r="AS499" s="27" t="s">
        <v>8</v>
      </c>
      <c r="AT499" s="27" t="s">
        <v>7</v>
      </c>
      <c r="AY499" s="27" t="s">
        <v>8</v>
      </c>
      <c r="BF499" s="27" t="s">
        <v>7</v>
      </c>
      <c r="BG499" s="27" t="s">
        <v>8</v>
      </c>
      <c r="BR499" s="27" t="s">
        <v>7</v>
      </c>
      <c r="BS499" s="27" t="s">
        <v>8</v>
      </c>
      <c r="CD499" s="27" t="s">
        <v>7</v>
      </c>
      <c r="CK499" s="27" t="s">
        <v>8</v>
      </c>
      <c r="CO499" s="27" t="s">
        <v>8</v>
      </c>
      <c r="CS499" s="27" t="s">
        <v>8</v>
      </c>
      <c r="CX499" s="27" t="s">
        <v>7</v>
      </c>
      <c r="CY499" s="27" t="s">
        <v>8</v>
      </c>
      <c r="DB499" s="27" t="s">
        <v>7</v>
      </c>
      <c r="DD499" s="27" t="s">
        <v>7</v>
      </c>
      <c r="DH499" s="27" t="s">
        <v>7</v>
      </c>
      <c r="DI499" s="27" t="s">
        <v>8</v>
      </c>
      <c r="DJ499" s="27" t="s">
        <v>7</v>
      </c>
      <c r="DK499" s="27" t="s">
        <v>8</v>
      </c>
    </row>
    <row r="500" spans="1:115" x14ac:dyDescent="0.25">
      <c r="A500" s="7">
        <v>5.6003470821040304</v>
      </c>
      <c r="B500"/>
      <c r="C500"/>
      <c r="D500"/>
      <c r="E500"/>
      <c r="G500" s="27" t="s">
        <v>8</v>
      </c>
      <c r="H500" s="27" t="s">
        <v>7</v>
      </c>
      <c r="I500" s="27" t="s">
        <v>8</v>
      </c>
      <c r="AH500" s="27" t="s">
        <v>7</v>
      </c>
      <c r="AS500" s="27" t="s">
        <v>8</v>
      </c>
      <c r="AT500" s="27" t="s">
        <v>7</v>
      </c>
      <c r="AW500" s="27" t="s">
        <v>8</v>
      </c>
      <c r="AY500" s="27" t="s">
        <v>8</v>
      </c>
      <c r="BF500" s="27" t="s">
        <v>7</v>
      </c>
      <c r="BR500" s="27" t="s">
        <v>7</v>
      </c>
      <c r="BS500" s="27" t="s">
        <v>8</v>
      </c>
      <c r="CD500" s="27" t="s">
        <v>7</v>
      </c>
      <c r="CK500" s="27" t="s">
        <v>8</v>
      </c>
      <c r="CL500" s="27" t="s">
        <v>7</v>
      </c>
      <c r="CO500" s="27" t="s">
        <v>8</v>
      </c>
      <c r="CP500" s="27" t="s">
        <v>7</v>
      </c>
      <c r="CS500" s="27" t="s">
        <v>8</v>
      </c>
      <c r="CX500" s="27" t="s">
        <v>7</v>
      </c>
      <c r="DH500" s="27" t="s">
        <v>7</v>
      </c>
      <c r="DI500" s="27" t="s">
        <v>8</v>
      </c>
      <c r="DJ500" s="27" t="s">
        <v>7</v>
      </c>
      <c r="DK500" s="27" t="s">
        <v>8</v>
      </c>
    </row>
    <row r="501" spans="1:115" x14ac:dyDescent="0.25">
      <c r="A501" s="7">
        <v>5.4905363550039512</v>
      </c>
      <c r="B501"/>
      <c r="C501"/>
      <c r="D501"/>
      <c r="E501"/>
      <c r="G501" s="27" t="s">
        <v>8</v>
      </c>
      <c r="H501" s="27" t="s">
        <v>7</v>
      </c>
      <c r="I501" s="27" t="s">
        <v>8</v>
      </c>
      <c r="AH501" s="27" t="s">
        <v>7</v>
      </c>
      <c r="AM501" s="27" t="s">
        <v>8</v>
      </c>
      <c r="AS501" s="27" t="s">
        <v>8</v>
      </c>
      <c r="AT501" s="27" t="s">
        <v>7</v>
      </c>
      <c r="AW501" s="27" t="s">
        <v>8</v>
      </c>
      <c r="AX501" s="27" t="s">
        <v>7</v>
      </c>
      <c r="AY501" s="27" t="s">
        <v>8</v>
      </c>
      <c r="BR501" s="27" t="s">
        <v>7</v>
      </c>
      <c r="BS501" s="27" t="s">
        <v>8</v>
      </c>
      <c r="CD501" s="27" t="s">
        <v>7</v>
      </c>
      <c r="CE501" s="27" t="s">
        <v>8</v>
      </c>
      <c r="CK501" s="27" t="s">
        <v>8</v>
      </c>
      <c r="CL501" s="27" t="s">
        <v>7</v>
      </c>
      <c r="CM501" s="27" t="s">
        <v>8</v>
      </c>
      <c r="CO501" s="27" t="s">
        <v>8</v>
      </c>
      <c r="CP501" s="27" t="s">
        <v>7</v>
      </c>
      <c r="CQ501" s="27" t="s">
        <v>8</v>
      </c>
      <c r="CS501" s="27" t="s">
        <v>8</v>
      </c>
      <c r="DH501" s="27" t="s">
        <v>7</v>
      </c>
      <c r="DI501" s="27" t="s">
        <v>8</v>
      </c>
      <c r="DJ501" s="27" t="s">
        <v>7</v>
      </c>
    </row>
    <row r="502" spans="1:115" x14ac:dyDescent="0.25">
      <c r="A502" s="7">
        <v>5.3828787794156385</v>
      </c>
      <c r="B502"/>
      <c r="C502"/>
      <c r="D502"/>
      <c r="E502"/>
      <c r="G502" s="27" t="s">
        <v>8</v>
      </c>
      <c r="H502" s="27" t="s">
        <v>7</v>
      </c>
      <c r="AH502" s="27" t="s">
        <v>7</v>
      </c>
      <c r="AM502" s="27" t="s">
        <v>8</v>
      </c>
      <c r="AN502" s="27" t="s">
        <v>7</v>
      </c>
      <c r="AS502" s="27" t="s">
        <v>8</v>
      </c>
      <c r="AT502" s="27" t="s">
        <v>7</v>
      </c>
      <c r="AU502" s="27" t="s">
        <v>8</v>
      </c>
      <c r="AW502" s="27" t="s">
        <v>8</v>
      </c>
      <c r="AX502" s="27" t="s">
        <v>7</v>
      </c>
      <c r="AY502" s="27" t="s">
        <v>8</v>
      </c>
      <c r="BR502" s="27" t="s">
        <v>7</v>
      </c>
      <c r="CD502" s="27" t="s">
        <v>7</v>
      </c>
      <c r="CE502" s="27" t="s">
        <v>8</v>
      </c>
      <c r="CF502" s="27" t="s">
        <v>7</v>
      </c>
      <c r="CI502" s="27" t="s">
        <v>8</v>
      </c>
      <c r="CK502" s="27" t="s">
        <v>8</v>
      </c>
      <c r="CL502" s="27" t="s">
        <v>7</v>
      </c>
      <c r="CM502" s="27" t="s">
        <v>8</v>
      </c>
      <c r="CN502" s="27" t="s">
        <v>7</v>
      </c>
      <c r="CO502" s="27" t="s">
        <v>8</v>
      </c>
      <c r="CP502" s="27" t="s">
        <v>7</v>
      </c>
      <c r="CQ502" s="27" t="s">
        <v>8</v>
      </c>
      <c r="CR502" s="27" t="s">
        <v>7</v>
      </c>
      <c r="CS502" s="27" t="s">
        <v>8</v>
      </c>
      <c r="DH502" s="27" t="s">
        <v>7</v>
      </c>
      <c r="DI502" s="27" t="s">
        <v>8</v>
      </c>
    </row>
    <row r="503" spans="1:115" x14ac:dyDescent="0.25">
      <c r="A503" s="7">
        <v>5.2773321366819985</v>
      </c>
      <c r="B503"/>
      <c r="C503"/>
      <c r="D503"/>
      <c r="E503"/>
      <c r="G503" s="27" t="s">
        <v>8</v>
      </c>
      <c r="AH503" s="27" t="s">
        <v>7</v>
      </c>
      <c r="AI503" s="27" t="s">
        <v>8</v>
      </c>
      <c r="AM503" s="27" t="s">
        <v>8</v>
      </c>
      <c r="AN503" s="27" t="s">
        <v>7</v>
      </c>
      <c r="AQ503" s="27" t="s">
        <v>8</v>
      </c>
      <c r="AS503" s="27" t="s">
        <v>8</v>
      </c>
      <c r="AT503" s="27" t="s">
        <v>7</v>
      </c>
      <c r="AU503" s="27" t="s">
        <v>8</v>
      </c>
      <c r="AV503" s="27" t="s">
        <v>7</v>
      </c>
      <c r="AW503" s="27" t="s">
        <v>8</v>
      </c>
      <c r="AX503" s="27" t="s">
        <v>7</v>
      </c>
      <c r="AY503" s="27" t="s">
        <v>8</v>
      </c>
      <c r="CD503" s="27" t="s">
        <v>7</v>
      </c>
      <c r="CE503" s="27" t="s">
        <v>8</v>
      </c>
      <c r="CF503" s="27" t="s">
        <v>7</v>
      </c>
      <c r="CI503" s="27" t="s">
        <v>8</v>
      </c>
      <c r="CJ503" s="27" t="s">
        <v>7</v>
      </c>
      <c r="CK503" s="27" t="s">
        <v>8</v>
      </c>
      <c r="CL503" s="27" t="s">
        <v>7</v>
      </c>
      <c r="CM503" s="27" t="s">
        <v>8</v>
      </c>
      <c r="CN503" s="27" t="s">
        <v>7</v>
      </c>
      <c r="CO503" s="27" t="s">
        <v>8</v>
      </c>
      <c r="CP503" s="27" t="s">
        <v>7</v>
      </c>
      <c r="CQ503" s="27" t="s">
        <v>8</v>
      </c>
      <c r="CR503" s="27" t="s">
        <v>7</v>
      </c>
      <c r="CS503" s="27" t="s">
        <v>8</v>
      </c>
      <c r="DH503" s="27" t="s">
        <v>7</v>
      </c>
      <c r="DI503" s="27" t="s">
        <v>8</v>
      </c>
    </row>
    <row r="504" spans="1:115" x14ac:dyDescent="0.25">
      <c r="A504" s="7">
        <v>5.1738550359627435</v>
      </c>
      <c r="B504"/>
      <c r="C504"/>
      <c r="D504"/>
      <c r="E504"/>
      <c r="G504" s="27" t="s">
        <v>8</v>
      </c>
      <c r="AH504" s="27" t="s">
        <v>7</v>
      </c>
      <c r="AI504" s="27" t="s">
        <v>8</v>
      </c>
      <c r="AJ504" s="27" t="s">
        <v>7</v>
      </c>
      <c r="AM504" s="27" t="s">
        <v>8</v>
      </c>
      <c r="AN504" s="27" t="s">
        <v>7</v>
      </c>
      <c r="AO504" s="27" t="s">
        <v>8</v>
      </c>
      <c r="AQ504" s="27" t="s">
        <v>8</v>
      </c>
      <c r="AR504" s="27" t="s">
        <v>7</v>
      </c>
      <c r="AS504" s="27" t="s">
        <v>8</v>
      </c>
      <c r="AT504" s="27" t="s">
        <v>7</v>
      </c>
      <c r="AU504" s="27" t="s">
        <v>8</v>
      </c>
      <c r="AV504" s="27" t="s">
        <v>7</v>
      </c>
      <c r="AW504" s="27" t="s">
        <v>8</v>
      </c>
      <c r="AX504" s="27" t="s">
        <v>7</v>
      </c>
      <c r="CD504" s="27" t="s">
        <v>7</v>
      </c>
      <c r="CE504" s="27" t="s">
        <v>8</v>
      </c>
      <c r="CF504" s="27" t="s">
        <v>7</v>
      </c>
      <c r="CG504" s="27" t="s">
        <v>8</v>
      </c>
      <c r="CI504" s="27" t="s">
        <v>8</v>
      </c>
      <c r="CJ504" s="27" t="s">
        <v>7</v>
      </c>
      <c r="CK504" s="27" t="s">
        <v>8</v>
      </c>
      <c r="CL504" s="27" t="s">
        <v>7</v>
      </c>
      <c r="CM504" s="27" t="s">
        <v>8</v>
      </c>
      <c r="CN504" s="27" t="s">
        <v>7</v>
      </c>
      <c r="CO504" s="27" t="s">
        <v>8</v>
      </c>
      <c r="CP504" s="27" t="s">
        <v>7</v>
      </c>
      <c r="CQ504" s="27" t="s">
        <v>8</v>
      </c>
      <c r="CR504" s="27" t="s">
        <v>7</v>
      </c>
      <c r="CS504" s="27" t="s">
        <v>8</v>
      </c>
      <c r="DH504" s="27" t="s">
        <v>7</v>
      </c>
      <c r="DI504" s="27" t="s">
        <v>8</v>
      </c>
    </row>
    <row r="505" spans="1:115" x14ac:dyDescent="0.25">
      <c r="A505" s="7">
        <v>5.07240689800269</v>
      </c>
      <c r="B505"/>
      <c r="C505"/>
      <c r="D505"/>
      <c r="E505" t="s">
        <v>8</v>
      </c>
      <c r="G505" s="27" t="s">
        <v>8</v>
      </c>
      <c r="AH505" s="27" t="s">
        <v>7</v>
      </c>
      <c r="AI505" s="27" t="s">
        <v>8</v>
      </c>
      <c r="AJ505" s="27" t="s">
        <v>7</v>
      </c>
      <c r="AM505" s="27" t="s">
        <v>8</v>
      </c>
      <c r="AN505" s="27" t="s">
        <v>7</v>
      </c>
      <c r="AO505" s="27" t="s">
        <v>8</v>
      </c>
      <c r="AP505" s="27" t="s">
        <v>7</v>
      </c>
      <c r="AQ505" s="27" t="s">
        <v>8</v>
      </c>
      <c r="AR505" s="27" t="s">
        <v>7</v>
      </c>
      <c r="AS505" s="27" t="s">
        <v>8</v>
      </c>
      <c r="AT505" s="27" t="s">
        <v>7</v>
      </c>
      <c r="AV505" s="27" t="s">
        <v>7</v>
      </c>
      <c r="AW505" s="27" t="s">
        <v>8</v>
      </c>
      <c r="CD505" s="27" t="s">
        <v>7</v>
      </c>
      <c r="CE505" s="27" t="s">
        <v>8</v>
      </c>
      <c r="CF505" s="27" t="s">
        <v>7</v>
      </c>
      <c r="CG505" s="27" t="s">
        <v>8</v>
      </c>
      <c r="CH505" s="27" t="s">
        <v>7</v>
      </c>
      <c r="CI505" s="27" t="s">
        <v>8</v>
      </c>
      <c r="CJ505" s="27" t="s">
        <v>7</v>
      </c>
      <c r="CK505" s="27" t="s">
        <v>8</v>
      </c>
      <c r="CL505" s="27" t="s">
        <v>7</v>
      </c>
      <c r="CN505" s="27" t="s">
        <v>7</v>
      </c>
      <c r="CP505" s="27" t="s">
        <v>7</v>
      </c>
      <c r="CQ505" s="27" t="s">
        <v>8</v>
      </c>
      <c r="CR505" s="27" t="s">
        <v>7</v>
      </c>
      <c r="CS505" s="27" t="s">
        <v>8</v>
      </c>
      <c r="DH505" s="27" t="s">
        <v>7</v>
      </c>
      <c r="DI505" s="27" t="s">
        <v>8</v>
      </c>
    </row>
    <row r="506" spans="1:115" x14ac:dyDescent="0.25">
      <c r="A506" s="7">
        <v>4.9729479392183231</v>
      </c>
      <c r="B506"/>
      <c r="C506"/>
      <c r="D506"/>
      <c r="E506" t="s">
        <v>8</v>
      </c>
      <c r="F506" s="27" t="s">
        <v>7</v>
      </c>
      <c r="G506" s="27" t="s">
        <v>8</v>
      </c>
      <c r="AH506" s="27" t="s">
        <v>7</v>
      </c>
      <c r="AI506" s="27" t="s">
        <v>8</v>
      </c>
      <c r="AJ506" s="27" t="s">
        <v>7</v>
      </c>
      <c r="AK506" s="27" t="s">
        <v>8</v>
      </c>
      <c r="AM506" s="27" t="s">
        <v>8</v>
      </c>
      <c r="AN506" s="27" t="s">
        <v>7</v>
      </c>
      <c r="AO506" s="27" t="s">
        <v>8</v>
      </c>
      <c r="AP506" s="27" t="s">
        <v>7</v>
      </c>
      <c r="AQ506" s="27" t="s">
        <v>8</v>
      </c>
      <c r="AR506" s="27" t="s">
        <v>7</v>
      </c>
      <c r="AV506" s="27" t="s">
        <v>7</v>
      </c>
      <c r="AW506" s="27" t="s">
        <v>8</v>
      </c>
      <c r="CD506" s="27" t="s">
        <v>7</v>
      </c>
      <c r="CE506" s="27" t="s">
        <v>8</v>
      </c>
      <c r="CF506" s="27" t="s">
        <v>7</v>
      </c>
      <c r="CG506" s="27" t="s">
        <v>8</v>
      </c>
      <c r="CH506" s="27" t="s">
        <v>7</v>
      </c>
      <c r="CI506" s="27" t="s">
        <v>8</v>
      </c>
      <c r="CJ506" s="27" t="s">
        <v>7</v>
      </c>
      <c r="CK506" s="27" t="s">
        <v>8</v>
      </c>
      <c r="CP506" s="27" t="s">
        <v>7</v>
      </c>
      <c r="CQ506" s="27" t="s">
        <v>8</v>
      </c>
      <c r="CR506" s="27" t="s">
        <v>7</v>
      </c>
      <c r="DH506" s="27" t="s">
        <v>7</v>
      </c>
      <c r="DI506" s="27" t="s">
        <v>8</v>
      </c>
    </row>
    <row r="507" spans="1:115" x14ac:dyDescent="0.25">
      <c r="A507" s="7">
        <v>4.8754391560963954</v>
      </c>
      <c r="B507"/>
      <c r="C507"/>
      <c r="D507"/>
      <c r="E507" t="s">
        <v>8</v>
      </c>
      <c r="F507" s="27" t="s">
        <v>7</v>
      </c>
      <c r="G507" s="27" t="s">
        <v>8</v>
      </c>
      <c r="AH507" s="27" t="s">
        <v>7</v>
      </c>
      <c r="AI507" s="27" t="s">
        <v>8</v>
      </c>
      <c r="AJ507" s="27" t="s">
        <v>7</v>
      </c>
      <c r="AK507" s="27" t="s">
        <v>8</v>
      </c>
      <c r="AL507" s="27" t="s">
        <v>7</v>
      </c>
      <c r="AM507" s="27" t="s">
        <v>8</v>
      </c>
      <c r="AN507" s="27" t="s">
        <v>7</v>
      </c>
      <c r="AO507" s="27" t="s">
        <v>8</v>
      </c>
      <c r="AP507" s="27" t="s">
        <v>7</v>
      </c>
      <c r="AQ507" s="27" t="s">
        <v>8</v>
      </c>
      <c r="AV507" s="27" t="s">
        <v>7</v>
      </c>
      <c r="CD507" s="27" t="s">
        <v>7</v>
      </c>
      <c r="CE507" s="27" t="s">
        <v>8</v>
      </c>
      <c r="CF507" s="27" t="s">
        <v>7</v>
      </c>
      <c r="CH507" s="27" t="s">
        <v>7</v>
      </c>
      <c r="CJ507" s="27" t="s">
        <v>7</v>
      </c>
      <c r="CK507" s="27" t="s">
        <v>8</v>
      </c>
      <c r="CP507" s="27" t="s">
        <v>7</v>
      </c>
      <c r="CQ507" s="27" t="s">
        <v>8</v>
      </c>
      <c r="DH507" s="27" t="s">
        <v>7</v>
      </c>
      <c r="DI507" s="27" t="s">
        <v>8</v>
      </c>
    </row>
    <row r="508" spans="1:115" x14ac:dyDescent="0.25">
      <c r="A508" s="7">
        <v>4.7798423098984264</v>
      </c>
      <c r="B508"/>
      <c r="C508"/>
      <c r="D508"/>
      <c r="E508" t="s">
        <v>8</v>
      </c>
      <c r="F508" s="27" t="s">
        <v>7</v>
      </c>
      <c r="AH508" s="27" t="s">
        <v>7</v>
      </c>
      <c r="AI508" s="27" t="s">
        <v>8</v>
      </c>
      <c r="AJ508" s="27" t="s">
        <v>7</v>
      </c>
      <c r="AK508" s="27" t="s">
        <v>8</v>
      </c>
      <c r="AL508" s="27" t="s">
        <v>7</v>
      </c>
      <c r="AM508" s="27" t="s">
        <v>8</v>
      </c>
      <c r="AN508" s="27" t="s">
        <v>7</v>
      </c>
      <c r="AO508" s="27" t="s">
        <v>8</v>
      </c>
      <c r="AP508" s="27" t="s">
        <v>7</v>
      </c>
      <c r="AQ508" s="27" t="s">
        <v>8</v>
      </c>
      <c r="CD508" s="27" t="s">
        <v>7</v>
      </c>
      <c r="CE508" s="27" t="s">
        <v>8</v>
      </c>
      <c r="CJ508" s="27" t="s">
        <v>7</v>
      </c>
      <c r="CK508" s="27" t="s">
        <v>8</v>
      </c>
      <c r="CP508" s="27" t="s">
        <v>7</v>
      </c>
      <c r="DH508" s="27" t="s">
        <v>7</v>
      </c>
    </row>
    <row r="509" spans="1:115" x14ac:dyDescent="0.25">
      <c r="A509" s="7">
        <v>4.6861199116651235</v>
      </c>
      <c r="B509"/>
      <c r="C509"/>
      <c r="D509"/>
      <c r="E509" t="s">
        <v>8</v>
      </c>
      <c r="AH509" s="27" t="s">
        <v>7</v>
      </c>
      <c r="AI509" s="27" t="s">
        <v>8</v>
      </c>
      <c r="AJ509" s="27" t="s">
        <v>7</v>
      </c>
      <c r="AK509" s="27" t="s">
        <v>8</v>
      </c>
      <c r="AL509" s="27" t="s">
        <v>7</v>
      </c>
      <c r="AM509" s="27" t="s">
        <v>8</v>
      </c>
      <c r="AN509" s="27" t="s">
        <v>7</v>
      </c>
      <c r="AO509" s="27" t="s">
        <v>8</v>
      </c>
      <c r="AP509" s="27" t="s">
        <v>7</v>
      </c>
      <c r="CD509" s="27" t="s">
        <v>7</v>
      </c>
      <c r="CE509" s="27" t="s">
        <v>8</v>
      </c>
      <c r="CJ509" s="27" t="s">
        <v>7</v>
      </c>
      <c r="CK509" s="27" t="s">
        <v>8</v>
      </c>
    </row>
    <row r="510" spans="1:115" x14ac:dyDescent="0.25">
      <c r="A510" s="7">
        <v>4.5942352075148269</v>
      </c>
      <c r="B510"/>
      <c r="C510"/>
      <c r="D510"/>
      <c r="E510" t="s">
        <v>8</v>
      </c>
      <c r="AH510" s="27" t="s">
        <v>7</v>
      </c>
      <c r="AI510" s="27" t="s">
        <v>8</v>
      </c>
      <c r="AJ510" s="27" t="s">
        <v>7</v>
      </c>
      <c r="AK510" s="27" t="s">
        <v>8</v>
      </c>
      <c r="AL510" s="27" t="s">
        <v>7</v>
      </c>
      <c r="AM510" s="27" t="s">
        <v>8</v>
      </c>
      <c r="AN510" s="27" t="s">
        <v>7</v>
      </c>
      <c r="CD510" s="27" t="s">
        <v>7</v>
      </c>
      <c r="CE510" s="27" t="s">
        <v>8</v>
      </c>
      <c r="CJ510" s="27" t="s">
        <v>7</v>
      </c>
    </row>
    <row r="511" spans="1:115" x14ac:dyDescent="0.25">
      <c r="A511" s="7">
        <v>4.5041521642302227</v>
      </c>
      <c r="B511"/>
      <c r="C511"/>
      <c r="D511"/>
      <c r="E511" t="s">
        <v>8</v>
      </c>
      <c r="AH511" s="27" t="s">
        <v>7</v>
      </c>
      <c r="AI511" s="27" t="s">
        <v>8</v>
      </c>
      <c r="AJ511" s="27" t="s">
        <v>7</v>
      </c>
      <c r="AK511" s="27" t="s">
        <v>8</v>
      </c>
      <c r="AL511" s="27" t="s">
        <v>7</v>
      </c>
      <c r="AM511" s="27" t="s">
        <v>8</v>
      </c>
      <c r="CD511" s="27" t="s">
        <v>7</v>
      </c>
    </row>
    <row r="512" spans="1:115" x14ac:dyDescent="0.25">
      <c r="A512" s="7">
        <v>4.4158354551276693</v>
      </c>
      <c r="B512"/>
      <c r="C512"/>
      <c r="D512"/>
      <c r="E512" t="s">
        <v>8</v>
      </c>
      <c r="AH512" s="27" t="s">
        <v>7</v>
      </c>
      <c r="AI512" s="27" t="s">
        <v>8</v>
      </c>
      <c r="AJ512" s="27" t="s">
        <v>7</v>
      </c>
      <c r="AK512" s="27" t="s">
        <v>8</v>
      </c>
      <c r="AL512" s="27" t="s">
        <v>7</v>
      </c>
      <c r="AM512" s="27" t="s">
        <v>8</v>
      </c>
    </row>
    <row r="513" spans="1:38" x14ac:dyDescent="0.25">
      <c r="A513" s="7">
        <v>4.3292504462035977</v>
      </c>
      <c r="B513"/>
      <c r="C513"/>
      <c r="D513"/>
      <c r="E513" t="s">
        <v>8</v>
      </c>
      <c r="AH513" s="27" t="s">
        <v>7</v>
      </c>
      <c r="AI513" s="27" t="s">
        <v>8</v>
      </c>
      <c r="AJ513" s="27" t="s">
        <v>7</v>
      </c>
      <c r="AK513" s="27" t="s">
        <v>8</v>
      </c>
      <c r="AL513" s="27" t="s">
        <v>7</v>
      </c>
    </row>
    <row r="514" spans="1:38" x14ac:dyDescent="0.25">
      <c r="A514" s="7">
        <v>4.2443631825525463</v>
      </c>
      <c r="B514"/>
      <c r="C514"/>
      <c r="D514"/>
      <c r="E514" t="s">
        <v>8</v>
      </c>
      <c r="AH514" s="27" t="s">
        <v>7</v>
      </c>
      <c r="AI514" s="27" t="s">
        <v>8</v>
      </c>
      <c r="AJ514" s="27" t="s">
        <v>7</v>
      </c>
      <c r="AK514" s="27" t="s">
        <v>8</v>
      </c>
    </row>
    <row r="515" spans="1:38" x14ac:dyDescent="0.25">
      <c r="A515" s="7">
        <v>4.1611403750515157</v>
      </c>
      <c r="B515"/>
      <c r="C515"/>
      <c r="D515"/>
      <c r="E515" t="s">
        <v>8</v>
      </c>
      <c r="AH515" s="27" t="s">
        <v>7</v>
      </c>
      <c r="AI515" s="27" t="s">
        <v>8</v>
      </c>
      <c r="AJ515" s="27" t="s">
        <v>7</v>
      </c>
      <c r="AK515" s="27" t="s">
        <v>8</v>
      </c>
    </row>
    <row r="516" spans="1:38" x14ac:dyDescent="0.25">
      <c r="A516" s="7">
        <v>4.0795493873054074</v>
      </c>
      <c r="B516"/>
      <c r="C516"/>
      <c r="D516"/>
      <c r="E516" t="s">
        <v>8</v>
      </c>
      <c r="AH516" s="27" t="s">
        <v>7</v>
      </c>
      <c r="AI516" s="27" t="s">
        <v>8</v>
      </c>
      <c r="AJ516" s="27" t="s">
        <v>7</v>
      </c>
    </row>
    <row r="517" spans="1:38" x14ac:dyDescent="0.25">
      <c r="A517" s="7">
        <v>3.9995582228484383</v>
      </c>
      <c r="B517"/>
      <c r="C517"/>
      <c r="D517"/>
      <c r="E517" t="s">
        <v>8</v>
      </c>
      <c r="AH517" s="27" t="s">
        <v>7</v>
      </c>
      <c r="AI517" s="27" t="s">
        <v>8</v>
      </c>
    </row>
    <row r="518" spans="1:38" x14ac:dyDescent="0.25">
      <c r="A518" s="7">
        <v>3.9211355125965079</v>
      </c>
      <c r="B518"/>
      <c r="C518"/>
      <c r="D518"/>
      <c r="E518" t="s">
        <v>8</v>
      </c>
      <c r="AH518" s="27" t="s">
        <v>7</v>
      </c>
      <c r="AI518" s="27" t="s">
        <v>8</v>
      </c>
    </row>
    <row r="519" spans="1:38" x14ac:dyDescent="0.25">
      <c r="A519" s="7">
        <v>3.844250502545596</v>
      </c>
      <c r="B519"/>
      <c r="C519"/>
      <c r="D519"/>
      <c r="E519" t="s">
        <v>8</v>
      </c>
      <c r="AH519" s="27" t="s">
        <v>7</v>
      </c>
      <c r="AI519" s="27" t="s">
        <v>8</v>
      </c>
    </row>
    <row r="520" spans="1:38" x14ac:dyDescent="0.25">
      <c r="A520" s="7">
        <v>3.7688730417113687</v>
      </c>
      <c r="B520"/>
      <c r="C520"/>
      <c r="D520"/>
      <c r="E520" t="s">
        <v>8</v>
      </c>
      <c r="AH520" s="27" t="s">
        <v>7</v>
      </c>
      <c r="AI520" s="27" t="s">
        <v>8</v>
      </c>
    </row>
    <row r="521" spans="1:38" x14ac:dyDescent="0.25">
      <c r="A521" s="7">
        <v>3.6949735703052635</v>
      </c>
      <c r="B521"/>
      <c r="C521"/>
      <c r="D521"/>
      <c r="E521" t="s">
        <v>8</v>
      </c>
      <c r="AH521" s="27" t="s">
        <v>7</v>
      </c>
      <c r="AI521" s="27" t="s">
        <v>8</v>
      </c>
    </row>
    <row r="522" spans="1:38" x14ac:dyDescent="0.25">
      <c r="A522" s="7">
        <v>3.6225231081424152</v>
      </c>
      <c r="B522"/>
      <c r="C522"/>
      <c r="D522"/>
      <c r="E522" t="s">
        <v>8</v>
      </c>
      <c r="AH522" s="27" t="s">
        <v>7</v>
      </c>
      <c r="AI522" s="27" t="s">
        <v>8</v>
      </c>
    </row>
    <row r="523" spans="1:38" x14ac:dyDescent="0.25">
      <c r="A523" s="7">
        <v>3.5514932432768775</v>
      </c>
      <c r="B523"/>
      <c r="C523"/>
      <c r="D523"/>
      <c r="E523" t="s">
        <v>8</v>
      </c>
      <c r="AH523" s="27" t="s">
        <v>7</v>
      </c>
      <c r="AI523" s="27" t="s">
        <v>8</v>
      </c>
    </row>
    <row r="524" spans="1:38" x14ac:dyDescent="0.25">
      <c r="A524" s="7">
        <v>3.4818561208596837</v>
      </c>
      <c r="B524"/>
      <c r="C524"/>
      <c r="D524"/>
      <c r="E524" t="s">
        <v>8</v>
      </c>
      <c r="AH524" s="27" t="s">
        <v>7</v>
      </c>
      <c r="AI524" s="27" t="s">
        <v>8</v>
      </c>
    </row>
    <row r="525" spans="1:38" x14ac:dyDescent="0.25">
      <c r="A525" s="7">
        <v>3.4135844322153761</v>
      </c>
      <c r="B525"/>
      <c r="C525"/>
      <c r="D525"/>
      <c r="E525" t="s">
        <v>8</v>
      </c>
      <c r="AH525" s="27" t="s">
        <v>7</v>
      </c>
      <c r="AI525" s="27" t="s">
        <v>8</v>
      </c>
    </row>
    <row r="526" spans="1:38" x14ac:dyDescent="0.25">
      <c r="A526" s="7">
        <v>3.3466514041327216</v>
      </c>
      <c r="B526"/>
      <c r="C526"/>
      <c r="D526"/>
      <c r="E526" t="s">
        <v>8</v>
      </c>
      <c r="AH526" s="27" t="s">
        <v>7</v>
      </c>
      <c r="AI526" s="27" t="s">
        <v>8</v>
      </c>
    </row>
    <row r="527" spans="1:38" x14ac:dyDescent="0.25">
      <c r="A527" s="7">
        <v>3.2810307883654133</v>
      </c>
      <c r="B527"/>
      <c r="C527"/>
      <c r="D527"/>
      <c r="E527" t="s">
        <v>8</v>
      </c>
      <c r="AH527" s="27" t="s">
        <v>7</v>
      </c>
      <c r="AI527" s="27" t="s">
        <v>8</v>
      </c>
    </row>
    <row r="528" spans="1:38" x14ac:dyDescent="0.25">
      <c r="A528" s="7">
        <v>3.2166968513386403</v>
      </c>
      <c r="B528"/>
      <c r="C528"/>
      <c r="D528"/>
      <c r="E528" t="s">
        <v>8</v>
      </c>
      <c r="AH528" s="27" t="s">
        <v>7</v>
      </c>
      <c r="AI528" s="27" t="s">
        <v>8</v>
      </c>
    </row>
    <row r="529" spans="1:35" x14ac:dyDescent="0.25">
      <c r="A529" s="7">
        <v>3.1536243640574906</v>
      </c>
      <c r="B529"/>
      <c r="C529"/>
      <c r="D529"/>
      <c r="E529" t="s">
        <v>8</v>
      </c>
      <c r="AH529" s="27" t="s">
        <v>7</v>
      </c>
      <c r="AI529" s="27" t="s">
        <v>8</v>
      </c>
    </row>
    <row r="530" spans="1:35" x14ac:dyDescent="0.25">
      <c r="A530" s="7">
        <v>3.0917885922132262</v>
      </c>
      <c r="B530"/>
      <c r="C530"/>
      <c r="D530"/>
      <c r="E530" t="s">
        <v>8</v>
      </c>
      <c r="AH530" s="27" t="s">
        <v>7</v>
      </c>
    </row>
    <row r="531" spans="1:35" x14ac:dyDescent="0.25">
      <c r="A531" s="7">
        <v>3.0311652864835552</v>
      </c>
      <c r="B531"/>
      <c r="C531"/>
      <c r="D531"/>
      <c r="E531" t="s">
        <v>8</v>
      </c>
    </row>
    <row r="532" spans="1:35" x14ac:dyDescent="0.25">
      <c r="A532" s="7">
        <v>2.9717306730230932</v>
      </c>
      <c r="B532"/>
      <c r="C532"/>
      <c r="D532"/>
      <c r="E532" t="s">
        <v>8</v>
      </c>
    </row>
    <row r="533" spans="1:35" x14ac:dyDescent="0.25">
      <c r="A533" s="7">
        <v>2.9134614441402875</v>
      </c>
      <c r="B533"/>
      <c r="C533"/>
      <c r="D533"/>
      <c r="E533" t="s">
        <v>8</v>
      </c>
    </row>
    <row r="534" spans="1:35" x14ac:dyDescent="0.25">
      <c r="A534" s="7">
        <v>2.8563347491571447</v>
      </c>
      <c r="B534"/>
      <c r="C534"/>
      <c r="D534"/>
      <c r="E534" t="s">
        <v>8</v>
      </c>
    </row>
    <row r="535" spans="1:35" x14ac:dyDescent="0.25">
      <c r="A535" s="7">
        <v>2.8003281854481812</v>
      </c>
      <c r="B535"/>
      <c r="C535"/>
      <c r="D535"/>
      <c r="E535" t="s">
        <v>8</v>
      </c>
    </row>
    <row r="536" spans="1:35" x14ac:dyDescent="0.25">
      <c r="A536" s="7">
        <v>2.7454197896550796</v>
      </c>
      <c r="B536"/>
      <c r="C536"/>
      <c r="D536"/>
      <c r="E536" t="s">
        <v>8</v>
      </c>
    </row>
    <row r="537" spans="1:35" x14ac:dyDescent="0.25">
      <c r="A537" s="7">
        <v>2.6915880290736074</v>
      </c>
      <c r="B537"/>
      <c r="C537"/>
      <c r="D537"/>
      <c r="E537" t="s">
        <v>8</v>
      </c>
    </row>
    <row r="538" spans="1:35" x14ac:dyDescent="0.25">
      <c r="A538" s="7">
        <v>2.6388117932094191</v>
      </c>
      <c r="B538"/>
      <c r="C538"/>
      <c r="D538"/>
      <c r="E538" t="s">
        <v>8</v>
      </c>
    </row>
    <row r="539" spans="1:35" x14ac:dyDescent="0.25">
      <c r="A539" s="7">
        <v>2.5870703854994304</v>
      </c>
      <c r="B539"/>
      <c r="C539"/>
      <c r="D539"/>
      <c r="E539" t="s">
        <v>8</v>
      </c>
    </row>
    <row r="540" spans="1:35" x14ac:dyDescent="0.25">
      <c r="A540" s="7">
        <v>2.53634351519552</v>
      </c>
      <c r="B540"/>
      <c r="C540"/>
      <c r="D540"/>
      <c r="E540" t="s">
        <v>8</v>
      </c>
    </row>
    <row r="541" spans="1:35" x14ac:dyDescent="0.25">
      <c r="A541" s="7">
        <v>2.4866112894073726</v>
      </c>
      <c r="B541"/>
      <c r="C541"/>
      <c r="D541"/>
      <c r="E541" t="s">
        <v>8</v>
      </c>
    </row>
    <row r="542" spans="1:35" x14ac:dyDescent="0.25">
      <c r="A542" s="7">
        <v>2.4378542053013459</v>
      </c>
      <c r="B542"/>
      <c r="C542"/>
      <c r="D542"/>
      <c r="E542" t="s">
        <v>8</v>
      </c>
    </row>
    <row r="543" spans="1:35" x14ac:dyDescent="0.25">
      <c r="A543" s="7">
        <v>2.3900531424522997</v>
      </c>
      <c r="B543"/>
      <c r="C543"/>
      <c r="D543"/>
      <c r="E543" t="s">
        <v>8</v>
      </c>
    </row>
    <row r="544" spans="1:3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40" zoomScale="85" zoomScaleNormal="85" workbookViewId="0">
      <pane xSplit="4" topLeftCell="BP1" activePane="topRight" state="frozen"/>
      <selection activeCell="A109" sqref="A109"/>
      <selection pane="topRight" activeCell="DA173" sqref="DA17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$A$172</v>
      </c>
      <c r="D111" s="1" t="str">
        <f>ADDRESS(C121-1,D121,1,1)</f>
        <v>$DA$172</v>
      </c>
      <c r="E111"/>
    </row>
    <row r="112" spans="1:5" x14ac:dyDescent="0.25">
      <c r="A112" s="30">
        <v>515.50191262726139</v>
      </c>
      <c r="C112" s="1" t="str">
        <f>ADDRESS(C121,1,1,1)</f>
        <v>$A$173</v>
      </c>
      <c r="D112" s="1" t="str">
        <f>ADDRESS(C121,D121-1,1,1)</f>
        <v>$CZ$173</v>
      </c>
      <c r="E112"/>
    </row>
    <row r="113" spans="1:5" x14ac:dyDescent="0.25">
      <c r="A113" s="30">
        <v>490.95420250215363</v>
      </c>
      <c r="C113" s="1" t="str">
        <f>ADDRESS(C121+1,1,1,1)</f>
        <v>$A$174</v>
      </c>
      <c r="D113" s="1" t="str">
        <f>ADDRESS(C121-1,D121+1,1,1)</f>
        <v>$DB$172</v>
      </c>
    </row>
    <row r="114" spans="1:5" x14ac:dyDescent="0.25">
      <c r="A114" s="30">
        <v>467.57543095443202</v>
      </c>
      <c r="C114" s="1" t="str">
        <f>ADDRESS(C121,D121,1,1)</f>
        <v>$DA$173</v>
      </c>
      <c r="D114" s="1" t="str">
        <f>ADDRESS(C121+1,D121+1,1,1)</f>
        <v>$DB$174</v>
      </c>
    </row>
    <row r="115" spans="1:5" x14ac:dyDescent="0.25">
      <c r="A115" s="30">
        <v>445.30993424231622</v>
      </c>
      <c r="C115" s="1" t="str">
        <f>ADDRESS(C121+1,D121,1,1)</f>
        <v>$DA$174</v>
      </c>
    </row>
    <row r="116" spans="1:5" x14ac:dyDescent="0.25">
      <c r="A116" s="30">
        <v>424.10469927839637</v>
      </c>
      <c r="C116" s="1">
        <f>C117-1</f>
        <v>172</v>
      </c>
    </row>
    <row r="117" spans="1:5" x14ac:dyDescent="0.25">
      <c r="A117" s="30">
        <v>403.9092374079965</v>
      </c>
      <c r="C117" s="1">
        <f>C121</f>
        <v>173</v>
      </c>
      <c r="D117" s="1">
        <f>D121</f>
        <v>105</v>
      </c>
    </row>
    <row r="118" spans="1:5" x14ac:dyDescent="0.25">
      <c r="A118" s="30">
        <v>384.6754641980919</v>
      </c>
      <c r="C118" s="1">
        <f>C117+1</f>
        <v>174</v>
      </c>
      <c r="D118" s="1">
        <f>D117+1</f>
        <v>106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173</v>
      </c>
      <c r="D121" s="19">
        <v>105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R173</v>
      </c>
      <c r="D123" s="1" t="str">
        <f>"C"&amp;D121</f>
        <v>C105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26.283490366495137</v>
      </c>
      <c r="D127"/>
    </row>
    <row r="128" spans="1:5" x14ac:dyDescent="0.25">
      <c r="A128" s="30">
        <v>236.15736578315241</v>
      </c>
    </row>
    <row r="129" spans="1:73" x14ac:dyDescent="0.25">
      <c r="A129" s="30">
        <v>224.91177693633563</v>
      </c>
      <c r="C129" s="1" t="s">
        <v>11</v>
      </c>
      <c r="D129" s="1" t="s">
        <v>12</v>
      </c>
      <c r="E129"/>
    </row>
    <row r="130" spans="1:73" x14ac:dyDescent="0.25">
      <c r="A130" s="30">
        <v>214.20169232031964</v>
      </c>
      <c r="C130" s="6"/>
      <c r="D130" s="6"/>
      <c r="E130"/>
    </row>
    <row r="131" spans="1:73" x14ac:dyDescent="0.25">
      <c r="A131" s="30">
        <v>204.00161173363773</v>
      </c>
      <c r="E131"/>
    </row>
    <row r="132" spans="1:73" x14ac:dyDescent="0.25">
      <c r="A132" s="30">
        <v>194.28724927013116</v>
      </c>
      <c r="C132" s="1" t="s">
        <v>13</v>
      </c>
      <c r="E132"/>
    </row>
    <row r="133" spans="1:73" x14ac:dyDescent="0.25">
      <c r="A133" s="30">
        <v>185.03547549536299</v>
      </c>
      <c r="C133" s="1" t="str">
        <f>C122</f>
        <v>X</v>
      </c>
      <c r="E133"/>
    </row>
    <row r="134" spans="1:73" x14ac:dyDescent="0.25">
      <c r="A134" s="30">
        <v>176.22426237653616</v>
      </c>
      <c r="C134"/>
      <c r="E134"/>
      <c r="BK134" s="31" t="s">
        <v>8</v>
      </c>
    </row>
    <row r="135" spans="1:73" x14ac:dyDescent="0.25">
      <c r="A135" s="30">
        <v>167.83263083479633</v>
      </c>
      <c r="C135" s="1" t="s">
        <v>14</v>
      </c>
      <c r="E135"/>
      <c r="BK135" s="27" t="s">
        <v>8</v>
      </c>
      <c r="BL135" s="31" t="s">
        <v>7</v>
      </c>
    </row>
    <row r="136" spans="1:73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  <c r="BK136" s="27" t="s">
        <v>8</v>
      </c>
      <c r="BL136" s="27" t="s">
        <v>7</v>
      </c>
      <c r="BM136" s="31"/>
    </row>
    <row r="137" spans="1:73" x14ac:dyDescent="0.25">
      <c r="A137" s="30">
        <v>152.22914361432771</v>
      </c>
      <c r="E137"/>
      <c r="BK137" s="27" t="s">
        <v>8</v>
      </c>
      <c r="BL137" s="27" t="s">
        <v>7</v>
      </c>
      <c r="BN137" s="31"/>
    </row>
    <row r="138" spans="1:73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  <c r="BK138" s="27" t="s">
        <v>8</v>
      </c>
      <c r="BL138" s="27" t="s">
        <v>7</v>
      </c>
      <c r="BO138" s="31"/>
    </row>
    <row r="139" spans="1:73" x14ac:dyDescent="0.25">
      <c r="A139" s="30">
        <v>138.07632073861922</v>
      </c>
      <c r="E139"/>
      <c r="BK139" s="27" t="s">
        <v>8</v>
      </c>
      <c r="BL139" s="27" t="s">
        <v>7</v>
      </c>
      <c r="BP139" s="31"/>
    </row>
    <row r="140" spans="1:73" x14ac:dyDescent="0.25">
      <c r="A140" s="30">
        <v>131.50125784630401</v>
      </c>
      <c r="C140" s="1">
        <v>0</v>
      </c>
      <c r="E140"/>
      <c r="BK140" s="27" t="s">
        <v>8</v>
      </c>
      <c r="BL140" s="27" t="s">
        <v>7</v>
      </c>
      <c r="BM140" s="27" t="s">
        <v>8</v>
      </c>
      <c r="BQ140" s="31"/>
    </row>
    <row r="141" spans="1:73" x14ac:dyDescent="0.25">
      <c r="A141" s="30">
        <v>125.23929318695619</v>
      </c>
      <c r="C141" s="1">
        <v>1</v>
      </c>
      <c r="E141"/>
      <c r="BK141" s="27" t="s">
        <v>8</v>
      </c>
      <c r="BL141" s="27" t="s">
        <v>7</v>
      </c>
      <c r="BM141" s="27" t="s">
        <v>8</v>
      </c>
      <c r="BN141" s="27" t="s">
        <v>7</v>
      </c>
      <c r="BR141" s="31"/>
    </row>
    <row r="142" spans="1:73" x14ac:dyDescent="0.25">
      <c r="A142" s="30">
        <v>119.27551732091065</v>
      </c>
      <c r="C142" s="1">
        <v>2</v>
      </c>
      <c r="E142"/>
      <c r="BK142" s="27" t="s">
        <v>8</v>
      </c>
      <c r="BL142" s="27" t="s">
        <v>7</v>
      </c>
      <c r="BM142" s="27" t="s">
        <v>8</v>
      </c>
      <c r="BN142" s="27" t="s">
        <v>7</v>
      </c>
      <c r="BS142" s="31"/>
    </row>
    <row r="143" spans="1:73" x14ac:dyDescent="0.25">
      <c r="A143" s="30">
        <v>113.59573078181967</v>
      </c>
      <c r="C143" s="1">
        <v>3</v>
      </c>
      <c r="E143"/>
      <c r="BK143" s="27" t="s">
        <v>8</v>
      </c>
      <c r="BL143" s="27" t="s">
        <v>7</v>
      </c>
      <c r="BN143" s="27" t="s">
        <v>7</v>
      </c>
      <c r="BO143" s="32" t="s">
        <v>8</v>
      </c>
      <c r="BQ143" s="32" t="s">
        <v>8</v>
      </c>
      <c r="BT143" s="31"/>
    </row>
    <row r="144" spans="1:73" x14ac:dyDescent="0.25">
      <c r="A144" s="30">
        <v>108.18641026839968</v>
      </c>
      <c r="C144" s="1">
        <v>4</v>
      </c>
      <c r="E144"/>
      <c r="BK144" s="27" t="s">
        <v>8</v>
      </c>
      <c r="BN144" s="33" t="s">
        <v>7</v>
      </c>
      <c r="BO144" s="27" t="s">
        <v>8</v>
      </c>
      <c r="BP144" s="27" t="s">
        <v>7</v>
      </c>
      <c r="BQ144" s="27" t="s">
        <v>8</v>
      </c>
      <c r="BR144" s="27" t="s">
        <v>7</v>
      </c>
      <c r="BU144" s="31"/>
    </row>
    <row r="145" spans="1:100" x14ac:dyDescent="0.25">
      <c r="A145" s="30">
        <v>103.03467644609493</v>
      </c>
      <c r="E145"/>
      <c r="BK145" s="27" t="s">
        <v>8</v>
      </c>
      <c r="BN145" s="27" t="s">
        <v>7</v>
      </c>
      <c r="BO145" s="27" t="s">
        <v>8</v>
      </c>
      <c r="BP145" s="27" t="s">
        <v>7</v>
      </c>
      <c r="BQ145" s="27" t="s">
        <v>8</v>
      </c>
      <c r="BR145" s="27" t="s">
        <v>7</v>
      </c>
      <c r="BV145" s="31"/>
    </row>
    <row r="146" spans="1:100" x14ac:dyDescent="0.25">
      <c r="A146" s="30">
        <v>98.128263281995174</v>
      </c>
      <c r="E146"/>
      <c r="BK146" s="27" t="s">
        <v>8</v>
      </c>
      <c r="BN146" s="27" t="s">
        <v>7</v>
      </c>
      <c r="BO146" s="27" t="s">
        <v>8</v>
      </c>
      <c r="BP146" s="27" t="s">
        <v>7</v>
      </c>
      <c r="BQ146" s="27" t="s">
        <v>8</v>
      </c>
      <c r="BR146" s="27" t="s">
        <v>7</v>
      </c>
      <c r="BW146" s="31"/>
    </row>
    <row r="147" spans="1:100" x14ac:dyDescent="0.25">
      <c r="A147" s="30">
        <v>93.455488839995397</v>
      </c>
      <c r="E147"/>
      <c r="BK147" s="27" t="s">
        <v>8</v>
      </c>
      <c r="BN147" s="27" t="s">
        <v>7</v>
      </c>
      <c r="BP147" s="27" t="s">
        <v>7</v>
      </c>
      <c r="BQ147" s="27" t="s">
        <v>8</v>
      </c>
      <c r="BR147" s="27" t="s">
        <v>7</v>
      </c>
      <c r="BS147" s="27" t="s">
        <v>8</v>
      </c>
      <c r="BX147" s="31"/>
    </row>
    <row r="148" spans="1:100" x14ac:dyDescent="0.25">
      <c r="A148" s="30">
        <v>89.005227466662276</v>
      </c>
      <c r="E148"/>
      <c r="BK148" s="27" t="s">
        <v>8</v>
      </c>
      <c r="BP148" s="27" t="s">
        <v>7</v>
      </c>
      <c r="BQ148" s="27" t="s">
        <v>8</v>
      </c>
      <c r="BR148" s="27" t="s">
        <v>7</v>
      </c>
      <c r="BS148" s="27" t="s">
        <v>8</v>
      </c>
      <c r="BT148" s="27" t="s">
        <v>7</v>
      </c>
      <c r="BY148" s="31"/>
    </row>
    <row r="149" spans="1:100" x14ac:dyDescent="0.25">
      <c r="A149" s="30">
        <v>84.766883301583121</v>
      </c>
      <c r="E149"/>
      <c r="BK149" s="27" t="s">
        <v>8</v>
      </c>
      <c r="BP149" s="27" t="s">
        <v>7</v>
      </c>
      <c r="BQ149" s="27" t="s">
        <v>8</v>
      </c>
      <c r="BR149" s="27" t="s">
        <v>7</v>
      </c>
      <c r="BS149" s="27" t="s">
        <v>8</v>
      </c>
      <c r="BT149" s="27" t="s">
        <v>7</v>
      </c>
      <c r="BZ149" s="31"/>
    </row>
    <row r="150" spans="1:100" x14ac:dyDescent="0.25">
      <c r="A150" s="30">
        <v>80.730365049126775</v>
      </c>
      <c r="E150"/>
      <c r="BK150" s="27" t="s">
        <v>8</v>
      </c>
      <c r="BP150" s="27" t="s">
        <v>7</v>
      </c>
      <c r="BQ150" s="27" t="s">
        <v>8</v>
      </c>
      <c r="BR150" s="27" t="s">
        <v>7</v>
      </c>
      <c r="BT150" s="27" t="s">
        <v>7</v>
      </c>
      <c r="BY150" s="27" t="s">
        <v>8</v>
      </c>
      <c r="CA150" s="31"/>
    </row>
    <row r="151" spans="1:100" x14ac:dyDescent="0.25">
      <c r="A151" s="30">
        <v>76.886061951549308</v>
      </c>
      <c r="E151"/>
      <c r="BK151" s="27" t="s">
        <v>8</v>
      </c>
      <c r="BP151" s="27" t="s">
        <v>7</v>
      </c>
      <c r="BT151" s="27" t="s">
        <v>7</v>
      </c>
      <c r="BU151" s="27" t="s">
        <v>8</v>
      </c>
      <c r="BY151" s="27" t="s">
        <v>8</v>
      </c>
      <c r="BZ151" s="27" t="s">
        <v>7</v>
      </c>
      <c r="CB151" s="31"/>
      <c r="CK151" s="27" t="s">
        <v>8</v>
      </c>
      <c r="CO151" s="31" t="s">
        <v>8</v>
      </c>
    </row>
    <row r="152" spans="1:100" x14ac:dyDescent="0.25">
      <c r="A152" s="30">
        <v>73.22482090623744</v>
      </c>
      <c r="E152"/>
      <c r="BK152" s="27" t="s">
        <v>8</v>
      </c>
      <c r="BT152" s="27" t="s">
        <v>7</v>
      </c>
      <c r="BU152" s="27" t="s">
        <v>8</v>
      </c>
      <c r="BV152" s="27" t="s">
        <v>7</v>
      </c>
      <c r="BY152" s="27" t="s">
        <v>8</v>
      </c>
      <c r="BZ152" s="27" t="s">
        <v>7</v>
      </c>
      <c r="CC152" s="31"/>
      <c r="CK152" s="27" t="s">
        <v>8</v>
      </c>
      <c r="CL152" s="27" t="s">
        <v>7</v>
      </c>
      <c r="CO152" s="27" t="s">
        <v>8</v>
      </c>
      <c r="CP152" s="31" t="s">
        <v>7</v>
      </c>
    </row>
    <row r="153" spans="1:100" x14ac:dyDescent="0.25">
      <c r="A153" s="30">
        <v>69.737924672607079</v>
      </c>
      <c r="C153" s="7"/>
      <c r="D153"/>
      <c r="E153"/>
      <c r="BK153" s="27" t="s">
        <v>8</v>
      </c>
      <c r="BT153" s="27" t="s">
        <v>7</v>
      </c>
      <c r="BU153" s="27" t="s">
        <v>8</v>
      </c>
      <c r="BV153" s="27" t="s">
        <v>7</v>
      </c>
      <c r="BY153" s="27" t="s">
        <v>8</v>
      </c>
      <c r="BZ153" s="27" t="s">
        <v>7</v>
      </c>
      <c r="CA153" s="27" t="s">
        <v>8</v>
      </c>
      <c r="CD153" s="31"/>
      <c r="CK153" s="27" t="s">
        <v>8</v>
      </c>
      <c r="CL153" s="27" t="s">
        <v>7</v>
      </c>
      <c r="CM153" s="27" t="s">
        <v>8</v>
      </c>
      <c r="CO153" s="27" t="s">
        <v>8</v>
      </c>
      <c r="CP153" s="27" t="s">
        <v>7</v>
      </c>
      <c r="CQ153" s="31"/>
    </row>
    <row r="154" spans="1:100" x14ac:dyDescent="0.25">
      <c r="A154" s="30">
        <v>66.417071116768639</v>
      </c>
      <c r="E154"/>
      <c r="BK154" s="27" t="s">
        <v>8</v>
      </c>
      <c r="BT154" s="27" t="s">
        <v>7</v>
      </c>
      <c r="BU154" s="27" t="s">
        <v>8</v>
      </c>
      <c r="BV154" s="27" t="s">
        <v>7</v>
      </c>
      <c r="BY154" s="34" t="s">
        <v>8</v>
      </c>
      <c r="BZ154" s="27" t="s">
        <v>7</v>
      </c>
      <c r="CA154" s="27" t="s">
        <v>8</v>
      </c>
      <c r="CB154" s="27" t="s">
        <v>7</v>
      </c>
      <c r="CE154" s="31"/>
      <c r="CK154" s="27" t="s">
        <v>8</v>
      </c>
      <c r="CL154" s="27" t="s">
        <v>7</v>
      </c>
      <c r="CM154" s="27" t="s">
        <v>8</v>
      </c>
      <c r="CN154" s="27" t="s">
        <v>7</v>
      </c>
      <c r="CO154" s="27" t="s">
        <v>8</v>
      </c>
      <c r="CP154" s="27" t="s">
        <v>7</v>
      </c>
      <c r="CR154" s="31"/>
    </row>
    <row r="155" spans="1:100" x14ac:dyDescent="0.25">
      <c r="A155" s="30">
        <v>63.254353444541557</v>
      </c>
      <c r="E155"/>
      <c r="BK155" s="27" t="s">
        <v>8</v>
      </c>
      <c r="BT155" s="27" t="s">
        <v>7</v>
      </c>
      <c r="BU155" s="27" t="s">
        <v>8</v>
      </c>
      <c r="BV155" s="27" t="s">
        <v>7</v>
      </c>
      <c r="BW155" s="27" t="s">
        <v>8</v>
      </c>
      <c r="BY155" s="27" t="s">
        <v>8</v>
      </c>
      <c r="BZ155" s="27" t="s">
        <v>7</v>
      </c>
      <c r="CA155" s="27" t="s">
        <v>8</v>
      </c>
      <c r="CB155" s="27" t="s">
        <v>7</v>
      </c>
      <c r="CC155" s="27" t="s">
        <v>8</v>
      </c>
      <c r="CF155" s="31"/>
      <c r="CK155" s="27" t="s">
        <v>8</v>
      </c>
      <c r="CL155" s="27" t="s">
        <v>7</v>
      </c>
      <c r="CM155" s="27" t="s">
        <v>8</v>
      </c>
      <c r="CN155" s="27" t="s">
        <v>7</v>
      </c>
      <c r="CO155" s="27" t="s">
        <v>8</v>
      </c>
      <c r="CP155" s="27" t="s">
        <v>7</v>
      </c>
      <c r="CS155" s="31"/>
      <c r="CU155" s="27" t="s">
        <v>8</v>
      </c>
    </row>
    <row r="156" spans="1:100" x14ac:dyDescent="0.25">
      <c r="A156" s="30">
        <v>60.242241375753864</v>
      </c>
      <c r="C156"/>
      <c r="D156"/>
      <c r="E156"/>
      <c r="BK156" s="27" t="s">
        <v>8</v>
      </c>
      <c r="BT156" s="27" t="s">
        <v>7</v>
      </c>
      <c r="BU156" s="27" t="s">
        <v>8</v>
      </c>
      <c r="BV156" s="27" t="s">
        <v>7</v>
      </c>
      <c r="BW156" s="27" t="s">
        <v>8</v>
      </c>
      <c r="BX156" s="27" t="s">
        <v>7</v>
      </c>
      <c r="BY156" s="27" t="s">
        <v>8</v>
      </c>
      <c r="BZ156" s="27" t="s">
        <v>7</v>
      </c>
      <c r="CB156" s="27" t="s">
        <v>7</v>
      </c>
      <c r="CC156" s="27" t="s">
        <v>8</v>
      </c>
      <c r="CD156" s="27" t="s">
        <v>7</v>
      </c>
      <c r="CG156" s="31" t="s">
        <v>8</v>
      </c>
      <c r="CK156" s="27" t="s">
        <v>8</v>
      </c>
      <c r="CL156" s="27" t="s">
        <v>7</v>
      </c>
      <c r="CN156" s="27" t="s">
        <v>7</v>
      </c>
      <c r="CP156" s="27" t="s">
        <v>7</v>
      </c>
      <c r="CQ156" s="27" t="s">
        <v>8</v>
      </c>
      <c r="CT156" s="31"/>
      <c r="CU156" s="27" t="s">
        <v>8</v>
      </c>
      <c r="CV156" s="27" t="s">
        <v>7</v>
      </c>
    </row>
    <row r="157" spans="1:100" x14ac:dyDescent="0.25">
      <c r="A157" s="30">
        <v>57.373563215003678</v>
      </c>
      <c r="E157"/>
      <c r="BK157" s="27" t="s">
        <v>8</v>
      </c>
      <c r="BT157" s="27" t="s">
        <v>7</v>
      </c>
      <c r="BU157" s="27" t="s">
        <v>8</v>
      </c>
      <c r="BV157" s="27" t="s">
        <v>7</v>
      </c>
      <c r="BW157" s="27" t="s">
        <v>8</v>
      </c>
      <c r="BX157" s="27" t="s">
        <v>7</v>
      </c>
      <c r="BY157" s="27" t="s">
        <v>8</v>
      </c>
      <c r="CB157" s="33" t="s">
        <v>7</v>
      </c>
      <c r="CC157" s="27" t="s">
        <v>8</v>
      </c>
      <c r="CD157" s="27" t="s">
        <v>7</v>
      </c>
      <c r="CG157" s="27" t="s">
        <v>8</v>
      </c>
      <c r="CH157" s="31" t="s">
        <v>7</v>
      </c>
      <c r="CK157" s="27" t="s">
        <v>8</v>
      </c>
      <c r="CP157" s="31" t="s">
        <v>7</v>
      </c>
      <c r="CQ157" s="27" t="s">
        <v>8</v>
      </c>
      <c r="CR157" s="27" t="s">
        <v>7</v>
      </c>
      <c r="CS157" s="27" t="s">
        <v>8</v>
      </c>
      <c r="CU157" s="31" t="s">
        <v>8</v>
      </c>
      <c r="CV157" s="27" t="s">
        <v>7</v>
      </c>
    </row>
    <row r="158" spans="1:100" x14ac:dyDescent="0.25">
      <c r="A158" s="30">
        <v>54.641488776193974</v>
      </c>
      <c r="E158"/>
      <c r="BK158" s="27" t="s">
        <v>8</v>
      </c>
      <c r="BT158" s="27" t="s">
        <v>7</v>
      </c>
      <c r="BU158" s="27" t="s">
        <v>8</v>
      </c>
      <c r="BV158" s="27" t="s">
        <v>7</v>
      </c>
      <c r="BX158" s="27" t="s">
        <v>7</v>
      </c>
      <c r="BY158" s="27" t="s">
        <v>8</v>
      </c>
      <c r="CB158" s="27" t="s">
        <v>7</v>
      </c>
      <c r="CC158" s="27" t="s">
        <v>8</v>
      </c>
      <c r="CD158" s="27" t="s">
        <v>7</v>
      </c>
      <c r="CG158" s="27" t="s">
        <v>8</v>
      </c>
      <c r="CH158" s="27" t="s">
        <v>7</v>
      </c>
      <c r="CI158" s="31" t="s">
        <v>8</v>
      </c>
      <c r="CK158" s="27" t="s">
        <v>8</v>
      </c>
      <c r="CO158" s="31"/>
      <c r="CP158" s="27" t="s">
        <v>7</v>
      </c>
      <c r="CQ158" s="27" t="s">
        <v>8</v>
      </c>
      <c r="CR158" s="27" t="s">
        <v>7</v>
      </c>
      <c r="CS158" s="27" t="s">
        <v>8</v>
      </c>
      <c r="CT158" s="27" t="s">
        <v>7</v>
      </c>
      <c r="CU158" s="27" t="s">
        <v>8</v>
      </c>
      <c r="CV158" s="27" t="s">
        <v>7</v>
      </c>
    </row>
    <row r="159" spans="1:100" x14ac:dyDescent="0.25">
      <c r="A159" s="30">
        <v>52.039513120184736</v>
      </c>
      <c r="E159"/>
      <c r="BK159" s="27" t="s">
        <v>8</v>
      </c>
      <c r="BT159" s="27" t="s">
        <v>7</v>
      </c>
      <c r="BU159" s="27" t="s">
        <v>8</v>
      </c>
      <c r="BX159" s="27" t="s">
        <v>7</v>
      </c>
      <c r="BY159" s="27" t="s">
        <v>8</v>
      </c>
      <c r="CB159" s="27" t="s">
        <v>7</v>
      </c>
      <c r="CC159" s="27" t="s">
        <v>8</v>
      </c>
      <c r="CD159" s="27" t="s">
        <v>7</v>
      </c>
      <c r="CG159" s="27" t="s">
        <v>8</v>
      </c>
      <c r="CH159" s="27" t="s">
        <v>7</v>
      </c>
      <c r="CI159" s="27" t="s">
        <v>8</v>
      </c>
      <c r="CJ159" s="31" t="s">
        <v>7</v>
      </c>
      <c r="CK159" s="27" t="s">
        <v>8</v>
      </c>
      <c r="CN159" s="31"/>
      <c r="CP159" s="27" t="s">
        <v>7</v>
      </c>
      <c r="CQ159" s="27" t="s">
        <v>8</v>
      </c>
      <c r="CR159" s="27" t="s">
        <v>7</v>
      </c>
      <c r="CS159" s="27" t="s">
        <v>8</v>
      </c>
      <c r="CT159" s="27" t="s">
        <v>7</v>
      </c>
      <c r="CU159" s="27" t="s">
        <v>8</v>
      </c>
      <c r="CV159" s="27" t="s">
        <v>7</v>
      </c>
    </row>
    <row r="160" spans="1:100" x14ac:dyDescent="0.25">
      <c r="A160" s="30">
        <v>49.561441066842605</v>
      </c>
      <c r="C160"/>
      <c r="E160"/>
      <c r="BE160" s="27" t="s">
        <v>8</v>
      </c>
      <c r="BK160" s="27" t="s">
        <v>8</v>
      </c>
      <c r="BT160" s="27" t="s">
        <v>7</v>
      </c>
      <c r="BU160" s="27" t="s">
        <v>8</v>
      </c>
      <c r="BX160" s="27" t="s">
        <v>7</v>
      </c>
      <c r="BY160" s="27" t="s">
        <v>8</v>
      </c>
      <c r="CB160" s="27" t="s">
        <v>7</v>
      </c>
      <c r="CD160" s="27" t="s">
        <v>7</v>
      </c>
      <c r="CG160" s="27" t="s">
        <v>8</v>
      </c>
      <c r="CH160" s="27" t="s">
        <v>7</v>
      </c>
      <c r="CI160" s="27" t="s">
        <v>8</v>
      </c>
      <c r="CJ160" s="27" t="s">
        <v>7</v>
      </c>
      <c r="CK160" s="27" t="s">
        <v>8</v>
      </c>
      <c r="CM160" s="31"/>
      <c r="CP160" s="27" t="s">
        <v>7</v>
      </c>
      <c r="CR160" s="27" t="s">
        <v>7</v>
      </c>
      <c r="CS160" s="27" t="s">
        <v>8</v>
      </c>
      <c r="CT160" s="27" t="s">
        <v>7</v>
      </c>
      <c r="CU160" s="27" t="s">
        <v>8</v>
      </c>
      <c r="CV160" s="27" t="s">
        <v>7</v>
      </c>
    </row>
    <row r="161" spans="1:105" x14ac:dyDescent="0.25">
      <c r="A161" s="30">
        <v>47.201372444612005</v>
      </c>
      <c r="E161"/>
      <c r="BE161" s="27" t="s">
        <v>8</v>
      </c>
      <c r="BF161" s="27" t="s">
        <v>7</v>
      </c>
      <c r="BK161" s="27" t="s">
        <v>8</v>
      </c>
      <c r="BT161" s="27" t="s">
        <v>7</v>
      </c>
      <c r="BU161" s="27" t="s">
        <v>8</v>
      </c>
      <c r="BX161" s="27" t="s">
        <v>7</v>
      </c>
      <c r="BY161" s="27" t="s">
        <v>8</v>
      </c>
      <c r="CD161" s="27" t="s">
        <v>7</v>
      </c>
      <c r="CG161" s="34" t="s">
        <v>8</v>
      </c>
      <c r="CH161" s="27" t="s">
        <v>7</v>
      </c>
      <c r="CI161" s="27" t="s">
        <v>8</v>
      </c>
      <c r="CJ161" s="27" t="s">
        <v>7</v>
      </c>
      <c r="CL161" s="31"/>
      <c r="CR161" s="27" t="s">
        <v>7</v>
      </c>
      <c r="CS161" s="27" t="s">
        <v>8</v>
      </c>
      <c r="CT161" s="27" t="s">
        <v>7</v>
      </c>
      <c r="CU161" s="27" t="s">
        <v>8</v>
      </c>
      <c r="CV161" s="31" t="s">
        <v>7</v>
      </c>
    </row>
    <row r="162" spans="1:105" x14ac:dyDescent="0.25">
      <c r="A162" s="30">
        <v>44.95368804248762</v>
      </c>
      <c r="E162"/>
      <c r="BE162" s="27" t="s">
        <v>8</v>
      </c>
      <c r="BF162" s="27" t="s">
        <v>7</v>
      </c>
      <c r="BK162" s="27" t="s">
        <v>8</v>
      </c>
      <c r="BT162" s="27" t="s">
        <v>7</v>
      </c>
      <c r="BU162" s="27" t="s">
        <v>8</v>
      </c>
      <c r="BX162" s="27" t="s">
        <v>7</v>
      </c>
      <c r="BY162" s="27" t="s">
        <v>8</v>
      </c>
      <c r="CD162" s="27" t="s">
        <v>7</v>
      </c>
      <c r="CE162" s="27" t="s">
        <v>8</v>
      </c>
      <c r="CG162" s="27" t="s">
        <v>8</v>
      </c>
      <c r="CH162" s="27" t="s">
        <v>7</v>
      </c>
      <c r="CI162" s="27" t="s">
        <v>8</v>
      </c>
      <c r="CK162" s="31"/>
      <c r="CR162" s="27" t="s">
        <v>7</v>
      </c>
      <c r="CT162" s="27" t="s">
        <v>7</v>
      </c>
      <c r="CU162" s="31" t="s">
        <v>8</v>
      </c>
      <c r="CV162" s="27" t="s">
        <v>7</v>
      </c>
    </row>
    <row r="163" spans="1:105" x14ac:dyDescent="0.25">
      <c r="A163" s="30">
        <v>42.81303623094059</v>
      </c>
      <c r="E163"/>
      <c r="BE163" s="27" t="s">
        <v>8</v>
      </c>
      <c r="BF163" s="27" t="s">
        <v>7</v>
      </c>
      <c r="BK163" s="27" t="s">
        <v>8</v>
      </c>
      <c r="BT163" s="27" t="s">
        <v>7</v>
      </c>
      <c r="BU163" s="27" t="s">
        <v>8</v>
      </c>
      <c r="BX163" s="27" t="s">
        <v>7</v>
      </c>
      <c r="BY163" s="27" t="s">
        <v>8</v>
      </c>
      <c r="CD163" s="27" t="s">
        <v>7</v>
      </c>
      <c r="CE163" s="27" t="s">
        <v>8</v>
      </c>
      <c r="CF163" s="27" t="s">
        <v>7</v>
      </c>
      <c r="CG163" s="27" t="s">
        <v>8</v>
      </c>
      <c r="CH163" s="27" t="s">
        <v>7</v>
      </c>
      <c r="CI163" s="27" t="s">
        <v>8</v>
      </c>
      <c r="CJ163" s="31"/>
      <c r="CT163" s="31" t="s">
        <v>7</v>
      </c>
      <c r="CV163" s="27" t="s">
        <v>7</v>
      </c>
    </row>
    <row r="164" spans="1:105" x14ac:dyDescent="0.25">
      <c r="A164" s="30">
        <v>40.774320219943419</v>
      </c>
      <c r="E164"/>
      <c r="BE164" s="27" t="s">
        <v>8</v>
      </c>
      <c r="BF164" s="27" t="s">
        <v>7</v>
      </c>
      <c r="BK164" s="34" t="s">
        <v>8</v>
      </c>
      <c r="BT164" s="27" t="s">
        <v>7</v>
      </c>
      <c r="BX164" s="27" t="s">
        <v>7</v>
      </c>
      <c r="CD164" s="27" t="s">
        <v>7</v>
      </c>
      <c r="CE164" s="27" t="s">
        <v>8</v>
      </c>
      <c r="CF164" s="27" t="s">
        <v>7</v>
      </c>
      <c r="CG164" s="27" t="s">
        <v>8</v>
      </c>
      <c r="CH164" s="31" t="s">
        <v>7</v>
      </c>
      <c r="CI164" s="31" t="s">
        <v>8</v>
      </c>
      <c r="CV164" s="27" t="s">
        <v>7</v>
      </c>
      <c r="CW164" s="27" t="s">
        <v>8</v>
      </c>
    </row>
    <row r="165" spans="1:105" x14ac:dyDescent="0.25">
      <c r="A165" s="30">
        <v>38.832685923755633</v>
      </c>
      <c r="E165"/>
      <c r="BE165" s="27" t="s">
        <v>8</v>
      </c>
      <c r="BF165" s="27" t="s">
        <v>7</v>
      </c>
      <c r="BI165" s="27" t="s">
        <v>8</v>
      </c>
      <c r="BK165" s="27" t="s">
        <v>8</v>
      </c>
      <c r="CD165" s="27" t="s">
        <v>7</v>
      </c>
      <c r="CE165" s="27" t="s">
        <v>8</v>
      </c>
      <c r="CF165" s="32" t="s">
        <v>7</v>
      </c>
      <c r="CG165" s="31"/>
      <c r="CH165" s="32" t="s">
        <v>7</v>
      </c>
      <c r="CV165" s="27" t="s">
        <v>7</v>
      </c>
      <c r="CW165" s="27" t="s">
        <v>8</v>
      </c>
      <c r="CX165" s="27" t="s">
        <v>7</v>
      </c>
    </row>
    <row r="166" spans="1:105" x14ac:dyDescent="0.25">
      <c r="A166" s="30">
        <v>36.983510403576794</v>
      </c>
      <c r="E166"/>
      <c r="BE166" s="27" t="s">
        <v>8</v>
      </c>
      <c r="BF166" s="27" t="s">
        <v>7</v>
      </c>
      <c r="BG166" s="27" t="s">
        <v>8</v>
      </c>
      <c r="BI166" s="27" t="s">
        <v>8</v>
      </c>
      <c r="BJ166" s="27" t="s">
        <v>7</v>
      </c>
      <c r="BK166" s="27" t="s">
        <v>8</v>
      </c>
      <c r="CD166" s="27" t="s">
        <v>7</v>
      </c>
      <c r="CE166" s="27" t="s">
        <v>8</v>
      </c>
      <c r="CF166" s="31"/>
      <c r="CV166" s="27" t="s">
        <v>7</v>
      </c>
      <c r="CW166" s="27" t="s">
        <v>8</v>
      </c>
      <c r="CX166" s="27" t="s">
        <v>7</v>
      </c>
    </row>
    <row r="167" spans="1:105" x14ac:dyDescent="0.25">
      <c r="A167" s="30">
        <v>35.222390860549325</v>
      </c>
      <c r="E167"/>
      <c r="BE167" s="27" t="s">
        <v>8</v>
      </c>
      <c r="BF167" s="27" t="s">
        <v>7</v>
      </c>
      <c r="BG167" s="27" t="s">
        <v>8</v>
      </c>
      <c r="BH167" s="27" t="s">
        <v>7</v>
      </c>
      <c r="BI167" s="27" t="s">
        <v>8</v>
      </c>
      <c r="BJ167" s="27" t="s">
        <v>7</v>
      </c>
      <c r="BK167" s="27" t="s">
        <v>8</v>
      </c>
      <c r="CD167" s="27" t="s">
        <v>7</v>
      </c>
      <c r="CE167" s="31" t="s">
        <v>8</v>
      </c>
      <c r="CV167" s="27" t="s">
        <v>7</v>
      </c>
      <c r="CW167" s="27" t="s">
        <v>8</v>
      </c>
      <c r="CX167" s="27" t="s">
        <v>7</v>
      </c>
    </row>
    <row r="168" spans="1:105" x14ac:dyDescent="0.25">
      <c r="A168" s="30">
        <v>33.545134152904119</v>
      </c>
      <c r="E168"/>
      <c r="BE168" s="27" t="s">
        <v>8</v>
      </c>
      <c r="BF168" s="27" t="s">
        <v>7</v>
      </c>
      <c r="BG168" s="27" t="s">
        <v>8</v>
      </c>
      <c r="BH168" s="27" t="s">
        <v>7</v>
      </c>
      <c r="BI168" s="27" t="s">
        <v>8</v>
      </c>
      <c r="BJ168" s="27" t="s">
        <v>7</v>
      </c>
      <c r="BK168" s="27" t="s">
        <v>8</v>
      </c>
      <c r="CD168" s="31" t="s">
        <v>7</v>
      </c>
      <c r="CV168" s="27" t="s">
        <v>7</v>
      </c>
      <c r="CW168" s="27" t="s">
        <v>8</v>
      </c>
      <c r="CX168" s="27" t="s">
        <v>7</v>
      </c>
      <c r="CY168" s="27" t="s">
        <v>8</v>
      </c>
    </row>
    <row r="169" spans="1:105" x14ac:dyDescent="0.25">
      <c r="A169" s="30">
        <v>31.947746812289637</v>
      </c>
      <c r="E169"/>
      <c r="BE169" s="27" t="s">
        <v>8</v>
      </c>
      <c r="BF169" s="27" t="s">
        <v>7</v>
      </c>
      <c r="BH169" s="27" t="s">
        <v>7</v>
      </c>
      <c r="BI169" s="27" t="s">
        <v>8</v>
      </c>
      <c r="BJ169" s="27" t="s">
        <v>7</v>
      </c>
      <c r="BK169" s="27" t="s">
        <v>8</v>
      </c>
      <c r="CC169" s="31"/>
      <c r="CV169" s="27" t="s">
        <v>7</v>
      </c>
      <c r="CW169" s="27" t="s">
        <v>8</v>
      </c>
      <c r="CX169" s="27" t="s">
        <v>7</v>
      </c>
      <c r="CY169" s="27" t="s">
        <v>8</v>
      </c>
      <c r="CZ169" s="27" t="s">
        <v>7</v>
      </c>
    </row>
    <row r="170" spans="1:105" x14ac:dyDescent="0.25">
      <c r="A170" s="30">
        <v>30.426425535513939</v>
      </c>
      <c r="E170"/>
      <c r="BE170" s="27" t="s">
        <v>8</v>
      </c>
      <c r="BH170" s="27" t="s">
        <v>7</v>
      </c>
      <c r="BJ170" s="27" t="s">
        <v>7</v>
      </c>
      <c r="BK170" s="27" t="s">
        <v>8</v>
      </c>
      <c r="CB170" s="31"/>
      <c r="CV170" s="27" t="s">
        <v>7</v>
      </c>
      <c r="CW170" s="27" t="s">
        <v>8</v>
      </c>
      <c r="CX170" s="27" t="s">
        <v>7</v>
      </c>
      <c r="CY170" s="27" t="s">
        <v>8</v>
      </c>
      <c r="CZ170" s="27" t="s">
        <v>7</v>
      </c>
    </row>
    <row r="171" spans="1:105" x14ac:dyDescent="0.25">
      <c r="A171" s="30">
        <v>28.977548129060892</v>
      </c>
      <c r="E171"/>
      <c r="BE171" s="27" t="s">
        <v>8</v>
      </c>
      <c r="BJ171" s="33" t="s">
        <v>7</v>
      </c>
      <c r="BK171" s="27" t="s">
        <v>8</v>
      </c>
      <c r="CA171" s="31"/>
      <c r="CV171" s="27" t="s">
        <v>7</v>
      </c>
      <c r="CX171" s="27" t="s">
        <v>7</v>
      </c>
      <c r="CY171" s="27" t="s">
        <v>8</v>
      </c>
      <c r="CZ171" s="27" t="s">
        <v>7</v>
      </c>
    </row>
    <row r="172" spans="1:105" x14ac:dyDescent="0.25">
      <c r="A172" s="30">
        <v>27.597664884819896</v>
      </c>
      <c r="E172"/>
      <c r="BE172" s="27" t="s">
        <v>8</v>
      </c>
      <c r="BJ172" s="27" t="s">
        <v>7</v>
      </c>
      <c r="BK172" s="27" t="s">
        <v>8</v>
      </c>
      <c r="BZ172" s="31"/>
      <c r="CX172" s="27" t="s">
        <v>7</v>
      </c>
      <c r="CZ172" s="27" t="s">
        <v>7</v>
      </c>
    </row>
    <row r="173" spans="1:105" x14ac:dyDescent="0.25">
      <c r="A173" s="30">
        <v>26.283490366495137</v>
      </c>
      <c r="E173"/>
      <c r="BE173" s="27" t="s">
        <v>8</v>
      </c>
      <c r="BJ173" s="27" t="s">
        <v>7</v>
      </c>
      <c r="BY173" s="31"/>
      <c r="CZ173" s="27" t="s">
        <v>7</v>
      </c>
      <c r="DA173" s="27" t="s">
        <v>8</v>
      </c>
    </row>
    <row r="174" spans="1:105" x14ac:dyDescent="0.25">
      <c r="A174" s="30">
        <v>25.031895587138223</v>
      </c>
      <c r="E174"/>
      <c r="BE174" s="27" t="s">
        <v>8</v>
      </c>
      <c r="BX174" s="31"/>
      <c r="CZ174" s="27" t="s">
        <v>7</v>
      </c>
      <c r="DA174" s="27" t="s">
        <v>8</v>
      </c>
    </row>
    <row r="175" spans="1:105" x14ac:dyDescent="0.25">
      <c r="A175" s="30">
        <v>23.839900559179259</v>
      </c>
      <c r="E175"/>
      <c r="BE175" s="27" t="s">
        <v>8</v>
      </c>
      <c r="BW175" s="31"/>
      <c r="CZ175" s="27" t="s">
        <v>7</v>
      </c>
      <c r="DA175" s="27" t="s">
        <v>8</v>
      </c>
    </row>
    <row r="176" spans="1:105" x14ac:dyDescent="0.25">
      <c r="A176" s="30">
        <v>22.704667199218342</v>
      </c>
      <c r="E176"/>
      <c r="BE176" s="27" t="s">
        <v>8</v>
      </c>
      <c r="BV176" s="31"/>
      <c r="CZ176" s="27" t="s">
        <v>7</v>
      </c>
      <c r="DA176" s="27" t="s">
        <v>8</v>
      </c>
    </row>
    <row r="177" spans="1:104" x14ac:dyDescent="0.25">
      <c r="A177" s="30">
        <v>21.623492570684135</v>
      </c>
      <c r="E177"/>
      <c r="BE177" s="27" t="s">
        <v>8</v>
      </c>
      <c r="BU177" s="31"/>
      <c r="CZ177" s="27" t="s">
        <v>7</v>
      </c>
    </row>
    <row r="178" spans="1:104" x14ac:dyDescent="0.25">
      <c r="A178" s="30">
        <v>20.593802448270605</v>
      </c>
      <c r="C178" s="7"/>
      <c r="D178"/>
      <c r="E178"/>
      <c r="BE178" s="27" t="s">
        <v>8</v>
      </c>
      <c r="BT178" s="31"/>
    </row>
    <row r="179" spans="1:104" x14ac:dyDescent="0.25">
      <c r="A179" s="30">
        <v>19.613145188829147</v>
      </c>
      <c r="E179"/>
      <c r="BE179" s="27" t="s">
        <v>8</v>
      </c>
      <c r="BS179" s="31"/>
    </row>
    <row r="180" spans="1:104" x14ac:dyDescent="0.25">
      <c r="A180" s="30">
        <v>18.679185894122998</v>
      </c>
      <c r="E180"/>
      <c r="BE180" s="27" t="s">
        <v>8</v>
      </c>
      <c r="BR180" s="31"/>
    </row>
    <row r="181" spans="1:104" x14ac:dyDescent="0.25">
      <c r="A181" s="30">
        <v>17.78970085154571</v>
      </c>
      <c r="C181"/>
      <c r="D181"/>
      <c r="E181"/>
      <c r="AW181" s="27" t="s">
        <v>8</v>
      </c>
      <c r="BE181" s="27" t="s">
        <v>8</v>
      </c>
      <c r="BQ181" s="31"/>
    </row>
    <row r="182" spans="1:104" x14ac:dyDescent="0.25">
      <c r="A182" s="30">
        <v>16.942572239567344</v>
      </c>
      <c r="E182"/>
      <c r="AW182" s="27" t="s">
        <v>8</v>
      </c>
      <c r="AX182" s="27" t="s">
        <v>7</v>
      </c>
      <c r="AY182" s="27" t="s">
        <v>8</v>
      </c>
      <c r="BE182" s="27" t="s">
        <v>8</v>
      </c>
      <c r="BP182" s="31"/>
    </row>
    <row r="183" spans="1:104" x14ac:dyDescent="0.25">
      <c r="A183" s="30">
        <v>16.135783085302233</v>
      </c>
      <c r="E183"/>
      <c r="AW183" s="27" t="s">
        <v>8</v>
      </c>
      <c r="AX183" s="27" t="s">
        <v>7</v>
      </c>
      <c r="AY183" s="27" t="s">
        <v>8</v>
      </c>
      <c r="AZ183" s="27" t="s">
        <v>7</v>
      </c>
      <c r="BE183" s="27" t="s">
        <v>8</v>
      </c>
      <c r="BO183" s="31"/>
    </row>
    <row r="184" spans="1:104" x14ac:dyDescent="0.25">
      <c r="A184" s="30">
        <v>15.367412462192602</v>
      </c>
      <c r="E184"/>
      <c r="AW184" s="27" t="s">
        <v>8</v>
      </c>
      <c r="AX184" s="27" t="s">
        <v>7</v>
      </c>
      <c r="AY184" s="27" t="s">
        <v>8</v>
      </c>
      <c r="AZ184" s="27" t="s">
        <v>7</v>
      </c>
      <c r="BE184" s="27" t="s">
        <v>8</v>
      </c>
      <c r="BN184" s="31"/>
    </row>
    <row r="185" spans="1:104" x14ac:dyDescent="0.25">
      <c r="A185" s="30">
        <v>14.635630916373906</v>
      </c>
      <c r="C185"/>
      <c r="E185"/>
      <c r="AW185" s="27" t="s">
        <v>8</v>
      </c>
      <c r="AX185" s="27" t="s">
        <v>7</v>
      </c>
      <c r="AY185" s="27" t="s">
        <v>8</v>
      </c>
      <c r="AZ185" s="27" t="s">
        <v>7</v>
      </c>
      <c r="BE185" s="27" t="s">
        <v>8</v>
      </c>
      <c r="BM185" s="31"/>
    </row>
    <row r="186" spans="1:104" x14ac:dyDescent="0.25">
      <c r="A186" s="30">
        <v>13.938696110832291</v>
      </c>
      <c r="E186"/>
      <c r="AW186" s="27" t="s">
        <v>8</v>
      </c>
      <c r="AX186" s="27" t="s">
        <v>7</v>
      </c>
      <c r="AY186" s="27" t="s">
        <v>8</v>
      </c>
      <c r="AZ186" s="27" t="s">
        <v>7</v>
      </c>
      <c r="BC186" s="27" t="s">
        <v>8</v>
      </c>
      <c r="BE186" s="27" t="s">
        <v>8</v>
      </c>
      <c r="BL186" s="31"/>
    </row>
    <row r="187" spans="1:104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W187" s="27" t="s">
        <v>8</v>
      </c>
      <c r="AX187" s="27" t="s">
        <v>7</v>
      </c>
      <c r="AZ187" s="27" t="s">
        <v>7</v>
      </c>
      <c r="BC187" s="27" t="s">
        <v>8</v>
      </c>
      <c r="BD187" s="27" t="s">
        <v>7</v>
      </c>
      <c r="BE187" s="27" t="s">
        <v>8</v>
      </c>
      <c r="BK187" s="31"/>
    </row>
    <row r="188" spans="1:104" x14ac:dyDescent="0.25">
      <c r="A188" s="30">
        <v>12.64280826379346</v>
      </c>
      <c r="E188"/>
      <c r="K188" s="27" t="s">
        <v>8</v>
      </c>
      <c r="M188" s="27" t="s">
        <v>8</v>
      </c>
      <c r="AW188" s="27" t="s">
        <v>8</v>
      </c>
      <c r="AZ188" s="27" t="s">
        <v>7</v>
      </c>
      <c r="BC188" s="27" t="s">
        <v>8</v>
      </c>
      <c r="BD188" s="27" t="s">
        <v>7</v>
      </c>
      <c r="BE188" s="27" t="s">
        <v>8</v>
      </c>
      <c r="BJ188" s="31"/>
    </row>
    <row r="189" spans="1:104" x14ac:dyDescent="0.25">
      <c r="A189" s="30">
        <v>12.04076977504139</v>
      </c>
      <c r="E189"/>
      <c r="K189" s="27" t="s">
        <v>8</v>
      </c>
      <c r="L189" s="27" t="s">
        <v>7</v>
      </c>
      <c r="M189" s="27" t="s">
        <v>8</v>
      </c>
      <c r="N189" s="27" t="s">
        <v>7</v>
      </c>
      <c r="AW189" s="27" t="s">
        <v>8</v>
      </c>
      <c r="AZ189" s="27" t="s">
        <v>7</v>
      </c>
      <c r="BA189" s="27" t="s">
        <v>8</v>
      </c>
      <c r="BC189" s="27" t="s">
        <v>8</v>
      </c>
      <c r="BD189" s="27" t="s">
        <v>7</v>
      </c>
      <c r="BE189" s="27" t="s">
        <v>8</v>
      </c>
      <c r="BI189" s="31"/>
    </row>
    <row r="190" spans="1:104" x14ac:dyDescent="0.25">
      <c r="A190" s="30">
        <v>11.467399785753704</v>
      </c>
      <c r="E190" t="s">
        <v>8</v>
      </c>
      <c r="K190" s="27" t="s">
        <v>8</v>
      </c>
      <c r="L190" s="27" t="s">
        <v>7</v>
      </c>
      <c r="M190" s="27" t="s">
        <v>8</v>
      </c>
      <c r="N190" s="27" t="s">
        <v>7</v>
      </c>
      <c r="AW190" s="27" t="s">
        <v>8</v>
      </c>
      <c r="AZ190" s="27" t="s">
        <v>7</v>
      </c>
      <c r="BA190" s="27" t="s">
        <v>8</v>
      </c>
      <c r="BB190" s="27" t="s">
        <v>7</v>
      </c>
      <c r="BC190" s="27" t="s">
        <v>8</v>
      </c>
      <c r="BD190" s="27" t="s">
        <v>7</v>
      </c>
      <c r="BE190" s="27" t="s">
        <v>8</v>
      </c>
      <c r="BH190" s="31"/>
    </row>
    <row r="191" spans="1:104" x14ac:dyDescent="0.25">
      <c r="A191" s="30">
        <v>10.921333129289241</v>
      </c>
      <c r="E191" t="s">
        <v>8</v>
      </c>
      <c r="F191" s="27" t="s">
        <v>7</v>
      </c>
      <c r="K191" s="27" t="s">
        <v>8</v>
      </c>
      <c r="L191" s="27" t="s">
        <v>7</v>
      </c>
      <c r="N191" s="27" t="s">
        <v>7</v>
      </c>
      <c r="AW191" s="27" t="s">
        <v>8</v>
      </c>
      <c r="AZ191" s="27" t="s">
        <v>7</v>
      </c>
      <c r="BA191" s="27" t="s">
        <v>8</v>
      </c>
      <c r="BB191" s="27" t="s">
        <v>7</v>
      </c>
      <c r="BC191" s="27" t="s">
        <v>8</v>
      </c>
      <c r="BD191" s="27" t="s">
        <v>7</v>
      </c>
      <c r="BG191" s="31"/>
    </row>
    <row r="192" spans="1:104" x14ac:dyDescent="0.25">
      <c r="A192" s="30">
        <v>10.401269646942135</v>
      </c>
      <c r="E192" t="s">
        <v>8</v>
      </c>
      <c r="F192" s="27" t="s">
        <v>7</v>
      </c>
      <c r="K192" s="27" t="s">
        <v>8</v>
      </c>
      <c r="N192" s="27" t="s">
        <v>7</v>
      </c>
      <c r="AW192" s="27" t="s">
        <v>8</v>
      </c>
      <c r="AZ192" s="27" t="s">
        <v>7</v>
      </c>
      <c r="BA192" s="27" t="s">
        <v>8</v>
      </c>
      <c r="BB192" s="27" t="s">
        <v>7</v>
      </c>
      <c r="BC192" s="27" t="s">
        <v>8</v>
      </c>
      <c r="BF192" s="31"/>
    </row>
    <row r="193" spans="1:57" x14ac:dyDescent="0.25">
      <c r="A193" s="30">
        <v>9.9059710923258422</v>
      </c>
      <c r="E193" t="s">
        <v>8</v>
      </c>
      <c r="F193" s="27" t="s">
        <v>7</v>
      </c>
      <c r="K193" s="27" t="s">
        <v>8</v>
      </c>
      <c r="N193" s="27" t="s">
        <v>7</v>
      </c>
      <c r="O193" s="27" t="s">
        <v>8</v>
      </c>
      <c r="AQ193" s="27" t="s">
        <v>8</v>
      </c>
      <c r="AW193" s="27" t="s">
        <v>8</v>
      </c>
      <c r="AZ193" s="27" t="s">
        <v>7</v>
      </c>
      <c r="BA193" s="27" t="s">
        <v>8</v>
      </c>
      <c r="BB193" s="27" t="s">
        <v>7</v>
      </c>
      <c r="BE193" s="31"/>
    </row>
    <row r="194" spans="1:57" x14ac:dyDescent="0.25">
      <c r="A194" s="30">
        <v>9.4342581831674686</v>
      </c>
      <c r="E194" t="s">
        <v>8</v>
      </c>
      <c r="F194" s="27" t="s">
        <v>7</v>
      </c>
      <c r="G194" s="27" t="s">
        <v>8</v>
      </c>
      <c r="I194" s="27" t="s">
        <v>8</v>
      </c>
      <c r="K194" s="27" t="s">
        <v>8</v>
      </c>
      <c r="N194" s="27" t="s">
        <v>7</v>
      </c>
      <c r="O194" s="27" t="s">
        <v>8</v>
      </c>
      <c r="P194" s="27" t="s">
        <v>7</v>
      </c>
      <c r="AQ194" s="27" t="s">
        <v>8</v>
      </c>
      <c r="AR194" s="27" t="s">
        <v>7</v>
      </c>
      <c r="AW194" s="27" t="s">
        <v>8</v>
      </c>
      <c r="AZ194" s="27" t="s">
        <v>7</v>
      </c>
      <c r="BD194" s="31"/>
    </row>
    <row r="195" spans="1:57" x14ac:dyDescent="0.25">
      <c r="A195" s="30">
        <v>8.9850077934928265</v>
      </c>
      <c r="E195" t="s">
        <v>8</v>
      </c>
      <c r="F195" s="27" t="s">
        <v>7</v>
      </c>
      <c r="G195" s="27" t="s">
        <v>8</v>
      </c>
      <c r="H195" s="27" t="s">
        <v>7</v>
      </c>
      <c r="I195" s="27" t="s">
        <v>8</v>
      </c>
      <c r="J195" s="27" t="s">
        <v>7</v>
      </c>
      <c r="K195" s="27" t="s">
        <v>8</v>
      </c>
      <c r="N195" s="27" t="s">
        <v>7</v>
      </c>
      <c r="O195" s="27" t="s">
        <v>8</v>
      </c>
      <c r="P195" s="27" t="s">
        <v>7</v>
      </c>
      <c r="AQ195" s="27" t="s">
        <v>8</v>
      </c>
      <c r="AR195" s="27" t="s">
        <v>7</v>
      </c>
      <c r="AW195" s="27" t="s">
        <v>8</v>
      </c>
      <c r="BC195" s="31"/>
    </row>
    <row r="196" spans="1:57" x14ac:dyDescent="0.25">
      <c r="A196" s="30">
        <v>8.5571502795169767</v>
      </c>
      <c r="E196" t="s">
        <v>8</v>
      </c>
      <c r="F196" s="27" t="s">
        <v>7</v>
      </c>
      <c r="G196" s="27" t="s">
        <v>8</v>
      </c>
      <c r="H196" s="27" t="s">
        <v>7</v>
      </c>
      <c r="I196" s="27" t="s">
        <v>8</v>
      </c>
      <c r="J196" s="27" t="s">
        <v>7</v>
      </c>
      <c r="K196" s="27" t="s">
        <v>8</v>
      </c>
      <c r="N196" s="27" t="s">
        <v>7</v>
      </c>
      <c r="P196" s="27" t="s">
        <v>7</v>
      </c>
      <c r="Q196" s="27" t="s">
        <v>8</v>
      </c>
      <c r="AQ196" s="27" t="s">
        <v>8</v>
      </c>
      <c r="AR196" s="27" t="s">
        <v>7</v>
      </c>
      <c r="AW196" s="27" t="s">
        <v>8</v>
      </c>
      <c r="BB196" s="31"/>
    </row>
    <row r="197" spans="1:57" x14ac:dyDescent="0.25">
      <c r="A197" s="30">
        <v>8.1496669328733109</v>
      </c>
      <c r="E197" t="s">
        <v>8</v>
      </c>
      <c r="F197" s="27" t="s">
        <v>7</v>
      </c>
      <c r="H197" s="27" t="s">
        <v>7</v>
      </c>
      <c r="J197" s="27" t="s">
        <v>7</v>
      </c>
      <c r="P197" s="27" t="s">
        <v>7</v>
      </c>
      <c r="Q197" s="27" t="s">
        <v>8</v>
      </c>
      <c r="R197" s="27" t="s">
        <v>7</v>
      </c>
      <c r="AC197" s="27" t="s">
        <v>8</v>
      </c>
      <c r="AQ197" s="27" t="s">
        <v>8</v>
      </c>
      <c r="AR197" s="27" t="s">
        <v>7</v>
      </c>
      <c r="AS197" s="27" t="s">
        <v>8</v>
      </c>
      <c r="AW197" s="27" t="s">
        <v>8</v>
      </c>
      <c r="BA197" s="31"/>
    </row>
    <row r="198" spans="1:57" x14ac:dyDescent="0.25">
      <c r="A198" s="30">
        <v>7.7615875551174378</v>
      </c>
      <c r="E198" t="s">
        <v>8</v>
      </c>
      <c r="P198" s="27" t="s">
        <v>7</v>
      </c>
      <c r="Q198" s="27" t="s">
        <v>8</v>
      </c>
      <c r="R198" s="27" t="s">
        <v>7</v>
      </c>
      <c r="AC198" s="27" t="s">
        <v>8</v>
      </c>
      <c r="AD198" s="27" t="s">
        <v>7</v>
      </c>
      <c r="AE198" s="27" t="s">
        <v>8</v>
      </c>
      <c r="AK198" s="27" t="s">
        <v>8</v>
      </c>
      <c r="AQ198" s="27" t="s">
        <v>8</v>
      </c>
      <c r="AR198" s="27" t="s">
        <v>7</v>
      </c>
      <c r="AS198" s="27" t="s">
        <v>8</v>
      </c>
      <c r="AT198" s="27" t="s">
        <v>7</v>
      </c>
      <c r="AU198" s="27" t="s">
        <v>8</v>
      </c>
      <c r="AW198" s="27" t="s">
        <v>8</v>
      </c>
      <c r="AZ198" s="31"/>
    </row>
    <row r="199" spans="1:57" x14ac:dyDescent="0.25">
      <c r="A199" s="30">
        <v>7.3919881477308929</v>
      </c>
      <c r="E199" t="s">
        <v>8</v>
      </c>
      <c r="P199" s="27" t="s">
        <v>7</v>
      </c>
      <c r="R199" s="27" t="s">
        <v>7</v>
      </c>
      <c r="Y199" s="27" t="s">
        <v>8</v>
      </c>
      <c r="AA199" s="27" t="s">
        <v>8</v>
      </c>
      <c r="AC199" s="27" t="s">
        <v>8</v>
      </c>
      <c r="AD199" s="27" t="s">
        <v>7</v>
      </c>
      <c r="AE199" s="27" t="s">
        <v>8</v>
      </c>
      <c r="AF199" s="27" t="s">
        <v>7</v>
      </c>
      <c r="AK199" s="27" t="s">
        <v>8</v>
      </c>
      <c r="AL199" s="27" t="s">
        <v>7</v>
      </c>
      <c r="AQ199" s="27" t="s">
        <v>8</v>
      </c>
      <c r="AR199" s="27" t="s">
        <v>7</v>
      </c>
      <c r="AS199" s="27" t="s">
        <v>8</v>
      </c>
      <c r="AT199" s="27" t="s">
        <v>7</v>
      </c>
      <c r="AU199" s="27" t="s">
        <v>8</v>
      </c>
      <c r="AV199" s="27" t="s">
        <v>7</v>
      </c>
      <c r="AW199" s="27" t="s">
        <v>8</v>
      </c>
      <c r="AY199" s="31"/>
    </row>
    <row r="200" spans="1:57" x14ac:dyDescent="0.25">
      <c r="A200" s="30">
        <v>7.0399887121246598</v>
      </c>
      <c r="E200" t="s">
        <v>8</v>
      </c>
      <c r="R200" s="27" t="s">
        <v>7</v>
      </c>
      <c r="Y200" s="27" t="s">
        <v>8</v>
      </c>
      <c r="Z200" s="27" t="s">
        <v>7</v>
      </c>
      <c r="AA200" s="27" t="s">
        <v>8</v>
      </c>
      <c r="AB200" s="27" t="s">
        <v>7</v>
      </c>
      <c r="AC200" s="27" t="s">
        <v>8</v>
      </c>
      <c r="AD200" s="27" t="s">
        <v>7</v>
      </c>
      <c r="AE200" s="27" t="s">
        <v>8</v>
      </c>
      <c r="AF200" s="27" t="s">
        <v>7</v>
      </c>
      <c r="AK200" s="27" t="s">
        <v>8</v>
      </c>
      <c r="AL200" s="27" t="s">
        <v>7</v>
      </c>
      <c r="AQ200" s="27" t="s">
        <v>8</v>
      </c>
      <c r="AR200" s="27" t="s">
        <v>7</v>
      </c>
      <c r="AS200" s="27" t="s">
        <v>8</v>
      </c>
      <c r="AT200" s="27" t="s">
        <v>7</v>
      </c>
      <c r="AU200" s="27" t="s">
        <v>8</v>
      </c>
      <c r="AV200" s="27" t="s">
        <v>7</v>
      </c>
      <c r="AW200" s="27" t="s">
        <v>8</v>
      </c>
      <c r="AX200" s="31"/>
    </row>
    <row r="201" spans="1:57" x14ac:dyDescent="0.25">
      <c r="A201" s="30">
        <v>6.7047511544044376</v>
      </c>
      <c r="E201" t="s">
        <v>8</v>
      </c>
      <c r="R201" s="27" t="s">
        <v>7</v>
      </c>
      <c r="Y201" s="27" t="s">
        <v>8</v>
      </c>
      <c r="Z201" s="27" t="s">
        <v>7</v>
      </c>
      <c r="AA201" s="27" t="s">
        <v>8</v>
      </c>
      <c r="AB201" s="27" t="s">
        <v>7</v>
      </c>
      <c r="AC201" s="27" t="s">
        <v>8</v>
      </c>
      <c r="AD201" s="27" t="s">
        <v>7</v>
      </c>
      <c r="AF201" s="27" t="s">
        <v>7</v>
      </c>
      <c r="AK201" s="27" t="s">
        <v>8</v>
      </c>
      <c r="AL201" s="27" t="s">
        <v>7</v>
      </c>
      <c r="AM201" s="27" t="s">
        <v>8</v>
      </c>
      <c r="AO201" s="27" t="s">
        <v>8</v>
      </c>
      <c r="AQ201" s="27" t="s">
        <v>8</v>
      </c>
      <c r="AR201" s="27" t="s">
        <v>7</v>
      </c>
      <c r="AS201" s="27" t="s">
        <v>8</v>
      </c>
      <c r="AT201" s="27" t="s">
        <v>7</v>
      </c>
      <c r="AV201" s="27" t="s">
        <v>7</v>
      </c>
      <c r="AW201" s="31"/>
    </row>
    <row r="202" spans="1:57" x14ac:dyDescent="0.25">
      <c r="A202" s="30">
        <v>6.3854772899089882</v>
      </c>
      <c r="E202" t="s">
        <v>8</v>
      </c>
      <c r="R202" s="27" t="s">
        <v>7</v>
      </c>
      <c r="Y202" s="27" t="s">
        <v>8</v>
      </c>
      <c r="Z202" s="27" t="s">
        <v>7</v>
      </c>
      <c r="AA202" s="27" t="s">
        <v>8</v>
      </c>
      <c r="AB202" s="27" t="s">
        <v>7</v>
      </c>
      <c r="AC202" s="27" t="s">
        <v>8</v>
      </c>
      <c r="AF202" s="27" t="s">
        <v>7</v>
      </c>
      <c r="AK202" s="27" t="s">
        <v>8</v>
      </c>
      <c r="AL202" s="27" t="s">
        <v>7</v>
      </c>
      <c r="AM202" s="27" t="s">
        <v>8</v>
      </c>
      <c r="AN202" s="27" t="s">
        <v>7</v>
      </c>
      <c r="AO202" s="27" t="s">
        <v>8</v>
      </c>
      <c r="AP202" s="27" t="s">
        <v>7</v>
      </c>
      <c r="AQ202" s="27" t="s">
        <v>8</v>
      </c>
      <c r="AR202" s="27" t="s">
        <v>7</v>
      </c>
      <c r="AV202" s="31"/>
    </row>
    <row r="203" spans="1:57" x14ac:dyDescent="0.25">
      <c r="A203" s="30">
        <v>6.0814069427704647</v>
      </c>
      <c r="C203" s="7"/>
      <c r="D203"/>
      <c r="E203" t="s">
        <v>8</v>
      </c>
      <c r="R203" s="27" t="s">
        <v>7</v>
      </c>
      <c r="Y203" s="27" t="s">
        <v>8</v>
      </c>
      <c r="Z203" s="27" t="s">
        <v>7</v>
      </c>
      <c r="AA203" s="27" t="s">
        <v>8</v>
      </c>
      <c r="AB203" s="27" t="s">
        <v>7</v>
      </c>
      <c r="AC203" s="27" t="s">
        <v>8</v>
      </c>
      <c r="AF203" s="27" t="s">
        <v>7</v>
      </c>
      <c r="AK203" s="27" t="s">
        <v>8</v>
      </c>
      <c r="AL203" s="27" t="s">
        <v>7</v>
      </c>
      <c r="AM203" s="27" t="s">
        <v>8</v>
      </c>
      <c r="AN203" s="27" t="s">
        <v>7</v>
      </c>
      <c r="AO203" s="27" t="s">
        <v>8</v>
      </c>
      <c r="AP203" s="27" t="s">
        <v>7</v>
      </c>
      <c r="AQ203" s="27" t="s">
        <v>8</v>
      </c>
      <c r="AU203" s="31"/>
    </row>
    <row r="204" spans="1:57" x14ac:dyDescent="0.25">
      <c r="A204" s="30">
        <v>5.7918161359718709</v>
      </c>
      <c r="E204" t="s">
        <v>8</v>
      </c>
      <c r="R204" s="27" t="s">
        <v>7</v>
      </c>
      <c r="W204" s="27" t="s">
        <v>8</v>
      </c>
      <c r="Y204" s="27" t="s">
        <v>8</v>
      </c>
      <c r="Z204" s="27" t="s">
        <v>7</v>
      </c>
      <c r="AB204" s="27" t="s">
        <v>7</v>
      </c>
      <c r="AC204" s="27" t="s">
        <v>8</v>
      </c>
      <c r="AF204" s="27" t="s">
        <v>7</v>
      </c>
      <c r="AK204" s="27" t="s">
        <v>8</v>
      </c>
      <c r="AL204" s="27" t="s">
        <v>7</v>
      </c>
      <c r="AN204" s="27" t="s">
        <v>7</v>
      </c>
      <c r="AP204" s="27" t="s">
        <v>7</v>
      </c>
      <c r="AQ204" s="27" t="s">
        <v>8</v>
      </c>
      <c r="AT204" s="31"/>
    </row>
    <row r="205" spans="1:57" x14ac:dyDescent="0.25">
      <c r="A205" s="30">
        <v>5.5160153675922574</v>
      </c>
      <c r="E205" t="s">
        <v>8</v>
      </c>
      <c r="R205" s="27" t="s">
        <v>7</v>
      </c>
      <c r="U205" s="27" t="s">
        <v>8</v>
      </c>
      <c r="W205" s="27" t="s">
        <v>8</v>
      </c>
      <c r="X205" s="27" t="s">
        <v>7</v>
      </c>
      <c r="Y205" s="27" t="s">
        <v>8</v>
      </c>
      <c r="AB205" s="27" t="s">
        <v>7</v>
      </c>
      <c r="AF205" s="27" t="s">
        <v>7</v>
      </c>
      <c r="AG205" s="27" t="s">
        <v>8</v>
      </c>
      <c r="AI205" s="27" t="s">
        <v>8</v>
      </c>
      <c r="AK205" s="27" t="s">
        <v>8</v>
      </c>
      <c r="AP205" s="27" t="s">
        <v>7</v>
      </c>
      <c r="AQ205" s="27" t="s">
        <v>8</v>
      </c>
      <c r="AS205" s="31"/>
    </row>
    <row r="206" spans="1:57" x14ac:dyDescent="0.25">
      <c r="A206" s="30">
        <v>5.2533479691354827</v>
      </c>
      <c r="C206"/>
      <c r="D206"/>
      <c r="E206" t="s">
        <v>8</v>
      </c>
      <c r="R206" s="27" t="s">
        <v>7</v>
      </c>
      <c r="S206" s="27" t="s">
        <v>8</v>
      </c>
      <c r="U206" s="27" t="s">
        <v>8</v>
      </c>
      <c r="V206" s="27" t="s">
        <v>7</v>
      </c>
      <c r="W206" s="27" t="s">
        <v>8</v>
      </c>
      <c r="X206" s="27" t="s">
        <v>7</v>
      </c>
      <c r="Y206" s="27" t="s">
        <v>8</v>
      </c>
      <c r="AF206" s="27" t="s">
        <v>7</v>
      </c>
      <c r="AG206" s="27" t="s">
        <v>8</v>
      </c>
      <c r="AH206" s="27" t="s">
        <v>7</v>
      </c>
      <c r="AI206" s="27" t="s">
        <v>8</v>
      </c>
      <c r="AJ206" s="27" t="s">
        <v>7</v>
      </c>
      <c r="AK206" s="27" t="s">
        <v>8</v>
      </c>
      <c r="AP206" s="27" t="s">
        <v>7</v>
      </c>
      <c r="AQ206" s="27" t="s">
        <v>8</v>
      </c>
      <c r="AR206" s="31"/>
    </row>
    <row r="207" spans="1:57" x14ac:dyDescent="0.25">
      <c r="A207" s="30">
        <v>5.0031885420337927</v>
      </c>
      <c r="E207" t="s">
        <v>8</v>
      </c>
      <c r="R207" s="27" t="s">
        <v>7</v>
      </c>
      <c r="S207" s="27" t="s">
        <v>8</v>
      </c>
      <c r="T207" s="27" t="s">
        <v>7</v>
      </c>
      <c r="U207" s="27" t="s">
        <v>8</v>
      </c>
      <c r="V207" s="27" t="s">
        <v>7</v>
      </c>
      <c r="W207" s="27" t="s">
        <v>8</v>
      </c>
      <c r="X207" s="27" t="s">
        <v>7</v>
      </c>
      <c r="AF207" s="27" t="s">
        <v>7</v>
      </c>
      <c r="AG207" s="27" t="s">
        <v>8</v>
      </c>
      <c r="AH207" s="27" t="s">
        <v>7</v>
      </c>
      <c r="AI207" s="27" t="s">
        <v>8</v>
      </c>
      <c r="AJ207" s="27" t="s">
        <v>7</v>
      </c>
      <c r="AK207" s="27" t="s">
        <v>8</v>
      </c>
      <c r="AP207" s="27" t="s">
        <v>7</v>
      </c>
      <c r="AQ207" s="31" t="s">
        <v>8</v>
      </c>
    </row>
    <row r="208" spans="1:57" x14ac:dyDescent="0.25">
      <c r="A208" s="30">
        <v>4.7649414686036122</v>
      </c>
      <c r="E208" t="s">
        <v>8</v>
      </c>
      <c r="R208" s="27" t="s">
        <v>7</v>
      </c>
      <c r="S208" s="27" t="s">
        <v>8</v>
      </c>
      <c r="T208" s="27" t="s">
        <v>7</v>
      </c>
      <c r="U208" s="27" t="s">
        <v>8</v>
      </c>
      <c r="V208" s="27" t="s">
        <v>7</v>
      </c>
      <c r="W208" s="27" t="s">
        <v>8</v>
      </c>
      <c r="AF208" s="27" t="s">
        <v>7</v>
      </c>
      <c r="AG208" s="27" t="s">
        <v>8</v>
      </c>
      <c r="AH208" s="27" t="s">
        <v>7</v>
      </c>
      <c r="AJ208" s="27" t="s">
        <v>7</v>
      </c>
      <c r="AP208" s="31" t="s">
        <v>7</v>
      </c>
    </row>
    <row r="209" spans="1:32" x14ac:dyDescent="0.25">
      <c r="A209" s="30">
        <v>4.5380394939082018</v>
      </c>
      <c r="E209" t="s">
        <v>8</v>
      </c>
      <c r="R209" s="27" t="s">
        <v>7</v>
      </c>
      <c r="S209" s="27" t="s">
        <v>8</v>
      </c>
      <c r="T209" s="27" t="s">
        <v>7</v>
      </c>
      <c r="U209" s="27" t="s">
        <v>8</v>
      </c>
      <c r="V209" s="27" t="s">
        <v>7</v>
      </c>
      <c r="AF209" s="27" t="s">
        <v>7</v>
      </c>
    </row>
    <row r="210" spans="1:32" x14ac:dyDescent="0.25">
      <c r="A210" s="30">
        <v>4.3219423751506678</v>
      </c>
      <c r="C210"/>
      <c r="E210" t="s">
        <v>8</v>
      </c>
      <c r="R210" s="27" t="s">
        <v>7</v>
      </c>
      <c r="S210" s="27" t="s">
        <v>8</v>
      </c>
      <c r="T210" s="27" t="s">
        <v>7</v>
      </c>
      <c r="U210" s="27" t="s">
        <v>8</v>
      </c>
    </row>
    <row r="211" spans="1:32" x14ac:dyDescent="0.25">
      <c r="A211" s="30">
        <v>4.1161355953815884</v>
      </c>
      <c r="E211" t="s">
        <v>8</v>
      </c>
      <c r="R211" s="27" t="s">
        <v>7</v>
      </c>
      <c r="S211" s="27" t="s">
        <v>8</v>
      </c>
      <c r="T211" s="27" t="s">
        <v>7</v>
      </c>
    </row>
    <row r="212" spans="1:32" x14ac:dyDescent="0.25">
      <c r="A212" s="30">
        <v>3.9201291384586554</v>
      </c>
      <c r="E212" t="s">
        <v>8</v>
      </c>
      <c r="R212" s="27" t="s">
        <v>7</v>
      </c>
      <c r="S212" s="27" t="s">
        <v>8</v>
      </c>
    </row>
    <row r="213" spans="1:32" x14ac:dyDescent="0.25">
      <c r="A213" s="30">
        <v>3.7334563223415764</v>
      </c>
      <c r="E213" t="s">
        <v>8</v>
      </c>
      <c r="R213" s="27" t="s">
        <v>7</v>
      </c>
      <c r="S213" s="27" t="s">
        <v>8</v>
      </c>
    </row>
    <row r="214" spans="1:32" x14ac:dyDescent="0.25">
      <c r="A214" s="30">
        <v>3.5556726879443583</v>
      </c>
      <c r="E214" t="s">
        <v>8</v>
      </c>
      <c r="R214" s="27" t="s">
        <v>7</v>
      </c>
      <c r="S214" s="27" t="s">
        <v>8</v>
      </c>
    </row>
    <row r="215" spans="1:32" x14ac:dyDescent="0.25">
      <c r="A215" s="30">
        <v>3.3863549408993889</v>
      </c>
      <c r="E215" t="s">
        <v>8</v>
      </c>
      <c r="R215" s="27" t="s">
        <v>7</v>
      </c>
      <c r="S215" s="27" t="s">
        <v>8</v>
      </c>
    </row>
    <row r="216" spans="1:32" x14ac:dyDescent="0.25">
      <c r="A216" s="30">
        <v>3.2250999437137038</v>
      </c>
      <c r="E216" t="s">
        <v>8</v>
      </c>
      <c r="R216" s="27" t="s">
        <v>7</v>
      </c>
    </row>
    <row r="217" spans="1:32" x14ac:dyDescent="0.25">
      <c r="A217" s="30">
        <v>3.0715237559178128</v>
      </c>
      <c r="E217" t="s">
        <v>8</v>
      </c>
    </row>
    <row r="218" spans="1:32" x14ac:dyDescent="0.25">
      <c r="A218" s="30">
        <v>2.9252607199217264</v>
      </c>
      <c r="E218" t="s">
        <v>8</v>
      </c>
    </row>
    <row r="219" spans="1:32" x14ac:dyDescent="0.25">
      <c r="A219" s="30">
        <v>2.7859625904016441</v>
      </c>
      <c r="E219" t="s">
        <v>8</v>
      </c>
    </row>
    <row r="220" spans="1:32" x14ac:dyDescent="0.25">
      <c r="A220" s="30">
        <v>2.6532977051444226</v>
      </c>
      <c r="E220" t="s">
        <v>8</v>
      </c>
    </row>
    <row r="221" spans="1:32" x14ac:dyDescent="0.25">
      <c r="A221" s="30">
        <v>2.5269501953756404</v>
      </c>
      <c r="E221" t="s">
        <v>8</v>
      </c>
    </row>
    <row r="222" spans="1:32" x14ac:dyDescent="0.25">
      <c r="A222" s="30">
        <v>2.4066192336910861</v>
      </c>
      <c r="E222" t="s">
        <v>8</v>
      </c>
    </row>
    <row r="223" spans="1:32" x14ac:dyDescent="0.25">
      <c r="A223" s="30">
        <v>2.2920183178010345</v>
      </c>
      <c r="E223" t="s">
        <v>8</v>
      </c>
    </row>
    <row r="224" spans="1:32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63" zoomScale="90" zoomScaleNormal="90" workbookViewId="0">
      <pane xSplit="4" topLeftCell="G1" activePane="topRight" state="frozen"/>
      <selection activeCell="A109" sqref="A109"/>
      <selection pane="topRight" activeCell="AN88" sqref="AN88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38" x14ac:dyDescent="0.25">
      <c r="A65" s="30">
        <v>207.96505671840671</v>
      </c>
      <c r="E65"/>
    </row>
    <row r="66" spans="1:38" x14ac:dyDescent="0.25">
      <c r="A66" s="30">
        <v>189.05914247127882</v>
      </c>
      <c r="E66"/>
    </row>
    <row r="67" spans="1:38" x14ac:dyDescent="0.25">
      <c r="A67" s="30">
        <v>171.87194770116255</v>
      </c>
      <c r="C67" s="1" t="s">
        <v>15</v>
      </c>
      <c r="E67"/>
      <c r="Y67" s="31" t="s">
        <v>8</v>
      </c>
    </row>
    <row r="68" spans="1:38" x14ac:dyDescent="0.25">
      <c r="A68" s="30">
        <v>156.24722518287504</v>
      </c>
      <c r="C68" s="7">
        <v>0.11167815779424731</v>
      </c>
      <c r="D68"/>
      <c r="E68"/>
      <c r="Y68" s="27" t="s">
        <v>8</v>
      </c>
      <c r="Z68" s="31" t="s">
        <v>7</v>
      </c>
    </row>
    <row r="69" spans="1:38" x14ac:dyDescent="0.25">
      <c r="A69" s="30">
        <v>142.04293198443185</v>
      </c>
      <c r="E69"/>
      <c r="Y69" s="27" t="s">
        <v>8</v>
      </c>
      <c r="Z69" s="27" t="s">
        <v>7</v>
      </c>
      <c r="AA69" s="31"/>
    </row>
    <row r="70" spans="1:38" x14ac:dyDescent="0.25">
      <c r="A70" s="30">
        <v>129.1299381676653</v>
      </c>
      <c r="C70" s="1" t="s">
        <v>11</v>
      </c>
      <c r="D70" s="1" t="s">
        <v>12</v>
      </c>
      <c r="E70"/>
      <c r="Y70" s="27" t="s">
        <v>8</v>
      </c>
      <c r="Z70" s="27" t="s">
        <v>7</v>
      </c>
      <c r="AB70" s="31"/>
    </row>
    <row r="71" spans="1:38" x14ac:dyDescent="0.25">
      <c r="A71" s="30">
        <v>117.39085287969573</v>
      </c>
      <c r="C71"/>
      <c r="D71"/>
      <c r="E71"/>
      <c r="Y71" s="27" t="s">
        <v>8</v>
      </c>
      <c r="Z71" s="27" t="s">
        <v>7</v>
      </c>
      <c r="AC71" s="31"/>
    </row>
    <row r="72" spans="1:38" x14ac:dyDescent="0.25">
      <c r="A72" s="30">
        <v>106.71895716335975</v>
      </c>
      <c r="E72"/>
      <c r="Y72" s="27" t="s">
        <v>8</v>
      </c>
      <c r="Z72" s="27" t="s">
        <v>7</v>
      </c>
      <c r="AA72" s="27" t="s">
        <v>8</v>
      </c>
      <c r="AD72" s="31"/>
    </row>
    <row r="73" spans="1:38" x14ac:dyDescent="0.25">
      <c r="A73" s="30">
        <v>97.017233784872488</v>
      </c>
      <c r="C73" s="1" t="s">
        <v>13</v>
      </c>
      <c r="E73"/>
      <c r="Y73" s="27" t="s">
        <v>8</v>
      </c>
      <c r="Z73" s="27" t="s">
        <v>7</v>
      </c>
      <c r="AA73" s="27" t="s">
        <v>8</v>
      </c>
      <c r="AB73" s="27" t="s">
        <v>7</v>
      </c>
      <c r="AE73" s="31"/>
    </row>
    <row r="74" spans="1:38" x14ac:dyDescent="0.25">
      <c r="A74" s="30">
        <v>88.197485258974979</v>
      </c>
      <c r="C74" s="1">
        <f>C63</f>
        <v>0</v>
      </c>
      <c r="E74"/>
      <c r="Y74" s="27" t="s">
        <v>8</v>
      </c>
      <c r="Z74" s="27" t="s">
        <v>7</v>
      </c>
      <c r="AA74" s="27" t="s">
        <v>8</v>
      </c>
      <c r="AB74" s="27" t="s">
        <v>7</v>
      </c>
      <c r="AF74" s="31"/>
    </row>
    <row r="75" spans="1:38" x14ac:dyDescent="0.25">
      <c r="A75" s="30">
        <v>80.179532053613613</v>
      </c>
      <c r="C75"/>
      <c r="D75"/>
      <c r="E75"/>
      <c r="Y75" s="27" t="s">
        <v>8</v>
      </c>
      <c r="Z75" s="27" t="s">
        <v>7</v>
      </c>
      <c r="AB75" s="27" t="s">
        <v>7</v>
      </c>
      <c r="AE75" s="34" t="s">
        <v>8</v>
      </c>
      <c r="AG75" s="31"/>
    </row>
    <row r="76" spans="1:38" x14ac:dyDescent="0.25">
      <c r="A76" s="30">
        <v>72.890483685103277</v>
      </c>
      <c r="C76" s="1" t="s">
        <v>14</v>
      </c>
      <c r="E76"/>
      <c r="Y76" s="27" t="s">
        <v>8</v>
      </c>
      <c r="AB76" s="33" t="s">
        <v>7</v>
      </c>
      <c r="AC76" s="27" t="s">
        <v>8</v>
      </c>
      <c r="AE76" s="27" t="s">
        <v>8</v>
      </c>
      <c r="AF76" s="27" t="s">
        <v>7</v>
      </c>
      <c r="AH76" s="31"/>
      <c r="AI76" s="27" t="s">
        <v>8</v>
      </c>
    </row>
    <row r="77" spans="1:38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Y77" s="27" t="s">
        <v>8</v>
      </c>
      <c r="AB77" s="27" t="s">
        <v>7</v>
      </c>
      <c r="AC77" s="27" t="s">
        <v>8</v>
      </c>
      <c r="AD77" s="27" t="s">
        <v>7</v>
      </c>
      <c r="AE77" s="27" t="s">
        <v>8</v>
      </c>
      <c r="AF77" s="27" t="s">
        <v>7</v>
      </c>
      <c r="AI77" s="31" t="s">
        <v>8</v>
      </c>
      <c r="AJ77" s="27" t="s">
        <v>7</v>
      </c>
    </row>
    <row r="78" spans="1:38" x14ac:dyDescent="0.25">
      <c r="A78" s="30">
        <v>60.240069161242367</v>
      </c>
      <c r="E78"/>
      <c r="Y78" s="27" t="s">
        <v>8</v>
      </c>
      <c r="AB78" s="27" t="s">
        <v>7</v>
      </c>
      <c r="AC78" s="27" t="s">
        <v>8</v>
      </c>
      <c r="AD78" s="27" t="s">
        <v>7</v>
      </c>
      <c r="AE78" s="27" t="s">
        <v>8</v>
      </c>
      <c r="AF78" s="27" t="s">
        <v>7</v>
      </c>
      <c r="AG78" s="27" t="s">
        <v>8</v>
      </c>
      <c r="AI78" s="27" t="s">
        <v>8</v>
      </c>
      <c r="AJ78" s="19" t="s">
        <v>7</v>
      </c>
      <c r="AK78" s="27" t="s">
        <v>8</v>
      </c>
    </row>
    <row r="79" spans="1:38" x14ac:dyDescent="0.25">
      <c r="A79" s="30">
        <v>54.763699237493057</v>
      </c>
      <c r="E79"/>
      <c r="Y79" s="27" t="s">
        <v>8</v>
      </c>
      <c r="AB79" s="27" t="s">
        <v>7</v>
      </c>
      <c r="AC79" s="27" t="s">
        <v>8</v>
      </c>
      <c r="AD79" s="27" t="s">
        <v>7</v>
      </c>
      <c r="AE79" s="27" t="s">
        <v>8</v>
      </c>
      <c r="AF79" s="27" t="s">
        <v>7</v>
      </c>
      <c r="AG79" s="27" t="s">
        <v>8</v>
      </c>
      <c r="AH79" s="27" t="s">
        <v>7</v>
      </c>
      <c r="AI79" s="27" t="s">
        <v>8</v>
      </c>
      <c r="AJ79" s="27" t="s">
        <v>7</v>
      </c>
      <c r="AK79" s="27" t="s">
        <v>8</v>
      </c>
      <c r="AL79" s="27" t="s">
        <v>7</v>
      </c>
    </row>
    <row r="80" spans="1:38" x14ac:dyDescent="0.25">
      <c r="A80" s="30">
        <v>49.785181124993684</v>
      </c>
      <c r="E80"/>
      <c r="W80" s="27" t="s">
        <v>8</v>
      </c>
      <c r="Y80" s="27" t="s">
        <v>8</v>
      </c>
      <c r="AB80" s="27" t="s">
        <v>7</v>
      </c>
      <c r="AC80" s="27" t="s">
        <v>8</v>
      </c>
      <c r="AD80" s="27" t="s">
        <v>7</v>
      </c>
      <c r="AE80" s="27" t="s">
        <v>8</v>
      </c>
      <c r="AF80" s="27" t="s">
        <v>7</v>
      </c>
      <c r="AG80" s="27" t="s">
        <v>8</v>
      </c>
      <c r="AH80" s="27" t="s">
        <v>7</v>
      </c>
      <c r="AI80" s="27" t="s">
        <v>8</v>
      </c>
      <c r="AJ80" s="27" t="s">
        <v>7</v>
      </c>
      <c r="AK80" s="27" t="s">
        <v>8</v>
      </c>
      <c r="AL80" s="27" t="s">
        <v>7</v>
      </c>
    </row>
    <row r="81" spans="1:40" x14ac:dyDescent="0.25">
      <c r="A81" s="30">
        <v>45.259255568176073</v>
      </c>
      <c r="E81"/>
      <c r="W81" s="27" t="s">
        <v>8</v>
      </c>
      <c r="X81" s="27" t="s">
        <v>7</v>
      </c>
      <c r="Y81" s="27" t="s">
        <v>8</v>
      </c>
      <c r="AB81" s="27" t="s">
        <v>7</v>
      </c>
      <c r="AC81" s="27" t="s">
        <v>8</v>
      </c>
      <c r="AD81" s="27" t="s">
        <v>7</v>
      </c>
      <c r="AE81" s="27" t="s">
        <v>8</v>
      </c>
      <c r="AF81" s="27" t="s">
        <v>7</v>
      </c>
      <c r="AG81" s="27" t="s">
        <v>8</v>
      </c>
      <c r="AH81" s="27" t="s">
        <v>7</v>
      </c>
      <c r="AI81" s="27" t="s">
        <v>8</v>
      </c>
      <c r="AJ81" s="27" t="s">
        <v>7</v>
      </c>
      <c r="AL81" s="27" t="s">
        <v>7</v>
      </c>
      <c r="AM81" s="31"/>
    </row>
    <row r="82" spans="1:40" x14ac:dyDescent="0.25">
      <c r="A82" s="30">
        <v>41.144777789250973</v>
      </c>
      <c r="E82"/>
      <c r="W82" s="27" t="s">
        <v>8</v>
      </c>
      <c r="X82" s="27" t="s">
        <v>7</v>
      </c>
      <c r="Y82" s="27" t="s">
        <v>8</v>
      </c>
      <c r="AB82" s="32" t="s">
        <v>7</v>
      </c>
      <c r="AD82" s="32" t="s">
        <v>7</v>
      </c>
      <c r="AF82" s="27" t="s">
        <v>7</v>
      </c>
      <c r="AG82" s="27" t="s">
        <v>8</v>
      </c>
      <c r="AH82" s="18" t="s">
        <v>7</v>
      </c>
      <c r="AL82" s="31" t="s">
        <v>7</v>
      </c>
      <c r="AM82" s="27" t="s">
        <v>8</v>
      </c>
    </row>
    <row r="83" spans="1:40" x14ac:dyDescent="0.25">
      <c r="A83" s="30">
        <v>37.404343444773609</v>
      </c>
      <c r="E83"/>
      <c r="W83" s="27" t="s">
        <v>8</v>
      </c>
      <c r="X83" s="27" t="s">
        <v>7</v>
      </c>
      <c r="Y83" s="27" t="s">
        <v>8</v>
      </c>
      <c r="AF83" s="33" t="s">
        <v>7</v>
      </c>
      <c r="AG83" s="27" t="s">
        <v>8</v>
      </c>
      <c r="AK83" s="31"/>
      <c r="AL83" s="27" t="s">
        <v>7</v>
      </c>
      <c r="AM83" s="27" t="s">
        <v>8</v>
      </c>
      <c r="AN83" s="27" t="s">
        <v>7</v>
      </c>
    </row>
    <row r="84" spans="1:40" x14ac:dyDescent="0.25">
      <c r="A84" s="30">
        <v>34.003948586157826</v>
      </c>
      <c r="E84"/>
      <c r="W84" s="27" t="s">
        <v>8</v>
      </c>
      <c r="X84" s="27" t="s">
        <v>7</v>
      </c>
      <c r="Y84" s="27" t="s">
        <v>8</v>
      </c>
      <c r="AF84" s="27" t="s">
        <v>7</v>
      </c>
      <c r="AJ84" s="31"/>
      <c r="AL84" s="27" t="s">
        <v>7</v>
      </c>
      <c r="AM84" s="27" t="s">
        <v>8</v>
      </c>
      <c r="AN84" s="27" t="s">
        <v>7</v>
      </c>
    </row>
    <row r="85" spans="1:40" x14ac:dyDescent="0.25">
      <c r="A85" s="30">
        <v>30.912680532870748</v>
      </c>
      <c r="E85"/>
      <c r="W85" s="27" t="s">
        <v>8</v>
      </c>
      <c r="X85" s="27" t="s">
        <v>7</v>
      </c>
      <c r="Y85" s="27" t="s">
        <v>8</v>
      </c>
      <c r="AI85" s="31"/>
      <c r="AL85" s="27" t="s">
        <v>7</v>
      </c>
      <c r="AN85" s="27" t="s">
        <v>7</v>
      </c>
    </row>
    <row r="86" spans="1:40" x14ac:dyDescent="0.25">
      <c r="A86" s="30">
        <v>28.102436848064315</v>
      </c>
      <c r="E86"/>
      <c r="W86" s="27" t="s">
        <v>8</v>
      </c>
      <c r="X86" s="27" t="s">
        <v>7</v>
      </c>
      <c r="Y86" s="27" t="s">
        <v>8</v>
      </c>
      <c r="AH86" s="31"/>
      <c r="AN86" s="27" t="s">
        <v>7</v>
      </c>
    </row>
    <row r="87" spans="1:40" x14ac:dyDescent="0.25">
      <c r="A87" s="30">
        <v>25.547669861876649</v>
      </c>
      <c r="E87"/>
      <c r="W87" s="27" t="s">
        <v>8</v>
      </c>
      <c r="X87" s="27" t="s">
        <v>7</v>
      </c>
      <c r="AG87" s="31"/>
      <c r="AN87" s="27" t="s">
        <v>7</v>
      </c>
    </row>
    <row r="88" spans="1:40" x14ac:dyDescent="0.25">
      <c r="A88" s="30">
        <v>23.225154419887861</v>
      </c>
      <c r="E88"/>
      <c r="W88" s="27" t="s">
        <v>8</v>
      </c>
      <c r="AF88" s="31"/>
      <c r="AN88" s="27" t="s">
        <v>7</v>
      </c>
    </row>
    <row r="89" spans="1:40" x14ac:dyDescent="0.25">
      <c r="A89" s="30">
        <v>21.113776745352599</v>
      </c>
      <c r="E89"/>
      <c r="W89" s="27" t="s">
        <v>8</v>
      </c>
      <c r="AE89" s="31"/>
    </row>
    <row r="90" spans="1:40" x14ac:dyDescent="0.25">
      <c r="A90" s="30">
        <v>19.194342495775089</v>
      </c>
      <c r="E90"/>
      <c r="W90" s="34" t="s">
        <v>8</v>
      </c>
      <c r="AD90" s="31"/>
    </row>
    <row r="91" spans="1:40" x14ac:dyDescent="0.25">
      <c r="A91" s="30">
        <v>17.449402268886445</v>
      </c>
      <c r="E91"/>
      <c r="S91" s="32" t="s">
        <v>8</v>
      </c>
      <c r="U91" s="32" t="s">
        <v>8</v>
      </c>
      <c r="W91" s="27" t="s">
        <v>8</v>
      </c>
      <c r="AC91" s="31"/>
    </row>
    <row r="92" spans="1:40" x14ac:dyDescent="0.25">
      <c r="A92" s="30">
        <v>15.863092971714948</v>
      </c>
      <c r="C92" s="1" t="s">
        <v>15</v>
      </c>
      <c r="E92"/>
      <c r="S92" s="27" t="s">
        <v>8</v>
      </c>
      <c r="T92" s="27" t="s">
        <v>7</v>
      </c>
      <c r="U92" s="27" t="s">
        <v>8</v>
      </c>
      <c r="V92" s="27" t="s">
        <v>7</v>
      </c>
      <c r="W92" s="27" t="s">
        <v>8</v>
      </c>
      <c r="AB92" s="31"/>
    </row>
    <row r="93" spans="1:40" x14ac:dyDescent="0.25">
      <c r="A93" s="30">
        <v>14.420993610649951</v>
      </c>
      <c r="C93" s="7">
        <v>0.11167815779424731</v>
      </c>
      <c r="D93"/>
      <c r="E93"/>
      <c r="S93" s="27" t="s">
        <v>8</v>
      </c>
      <c r="T93" s="27" t="s">
        <v>7</v>
      </c>
      <c r="U93" s="27" t="s">
        <v>8</v>
      </c>
      <c r="V93" s="27" t="s">
        <v>7</v>
      </c>
      <c r="W93" s="27" t="s">
        <v>8</v>
      </c>
      <c r="AA93" s="31"/>
    </row>
    <row r="94" spans="1:40" x14ac:dyDescent="0.25">
      <c r="A94" s="30">
        <v>13.109994191499954</v>
      </c>
      <c r="E94"/>
      <c r="G94" s="27" t="s">
        <v>8</v>
      </c>
      <c r="S94" s="27" t="s">
        <v>8</v>
      </c>
      <c r="T94" s="27" t="s">
        <v>7</v>
      </c>
      <c r="V94" s="27" t="s">
        <v>7</v>
      </c>
      <c r="W94" s="27" t="s">
        <v>8</v>
      </c>
      <c r="Z94" s="31"/>
    </row>
    <row r="95" spans="1:40" x14ac:dyDescent="0.25">
      <c r="A95" s="30">
        <v>11.918176537727231</v>
      </c>
      <c r="C95" s="1" t="s">
        <v>11</v>
      </c>
      <c r="D95" s="1" t="s">
        <v>12</v>
      </c>
      <c r="E95" t="s">
        <v>8</v>
      </c>
      <c r="G95" s="27" t="s">
        <v>8</v>
      </c>
      <c r="H95" s="27" t="s">
        <v>7</v>
      </c>
      <c r="S95" s="27" t="s">
        <v>8</v>
      </c>
      <c r="V95" s="33" t="s">
        <v>7</v>
      </c>
      <c r="W95" s="27" t="s">
        <v>8</v>
      </c>
      <c r="Y95" s="31"/>
    </row>
    <row r="96" spans="1:40" x14ac:dyDescent="0.25">
      <c r="A96" s="30">
        <v>10.834705943388391</v>
      </c>
      <c r="C96"/>
      <c r="D96"/>
      <c r="E96" t="s">
        <v>8</v>
      </c>
      <c r="F96" s="27" t="s">
        <v>7</v>
      </c>
      <c r="G96" s="27" t="s">
        <v>8</v>
      </c>
      <c r="H96" s="27" t="s">
        <v>7</v>
      </c>
      <c r="S96" s="27" t="s">
        <v>8</v>
      </c>
      <c r="V96" s="27" t="s">
        <v>7</v>
      </c>
      <c r="W96" s="27" t="s">
        <v>8</v>
      </c>
      <c r="X96" s="31"/>
    </row>
    <row r="97" spans="1:23" x14ac:dyDescent="0.25">
      <c r="A97" s="30">
        <v>9.849732675807628</v>
      </c>
      <c r="E97" t="s">
        <v>8</v>
      </c>
      <c r="F97" s="27" t="s">
        <v>7</v>
      </c>
      <c r="G97" s="27" t="s">
        <v>8</v>
      </c>
      <c r="H97" s="27" t="s">
        <v>7</v>
      </c>
      <c r="Q97" s="27" t="s">
        <v>8</v>
      </c>
      <c r="S97" s="27" t="s">
        <v>8</v>
      </c>
      <c r="V97" s="27" t="s">
        <v>7</v>
      </c>
      <c r="W97" s="31"/>
    </row>
    <row r="98" spans="1:23" x14ac:dyDescent="0.25">
      <c r="A98" s="30">
        <v>8.9543024325523888</v>
      </c>
      <c r="C98" s="1" t="s">
        <v>13</v>
      </c>
      <c r="E98" t="s">
        <v>8</v>
      </c>
      <c r="F98" s="27" t="s">
        <v>7</v>
      </c>
      <c r="G98" s="27" t="s">
        <v>8</v>
      </c>
      <c r="H98" s="27" t="s">
        <v>7</v>
      </c>
      <c r="Q98" s="27" t="s">
        <v>8</v>
      </c>
      <c r="R98" s="27" t="s">
        <v>7</v>
      </c>
      <c r="S98" s="27" t="s">
        <v>8</v>
      </c>
      <c r="V98" s="31"/>
    </row>
    <row r="99" spans="1:23" x14ac:dyDescent="0.25">
      <c r="A99" s="30">
        <v>8.140274938683989</v>
      </c>
      <c r="C99" s="1">
        <f>C88</f>
        <v>0</v>
      </c>
      <c r="E99" t="s">
        <v>8</v>
      </c>
      <c r="F99" s="27" t="s">
        <v>7</v>
      </c>
      <c r="H99" s="27" t="s">
        <v>7</v>
      </c>
      <c r="M99" s="27" t="s">
        <v>8</v>
      </c>
      <c r="Q99" s="27" t="s">
        <v>8</v>
      </c>
      <c r="R99" s="27" t="s">
        <v>7</v>
      </c>
      <c r="S99" s="27" t="s">
        <v>8</v>
      </c>
      <c r="U99" s="31"/>
    </row>
    <row r="100" spans="1:23" x14ac:dyDescent="0.25">
      <c r="A100" s="30">
        <v>7.4002499442581717</v>
      </c>
      <c r="C100"/>
      <c r="D100"/>
      <c r="E100" t="s">
        <v>8</v>
      </c>
      <c r="H100" s="27" t="s">
        <v>7</v>
      </c>
      <c r="I100" s="32" t="s">
        <v>8</v>
      </c>
      <c r="K100" s="32" t="s">
        <v>8</v>
      </c>
      <c r="M100" s="27" t="s">
        <v>8</v>
      </c>
      <c r="N100" s="27" t="s">
        <v>7</v>
      </c>
      <c r="O100" s="27" t="s">
        <v>8</v>
      </c>
      <c r="Q100" s="27" t="s">
        <v>8</v>
      </c>
      <c r="R100" s="27" t="s">
        <v>7</v>
      </c>
      <c r="S100" s="27" t="s">
        <v>8</v>
      </c>
      <c r="T100" s="31"/>
    </row>
    <row r="101" spans="1:23" x14ac:dyDescent="0.25">
      <c r="A101" s="30">
        <v>6.72749994932561</v>
      </c>
      <c r="C101" s="1" t="s">
        <v>14</v>
      </c>
      <c r="E101" t="s">
        <v>8</v>
      </c>
      <c r="H101" s="27" t="s">
        <v>7</v>
      </c>
      <c r="I101" s="27" t="s">
        <v>8</v>
      </c>
      <c r="J101" s="27" t="s">
        <v>7</v>
      </c>
      <c r="K101" s="27" t="s">
        <v>8</v>
      </c>
      <c r="L101" s="27" t="s">
        <v>7</v>
      </c>
      <c r="M101" s="27" t="s">
        <v>8</v>
      </c>
      <c r="N101" s="27" t="s">
        <v>7</v>
      </c>
      <c r="O101" s="27" t="s">
        <v>8</v>
      </c>
      <c r="P101" s="27" t="s">
        <v>7</v>
      </c>
      <c r="Q101" s="27" t="s">
        <v>8</v>
      </c>
      <c r="R101" s="27" t="s">
        <v>7</v>
      </c>
      <c r="S101" s="31"/>
    </row>
    <row r="102" spans="1:23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H102" s="27" t="s">
        <v>7</v>
      </c>
      <c r="I102" s="27" t="s">
        <v>8</v>
      </c>
      <c r="J102" s="27" t="s">
        <v>7</v>
      </c>
      <c r="K102" s="27" t="s">
        <v>8</v>
      </c>
      <c r="L102" s="27" t="s">
        <v>7</v>
      </c>
      <c r="M102" s="27" t="s">
        <v>8</v>
      </c>
      <c r="N102" s="27" t="s">
        <v>7</v>
      </c>
      <c r="O102" s="27" t="s">
        <v>8</v>
      </c>
      <c r="P102" s="27" t="s">
        <v>7</v>
      </c>
      <c r="Q102" s="27" t="s">
        <v>8</v>
      </c>
      <c r="R102" s="31"/>
    </row>
    <row r="103" spans="1:23" x14ac:dyDescent="0.25">
      <c r="A103" s="30">
        <v>5.5599173134922388</v>
      </c>
      <c r="E103" t="s">
        <v>8</v>
      </c>
      <c r="H103" s="27" t="s">
        <v>7</v>
      </c>
      <c r="I103" s="27" t="s">
        <v>8</v>
      </c>
      <c r="J103" s="32" t="s">
        <v>7</v>
      </c>
      <c r="L103" s="32" t="s">
        <v>7</v>
      </c>
      <c r="N103" s="27" t="s">
        <v>7</v>
      </c>
      <c r="O103" s="27" t="s">
        <v>8</v>
      </c>
      <c r="P103" s="27" t="s">
        <v>7</v>
      </c>
      <c r="Q103" s="31" t="s">
        <v>8</v>
      </c>
    </row>
    <row r="104" spans="1:23" x14ac:dyDescent="0.25">
      <c r="A104" s="30">
        <v>5.0544702849929442</v>
      </c>
      <c r="E104" t="s">
        <v>8</v>
      </c>
      <c r="H104" s="27" t="s">
        <v>7</v>
      </c>
      <c r="I104" s="27" t="s">
        <v>8</v>
      </c>
      <c r="N104" s="27" t="s">
        <v>7</v>
      </c>
      <c r="O104" s="27" t="s">
        <v>8</v>
      </c>
      <c r="P104" s="31" t="s">
        <v>7</v>
      </c>
    </row>
    <row r="105" spans="1:23" x14ac:dyDescent="0.25">
      <c r="A105" s="30">
        <v>4.594972986357222</v>
      </c>
      <c r="E105" t="s">
        <v>8</v>
      </c>
      <c r="H105" s="27" t="s">
        <v>7</v>
      </c>
      <c r="I105" s="27" t="s">
        <v>8</v>
      </c>
      <c r="N105" s="27" t="s">
        <v>7</v>
      </c>
    </row>
    <row r="106" spans="1:23" x14ac:dyDescent="0.25">
      <c r="A106" s="30">
        <v>4.1772481694156562</v>
      </c>
      <c r="E106" t="s">
        <v>8</v>
      </c>
      <c r="H106" s="27" t="s">
        <v>7</v>
      </c>
      <c r="I106" s="27" t="s">
        <v>8</v>
      </c>
    </row>
    <row r="107" spans="1:23" x14ac:dyDescent="0.25">
      <c r="A107" s="30">
        <v>3.7974983358324148</v>
      </c>
      <c r="E107" t="s">
        <v>8</v>
      </c>
      <c r="H107" s="27" t="s">
        <v>7</v>
      </c>
      <c r="I107" s="27" t="s">
        <v>8</v>
      </c>
    </row>
    <row r="108" spans="1:23" x14ac:dyDescent="0.25">
      <c r="A108" s="30">
        <v>3.4522712143931042</v>
      </c>
      <c r="E108" t="s">
        <v>8</v>
      </c>
      <c r="H108" s="27" t="s">
        <v>7</v>
      </c>
      <c r="I108" s="27" t="s">
        <v>8</v>
      </c>
    </row>
    <row r="109" spans="1:23" x14ac:dyDescent="0.25">
      <c r="A109" s="30">
        <v>3.1384283767210035</v>
      </c>
      <c r="E109" t="s">
        <v>8</v>
      </c>
      <c r="H109" s="27" t="s">
        <v>7</v>
      </c>
    </row>
    <row r="110" spans="1:23" x14ac:dyDescent="0.25">
      <c r="A110" s="30">
        <v>2.8531167061100029</v>
      </c>
      <c r="E110" t="s">
        <v>8</v>
      </c>
    </row>
    <row r="111" spans="1:23" x14ac:dyDescent="0.25">
      <c r="A111" s="30">
        <v>2.5937424601000023</v>
      </c>
      <c r="C111" s="1" t="str">
        <f>ADDRESS(C121-1,1,1,1)</f>
        <v>$A$87</v>
      </c>
      <c r="D111" s="1" t="str">
        <f>ADDRESS(C121-1,D121,1,1)</f>
        <v>$AN$87</v>
      </c>
      <c r="E111" t="s">
        <v>8</v>
      </c>
    </row>
    <row r="112" spans="1:23" x14ac:dyDescent="0.25">
      <c r="A112" s="30">
        <v>2.3579476910000019</v>
      </c>
      <c r="C112" s="1" t="str">
        <f>ADDRESS(C121,1,1,1)</f>
        <v>$A$88</v>
      </c>
      <c r="D112" s="1" t="str">
        <f>ADDRESS(C121,D121-1,1,1)</f>
        <v>$AM$88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$A$89</v>
      </c>
      <c r="D113" s="1" t="str">
        <f>ADDRESS(C121-1,D121+1,1,1)</f>
        <v>$AO$87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$AN$88</v>
      </c>
      <c r="D114" s="1" t="str">
        <f>ADDRESS(C121+1,D121+1,1,1)</f>
        <v>$AO$89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$AN$89</v>
      </c>
      <c r="E115" s="1" t="s">
        <v>8</v>
      </c>
    </row>
    <row r="116" spans="1:5" x14ac:dyDescent="0.25">
      <c r="A116" s="30">
        <v>1.6105100000000008</v>
      </c>
      <c r="C116" s="1">
        <f>C117-1</f>
        <v>87</v>
      </c>
      <c r="E116" s="1" t="s">
        <v>8</v>
      </c>
    </row>
    <row r="117" spans="1:5" x14ac:dyDescent="0.25">
      <c r="A117" s="30">
        <v>1.4641000000000006</v>
      </c>
      <c r="C117" s="1">
        <f>C121</f>
        <v>88</v>
      </c>
      <c r="D117" s="1">
        <f>D121</f>
        <v>40</v>
      </c>
      <c r="E117" s="1" t="s">
        <v>8</v>
      </c>
    </row>
    <row r="118" spans="1:5" x14ac:dyDescent="0.25">
      <c r="A118" s="30">
        <v>1.3310000000000004</v>
      </c>
      <c r="C118" s="1">
        <f>C117+1</f>
        <v>89</v>
      </c>
      <c r="D118" s="1">
        <f>D117+1</f>
        <v>41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88</v>
      </c>
      <c r="D121" s="19">
        <v>40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R88</v>
      </c>
      <c r="D123" s="1" t="str">
        <f>"C"&amp;D121</f>
        <v>C40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23.225154419887861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33.545134152904119</v>
      </c>
      <c r="F3" s="30">
        <v>40.774320219943419</v>
      </c>
      <c r="G3" s="30">
        <v>60.242241375753864</v>
      </c>
      <c r="H3" s="25">
        <f>IF(G3="","",(3*(G3-F3))+E3)</f>
        <v>91.948897620335458</v>
      </c>
      <c r="I3" s="7"/>
      <c r="J3" s="7">
        <f>(E3+G3)/2</f>
        <v>46.893687764328988</v>
      </c>
      <c r="K3" s="7">
        <f>H3/2</f>
        <v>45.974448810167729</v>
      </c>
      <c r="M3" s="26">
        <f>IF(OR(J3="",H3=""),"",H3/J3)</f>
        <v>1.9607947679960243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2022-01-28T01:16:25Z</dcterms:modified>
</cp:coreProperties>
</file>